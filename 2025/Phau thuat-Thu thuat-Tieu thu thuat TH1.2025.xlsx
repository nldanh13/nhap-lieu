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Phẫu thuật 2025\Phẫu thuật\"/>
    </mc:Choice>
  </mc:AlternateContent>
  <xr:revisionPtr revIDLastSave="0" documentId="13_ncr:1_{6B60D1A8-6041-4946-8DEA-01F15B7BA019}" xr6:coauthVersionLast="47" xr6:coauthVersionMax="47" xr10:uidLastSave="{00000000-0000-0000-0000-000000000000}"/>
  <bookViews>
    <workbookView xWindow="-108" yWindow="-108" windowWidth="23256" windowHeight="12456" tabRatio="907" xr2:uid="{00000000-000D-0000-FFFF-FFFF00000000}"/>
  </bookViews>
  <sheets>
    <sheet name="phauthuat" sheetId="1" r:id="rId1"/>
    <sheet name="lanh tien PT" sheetId="9" r:id="rId2"/>
    <sheet name="Bác sĩ điều trị" sheetId="56" r:id="rId3"/>
    <sheet name="lanh tien PT1" sheetId="57" r:id="rId4"/>
    <sheet name="phauthuat_BHYT" sheetId="38" r:id="rId5"/>
    <sheet name="lanh tien PT_BHYT" sheetId="40" r:id="rId6"/>
    <sheet name="Thực lãnh" sheetId="60" r:id="rId7"/>
    <sheet name="thu thuat" sheetId="41" r:id="rId8"/>
    <sheet name="lanh tien thu thuat" sheetId="42" r:id="rId9"/>
    <sheet name="tieuphau" sheetId="26" r:id="rId10"/>
    <sheet name="lanh tien tphau" sheetId="7" r:id="rId11"/>
    <sheet name="TIỀN GIƯỜNG" sheetId="30" r:id="rId12"/>
    <sheet name="TONG LANH" sheetId="32" r:id="rId13"/>
    <sheet name="Thực lãnh dv" sheetId="62" r:id="rId14"/>
    <sheet name="GIƯỜNG GỬI" sheetId="59" r:id="rId15"/>
    <sheet name="PT YÊU CẦU" sheetId="58" r:id="rId16"/>
    <sheet name="Lãnh tiền PTYC" sheetId="63" r:id="rId17"/>
  </sheets>
  <definedNames>
    <definedName name="_Fill" localSheetId="5" hidden="1">#REF!</definedName>
    <definedName name="_Fill" localSheetId="8" hidden="1">#REF!</definedName>
    <definedName name="_Fill" localSheetId="4" hidden="1">#REF!</definedName>
    <definedName name="_Fill" localSheetId="11" hidden="1">#REF!</definedName>
    <definedName name="_Fill" localSheetId="7" hidden="1">#REF!</definedName>
    <definedName name="_Fill" hidden="1">#REF!</definedName>
    <definedName name="_xlnm._FilterDatabase" localSheetId="0" hidden="1">phauthuat!$A$6:$WWO$73</definedName>
    <definedName name="_xlnm._FilterDatabase" localSheetId="4" hidden="1">phauthuat_BHYT!$A$7:$WWY$101</definedName>
    <definedName name="_xlnm._FilterDatabase" localSheetId="9" hidden="1">tieuphau!$A$6:$XEV$54</definedName>
    <definedName name="_xlnm._FilterDatabase" localSheetId="7" hidden="1">'thu thuat'!$B$5:$I$400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57" l="1"/>
  <c r="E15" i="40" l="1"/>
  <c r="F15" i="60" s="1"/>
  <c r="G19" i="57"/>
  <c r="D18" i="56"/>
  <c r="D17" i="56"/>
  <c r="D16" i="56"/>
  <c r="D15" i="56"/>
  <c r="D14" i="56"/>
  <c r="D13" i="56"/>
  <c r="D9" i="56"/>
  <c r="F51" i="26"/>
  <c r="K50" i="26"/>
  <c r="K43" i="26"/>
  <c r="K41" i="26"/>
  <c r="K45" i="26"/>
  <c r="K38" i="26"/>
  <c r="K44" i="26"/>
  <c r="H44" i="26" s="1"/>
  <c r="K40" i="26"/>
  <c r="K49" i="26"/>
  <c r="K39" i="26"/>
  <c r="K48" i="26"/>
  <c r="K46" i="26"/>
  <c r="K42" i="26"/>
  <c r="K47" i="26"/>
  <c r="J50" i="26"/>
  <c r="J43" i="26"/>
  <c r="J41" i="26"/>
  <c r="J45" i="26"/>
  <c r="J38" i="26"/>
  <c r="J44" i="26"/>
  <c r="J40" i="26"/>
  <c r="J49" i="26"/>
  <c r="J39" i="26"/>
  <c r="J48" i="26"/>
  <c r="J46" i="26"/>
  <c r="J42" i="26"/>
  <c r="J47" i="26"/>
  <c r="K37" i="26"/>
  <c r="K12" i="26"/>
  <c r="K23" i="26"/>
  <c r="K7" i="26"/>
  <c r="K13" i="26"/>
  <c r="K24" i="26"/>
  <c r="K25" i="26"/>
  <c r="K20" i="26"/>
  <c r="K30" i="26"/>
  <c r="K27" i="26"/>
  <c r="K16" i="26"/>
  <c r="K21" i="26"/>
  <c r="K14" i="26"/>
  <c r="K22" i="26"/>
  <c r="K31" i="26"/>
  <c r="K29" i="26"/>
  <c r="K10" i="26"/>
  <c r="K15" i="26"/>
  <c r="K8" i="26"/>
  <c r="K11" i="26"/>
  <c r="K17" i="26"/>
  <c r="K34" i="26"/>
  <c r="K9" i="26"/>
  <c r="K35" i="26"/>
  <c r="K26" i="26"/>
  <c r="K28" i="26"/>
  <c r="K19" i="26"/>
  <c r="K18" i="26"/>
  <c r="K32" i="26"/>
  <c r="K36" i="26"/>
  <c r="H398" i="41"/>
  <c r="I8" i="41"/>
  <c r="I9" i="41"/>
  <c r="I10" i="41"/>
  <c r="I11" i="41"/>
  <c r="I12" i="41"/>
  <c r="I13" i="41"/>
  <c r="I14" i="41"/>
  <c r="I15" i="41"/>
  <c r="I16" i="41"/>
  <c r="I17" i="41"/>
  <c r="I18" i="41"/>
  <c r="I19" i="41"/>
  <c r="I20" i="41"/>
  <c r="I21" i="41"/>
  <c r="I22" i="41"/>
  <c r="I23" i="41"/>
  <c r="I24" i="41"/>
  <c r="I25" i="41"/>
  <c r="I26" i="41"/>
  <c r="I27" i="41"/>
  <c r="I28" i="41"/>
  <c r="I29" i="41"/>
  <c r="I30" i="41"/>
  <c r="I31" i="41"/>
  <c r="I32" i="41"/>
  <c r="I33" i="41"/>
  <c r="I34" i="41"/>
  <c r="I35" i="41"/>
  <c r="I36" i="41"/>
  <c r="I37" i="41"/>
  <c r="I38" i="41"/>
  <c r="I39" i="41"/>
  <c r="I40" i="41"/>
  <c r="I41" i="41"/>
  <c r="I42" i="41"/>
  <c r="I43" i="41"/>
  <c r="I44" i="41"/>
  <c r="I45" i="41"/>
  <c r="I46" i="41"/>
  <c r="I47" i="41"/>
  <c r="I48" i="41"/>
  <c r="I49" i="41"/>
  <c r="I50" i="41"/>
  <c r="I51" i="41"/>
  <c r="I52" i="41"/>
  <c r="I53" i="41"/>
  <c r="I54" i="41"/>
  <c r="I55" i="41"/>
  <c r="I56" i="41"/>
  <c r="I57" i="41"/>
  <c r="I58" i="41"/>
  <c r="I59" i="41"/>
  <c r="I60" i="41"/>
  <c r="I61" i="41"/>
  <c r="I62" i="41"/>
  <c r="I63" i="41"/>
  <c r="I64" i="41"/>
  <c r="I65" i="41"/>
  <c r="I66" i="41"/>
  <c r="I67" i="41"/>
  <c r="I68" i="41"/>
  <c r="I69" i="41"/>
  <c r="I70" i="41"/>
  <c r="I71" i="41"/>
  <c r="I72" i="41"/>
  <c r="I73" i="41"/>
  <c r="I74" i="41"/>
  <c r="I75" i="41"/>
  <c r="I76" i="41"/>
  <c r="I77" i="41"/>
  <c r="I78" i="41"/>
  <c r="I79" i="41"/>
  <c r="I80" i="41"/>
  <c r="I81" i="41"/>
  <c r="I82" i="41"/>
  <c r="I83" i="41"/>
  <c r="I84" i="41"/>
  <c r="I85" i="41"/>
  <c r="I86" i="41"/>
  <c r="I87" i="41"/>
  <c r="I88" i="41"/>
  <c r="I89" i="41"/>
  <c r="I90" i="41"/>
  <c r="I91" i="41"/>
  <c r="I92" i="41"/>
  <c r="I93" i="41"/>
  <c r="I94" i="41"/>
  <c r="I95" i="41"/>
  <c r="I96" i="41"/>
  <c r="I97" i="41"/>
  <c r="I98" i="41"/>
  <c r="I99" i="41"/>
  <c r="I100" i="41"/>
  <c r="I101" i="41"/>
  <c r="I102" i="41"/>
  <c r="I103" i="41"/>
  <c r="I104" i="41"/>
  <c r="I105" i="41"/>
  <c r="I106" i="41"/>
  <c r="I107" i="41"/>
  <c r="I108" i="41"/>
  <c r="I109" i="41"/>
  <c r="I110" i="41"/>
  <c r="I111" i="41"/>
  <c r="I112" i="41"/>
  <c r="I113" i="41"/>
  <c r="I114" i="41"/>
  <c r="I115" i="41"/>
  <c r="I116" i="41"/>
  <c r="I117" i="41"/>
  <c r="I118" i="41"/>
  <c r="I119" i="41"/>
  <c r="I120" i="41"/>
  <c r="I121" i="41"/>
  <c r="I122" i="41"/>
  <c r="I123" i="41"/>
  <c r="I124" i="41"/>
  <c r="I125" i="41"/>
  <c r="I126" i="41"/>
  <c r="I127" i="41"/>
  <c r="I128" i="41"/>
  <c r="I129" i="41"/>
  <c r="I130" i="41"/>
  <c r="I131" i="41"/>
  <c r="I132" i="41"/>
  <c r="I133" i="41"/>
  <c r="I134" i="41"/>
  <c r="I135" i="41"/>
  <c r="I136" i="41"/>
  <c r="I137" i="41"/>
  <c r="I138" i="41"/>
  <c r="I139" i="41"/>
  <c r="I140" i="41"/>
  <c r="I141" i="41"/>
  <c r="I142" i="41"/>
  <c r="I143" i="41"/>
  <c r="I144" i="41"/>
  <c r="I145" i="41"/>
  <c r="I146" i="41"/>
  <c r="I147" i="41"/>
  <c r="I148" i="41"/>
  <c r="I149" i="41"/>
  <c r="I150" i="41"/>
  <c r="I151" i="41"/>
  <c r="I152" i="41"/>
  <c r="I153" i="41"/>
  <c r="I154" i="41"/>
  <c r="I155" i="41"/>
  <c r="I156" i="41"/>
  <c r="I157" i="41"/>
  <c r="I158" i="41"/>
  <c r="I159" i="41"/>
  <c r="I160" i="41"/>
  <c r="I161" i="41"/>
  <c r="I162" i="41"/>
  <c r="I163" i="41"/>
  <c r="I164" i="41"/>
  <c r="I165" i="41"/>
  <c r="I166" i="41"/>
  <c r="I167" i="41"/>
  <c r="I168" i="41"/>
  <c r="I169" i="41"/>
  <c r="I170" i="41"/>
  <c r="I171" i="41"/>
  <c r="I172" i="41"/>
  <c r="I173" i="41"/>
  <c r="I174" i="41"/>
  <c r="I175" i="41"/>
  <c r="I176" i="41"/>
  <c r="I177" i="41"/>
  <c r="I178" i="41"/>
  <c r="I179" i="41"/>
  <c r="I180" i="41"/>
  <c r="I181" i="41"/>
  <c r="I182" i="41"/>
  <c r="I183" i="41"/>
  <c r="I184" i="41"/>
  <c r="I185" i="41"/>
  <c r="I186" i="41"/>
  <c r="I187" i="41"/>
  <c r="I188" i="41"/>
  <c r="I189" i="41"/>
  <c r="I190" i="41"/>
  <c r="I191" i="41"/>
  <c r="I192" i="41"/>
  <c r="I193" i="41"/>
  <c r="I194" i="41"/>
  <c r="I195" i="41"/>
  <c r="I196" i="41"/>
  <c r="I197" i="41"/>
  <c r="I198" i="41"/>
  <c r="I199" i="41"/>
  <c r="I200" i="41"/>
  <c r="I201" i="41"/>
  <c r="I202" i="41"/>
  <c r="I203" i="41"/>
  <c r="I204" i="41"/>
  <c r="I205" i="41"/>
  <c r="I206" i="41"/>
  <c r="I207" i="41"/>
  <c r="I208" i="41"/>
  <c r="I209" i="41"/>
  <c r="I210" i="41"/>
  <c r="I211" i="41"/>
  <c r="I212" i="41"/>
  <c r="I213" i="41"/>
  <c r="I214" i="41"/>
  <c r="I215" i="41"/>
  <c r="I216" i="41"/>
  <c r="I217" i="41"/>
  <c r="I218" i="41"/>
  <c r="I219" i="41"/>
  <c r="I220" i="41"/>
  <c r="I221" i="41"/>
  <c r="I222" i="41"/>
  <c r="I223" i="41"/>
  <c r="I224" i="41"/>
  <c r="I225" i="41"/>
  <c r="I226" i="41"/>
  <c r="I227" i="41"/>
  <c r="I228" i="41"/>
  <c r="I229" i="41"/>
  <c r="I230" i="41"/>
  <c r="I231" i="41"/>
  <c r="I232" i="41"/>
  <c r="I233" i="41"/>
  <c r="I234" i="41"/>
  <c r="I235" i="41"/>
  <c r="I236" i="41"/>
  <c r="I237" i="41"/>
  <c r="I238" i="41"/>
  <c r="I239" i="41"/>
  <c r="I240" i="41"/>
  <c r="I241" i="41"/>
  <c r="I242" i="41"/>
  <c r="I243" i="41"/>
  <c r="I244" i="41"/>
  <c r="I245" i="41"/>
  <c r="I246" i="41"/>
  <c r="I247" i="41"/>
  <c r="I248" i="41"/>
  <c r="I249" i="41"/>
  <c r="I250" i="41"/>
  <c r="I251" i="41"/>
  <c r="I252" i="41"/>
  <c r="I253" i="41"/>
  <c r="I254" i="41"/>
  <c r="I255" i="41"/>
  <c r="I256" i="41"/>
  <c r="I257" i="41"/>
  <c r="I258" i="41"/>
  <c r="I259" i="41"/>
  <c r="I260" i="41"/>
  <c r="I261" i="41"/>
  <c r="I262" i="41"/>
  <c r="I263" i="41"/>
  <c r="I264" i="41"/>
  <c r="I265" i="41"/>
  <c r="I266" i="41"/>
  <c r="I267" i="41"/>
  <c r="I268" i="41"/>
  <c r="I269" i="41"/>
  <c r="I270" i="41"/>
  <c r="I271" i="41"/>
  <c r="I272" i="41"/>
  <c r="I273" i="41"/>
  <c r="I274" i="41"/>
  <c r="I275" i="41"/>
  <c r="I276" i="41"/>
  <c r="I277" i="41"/>
  <c r="I278" i="41"/>
  <c r="I279" i="41"/>
  <c r="I280" i="41"/>
  <c r="I281" i="41"/>
  <c r="I282" i="41"/>
  <c r="I283" i="41"/>
  <c r="I285" i="41"/>
  <c r="I286" i="41"/>
  <c r="I287" i="41"/>
  <c r="I288" i="41"/>
  <c r="I289" i="41"/>
  <c r="I290" i="41"/>
  <c r="I291" i="41"/>
  <c r="I292" i="41"/>
  <c r="I293" i="41"/>
  <c r="I294" i="41"/>
  <c r="I295" i="41"/>
  <c r="I296" i="41"/>
  <c r="I297" i="41"/>
  <c r="I298" i="41"/>
  <c r="I299" i="41"/>
  <c r="I300" i="41"/>
  <c r="I301" i="41"/>
  <c r="I302" i="41"/>
  <c r="I303" i="41"/>
  <c r="I304" i="41"/>
  <c r="I305" i="41"/>
  <c r="I306" i="41"/>
  <c r="I307" i="41"/>
  <c r="I308" i="41"/>
  <c r="I309" i="41"/>
  <c r="I310" i="41"/>
  <c r="I311" i="41"/>
  <c r="I312" i="41"/>
  <c r="I313" i="41"/>
  <c r="I314" i="41"/>
  <c r="I315" i="41"/>
  <c r="I316" i="41"/>
  <c r="I317" i="41"/>
  <c r="I318" i="41"/>
  <c r="I319" i="41"/>
  <c r="I320" i="41"/>
  <c r="I321" i="41"/>
  <c r="I322" i="41"/>
  <c r="I323" i="41"/>
  <c r="I324" i="41"/>
  <c r="I325" i="41"/>
  <c r="I326" i="41"/>
  <c r="I327" i="41"/>
  <c r="I328" i="41"/>
  <c r="I329" i="41"/>
  <c r="I330" i="41"/>
  <c r="I331" i="41"/>
  <c r="I332" i="41"/>
  <c r="I333" i="41"/>
  <c r="I334" i="41"/>
  <c r="I335" i="41"/>
  <c r="I336" i="41"/>
  <c r="I337" i="41"/>
  <c r="I338" i="41"/>
  <c r="I339" i="41"/>
  <c r="I340" i="41"/>
  <c r="I341" i="41"/>
  <c r="I342" i="41"/>
  <c r="I343" i="41"/>
  <c r="I344" i="41"/>
  <c r="I345" i="41"/>
  <c r="I346" i="41"/>
  <c r="I347" i="41"/>
  <c r="I348" i="41"/>
  <c r="I349" i="41"/>
  <c r="I350" i="41"/>
  <c r="I351" i="41"/>
  <c r="I352" i="41"/>
  <c r="I353" i="41"/>
  <c r="I354" i="41"/>
  <c r="I355" i="41"/>
  <c r="I356" i="41"/>
  <c r="I357" i="41"/>
  <c r="I358" i="41"/>
  <c r="I359" i="41"/>
  <c r="I360" i="41"/>
  <c r="I361" i="41"/>
  <c r="I362" i="41"/>
  <c r="I363" i="41"/>
  <c r="I364" i="41"/>
  <c r="I365" i="41"/>
  <c r="I366" i="41"/>
  <c r="I367" i="41"/>
  <c r="I368" i="41"/>
  <c r="I369" i="41"/>
  <c r="I370" i="41"/>
  <c r="I371" i="41"/>
  <c r="I372" i="41"/>
  <c r="I373" i="41"/>
  <c r="I374" i="41"/>
  <c r="I375" i="41"/>
  <c r="I376" i="41"/>
  <c r="I377" i="41"/>
  <c r="I378" i="41"/>
  <c r="I379" i="41"/>
  <c r="I380" i="41"/>
  <c r="I381" i="41"/>
  <c r="I382" i="41"/>
  <c r="I383" i="41"/>
  <c r="I384" i="41"/>
  <c r="I385" i="41"/>
  <c r="I386" i="41"/>
  <c r="I387" i="41"/>
  <c r="I388" i="41"/>
  <c r="I389" i="41"/>
  <c r="I390" i="41"/>
  <c r="I391" i="41"/>
  <c r="I392" i="41"/>
  <c r="I393" i="41"/>
  <c r="I394" i="41"/>
  <c r="I395" i="41"/>
  <c r="I396" i="41"/>
  <c r="I397" i="41"/>
  <c r="H40" i="26" l="1"/>
  <c r="H47" i="26"/>
  <c r="H38" i="26"/>
  <c r="H46" i="26"/>
  <c r="H42" i="26"/>
  <c r="H43" i="26"/>
  <c r="H41" i="26"/>
  <c r="H48" i="26"/>
  <c r="H39" i="26"/>
  <c r="H50" i="26"/>
  <c r="H49" i="26"/>
  <c r="H45" i="26"/>
  <c r="G8" i="58"/>
  <c r="H6" i="58"/>
  <c r="E18" i="63" l="1"/>
  <c r="G20" i="57" l="1"/>
  <c r="G21" i="57" s="1"/>
  <c r="J14" i="26" l="1"/>
  <c r="H14" i="26" s="1"/>
  <c r="J24" i="26"/>
  <c r="J25" i="26"/>
  <c r="H25" i="26" s="1"/>
  <c r="J18" i="26"/>
  <c r="J20" i="26"/>
  <c r="H20" i="26" s="1"/>
  <c r="J34" i="26"/>
  <c r="J29" i="26"/>
  <c r="I284" i="41"/>
  <c r="H71" i="1"/>
  <c r="H18" i="26" l="1"/>
  <c r="H24" i="26"/>
  <c r="H34" i="26"/>
  <c r="H7" i="58" l="1"/>
  <c r="I7" i="41"/>
  <c r="I398" i="41" s="1"/>
  <c r="J28" i="26"/>
  <c r="I82" i="38"/>
  <c r="I83" i="38"/>
  <c r="I84" i="38"/>
  <c r="I85" i="38"/>
  <c r="I86" i="38"/>
  <c r="I87" i="38"/>
  <c r="I88" i="38"/>
  <c r="I89" i="38"/>
  <c r="I90" i="38"/>
  <c r="I91" i="38"/>
  <c r="I92" i="38"/>
  <c r="I93" i="38"/>
  <c r="I94" i="38"/>
  <c r="I95" i="38"/>
  <c r="I96" i="38"/>
  <c r="I97" i="38"/>
  <c r="I98" i="38"/>
  <c r="K84" i="38"/>
  <c r="K85" i="38"/>
  <c r="K86" i="38"/>
  <c r="K87" i="38"/>
  <c r="K88" i="38"/>
  <c r="K89" i="38"/>
  <c r="K90" i="38"/>
  <c r="K91" i="38"/>
  <c r="K92" i="38"/>
  <c r="K93" i="38"/>
  <c r="K94" i="38"/>
  <c r="K95" i="38"/>
  <c r="K96" i="38"/>
  <c r="K97" i="38"/>
  <c r="K98" i="38"/>
  <c r="M84" i="38"/>
  <c r="M85" i="38"/>
  <c r="M86" i="38"/>
  <c r="M87" i="38"/>
  <c r="M88" i="38"/>
  <c r="M89" i="38"/>
  <c r="M90" i="38"/>
  <c r="M91" i="38"/>
  <c r="M92" i="38"/>
  <c r="M93" i="38"/>
  <c r="M94" i="38"/>
  <c r="M95" i="38"/>
  <c r="M96" i="38"/>
  <c r="M97" i="38"/>
  <c r="M98" i="38"/>
  <c r="K33" i="26"/>
  <c r="K51" i="26" s="1"/>
  <c r="J31" i="26"/>
  <c r="J32" i="26"/>
  <c r="J35" i="26"/>
  <c r="J27" i="26"/>
  <c r="J16" i="26"/>
  <c r="J7" i="26"/>
  <c r="J22" i="26"/>
  <c r="J9" i="26"/>
  <c r="J33" i="26"/>
  <c r="J37" i="26"/>
  <c r="J10" i="26"/>
  <c r="J12" i="26"/>
  <c r="J15" i="26"/>
  <c r="J8" i="26"/>
  <c r="J23" i="26"/>
  <c r="J19" i="26"/>
  <c r="J17" i="26"/>
  <c r="J21" i="26"/>
  <c r="J30" i="26"/>
  <c r="J13" i="26"/>
  <c r="J36" i="26"/>
  <c r="J26" i="26"/>
  <c r="D8" i="7"/>
  <c r="H8" i="58" l="1"/>
  <c r="N91" i="38"/>
  <c r="N95" i="38"/>
  <c r="N87" i="38"/>
  <c r="N94" i="38"/>
  <c r="N96" i="38"/>
  <c r="N88" i="38"/>
  <c r="N85" i="38"/>
  <c r="H26" i="26"/>
  <c r="H36" i="26"/>
  <c r="H28" i="26"/>
  <c r="H13" i="26"/>
  <c r="H37" i="26"/>
  <c r="H29" i="26"/>
  <c r="H16" i="26"/>
  <c r="H32" i="26"/>
  <c r="N92" i="38"/>
  <c r="N84" i="38"/>
  <c r="N86" i="38"/>
  <c r="N93" i="38"/>
  <c r="N98" i="38"/>
  <c r="N90" i="38"/>
  <c r="N97" i="38"/>
  <c r="N89" i="38"/>
  <c r="H17" i="26"/>
  <c r="H22" i="26"/>
  <c r="H7" i="26"/>
  <c r="H21" i="26"/>
  <c r="H8" i="26"/>
  <c r="H27" i="26"/>
  <c r="H15" i="26"/>
  <c r="H33" i="26"/>
  <c r="D16" i="7" s="1"/>
  <c r="D15" i="7"/>
  <c r="H31" i="26"/>
  <c r="H35" i="26"/>
  <c r="H19" i="26"/>
  <c r="H12" i="26"/>
  <c r="H30" i="26"/>
  <c r="H23" i="26"/>
  <c r="H10" i="26"/>
  <c r="H9" i="26"/>
  <c r="D10" i="7" l="1"/>
  <c r="D9" i="7"/>
  <c r="D12" i="7"/>
  <c r="D7" i="7"/>
  <c r="D11" i="7"/>
  <c r="I78" i="38"/>
  <c r="I79" i="38"/>
  <c r="I80" i="38"/>
  <c r="I81" i="38"/>
  <c r="K79" i="38"/>
  <c r="K80" i="38"/>
  <c r="K81" i="38"/>
  <c r="K82" i="38"/>
  <c r="K83" i="38"/>
  <c r="M80" i="38"/>
  <c r="M81" i="38"/>
  <c r="M82" i="38"/>
  <c r="M83" i="38"/>
  <c r="N80" i="38" l="1"/>
  <c r="N82" i="38"/>
  <c r="N81" i="38"/>
  <c r="N83" i="38"/>
  <c r="D19" i="56" l="1"/>
  <c r="G398" i="4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" i="1"/>
  <c r="R71" i="1" l="1"/>
  <c r="D17" i="7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I52" i="38"/>
  <c r="I53" i="38"/>
  <c r="I54" i="38"/>
  <c r="I55" i="38"/>
  <c r="I56" i="38"/>
  <c r="I57" i="38"/>
  <c r="I58" i="38"/>
  <c r="I59" i="38"/>
  <c r="I60" i="38"/>
  <c r="I61" i="38"/>
  <c r="I62" i="38"/>
  <c r="I63" i="38"/>
  <c r="I64" i="38"/>
  <c r="I65" i="38"/>
  <c r="I66" i="38"/>
  <c r="I67" i="38"/>
  <c r="I68" i="38"/>
  <c r="I69" i="38"/>
  <c r="I70" i="38"/>
  <c r="I71" i="38"/>
  <c r="I72" i="38"/>
  <c r="I73" i="38"/>
  <c r="I74" i="38"/>
  <c r="I75" i="38"/>
  <c r="I76" i="38"/>
  <c r="I77" i="38"/>
  <c r="K53" i="38"/>
  <c r="K54" i="38"/>
  <c r="K55" i="38"/>
  <c r="K56" i="38"/>
  <c r="K57" i="38"/>
  <c r="K58" i="38"/>
  <c r="K59" i="38"/>
  <c r="K60" i="38"/>
  <c r="K61" i="38"/>
  <c r="K62" i="38"/>
  <c r="K63" i="38"/>
  <c r="K64" i="38"/>
  <c r="K65" i="38"/>
  <c r="K66" i="38"/>
  <c r="K67" i="38"/>
  <c r="K68" i="38"/>
  <c r="K69" i="38"/>
  <c r="K70" i="38"/>
  <c r="K71" i="38"/>
  <c r="K72" i="38"/>
  <c r="K73" i="38"/>
  <c r="K74" i="38"/>
  <c r="K75" i="38"/>
  <c r="K76" i="38"/>
  <c r="K77" i="38"/>
  <c r="K78" i="38"/>
  <c r="M52" i="38"/>
  <c r="E26" i="40" s="1"/>
  <c r="M53" i="38"/>
  <c r="M54" i="38"/>
  <c r="M55" i="38"/>
  <c r="M56" i="38"/>
  <c r="M57" i="38"/>
  <c r="M58" i="38"/>
  <c r="M59" i="38"/>
  <c r="M60" i="38"/>
  <c r="M61" i="38"/>
  <c r="M62" i="38"/>
  <c r="M63" i="38"/>
  <c r="M64" i="38"/>
  <c r="M65" i="38"/>
  <c r="M66" i="38"/>
  <c r="M67" i="38"/>
  <c r="M68" i="38"/>
  <c r="M69" i="38"/>
  <c r="M70" i="38"/>
  <c r="M71" i="38"/>
  <c r="M72" i="38"/>
  <c r="M73" i="38"/>
  <c r="M74" i="38"/>
  <c r="M75" i="38"/>
  <c r="M76" i="38"/>
  <c r="M77" i="38"/>
  <c r="M78" i="38"/>
  <c r="M79" i="38"/>
  <c r="D7" i="42" l="1"/>
  <c r="D8" i="42" s="1"/>
  <c r="J69" i="1"/>
  <c r="J62" i="1"/>
  <c r="J70" i="1"/>
  <c r="J63" i="1"/>
  <c r="J59" i="1"/>
  <c r="J55" i="1"/>
  <c r="J66" i="1"/>
  <c r="J58" i="1"/>
  <c r="J65" i="1"/>
  <c r="J57" i="1"/>
  <c r="J68" i="1"/>
  <c r="J61" i="1"/>
  <c r="J64" i="1"/>
  <c r="J56" i="1"/>
  <c r="J67" i="1"/>
  <c r="J60" i="1"/>
  <c r="N54" i="38"/>
  <c r="N77" i="38"/>
  <c r="N78" i="38"/>
  <c r="N79" i="38"/>
  <c r="N71" i="38"/>
  <c r="N63" i="38"/>
  <c r="N60" i="38"/>
  <c r="N62" i="38"/>
  <c r="N61" i="38"/>
  <c r="N76" i="38"/>
  <c r="N68" i="38"/>
  <c r="N53" i="38"/>
  <c r="N70" i="38"/>
  <c r="N69" i="38"/>
  <c r="N67" i="38"/>
  <c r="N59" i="38"/>
  <c r="N66" i="38"/>
  <c r="N73" i="38"/>
  <c r="N57" i="38"/>
  <c r="N75" i="38"/>
  <c r="N74" i="38"/>
  <c r="N58" i="38"/>
  <c r="N65" i="38"/>
  <c r="N72" i="38"/>
  <c r="N64" i="38"/>
  <c r="N56" i="38"/>
  <c r="N55" i="38"/>
  <c r="D9" i="42" l="1"/>
  <c r="D10" i="42" s="1"/>
  <c r="D11" i="42" s="1"/>
  <c r="D12" i="42" s="1"/>
  <c r="D13" i="42" s="1"/>
  <c r="D14" i="42" s="1"/>
  <c r="J11" i="26"/>
  <c r="J51" i="26" l="1"/>
  <c r="D18" i="7" s="1"/>
  <c r="D15" i="42"/>
  <c r="H11" i="26"/>
  <c r="D14" i="7" l="1"/>
  <c r="H51" i="26"/>
  <c r="D13" i="7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7" i="1"/>
  <c r="N8" i="1"/>
  <c r="N9" i="1"/>
  <c r="N10" i="1"/>
  <c r="N11" i="1"/>
  <c r="N12" i="1"/>
  <c r="N13" i="1"/>
  <c r="N14" i="1"/>
  <c r="N15" i="1"/>
  <c r="N16" i="1"/>
  <c r="N17" i="1"/>
  <c r="D20" i="9" s="1"/>
  <c r="E21" i="32" s="1"/>
  <c r="G21" i="32" s="1"/>
  <c r="F21" i="32" s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D27" i="9" s="1"/>
  <c r="N7" i="1"/>
  <c r="P8" i="1"/>
  <c r="D30" i="9" s="1"/>
  <c r="E31" i="32" s="1"/>
  <c r="G31" i="32" s="1"/>
  <c r="F31" i="32" s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7" i="1"/>
  <c r="L71" i="1" l="1"/>
  <c r="P71" i="1"/>
  <c r="N71" i="1"/>
  <c r="D28" i="9"/>
  <c r="E29" i="32" s="1"/>
  <c r="G29" i="32" s="1"/>
  <c r="F29" i="32" s="1"/>
  <c r="D29" i="9"/>
  <c r="E30" i="32" s="1"/>
  <c r="G30" i="32" s="1"/>
  <c r="F30" i="32" s="1"/>
  <c r="D26" i="9"/>
  <c r="E27" i="32" s="1"/>
  <c r="G27" i="32" s="1"/>
  <c r="F27" i="32" s="1"/>
  <c r="D21" i="9"/>
  <c r="E22" i="32" s="1"/>
  <c r="G22" i="32" s="1"/>
  <c r="F22" i="32" s="1"/>
  <c r="D25" i="9"/>
  <c r="E26" i="32" s="1"/>
  <c r="G26" i="32" s="1"/>
  <c r="F26" i="32" s="1"/>
  <c r="D23" i="9"/>
  <c r="E24" i="32" s="1"/>
  <c r="G24" i="32" s="1"/>
  <c r="F24" i="32" s="1"/>
  <c r="D19" i="9"/>
  <c r="E20" i="32" s="1"/>
  <c r="G20" i="32" s="1"/>
  <c r="F20" i="32" s="1"/>
  <c r="D22" i="9"/>
  <c r="E23" i="32" s="1"/>
  <c r="G23" i="32" s="1"/>
  <c r="F23" i="32" s="1"/>
  <c r="D24" i="9"/>
  <c r="E25" i="32" s="1"/>
  <c r="G25" i="32" s="1"/>
  <c r="F25" i="32" s="1"/>
  <c r="D17" i="9"/>
  <c r="E18" i="32" s="1"/>
  <c r="G18" i="32" s="1"/>
  <c r="F18" i="32" s="1"/>
  <c r="D18" i="9"/>
  <c r="E19" i="32" s="1"/>
  <c r="G19" i="32" s="1"/>
  <c r="F19" i="32" s="1"/>
  <c r="E28" i="32"/>
  <c r="G28" i="32" s="1"/>
  <c r="F28" i="32" s="1"/>
  <c r="D16" i="9"/>
  <c r="E27" i="62" l="1"/>
  <c r="G27" i="62" s="1"/>
  <c r="F27" i="62" s="1"/>
  <c r="E17" i="32"/>
  <c r="G17" i="32" s="1"/>
  <c r="F17" i="32" s="1"/>
  <c r="E17" i="62"/>
  <c r="G17" i="62" s="1"/>
  <c r="F17" i="62" s="1"/>
  <c r="M48" i="38" l="1"/>
  <c r="M49" i="38"/>
  <c r="M50" i="38"/>
  <c r="M51" i="38"/>
  <c r="K48" i="38"/>
  <c r="K49" i="38"/>
  <c r="K50" i="38"/>
  <c r="K51" i="38"/>
  <c r="K52" i="38"/>
  <c r="I48" i="38"/>
  <c r="I49" i="38"/>
  <c r="I50" i="38"/>
  <c r="I51" i="38"/>
  <c r="N52" i="38" l="1"/>
  <c r="N50" i="38"/>
  <c r="N48" i="38"/>
  <c r="N51" i="38"/>
  <c r="N49" i="38"/>
  <c r="Q7" i="1"/>
  <c r="E10" i="62" l="1"/>
  <c r="G10" i="62" s="1"/>
  <c r="F10" i="62" s="1"/>
  <c r="D15" i="30" l="1"/>
  <c r="E40" i="32" l="1"/>
  <c r="E40" i="62" l="1"/>
  <c r="G22" i="57"/>
  <c r="G40" i="62" l="1"/>
  <c r="D25" i="57"/>
  <c r="E37" i="62" l="1"/>
  <c r="G37" i="62" s="1"/>
  <c r="D26" i="57"/>
  <c r="D19" i="7"/>
  <c r="E38" i="62" l="1"/>
  <c r="G38" i="62" s="1"/>
  <c r="E38" i="32"/>
  <c r="G38" i="32" s="1"/>
  <c r="D27" i="57"/>
  <c r="D20" i="7"/>
  <c r="D21" i="7" s="1"/>
  <c r="D22" i="7" s="1"/>
  <c r="D23" i="7" s="1"/>
  <c r="D24" i="7" s="1"/>
  <c r="D25" i="7" s="1"/>
  <c r="D26" i="7" s="1"/>
  <c r="Q8" i="1"/>
  <c r="Q9" i="1"/>
  <c r="J9" i="1" s="1"/>
  <c r="Q10" i="1"/>
  <c r="J10" i="1" s="1"/>
  <c r="Q11" i="1"/>
  <c r="J11" i="1" s="1"/>
  <c r="Q12" i="1"/>
  <c r="J12" i="1" s="1"/>
  <c r="Q13" i="1"/>
  <c r="J13" i="1" s="1"/>
  <c r="Q14" i="1"/>
  <c r="J14" i="1" s="1"/>
  <c r="Q15" i="1"/>
  <c r="J15" i="1" s="1"/>
  <c r="Q16" i="1"/>
  <c r="J16" i="1" s="1"/>
  <c r="Q17" i="1"/>
  <c r="J17" i="1" s="1"/>
  <c r="Q18" i="1"/>
  <c r="J18" i="1" s="1"/>
  <c r="Q19" i="1"/>
  <c r="J19" i="1" s="1"/>
  <c r="Q20" i="1"/>
  <c r="J20" i="1" s="1"/>
  <c r="Q21" i="1"/>
  <c r="J21" i="1" s="1"/>
  <c r="Q22" i="1"/>
  <c r="J22" i="1" s="1"/>
  <c r="Q23" i="1"/>
  <c r="J23" i="1" s="1"/>
  <c r="Q24" i="1"/>
  <c r="J24" i="1" s="1"/>
  <c r="Q25" i="1"/>
  <c r="J25" i="1" s="1"/>
  <c r="Q26" i="1"/>
  <c r="J26" i="1" s="1"/>
  <c r="Q27" i="1"/>
  <c r="J27" i="1" s="1"/>
  <c r="Q28" i="1"/>
  <c r="J28" i="1" s="1"/>
  <c r="Q29" i="1"/>
  <c r="J29" i="1" s="1"/>
  <c r="Q30" i="1"/>
  <c r="J30" i="1" s="1"/>
  <c r="Q31" i="1"/>
  <c r="J31" i="1" s="1"/>
  <c r="Q32" i="1"/>
  <c r="J32" i="1" s="1"/>
  <c r="Q33" i="1"/>
  <c r="J33" i="1" s="1"/>
  <c r="Q34" i="1"/>
  <c r="J34" i="1" s="1"/>
  <c r="Q35" i="1"/>
  <c r="J35" i="1" s="1"/>
  <c r="Q36" i="1"/>
  <c r="J36" i="1" s="1"/>
  <c r="Q37" i="1"/>
  <c r="J37" i="1" s="1"/>
  <c r="Q38" i="1"/>
  <c r="J38" i="1" s="1"/>
  <c r="Q39" i="1"/>
  <c r="J39" i="1" s="1"/>
  <c r="Q40" i="1"/>
  <c r="J40" i="1" s="1"/>
  <c r="Q41" i="1"/>
  <c r="J41" i="1" s="1"/>
  <c r="Q42" i="1"/>
  <c r="J42" i="1" s="1"/>
  <c r="Q43" i="1"/>
  <c r="J43" i="1" s="1"/>
  <c r="Q44" i="1"/>
  <c r="J44" i="1" s="1"/>
  <c r="Q45" i="1"/>
  <c r="J45" i="1" s="1"/>
  <c r="Q46" i="1"/>
  <c r="J46" i="1" s="1"/>
  <c r="D15" i="9" s="1"/>
  <c r="Q47" i="1"/>
  <c r="J47" i="1" s="1"/>
  <c r="Q48" i="1"/>
  <c r="J48" i="1" s="1"/>
  <c r="Q49" i="1"/>
  <c r="J49" i="1" s="1"/>
  <c r="Q50" i="1"/>
  <c r="J50" i="1" s="1"/>
  <c r="Q51" i="1"/>
  <c r="J51" i="1" s="1"/>
  <c r="Q52" i="1"/>
  <c r="J52" i="1" s="1"/>
  <c r="Q53" i="1"/>
  <c r="J53" i="1" s="1"/>
  <c r="Q54" i="1"/>
  <c r="J54" i="1" s="1"/>
  <c r="E16" i="32" l="1"/>
  <c r="G16" i="32" s="1"/>
  <c r="E16" i="62"/>
  <c r="G16" i="62" s="1"/>
  <c r="Q71" i="1"/>
  <c r="D31" i="9" s="1"/>
  <c r="F16" i="32"/>
  <c r="E39" i="32"/>
  <c r="G39" i="32" s="1"/>
  <c r="E39" i="62"/>
  <c r="G39" i="62" s="1"/>
  <c r="D12" i="9"/>
  <c r="E13" i="62" s="1"/>
  <c r="D11" i="9"/>
  <c r="E12" i="62" s="1"/>
  <c r="J8" i="1"/>
  <c r="J7" i="1"/>
  <c r="J71" i="1" l="1"/>
  <c r="F16" i="62"/>
  <c r="E12" i="32"/>
  <c r="D9" i="9"/>
  <c r="D14" i="9"/>
  <c r="E15" i="62" s="1"/>
  <c r="D10" i="9"/>
  <c r="E11" i="62" s="1"/>
  <c r="D32" i="9"/>
  <c r="D13" i="9"/>
  <c r="E14" i="62" s="1"/>
  <c r="E9" i="32" l="1"/>
  <c r="E9" i="62"/>
  <c r="E14" i="32"/>
  <c r="D7" i="9"/>
  <c r="D8" i="9"/>
  <c r="E8" i="62" s="1"/>
  <c r="G8" i="62" s="1"/>
  <c r="E15" i="32"/>
  <c r="G15" i="32" s="1"/>
  <c r="F15" i="32" s="1"/>
  <c r="G15" i="62"/>
  <c r="F15" i="62" s="1"/>
  <c r="D33" i="9"/>
  <c r="D34" i="9" s="1"/>
  <c r="D35" i="9" s="1"/>
  <c r="D36" i="9" s="1"/>
  <c r="D37" i="9" s="1"/>
  <c r="D38" i="9" s="1"/>
  <c r="G8" i="59"/>
  <c r="E8" i="59"/>
  <c r="E7" i="32" l="1"/>
  <c r="G7" i="32" s="1"/>
  <c r="E7" i="62"/>
  <c r="G7" i="62" s="1"/>
  <c r="D39" i="9"/>
  <c r="E8" i="32"/>
  <c r="G8" i="32" s="1"/>
  <c r="G14" i="32"/>
  <c r="F14" i="32" s="1"/>
  <c r="M23" i="38" l="1"/>
  <c r="M24" i="38"/>
  <c r="M25" i="38"/>
  <c r="M26" i="38"/>
  <c r="M27" i="38"/>
  <c r="M28" i="38"/>
  <c r="M29" i="38"/>
  <c r="M30" i="38"/>
  <c r="M31" i="38"/>
  <c r="M32" i="38"/>
  <c r="M33" i="38"/>
  <c r="M34" i="38"/>
  <c r="M35" i="38"/>
  <c r="M36" i="38"/>
  <c r="M37" i="38"/>
  <c r="E28" i="40" s="1"/>
  <c r="E29" i="62" s="1"/>
  <c r="G29" i="62" s="1"/>
  <c r="F29" i="62" s="1"/>
  <c r="M38" i="38"/>
  <c r="M39" i="38"/>
  <c r="E27" i="40" s="1"/>
  <c r="M40" i="38"/>
  <c r="M41" i="38"/>
  <c r="M42" i="38"/>
  <c r="M43" i="38"/>
  <c r="M44" i="38"/>
  <c r="E30" i="40" s="1"/>
  <c r="E31" i="62" s="1"/>
  <c r="M45" i="38"/>
  <c r="M46" i="38"/>
  <c r="M47" i="38"/>
  <c r="E23" i="40" s="1"/>
  <c r="E24" i="62" s="1"/>
  <c r="K9" i="38"/>
  <c r="K10" i="38"/>
  <c r="K11" i="38"/>
  <c r="K12" i="38"/>
  <c r="K13" i="38"/>
  <c r="K14" i="38"/>
  <c r="K15" i="38"/>
  <c r="K16" i="38"/>
  <c r="K17" i="38"/>
  <c r="K18" i="38"/>
  <c r="K19" i="38"/>
  <c r="K20" i="38"/>
  <c r="K21" i="38"/>
  <c r="K22" i="38"/>
  <c r="K23" i="38"/>
  <c r="K24" i="38"/>
  <c r="K25" i="38"/>
  <c r="K26" i="38"/>
  <c r="K27" i="38"/>
  <c r="K28" i="38"/>
  <c r="K29" i="38"/>
  <c r="K30" i="38"/>
  <c r="K31" i="38"/>
  <c r="K32" i="38"/>
  <c r="K33" i="38"/>
  <c r="K34" i="38"/>
  <c r="K35" i="38"/>
  <c r="K36" i="38"/>
  <c r="K37" i="38"/>
  <c r="K38" i="38"/>
  <c r="K39" i="38"/>
  <c r="K40" i="38"/>
  <c r="K41" i="38"/>
  <c r="K42" i="38"/>
  <c r="K43" i="38"/>
  <c r="K44" i="38"/>
  <c r="K45" i="38"/>
  <c r="K46" i="38"/>
  <c r="K47" i="38"/>
  <c r="I9" i="38"/>
  <c r="I10" i="38"/>
  <c r="I11" i="38"/>
  <c r="I12" i="38"/>
  <c r="I13" i="38"/>
  <c r="I14" i="38"/>
  <c r="I15" i="38"/>
  <c r="I16" i="38"/>
  <c r="I17" i="38"/>
  <c r="I18" i="38"/>
  <c r="I19" i="38"/>
  <c r="I20" i="38"/>
  <c r="I21" i="38"/>
  <c r="I22" i="38"/>
  <c r="I23" i="38"/>
  <c r="I24" i="38"/>
  <c r="I25" i="38"/>
  <c r="I26" i="38"/>
  <c r="I27" i="38"/>
  <c r="I28" i="38"/>
  <c r="I29" i="38"/>
  <c r="I30" i="38"/>
  <c r="I31" i="38"/>
  <c r="I32" i="38"/>
  <c r="I33" i="38"/>
  <c r="I34" i="38"/>
  <c r="I35" i="38"/>
  <c r="I36" i="38"/>
  <c r="I37" i="38"/>
  <c r="I38" i="38"/>
  <c r="I39" i="38"/>
  <c r="I40" i="38"/>
  <c r="I41" i="38"/>
  <c r="I42" i="38"/>
  <c r="I43" i="38"/>
  <c r="I44" i="38"/>
  <c r="I45" i="38"/>
  <c r="I46" i="38"/>
  <c r="I47" i="38"/>
  <c r="E28" i="62" l="1"/>
  <c r="G28" i="62" s="1"/>
  <c r="F28" i="62" s="1"/>
  <c r="E21" i="40"/>
  <c r="E22" i="62" s="1"/>
  <c r="E25" i="40"/>
  <c r="E26" i="62" s="1"/>
  <c r="E17" i="40"/>
  <c r="G31" i="62"/>
  <c r="F31" i="62" s="1"/>
  <c r="G24" i="62"/>
  <c r="F24" i="62" s="1"/>
  <c r="N46" i="38"/>
  <c r="N44" i="38"/>
  <c r="N42" i="38"/>
  <c r="N40" i="38"/>
  <c r="N38" i="38"/>
  <c r="N36" i="38"/>
  <c r="N34" i="38"/>
  <c r="N32" i="38"/>
  <c r="N30" i="38"/>
  <c r="N28" i="38"/>
  <c r="N26" i="38"/>
  <c r="N24" i="38"/>
  <c r="N47" i="38"/>
  <c r="N45" i="38"/>
  <c r="N43" i="38"/>
  <c r="N41" i="38"/>
  <c r="N39" i="38"/>
  <c r="N37" i="38"/>
  <c r="N35" i="38"/>
  <c r="N33" i="38"/>
  <c r="N31" i="38"/>
  <c r="N29" i="38"/>
  <c r="N27" i="38"/>
  <c r="N25" i="38"/>
  <c r="N23" i="38"/>
  <c r="E18" i="62" l="1"/>
  <c r="G18" i="62"/>
  <c r="F18" i="62" s="1"/>
  <c r="G22" i="62"/>
  <c r="F22" i="62" s="1"/>
  <c r="G26" i="62"/>
  <c r="F26" i="62" s="1"/>
  <c r="M19" i="38"/>
  <c r="M20" i="38"/>
  <c r="M21" i="38"/>
  <c r="M22" i="38"/>
  <c r="E29" i="40" s="1"/>
  <c r="E30" i="62" l="1"/>
  <c r="G30" i="62" s="1"/>
  <c r="F30" i="62" s="1"/>
  <c r="I27" i="60"/>
  <c r="N19" i="38"/>
  <c r="E22" i="40"/>
  <c r="F8" i="62"/>
  <c r="N22" i="38"/>
  <c r="N20" i="38"/>
  <c r="N21" i="38"/>
  <c r="E23" i="62" l="1"/>
  <c r="G23" i="62" s="1"/>
  <c r="F23" i="62" s="1"/>
  <c r="E11" i="32"/>
  <c r="M15" i="38"/>
  <c r="M16" i="38"/>
  <c r="M17" i="38"/>
  <c r="E18" i="40" s="1"/>
  <c r="M18" i="38"/>
  <c r="E19" i="62" l="1"/>
  <c r="G19" i="62" s="1"/>
  <c r="F19" i="62" s="1"/>
  <c r="G11" i="62"/>
  <c r="F11" i="62" s="1"/>
  <c r="N16" i="38"/>
  <c r="N15" i="38"/>
  <c r="N17" i="38"/>
  <c r="N18" i="38"/>
  <c r="E10" i="32"/>
  <c r="G10" i="32" s="1"/>
  <c r="E37" i="32" l="1"/>
  <c r="D21" i="57" l="1"/>
  <c r="E33" i="62" s="1"/>
  <c r="G33" i="62" s="1"/>
  <c r="D22" i="57"/>
  <c r="E36" i="62" s="1"/>
  <c r="G36" i="62" s="1"/>
  <c r="G37" i="32" l="1"/>
  <c r="E36" i="32"/>
  <c r="G36" i="32" s="1"/>
  <c r="D24" i="57"/>
  <c r="E35" i="62" s="1"/>
  <c r="E35" i="32" l="1"/>
  <c r="G35" i="32" s="1"/>
  <c r="G35" i="62"/>
  <c r="M9" i="38" l="1"/>
  <c r="M10" i="38"/>
  <c r="E16" i="40" s="1"/>
  <c r="M11" i="38"/>
  <c r="M12" i="38"/>
  <c r="E20" i="40" s="1"/>
  <c r="E21" i="62" s="1"/>
  <c r="G21" i="62" s="1"/>
  <c r="F21" i="62" s="1"/>
  <c r="M13" i="38"/>
  <c r="M14" i="38"/>
  <c r="E24" i="40" s="1"/>
  <c r="M8" i="38"/>
  <c r="E19" i="40" s="1"/>
  <c r="K8" i="38"/>
  <c r="E20" i="62" l="1"/>
  <c r="I17" i="60"/>
  <c r="E25" i="62"/>
  <c r="G25" i="62" s="1"/>
  <c r="F25" i="62" s="1"/>
  <c r="I22" i="60"/>
  <c r="F16" i="60"/>
  <c r="G20" i="62"/>
  <c r="F20" i="62" s="1"/>
  <c r="K99" i="38"/>
  <c r="M99" i="38"/>
  <c r="E14" i="40"/>
  <c r="F14" i="60" s="1"/>
  <c r="N9" i="38"/>
  <c r="N12" i="38"/>
  <c r="N10" i="38"/>
  <c r="N14" i="38"/>
  <c r="N13" i="38"/>
  <c r="N11" i="38"/>
  <c r="I8" i="38"/>
  <c r="I99" i="38" l="1"/>
  <c r="E7" i="60"/>
  <c r="F7" i="60" s="1"/>
  <c r="E7" i="40"/>
  <c r="G12" i="62"/>
  <c r="F12" i="62" s="1"/>
  <c r="G13" i="62"/>
  <c r="E11" i="60"/>
  <c r="F11" i="60" s="1"/>
  <c r="E12" i="40"/>
  <c r="E12" i="60"/>
  <c r="F12" i="60" s="1"/>
  <c r="E13" i="40"/>
  <c r="E8" i="60"/>
  <c r="E10" i="60"/>
  <c r="F10" i="60" s="1"/>
  <c r="E13" i="60"/>
  <c r="F13" i="60" s="1"/>
  <c r="E9" i="60"/>
  <c r="F9" i="60" s="1"/>
  <c r="E8" i="40"/>
  <c r="E11" i="40"/>
  <c r="N8" i="38"/>
  <c r="N99" i="38" s="1"/>
  <c r="E9" i="40"/>
  <c r="G14" i="62" l="1"/>
  <c r="F14" i="62" s="1"/>
  <c r="G9" i="62"/>
  <c r="F9" i="62" s="1"/>
  <c r="F13" i="62"/>
  <c r="F8" i="60"/>
  <c r="E31" i="60"/>
  <c r="F31" i="60" l="1"/>
  <c r="F7" i="62"/>
  <c r="E13" i="32"/>
  <c r="G13" i="32" s="1"/>
  <c r="G12" i="32"/>
  <c r="F41" i="62" l="1"/>
  <c r="F12" i="32"/>
  <c r="E10" i="40" l="1"/>
  <c r="E31" i="40" s="1"/>
  <c r="E33" i="32" l="1"/>
  <c r="D23" i="57"/>
  <c r="D20" i="57"/>
  <c r="E32" i="62" s="1"/>
  <c r="E34" i="32" l="1"/>
  <c r="G34" i="32" s="1"/>
  <c r="E34" i="62"/>
  <c r="G34" i="62" s="1"/>
  <c r="G32" i="62"/>
  <c r="E32" i="32"/>
  <c r="D29" i="57"/>
  <c r="G33" i="32"/>
  <c r="E41" i="62" l="1"/>
  <c r="G41" i="62"/>
  <c r="G32" i="32"/>
  <c r="G11" i="32" l="1"/>
  <c r="F11" i="32" s="1"/>
  <c r="G40" i="32" l="1"/>
  <c r="F15" i="42"/>
  <c r="E7" i="30"/>
  <c r="E8" i="30"/>
  <c r="F13" i="32" l="1"/>
  <c r="F10" i="32" l="1"/>
  <c r="E41" i="32"/>
  <c r="G9" i="32" l="1"/>
  <c r="F9" i="32" s="1"/>
  <c r="G41" i="32" l="1"/>
  <c r="F8" i="32"/>
  <c r="F7" i="32"/>
  <c r="F41" i="32" l="1"/>
</calcChain>
</file>

<file path=xl/sharedStrings.xml><?xml version="1.0" encoding="utf-8"?>
<sst xmlns="http://schemas.openxmlformats.org/spreadsheetml/2006/main" count="3787" uniqueCount="643">
  <si>
    <t>BV TRƯỜNG ĐHYD CẦN THƠ</t>
  </si>
  <si>
    <t>BẢNG KÊ TIỀN PHẪU THUẬT</t>
  </si>
  <si>
    <t>STT</t>
  </si>
  <si>
    <t xml:space="preserve">Họ và tên </t>
  </si>
  <si>
    <t>Tuổi</t>
  </si>
  <si>
    <t>Phương pháp phẫu thuật</t>
  </si>
  <si>
    <t>PTV chính</t>
  </si>
  <si>
    <t>Số tiền</t>
  </si>
  <si>
    <t>Phụ mổ 1</t>
  </si>
  <si>
    <t>Phụ mổ 2</t>
  </si>
  <si>
    <t>ĐD + HL</t>
  </si>
  <si>
    <t>Tổng số tiền được lãnh sau trừ khấu hao</t>
  </si>
  <si>
    <t>Ngày</t>
  </si>
  <si>
    <t>HỌ TÊN</t>
  </si>
  <si>
    <t>SỐ TIỀN</t>
  </si>
  <si>
    <t>KÝ NHẬN</t>
  </si>
  <si>
    <t>Lê Dũng</t>
  </si>
  <si>
    <t>Nguyễn Lê Hoan</t>
  </si>
  <si>
    <t>Nguyễn Thành Tấn</t>
  </si>
  <si>
    <t>Hoàng Minh Tú</t>
  </si>
  <si>
    <t>Người lập bảng</t>
  </si>
  <si>
    <t>Trưởng khoa</t>
  </si>
  <si>
    <t>Nguyễn Tâm Từ</t>
  </si>
  <si>
    <t>Phạm Việt Triều</t>
  </si>
  <si>
    <t>(Phẫu thuật)</t>
  </si>
  <si>
    <t>chức vụ</t>
  </si>
  <si>
    <t>Bác sĩ</t>
  </si>
  <si>
    <t>Điều dưỡng</t>
  </si>
  <si>
    <t>TỔNG CỘNG</t>
  </si>
  <si>
    <t>stt</t>
  </si>
  <si>
    <t>Phương pháp PT</t>
  </si>
  <si>
    <t>Họ và tên</t>
  </si>
  <si>
    <t>(Tiểu phẫu)</t>
  </si>
  <si>
    <t>Chức vụ</t>
  </si>
  <si>
    <t>Ký nhận</t>
  </si>
  <si>
    <t>Lập bảng</t>
  </si>
  <si>
    <t>Giá Phẫu thuật thực tính</t>
  </si>
  <si>
    <t>BẢNG KÊ TIỀN TIỂU PHẪU</t>
  </si>
  <si>
    <t>loại pt - đối tượng</t>
  </si>
  <si>
    <t>Nguyễn Hữu Thuyết</t>
  </si>
  <si>
    <t>Nguyễn Thanh Huy</t>
  </si>
  <si>
    <t>(Tiền giường)</t>
  </si>
  <si>
    <t>Nam</t>
  </si>
  <si>
    <t>Nữ</t>
  </si>
  <si>
    <t>KHOA NGOẠI CTCH-TK</t>
  </si>
  <si>
    <t>Phan Văn Hiếu</t>
  </si>
  <si>
    <t>Lê Ngọc Diệu</t>
  </si>
  <si>
    <t>Chức Danh</t>
  </si>
  <si>
    <t>TÊN BỆNH NHÂN</t>
  </si>
  <si>
    <t>TUỔI</t>
  </si>
  <si>
    <t>BẢNG KÊ TIỀN TIỂU THỦ THUẬT</t>
  </si>
  <si>
    <t>THỰC LÃNH</t>
  </si>
  <si>
    <t>TỔNG THU</t>
  </si>
  <si>
    <t>SỐ LẦN</t>
  </si>
  <si>
    <t>(thủ thuật)</t>
  </si>
  <si>
    <t>Nguyễn Thị Như Ý</t>
  </si>
  <si>
    <t>-</t>
  </si>
  <si>
    <t>Lê Thế Hiển</t>
  </si>
  <si>
    <t>Bác  sĩ (nt)</t>
  </si>
  <si>
    <t>Trần Quang Sơn</t>
  </si>
  <si>
    <t>Bác sĩ (nt)</t>
  </si>
  <si>
    <t>Hộ Lí</t>
  </si>
  <si>
    <t>Lê Minh Dương</t>
  </si>
  <si>
    <t>BẢNG KÊ TIỀN PHẪU THUẬT BHYT</t>
  </si>
  <si>
    <t>Trần Mạnh Dũng</t>
  </si>
  <si>
    <t>Võ Thị Yến Nhi</t>
  </si>
  <si>
    <t xml:space="preserve">Bác sĩ </t>
  </si>
  <si>
    <t>(Dịch Vụ)</t>
  </si>
  <si>
    <t>Bùi Công Minh</t>
  </si>
  <si>
    <t>Cần Thơ, ngày 25 tháng 09 năm 2017</t>
  </si>
  <si>
    <t>Nguyễn Kim Ngân</t>
  </si>
  <si>
    <t>Tổng cộng</t>
  </si>
  <si>
    <t>Hồ Điền</t>
  </si>
  <si>
    <t>Thạch Thị Thúy Đa</t>
  </si>
  <si>
    <t>Nguyễn Chí Nguyện</t>
  </si>
  <si>
    <r>
      <t xml:space="preserve">KHOA </t>
    </r>
    <r>
      <rPr>
        <b/>
        <u/>
        <sz val="13"/>
        <rFont val="Times New Roman"/>
        <family val="1"/>
      </rPr>
      <t>NGOẠI CTCH</t>
    </r>
    <r>
      <rPr>
        <b/>
        <sz val="13"/>
        <rFont val="Times New Roman"/>
        <family val="1"/>
      </rPr>
      <t>-TK</t>
    </r>
  </si>
  <si>
    <t>(BÁC SĨ ĐIỀU TRỊ)</t>
  </si>
  <si>
    <t xml:space="preserve">Bác  sĩ </t>
  </si>
  <si>
    <t>Bác  sĩ</t>
  </si>
  <si>
    <t>HỌ TÊN BỆNH</t>
  </si>
  <si>
    <t>NĂM SINH</t>
  </si>
  <si>
    <t>BÁC SĨ PT</t>
  </si>
  <si>
    <t>Võ Phương Duy</t>
  </si>
  <si>
    <t>Tổng Cộng</t>
  </si>
  <si>
    <t>Phạm Việt Tân</t>
  </si>
  <si>
    <t>CHỨC VỤ</t>
  </si>
  <si>
    <r>
      <t xml:space="preserve">KHOA </t>
    </r>
    <r>
      <rPr>
        <b/>
        <u/>
        <sz val="12"/>
        <rFont val="Times New Roman"/>
        <family val="1"/>
      </rPr>
      <t>NGOẠI CTCH</t>
    </r>
    <r>
      <rPr>
        <b/>
        <sz val="12"/>
        <rFont val="Times New Roman"/>
        <family val="1"/>
      </rPr>
      <t>-TK</t>
    </r>
  </si>
  <si>
    <t>Giá Tiền</t>
  </si>
  <si>
    <t>Thực Lãnh</t>
  </si>
  <si>
    <t>ĐD</t>
  </si>
  <si>
    <t>THUẾ 10%</t>
  </si>
  <si>
    <t>Hộ Lý</t>
  </si>
  <si>
    <t>(BHYT)</t>
  </si>
  <si>
    <t>Lê Thị Tuyết Đoan</t>
  </si>
  <si>
    <t>Đặng Phước Giàu</t>
  </si>
  <si>
    <t>Phụ mổ 3</t>
  </si>
  <si>
    <t>ĐD. Phan Văn Hiếu</t>
  </si>
  <si>
    <r>
      <t xml:space="preserve">KHOA </t>
    </r>
    <r>
      <rPr>
        <b/>
        <u/>
        <sz val="13"/>
        <rFont val="Times New Roman"/>
        <family val="1"/>
      </rPr>
      <t xml:space="preserve">NGOẠI CTCH </t>
    </r>
    <r>
      <rPr>
        <b/>
        <sz val="13"/>
        <rFont val="Times New Roman"/>
        <family val="1"/>
      </rPr>
      <t>- TK</t>
    </r>
  </si>
  <si>
    <t>Họ Tên BN</t>
  </si>
  <si>
    <t>Bác Sĩ</t>
  </si>
  <si>
    <t>Số Tiền</t>
  </si>
  <si>
    <t>Điều Dưỡng</t>
  </si>
  <si>
    <r>
      <t xml:space="preserve">KHOA </t>
    </r>
    <r>
      <rPr>
        <b/>
        <u/>
        <sz val="12"/>
        <rFont val="Times New Roman"/>
        <family val="1"/>
      </rPr>
      <t xml:space="preserve">NGOẠI CTCH </t>
    </r>
    <r>
      <rPr>
        <b/>
        <sz val="12"/>
        <rFont val="Times New Roman"/>
        <family val="1"/>
        <charset val="163"/>
      </rPr>
      <t>- TK</t>
    </r>
  </si>
  <si>
    <t>PHƯƠNG PHÁP THỦ THUẬT</t>
  </si>
  <si>
    <t>NGÀY</t>
  </si>
  <si>
    <t>Loại PT</t>
  </si>
  <si>
    <t>Thực lãnh</t>
  </si>
  <si>
    <t xml:space="preserve">Họ Tên </t>
  </si>
  <si>
    <t>KHOA NGOẠI CTCH - TK</t>
  </si>
  <si>
    <t>ThS. Bs. CKII. Nguyễn Lê Hoan</t>
  </si>
  <si>
    <t xml:space="preserve">         ThS. Bs. CKII. Nguyễn Lê Hoan</t>
  </si>
  <si>
    <t>ThS.Bs.CKII. Nguyễn Lê Hoan</t>
  </si>
  <si>
    <t>ĐD.Phan Văn Hiếu</t>
  </si>
  <si>
    <t>Ths.Bs.CKII.Nguyễn Lê Hoan</t>
  </si>
  <si>
    <t xml:space="preserve">           Trưởng khoa</t>
  </si>
  <si>
    <t>Trần Quốc Toản</t>
  </si>
  <si>
    <t>Trần Quỳnh Minh Thư</t>
  </si>
  <si>
    <t>Trưởng Khoa</t>
  </si>
  <si>
    <t>SỐ TÀI KHOẢN</t>
  </si>
  <si>
    <t>108869864215</t>
  </si>
  <si>
    <t>104869864258</t>
  </si>
  <si>
    <t>Thuế 10%</t>
  </si>
  <si>
    <t>THÙ LAO</t>
  </si>
  <si>
    <t>BS.ĐIỀN</t>
  </si>
  <si>
    <t>Trần Văn Đăng</t>
  </si>
  <si>
    <t>Ngô Thị Thủy</t>
  </si>
  <si>
    <t>Cần Thơ, ngày 15 tháng 1 năm 2024</t>
  </si>
  <si>
    <t xml:space="preserve"> Điều dưỡng (Niệu) </t>
  </si>
  <si>
    <t>Cần Thơ, ngày 22 tháng 02 năm 2024</t>
  </si>
  <si>
    <t>BS.GIÀU</t>
  </si>
  <si>
    <t>DANH SÁCH LÃNH TIỀN GIƯỜNG VƯỢT ĐỊNH MỨC THÁNG 03/2024</t>
  </si>
  <si>
    <t>104000362303</t>
  </si>
  <si>
    <t>DANH SÁCH LÃNH TIỀN THÙ LAO THÁNG 08/2024</t>
  </si>
  <si>
    <t>Cần Thơ, ngày 13 tháng 09 năm 2024</t>
  </si>
  <si>
    <t>54 Tuổi</t>
  </si>
  <si>
    <t>31 Tuổi</t>
  </si>
  <si>
    <t>BS.TRIỀU</t>
  </si>
  <si>
    <t>Cần Thơ, ngày 18 tháng 12 năm 2024</t>
  </si>
  <si>
    <t>Phan Văn Tuấn</t>
  </si>
  <si>
    <t>Nguyễn Hữu Đạt</t>
  </si>
  <si>
    <t>Nguyễn Giang Tử</t>
  </si>
  <si>
    <t>105872433048</t>
  </si>
  <si>
    <t>12/12/2024</t>
  </si>
  <si>
    <t>16/12/2024</t>
  </si>
  <si>
    <t>17/12/2024</t>
  </si>
  <si>
    <t>25/12/2024</t>
  </si>
  <si>
    <t>24 Tuổi</t>
  </si>
  <si>
    <t>69 Tuổi</t>
  </si>
  <si>
    <t>59 Tuổi</t>
  </si>
  <si>
    <t>56 Tuổi</t>
  </si>
  <si>
    <t>52 Tuổi</t>
  </si>
  <si>
    <t>58 Tuổi</t>
  </si>
  <si>
    <t>49 Tuổi</t>
  </si>
  <si>
    <t>77 Tuổi</t>
  </si>
  <si>
    <t>45 Tuổi</t>
  </si>
  <si>
    <t>TRẦN THỊ ÚT</t>
  </si>
  <si>
    <t>HÀ VĂN HIỆP</t>
  </si>
  <si>
    <t>Huỳnh Quốc Hưng</t>
  </si>
  <si>
    <t>Võ Văn Phúc Toàn</t>
  </si>
  <si>
    <t>Võ Minh Luận</t>
  </si>
  <si>
    <t>Võ Dương Thành Thái</t>
  </si>
  <si>
    <t>Lê Đình Tùng</t>
  </si>
  <si>
    <t>Văn Minh Khén</t>
  </si>
  <si>
    <t>Phạm Tấn Hưởng</t>
  </si>
  <si>
    <t>Nguyễn Đông Khang</t>
  </si>
  <si>
    <t>Nguyễn Đình Luật</t>
  </si>
  <si>
    <t>Võ Long Ẩn</t>
  </si>
  <si>
    <t>Nguyễn Xuân Bình</t>
  </si>
  <si>
    <t>Phạm Doãn Đại Dương</t>
  </si>
  <si>
    <t>Lê Quốc Khánh</t>
  </si>
  <si>
    <t>Lê Cường Thạnh</t>
  </si>
  <si>
    <t>Chọn bác sĩ phẫu thuật theo yêu cầu</t>
  </si>
  <si>
    <t>TÊN CLS</t>
  </si>
  <si>
    <t>(THÁNG 1/2025)</t>
  </si>
  <si>
    <t>DANH SÁCH LÃNH TIỀN THÙ LAO THÁNG 1/2025</t>
  </si>
  <si>
    <t>THÁNG 1 NĂM 2025</t>
  </si>
  <si>
    <t>DANH SÁCH LÃNH TIỀN THÙ LAO THÁNG  1/2025</t>
  </si>
  <si>
    <t>Mã Nguyên Sang</t>
  </si>
  <si>
    <t>PTNS tái tạo dây chằng chéo sau</t>
  </si>
  <si>
    <t>TTDB</t>
  </si>
  <si>
    <t>27/12/2024</t>
  </si>
  <si>
    <t>TRẦN VĂN PHỤNG</t>
  </si>
  <si>
    <t>Thay khớp háng toàn phần</t>
  </si>
  <si>
    <t>Nguyễn Văn Chính</t>
  </si>
  <si>
    <t>Trần Chí Nguyện</t>
  </si>
  <si>
    <t>28/12/2024</t>
  </si>
  <si>
    <t>Nguyễn Văn Trung</t>
  </si>
  <si>
    <t>PT vết thương phần mềm phức tạp</t>
  </si>
  <si>
    <t>DT1</t>
  </si>
  <si>
    <t>30/12/2024</t>
  </si>
  <si>
    <t>Lê Văn Đồng</t>
  </si>
  <si>
    <t>PT thay khớp háng bán phần</t>
  </si>
  <si>
    <t>TT1</t>
  </si>
  <si>
    <t>Nguyễn Văn Thoàng</t>
  </si>
  <si>
    <t>Ghép da tự thân dưới 10% diện tích cơ thể</t>
  </si>
  <si>
    <t>31/12/2024</t>
  </si>
  <si>
    <t>PTNS cắt hoạt mạc viêm khớp gối</t>
  </si>
  <si>
    <t>02/01/2025</t>
  </si>
  <si>
    <t>Đặng Thị Ra</t>
  </si>
  <si>
    <t>KHX trên màn hình tăng sáng</t>
  </si>
  <si>
    <t>03/01/2025</t>
  </si>
  <si>
    <t>Đỗ Văn Pheo</t>
  </si>
  <si>
    <t>PT KHX tăng sáng</t>
  </si>
  <si>
    <t>Hà Minh Huy</t>
  </si>
  <si>
    <t>Lê Nguyễn Minh Long</t>
  </si>
  <si>
    <t>Nguyễn Thị Trinh</t>
  </si>
  <si>
    <t>04/01/2025</t>
  </si>
  <si>
    <t>Mã Thanh Xà</t>
  </si>
  <si>
    <t>Nguyễn Văn Đời</t>
  </si>
  <si>
    <t>06/01/2025</t>
  </si>
  <si>
    <t>Nguyễn Thị Ngọc Ánh</t>
  </si>
  <si>
    <t>DTDB</t>
  </si>
  <si>
    <t>07/01/2025</t>
  </si>
  <si>
    <t>Nguyễn Văn Sáu</t>
  </si>
  <si>
    <t>Trần Huệ Mẫn</t>
  </si>
  <si>
    <t>08/01/2025</t>
  </si>
  <si>
    <t>Huỳnh Thị Yến</t>
  </si>
  <si>
    <t>PT thay khớp háng toàn bộ</t>
  </si>
  <si>
    <t>Lê Văn Đạt</t>
  </si>
  <si>
    <t>PT khớp háng bán phần</t>
  </si>
  <si>
    <t>Hoàng Thị Thanh Thúy</t>
  </si>
  <si>
    <t>PTNS tái tạo dây chằng</t>
  </si>
  <si>
    <t>09/01/2025</t>
  </si>
  <si>
    <t>Nguyễn Thị Khéo</t>
  </si>
  <si>
    <t>10/01/2025</t>
  </si>
  <si>
    <t>Trần Thị Tư</t>
  </si>
  <si>
    <t>Võ Văn Ngẫu</t>
  </si>
  <si>
    <t>LÊ VĂN THƯỜNG</t>
  </si>
  <si>
    <t>Lý Thị Tuyết Nga</t>
  </si>
  <si>
    <t>Khâu phục hồi tổn thương gân duỗi</t>
  </si>
  <si>
    <t>13/01/2025</t>
  </si>
  <si>
    <t>Đoàn Thiện Thái</t>
  </si>
  <si>
    <t>Trần Văn Mỹ</t>
  </si>
  <si>
    <t>14/01/2025</t>
  </si>
  <si>
    <t>Trần Thị Ánh Vân</t>
  </si>
  <si>
    <t>Nguyễn Văn Hưng</t>
  </si>
  <si>
    <t>15/01/2025</t>
  </si>
  <si>
    <t>Nguyễn Văn Mát</t>
  </si>
  <si>
    <t>16/01/2025</t>
  </si>
  <si>
    <t>Võ Hoàng Dư</t>
  </si>
  <si>
    <t>Cắt u lành &gt;10cm</t>
  </si>
  <si>
    <t>Trần Thị Út</t>
  </si>
  <si>
    <t>Lấy nhân đệm</t>
  </si>
  <si>
    <t>Nguyễn Tấn Đăng Quang</t>
  </si>
  <si>
    <t>17/01/2025</t>
  </si>
  <si>
    <t>Đào Văn Sáng</t>
  </si>
  <si>
    <t>Vũ Thị Cam</t>
  </si>
  <si>
    <t>18/01/2025</t>
  </si>
  <si>
    <t>Phó Nguyên Chương</t>
  </si>
  <si>
    <t>20/01/2025</t>
  </si>
  <si>
    <t>Lê Gia Khánh</t>
  </si>
  <si>
    <t>21/01/2025</t>
  </si>
  <si>
    <t>NGUYỄN THÀNH NGHĨA</t>
  </si>
  <si>
    <t>23/01/2025</t>
  </si>
  <si>
    <t>Nguyễn Tuyết Hồng</t>
  </si>
  <si>
    <t>PT KHX tăng sáng (50%)</t>
  </si>
  <si>
    <t>24/01/2025</t>
  </si>
  <si>
    <t>Trần Kim Hằng</t>
  </si>
  <si>
    <t>26/01/2025</t>
  </si>
  <si>
    <t>Huỳnh Văn Nữ</t>
  </si>
  <si>
    <t>Nguyễn Thị Đức</t>
  </si>
  <si>
    <t>28/01/2025</t>
  </si>
  <si>
    <t>Lương Văn Mung</t>
  </si>
  <si>
    <t>TRIỀU</t>
  </si>
  <si>
    <t>HOAN</t>
  </si>
  <si>
    <t>NGUYỆN</t>
  </si>
  <si>
    <t>V.TÂN</t>
  </si>
  <si>
    <t>ĐIỀN</t>
  </si>
  <si>
    <t>TOẢN</t>
  </si>
  <si>
    <t>GIÀU</t>
  </si>
  <si>
    <t>MINH</t>
  </si>
  <si>
    <t>TẤN</t>
  </si>
  <si>
    <t>TUẤN</t>
  </si>
  <si>
    <t>KHÉN</t>
  </si>
  <si>
    <t>LUẬN</t>
  </si>
  <si>
    <t>TOÀN</t>
  </si>
  <si>
    <t>KHANG</t>
  </si>
  <si>
    <t>TÙNG</t>
  </si>
  <si>
    <t>THÁI</t>
  </si>
  <si>
    <t>KHÁNH</t>
  </si>
  <si>
    <t>HƯNG</t>
  </si>
  <si>
    <t>LUẬT</t>
  </si>
  <si>
    <t>ẨN</t>
  </si>
  <si>
    <t>11/12/2024</t>
  </si>
  <si>
    <t>Thái Duyệt Hiền</t>
  </si>
  <si>
    <t>Cắt lọc hoại tử ổ loét vết thương mãn tính</t>
  </si>
  <si>
    <t>TT2</t>
  </si>
  <si>
    <t>Huỳnh Văn Thực</t>
  </si>
  <si>
    <t>DT2</t>
  </si>
  <si>
    <t>20/12/2024</t>
  </si>
  <si>
    <t>24/12/2024</t>
  </si>
  <si>
    <t>Thạch Thị Phẹnh</t>
  </si>
  <si>
    <t>Nguyễn Hoàng Du</t>
  </si>
  <si>
    <t>Cắt lọc ổ loét mạn</t>
  </si>
  <si>
    <t>Trần Thị Lan</t>
  </si>
  <si>
    <t>Cắt lọc + ghép da</t>
  </si>
  <si>
    <t>Võ Thị Lòng</t>
  </si>
  <si>
    <t>Nguyễn Lê Vũ Luân</t>
  </si>
  <si>
    <t>Cắt u xương sụn</t>
  </si>
  <si>
    <t>Cao Minh Lý</t>
  </si>
  <si>
    <t>Lấy DC KHX</t>
  </si>
  <si>
    <t>PT viêm xương</t>
  </si>
  <si>
    <t>01/01/2025</t>
  </si>
  <si>
    <t>Nguyễn Thị Kiệm</t>
  </si>
  <si>
    <t>Cắt lọc vết thương mãn tính</t>
  </si>
  <si>
    <t>Quách Thị Nghích</t>
  </si>
  <si>
    <t>Căt lọc ổ loét mãn tính</t>
  </si>
  <si>
    <t>Nguyễn Thị Phương</t>
  </si>
  <si>
    <t>Cắt lọc hoại tử ổ loét vết thương mạn tính</t>
  </si>
  <si>
    <t>Lê Trung Vinh</t>
  </si>
  <si>
    <t xml:space="preserve">PT KHX gãy đài quay </t>
  </si>
  <si>
    <t>Đỗ Văn Hiền</t>
  </si>
  <si>
    <t>Hà Văn Hiệp</t>
  </si>
  <si>
    <t>PT làm sạch ổ khớp</t>
  </si>
  <si>
    <t>Thái Thị Thanh Trúc</t>
  </si>
  <si>
    <t>PT cắt đáy ổ loét mạn tính khâu kín</t>
  </si>
  <si>
    <t>Nguyễn Duy</t>
  </si>
  <si>
    <t>Lấy dụng cụ KHX</t>
  </si>
  <si>
    <t>11/01/2025</t>
  </si>
  <si>
    <t>PT oor loét mạn tính</t>
  </si>
  <si>
    <t>Nguyễn Đình Phong</t>
  </si>
  <si>
    <t>Phạm Khánh Băng</t>
  </si>
  <si>
    <t>Lê Thanh Tiến Em</t>
  </si>
  <si>
    <t>Cao Thị Ba</t>
  </si>
  <si>
    <t>22/01/2025</t>
  </si>
  <si>
    <t>Trần Văn Thiện</t>
  </si>
  <si>
    <t>Đỗ Văn Dũng</t>
  </si>
  <si>
    <t>Võ bạch Tuyết</t>
  </si>
  <si>
    <t>PT thương tích phần mềm cơ quan vận động</t>
  </si>
  <si>
    <t>Lê Văn Phước</t>
  </si>
  <si>
    <t>La Quang Đạo</t>
  </si>
  <si>
    <t>PT KHX trên màn hình tăng sáng</t>
  </si>
  <si>
    <t>TP</t>
  </si>
  <si>
    <t>Giáp Thành Trung</t>
  </si>
  <si>
    <t>Khâu gân duỗi</t>
  </si>
  <si>
    <t>Phó Châu Tuyền</t>
  </si>
  <si>
    <t>Lâm Hó Văn</t>
  </si>
  <si>
    <t>Nguyễn Ngọc Bích</t>
  </si>
  <si>
    <t>PT chuyển vạt che phủ phần mềm</t>
  </si>
  <si>
    <t>Nguyễn Đức Duy</t>
  </si>
  <si>
    <t>Trần Thanh Long</t>
  </si>
  <si>
    <t>NGUYỄN VĂN TOÀ</t>
  </si>
  <si>
    <t>DƯƠNG</t>
  </si>
  <si>
    <t>HƯỞNG</t>
  </si>
  <si>
    <t>THẠNH</t>
  </si>
  <si>
    <t>BÌNH</t>
  </si>
  <si>
    <t>QUÁCH THỊ NGHÍCH</t>
  </si>
  <si>
    <t>81 Tuổi</t>
  </si>
  <si>
    <t>Xét nghiệm đường máu mao mạch tại giường (một lần)</t>
  </si>
  <si>
    <t>LÊ VĂN ĐẠT</t>
  </si>
  <si>
    <t>84 Tuổi</t>
  </si>
  <si>
    <t>NGUYỄN KIM TUYẾT</t>
  </si>
  <si>
    <t>78 Tuổi</t>
  </si>
  <si>
    <t>ĐẶNG THỊ RA</t>
  </si>
  <si>
    <t>CAO THỊ BA</t>
  </si>
  <si>
    <t>75 Tuổi</t>
  </si>
  <si>
    <t>NGUYỄN TUYẾT HỒNG</t>
  </si>
  <si>
    <t>67 Tuổi</t>
  </si>
  <si>
    <t>LÊ THANH TIẾN EM</t>
  </si>
  <si>
    <t>37 Tuổi</t>
  </si>
  <si>
    <t>NGUYỄN HỒNG NGỌC HÂN</t>
  </si>
  <si>
    <t>41 Tuổi</t>
  </si>
  <si>
    <t>TRẦN KIM HẰNG</t>
  </si>
  <si>
    <t>53 Tuổi</t>
  </si>
  <si>
    <t>THẠCH THỊ PHẸNH</t>
  </si>
  <si>
    <t>62 Tuổi</t>
  </si>
  <si>
    <t>ĐỖ VĂN HIỀN</t>
  </si>
  <si>
    <t>72 Tuổi</t>
  </si>
  <si>
    <t>NGUYỄN TRUNG HẬU</t>
  </si>
  <si>
    <t>NGUYỄN THỊ KHÉO</t>
  </si>
  <si>
    <t>NGUYỄN KIM TƯ</t>
  </si>
  <si>
    <t>55 Tuổi</t>
  </si>
  <si>
    <t>VÕ THỊ THƠM</t>
  </si>
  <si>
    <t>63 Tuổi</t>
  </si>
  <si>
    <t>NGUYỄN VĂN THOÀNG</t>
  </si>
  <si>
    <t>64 Tuổi</t>
  </si>
  <si>
    <t>THÁI DUYỆT HIỀN</t>
  </si>
  <si>
    <t>43 Tuổi</t>
  </si>
  <si>
    <t>NGUYỄN THỊ PHƯƠNG</t>
  </si>
  <si>
    <t>57 Tuổi</t>
  </si>
  <si>
    <t>NGUYỄN THỊ NGỌC ÁNH</t>
  </si>
  <si>
    <t>68 Tuổi</t>
  </si>
  <si>
    <t>27/01/2025</t>
  </si>
  <si>
    <t>PHẠM THỊ KIM PHƯỢNG</t>
  </si>
  <si>
    <t>MÃ NGUYÊN SANG</t>
  </si>
  <si>
    <t>25/01/2025</t>
  </si>
  <si>
    <t>ĐỖ VĂN DŨNG</t>
  </si>
  <si>
    <t>HUỲNH THỊ BIA</t>
  </si>
  <si>
    <t>87 Tuổi</t>
  </si>
  <si>
    <t>NGUYỄN HOÀNG DU</t>
  </si>
  <si>
    <t>42 Tuổi</t>
  </si>
  <si>
    <t>NGUYỄN ĐÌNH PHONG</t>
  </si>
  <si>
    <t>Thay băng, cắt chỉ vết mổ [chiều dài  ≤ 15cm]</t>
  </si>
  <si>
    <t>NGUYỄN THỊ NGỌC BÍCH</t>
  </si>
  <si>
    <t>Thay băng, cắt chỉ vết mổ</t>
  </si>
  <si>
    <t>Truyền tĩnh mạch</t>
  </si>
  <si>
    <t>Cắt chỉ sau phẫu thuật</t>
  </si>
  <si>
    <t>LÊ VĂN PHƯỚC</t>
  </si>
  <si>
    <t>TRẦN THỊ TƯ</t>
  </si>
  <si>
    <t>79 Tuổi</t>
  </si>
  <si>
    <t>LA QUANG ĐẠO</t>
  </si>
  <si>
    <t>38 Tuổi</t>
  </si>
  <si>
    <t>THÁI THỊ THANH TRÚC</t>
  </si>
  <si>
    <t>28 Tuổi</t>
  </si>
  <si>
    <t>HÀ MINH HUY</t>
  </si>
  <si>
    <t>61 Tuổi</t>
  </si>
  <si>
    <t>TRỊNH AN NHIÊN</t>
  </si>
  <si>
    <t>6 Tuổi</t>
  </si>
  <si>
    <t xml:space="preserve"> Tháo bột (trung bình) </t>
  </si>
  <si>
    <t>NGÔ THỊ HUỲNH MAI</t>
  </si>
  <si>
    <t xml:space="preserve"> Tháo bột (nhỏ) </t>
  </si>
  <si>
    <t>LÊ TRUNG VINH</t>
  </si>
  <si>
    <t>26 Tuổi</t>
  </si>
  <si>
    <t>ĐẶNG THỊ LỆ HOA</t>
  </si>
  <si>
    <t>66 Tuổi</t>
  </si>
  <si>
    <t>TRẦN CHÍ NGUYỆN</t>
  </si>
  <si>
    <t>NGUYỄN THỊ TRINH</t>
  </si>
  <si>
    <t>40 Tuổi</t>
  </si>
  <si>
    <t>TRẦN HUỆ MẪN</t>
  </si>
  <si>
    <t>17 Tuổi</t>
  </si>
  <si>
    <t>LÊ VĂN ĐỒNG</t>
  </si>
  <si>
    <t>CHÂU THỊ VINH</t>
  </si>
  <si>
    <t>LÂM HÓ VĂN</t>
  </si>
  <si>
    <t>LÝ LIÊN KIỆT</t>
  </si>
  <si>
    <t>16 Tuổi</t>
  </si>
  <si>
    <t>VÕ MINH HIỀN</t>
  </si>
  <si>
    <t>29 Tuổi</t>
  </si>
  <si>
    <t>NGUYỄN TẤN ĐĂNG QUANG</t>
  </si>
  <si>
    <t>NGUYỄN ĐỨC DUY</t>
  </si>
  <si>
    <t>TRẦN THỊ LỤC</t>
  </si>
  <si>
    <t>90 Tuổi</t>
  </si>
  <si>
    <t>Truyền hóa chất tĩnh mạch [nội trú]</t>
  </si>
  <si>
    <t>LÊ GIA KHÁNH</t>
  </si>
  <si>
    <t>NGUYỄN THỊ KIỆM</t>
  </si>
  <si>
    <t>LÊ NGUYỄN MINH LONG</t>
  </si>
  <si>
    <t>25 Tuổi</t>
  </si>
  <si>
    <t>NGUYỄN VĂN MÁT</t>
  </si>
  <si>
    <t>GIÁP THÀNH TRUNG</t>
  </si>
  <si>
    <t>50 Tuổi</t>
  </si>
  <si>
    <t>80 Tuổi</t>
  </si>
  <si>
    <t>PHAN THANH VÂN</t>
  </si>
  <si>
    <t>74 Tuổi</t>
  </si>
  <si>
    <t xml:space="preserve"> Tháo bột (lớn) </t>
  </si>
  <si>
    <t>TRẦN THỊ LAN</t>
  </si>
  <si>
    <t>NGUYỄN XUÂN QUỲNH</t>
  </si>
  <si>
    <t>Nắn, bó bột gãy xương bàn, ngón tay [bột liền]</t>
  </si>
  <si>
    <t>HUỲNH THỊ YẾN</t>
  </si>
  <si>
    <t>NGUYỄN VĂN ĐỜI</t>
  </si>
  <si>
    <t>Thay băng cho các vết thương hoại tử rộng (một lần) [trên 15 cm đến 30 cm]</t>
  </si>
  <si>
    <t>31/01/2025</t>
  </si>
  <si>
    <t>LƯƠNG VĂN MUNG</t>
  </si>
  <si>
    <t>65 Tuổi</t>
  </si>
  <si>
    <t>MAI THỊ NÊN</t>
  </si>
  <si>
    <t>73 Tuổi</t>
  </si>
  <si>
    <t>TRẦN THỊ ÁNH VÂN</t>
  </si>
  <si>
    <t>VÕ THANH TÙNG</t>
  </si>
  <si>
    <t>NGUYỄN VĂN SÁU</t>
  </si>
  <si>
    <t>VŨ THỊ CAM</t>
  </si>
  <si>
    <t>NGUYỄN THỊ THU BA</t>
  </si>
  <si>
    <t>NGUYỄN VĂN HƯNG</t>
  </si>
  <si>
    <t>TRẦN THỊ BẠCH TUYẾT</t>
  </si>
  <si>
    <t>LÊ VĂN ĐẢNH</t>
  </si>
  <si>
    <t>MÃ THANH XÀ</t>
  </si>
  <si>
    <t>88 Tuổi</t>
  </si>
  <si>
    <t xml:space="preserve"> Nẹp bột các loại, không nắn (loại 1) </t>
  </si>
  <si>
    <t>NGUYỄN THỊ LÁY</t>
  </si>
  <si>
    <t>19/01/2025</t>
  </si>
  <si>
    <t>TRẦN THANH LONG</t>
  </si>
  <si>
    <t>36 Tuổi</t>
  </si>
  <si>
    <t>NGÔ THỊ MINH KHAI</t>
  </si>
  <si>
    <t>LÊ VĂN HIỀN</t>
  </si>
  <si>
    <t>LÝ THỊ TUYẾT NGA</t>
  </si>
  <si>
    <t>94 Tuổi</t>
  </si>
  <si>
    <t>VÕ THỊ LÒNG</t>
  </si>
  <si>
    <t>PHÓ CHÂU TUYỀN</t>
  </si>
  <si>
    <t>30 Tuổi</t>
  </si>
  <si>
    <t>LÝ CẨM LỢI</t>
  </si>
  <si>
    <t>QUÁCH VINH</t>
  </si>
  <si>
    <t>95 Tuổi</t>
  </si>
  <si>
    <t>VÕ HOÀNG DƯ</t>
  </si>
  <si>
    <t>Thông bàng quang</t>
  </si>
  <si>
    <t>TRẦN VĂN MỸ</t>
  </si>
  <si>
    <t>100 Tuổi</t>
  </si>
  <si>
    <t>QUÁCH NHẬT TIẾN</t>
  </si>
  <si>
    <t>15 Tuổi</t>
  </si>
  <si>
    <t>Nắn, bó bột gãy một xương cẳng tay  [bột liền]</t>
  </si>
  <si>
    <t>HUỲNH ĐOÀN THẾ HUY</t>
  </si>
  <si>
    <t>Nắn, bó bột trật khớp cổ chân [bột liền]</t>
  </si>
  <si>
    <t>VÕ BẠCH TUYẾT</t>
  </si>
  <si>
    <t>PHẠM KHÁNH BĂNG</t>
  </si>
  <si>
    <t>19 Tuổi</t>
  </si>
  <si>
    <t>HOÀNG XUÂN TRẠCH</t>
  </si>
  <si>
    <t>Thay băng vết mổ [chiều dài từ trên 30 cm đến 50 cm]</t>
  </si>
  <si>
    <t>PHAN THỊ TUYẾT LỆ</t>
  </si>
  <si>
    <t>NGORN NGOEM</t>
  </si>
  <si>
    <t>NGUYỄN THỊ ÚT</t>
  </si>
  <si>
    <t>HUỲNH VĂN NỮ</t>
  </si>
  <si>
    <t>71 Tuổi</t>
  </si>
  <si>
    <t>HOÀNG THỊ THANH THÚY</t>
  </si>
  <si>
    <t>22 Tuổi</t>
  </si>
  <si>
    <t>CAO MINH LÝ</t>
  </si>
  <si>
    <t>NGUYỄN DUY</t>
  </si>
  <si>
    <t>ĐOÀN HỮU PHÚC</t>
  </si>
  <si>
    <t>51 Tuổi</t>
  </si>
  <si>
    <t>NGUYỄN TẤN CÔNG</t>
  </si>
  <si>
    <t>PHẠM THỊ TUYẾT TRINH</t>
  </si>
  <si>
    <t>BÙI THỊ KIM LOAN</t>
  </si>
  <si>
    <t>CHUNG THỊ HAI</t>
  </si>
  <si>
    <t>NGUYỄN VŨ AN</t>
  </si>
  <si>
    <t>LÊ HUỲNH PHƯƠNG TRINH</t>
  </si>
  <si>
    <t>12 Tuổi</t>
  </si>
  <si>
    <t>ĐỖ VĂN MẾN</t>
  </si>
  <si>
    <t>ĐÀO VĂN SÁNG</t>
  </si>
  <si>
    <t>39 Tuổi</t>
  </si>
  <si>
    <t>ĐỖ VĂN PHEO</t>
  </si>
  <si>
    <t>PHAN VĂN HÙNG</t>
  </si>
  <si>
    <t>ĐÀO HAI</t>
  </si>
  <si>
    <t>ĐOÀN THIỆN THÁI</t>
  </si>
  <si>
    <t>Đặt sonde bàng quang</t>
  </si>
  <si>
    <t>NGUYỄN THỊ THANH NGÂN</t>
  </si>
  <si>
    <t>44 Tuổi</t>
  </si>
  <si>
    <t>Nắn, bó bột gãy 1/3 dưới hai xương cẳng chân  [bột liền]</t>
  </si>
  <si>
    <t>VÕ HỬU NHÂN</t>
  </si>
  <si>
    <t>23 Tuổi</t>
  </si>
  <si>
    <t>NGUYỄN VĂN TRUNG</t>
  </si>
  <si>
    <t>20 Tuổi</t>
  </si>
  <si>
    <t>TRẦN THANH TRUNG</t>
  </si>
  <si>
    <t>Thay băng trên người bệnh đái tháo đường [chiều dài &gt; 50cm nhiễm trùng]</t>
  </si>
  <si>
    <t>DI HOÀNG CẦN</t>
  </si>
  <si>
    <t>TRẦN VĂN THIỆN</t>
  </si>
  <si>
    <t>21 Tuổi</t>
  </si>
  <si>
    <t>NGUYỄN LÊ VŨ LUÂN</t>
  </si>
  <si>
    <t>NGUYỄN VĂN CHÍNH</t>
  </si>
  <si>
    <t>LÂM QUANG HUY</t>
  </si>
  <si>
    <t>NGỤY THỊ KHÊN</t>
  </si>
  <si>
    <t>PHÓ NGUYÊN CHƯƠNG</t>
  </si>
  <si>
    <t>VÕ VĂN NGẪU</t>
  </si>
  <si>
    <t>97 Tuổi</t>
  </si>
  <si>
    <t>HUỲNH VĂN THỰC</t>
  </si>
  <si>
    <t>83 Tuổi</t>
  </si>
  <si>
    <t>LÊ KIM BỬU</t>
  </si>
  <si>
    <t>TRẦN PHƯƠNG OANH</t>
  </si>
  <si>
    <t>60 Tuổi</t>
  </si>
  <si>
    <t>ĐẶNG THỊ DỆT</t>
  </si>
  <si>
    <t>TRẦN THỊ THÁI</t>
  </si>
  <si>
    <t>PHẠM NGUYỄN HẠNH NHI</t>
  </si>
  <si>
    <t>NGUYỄN HẢI DƯƠNG</t>
  </si>
  <si>
    <t>LÊ TRƯỜNG HẢI</t>
  </si>
  <si>
    <t>MAI VÕ NHỰT THANH</t>
  </si>
  <si>
    <t>BÙI THỊ TÁM</t>
  </si>
  <si>
    <t>70 Tuổi</t>
  </si>
  <si>
    <t>NGUYỄN THỊ DÌNH</t>
  </si>
  <si>
    <t>85 Tuổi</t>
  </si>
  <si>
    <t>NGUYỄN THANH CHIẾN</t>
  </si>
  <si>
    <t>TRẦN THỊ KIM LOAN</t>
  </si>
  <si>
    <t>NGUYỄN VĂN LẠC</t>
  </si>
  <si>
    <t>LÊ THỊ NĂM</t>
  </si>
  <si>
    <t>89 Tuổi</t>
  </si>
  <si>
    <t>MAI THỊ VIỆN</t>
  </si>
  <si>
    <t>LÊ HOÀNG VIỆT</t>
  </si>
  <si>
    <t>NGUYỄN VĂN CƯỜNG</t>
  </si>
  <si>
    <t>LỮ PHONG DÂN</t>
  </si>
  <si>
    <t>DƯƠNG VĂN ĐẠT</t>
  </si>
  <si>
    <t>Đặt catheter tĩnh mạch trung tâm nhiều nòng</t>
  </si>
  <si>
    <t>NHAN HÒA SẾN</t>
  </si>
  <si>
    <t>82 Tuổi</t>
  </si>
  <si>
    <t>CAO MẠNH KHƯƠNG</t>
  </si>
  <si>
    <t>LÊ THỊ NGA</t>
  </si>
  <si>
    <t xml:space="preserve"> Nẹp bột các loại, không nắn (loại 2) </t>
  </si>
  <si>
    <t>HUỲNH VĂN HẢI</t>
  </si>
  <si>
    <t>TRƯƠNG VĂN NIÊN</t>
  </si>
  <si>
    <t>Nắn, bó bột gãy 1/3 dưới hai xương cẳng tay  [bột liền]</t>
  </si>
  <si>
    <t>NGUYỄN THỊ THANH HƯƠNG</t>
  </si>
  <si>
    <t>Hút ổ viêm/áp xe phần mềm</t>
  </si>
  <si>
    <t>PHAN THỊ KIM THOA</t>
  </si>
  <si>
    <t>Tiêm gân gấp ngón tay</t>
  </si>
  <si>
    <t>TRẦN KHỞI NGHĨA</t>
  </si>
  <si>
    <t xml:space="preserve"> Tiêm gân lồi cầu cánh tay trong/ngoài </t>
  </si>
  <si>
    <t>VÕ HOÀNG QUÂN</t>
  </si>
  <si>
    <t xml:space="preserve"> Tiêm gân duỗi ngón tay </t>
  </si>
  <si>
    <t>HỒ THỊ HƠN</t>
  </si>
  <si>
    <t xml:space="preserve"> Tiêm gân Dequervein </t>
  </si>
  <si>
    <t>LÊ THANH HÙNG</t>
  </si>
  <si>
    <t>Tiêm khớp cổ tay</t>
  </si>
  <si>
    <t>NGUYỄN THỊ NGỌC</t>
  </si>
  <si>
    <t>HUỲNH THỊ THU PHƯƠNG</t>
  </si>
  <si>
    <t>NGUYỄN THỊ PHƯỢNG</t>
  </si>
  <si>
    <t xml:space="preserve"> Điều trị thoái hóa khớp bằng huyết tương giàu tiểu cầu </t>
  </si>
  <si>
    <t>TRẦN THANH HƯƠNG</t>
  </si>
  <si>
    <t>Tiêm khớp gối</t>
  </si>
  <si>
    <t>VÕ TRÍ THỨC</t>
  </si>
  <si>
    <t>Hút nang bao hoạt dịch</t>
  </si>
  <si>
    <t>NGUYỄN THỊ MỐI</t>
  </si>
  <si>
    <t>LÊ THỊ NHỊ</t>
  </si>
  <si>
    <t>Khâu vết thương phần mềm dài dưới 10 cm [tổn thương nông]</t>
  </si>
  <si>
    <t>PHẠM HỒNG TRANG</t>
  </si>
  <si>
    <t>35 Tuổi</t>
  </si>
  <si>
    <t>VỎ BÍCH THỦY</t>
  </si>
  <si>
    <t>NGUYỄN THỊ BÍCH HUYỀN</t>
  </si>
  <si>
    <t>TẠ NGỌC LỢI</t>
  </si>
  <si>
    <t>Tiêm gân trên gai (dưới gai, gân bao xoay khớp vai)</t>
  </si>
  <si>
    <t>DƯƠNG THỊ ÁNH XUÂN</t>
  </si>
  <si>
    <t>HUỲNH THỊ THÔI</t>
  </si>
  <si>
    <t>LÊ THỊ THÌ</t>
  </si>
  <si>
    <t>TRẦN THỊ CÚC</t>
  </si>
  <si>
    <t>ĐỖ QUỐC TOÀN</t>
  </si>
  <si>
    <t>LÊ THỊ KIM KHÁNH</t>
  </si>
  <si>
    <t xml:space="preserve"> Khâu vết thương phần mềm sâu dài &gt; 5 cm </t>
  </si>
  <si>
    <t>LÊ CHÍ QUANG</t>
  </si>
  <si>
    <t>NGUYỄN THỊ LỆ OANH</t>
  </si>
  <si>
    <t>NGUYỄN DUY HẠO</t>
  </si>
  <si>
    <t>NGUYỄN THÁI DƯƠNG</t>
  </si>
  <si>
    <t xml:space="preserve"> Chích rạch nhọt, Apxe nhỏ dẫn lưu </t>
  </si>
  <si>
    <t>BÀNH DIỆU TÂM</t>
  </si>
  <si>
    <t>VÕ THỊ MỸ TIÊN</t>
  </si>
  <si>
    <t>TÚ</t>
  </si>
  <si>
    <t>BS.HOAN</t>
  </si>
  <si>
    <t>DANH SÁCH LÃNH TIỀN PHẪU THUẬT THEO YÊU CẦU THÁNG 1/2025</t>
  </si>
  <si>
    <t>Khâu vết thương phần mềm</t>
  </si>
  <si>
    <t>Nguyễn Văn Lâm</t>
  </si>
  <si>
    <t>Nắn trật khơp vai</t>
  </si>
  <si>
    <t>Nguyễn Thành Được</t>
  </si>
  <si>
    <t xml:space="preserve">Nắn trật khớp háng </t>
  </si>
  <si>
    <t>LA THỊ HỒNG NHUNG</t>
  </si>
  <si>
    <t>32 Tuổi</t>
  </si>
  <si>
    <t>Phẫu thuật điều trị hội chứng ống cổ tay</t>
  </si>
  <si>
    <t>NGUYỄN THỊ SUỐI</t>
  </si>
  <si>
    <t>Phẫu thuật điều trị bệnh DE QUER VAIN và ngón tay cò súng</t>
  </si>
  <si>
    <t>BÙI THỊ TÚ</t>
  </si>
  <si>
    <t xml:space="preserve"> Phẫu thuật điều trị ngón tay cò súng (1 ngón) </t>
  </si>
  <si>
    <t>TRẦN THỊ KIM LIÊN</t>
  </si>
  <si>
    <t>NGUYỄN THU NĂM</t>
  </si>
  <si>
    <t>HUỲNH THỊ KHẢI</t>
  </si>
  <si>
    <t>NGUYỄN THỊ THANH LOAN</t>
  </si>
  <si>
    <t>Phẫu thuật điều trị bệnh DE QUER VAIN và ngón tay cò súng [gây tê]</t>
  </si>
  <si>
    <t>NGUYỄN BÁC ÁI</t>
  </si>
  <si>
    <t>TRẦN THỊ TUYỀN</t>
  </si>
  <si>
    <t>Cắt u lành phần mềm đường kính dưới 10 cm</t>
  </si>
  <si>
    <t>Cần Thơ, ngày 18 tháng 2 năm 2025</t>
  </si>
  <si>
    <t>Cần Thơ, ngày 18 tháng 02 năm 2025</t>
  </si>
  <si>
    <t>105003414654</t>
  </si>
  <si>
    <t>Cần Thơ, Ngày 18 tháng 02 năm 2025</t>
  </si>
  <si>
    <t>Phan Doãn Đại Dương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</si>
</sst>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-* #,##0.00\ _₫_-;\-* #,##0.00\ _₫_-;_-* &quot;-&quot;??\ _₫_-;_-@_-"/>
    <numFmt numFmtId="165" formatCode="_(* #,##0_);_(* \(#,##0\);_(* &quot;-&quot;_);_(@_)"/>
    <numFmt numFmtId="166" formatCode="_(* #,##0.00_);_(* \(#,##0.00\);_(* &quot;-&quot;??_);_(@_)"/>
    <numFmt numFmtId="167" formatCode="&quot;\&quot;#,##0;[Red]&quot;\&quot;\-#,##0"/>
    <numFmt numFmtId="168" formatCode="&quot;\&quot;#,##0.00;[Red]&quot;\&quot;\-#,##0.00"/>
    <numFmt numFmtId="169" formatCode="\$#,##0\ ;\(\$#,##0\)"/>
    <numFmt numFmtId="170" formatCode="&quot;\&quot;#,##0;[Red]&quot;\&quot;&quot;\&quot;\-#,##0"/>
    <numFmt numFmtId="171" formatCode="&quot;\&quot;#,##0.00;[Red]&quot;\&quot;&quot;\&quot;&quot;\&quot;&quot;\&quot;&quot;\&quot;&quot;\&quot;\-#,##0.00"/>
    <numFmt numFmtId="172" formatCode="_(* #,##0_);_(* \(#,##0\);_(* &quot;-&quot;??_);_(@_)"/>
    <numFmt numFmtId="173" formatCode="_-* #,##0\ _€_-;\-* #,##0\ _€_-;_-* &quot;-&quot;??\ _€_-;_-@_-"/>
  </numFmts>
  <fonts count="83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3"/>
      <name val="Times New Roman"/>
      <family val="1"/>
    </font>
    <font>
      <b/>
      <sz val="13"/>
      <name val="Times New Roman"/>
      <family val="1"/>
    </font>
    <font>
      <b/>
      <sz val="16"/>
      <name val="Times New Roman"/>
      <family val="1"/>
    </font>
    <font>
      <sz val="14"/>
      <name val="Arial"/>
      <family val="2"/>
    </font>
    <font>
      <b/>
      <sz val="8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sz val="13"/>
      <color indexed="9"/>
      <name val="Times New Roman"/>
      <family val="1"/>
    </font>
    <font>
      <sz val="10"/>
      <name val="Arial"/>
      <family val="2"/>
    </font>
    <font>
      <sz val="13"/>
      <name val="Times New Roman"/>
      <family val="1"/>
      <charset val="204"/>
    </font>
    <font>
      <b/>
      <sz val="13"/>
      <name val="Times New Roman"/>
      <family val="1"/>
      <charset val="204"/>
    </font>
    <font>
      <b/>
      <sz val="13"/>
      <color indexed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VNtimes new roman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0"/>
      <name val="Times New Roman"/>
      <family val="1"/>
    </font>
    <font>
      <sz val="10"/>
      <color indexed="10"/>
      <name val="Times New Roman"/>
      <family val="1"/>
    </font>
    <font>
      <sz val="13"/>
      <color indexed="9"/>
      <name val="Times New Roman"/>
      <family val="1"/>
    </font>
    <font>
      <sz val="10"/>
      <color indexed="9"/>
      <name val="Arial"/>
      <family val="2"/>
    </font>
    <font>
      <b/>
      <sz val="13"/>
      <color indexed="9"/>
      <name val="Times New Roman"/>
      <family val="1"/>
    </font>
    <font>
      <sz val="14"/>
      <name val="Times New Roman"/>
      <family val="1"/>
    </font>
    <font>
      <sz val="10"/>
      <color indexed="9"/>
      <name val="Times New Roman"/>
      <family val="1"/>
    </font>
    <font>
      <b/>
      <sz val="10"/>
      <name val="Times New Roman"/>
      <family val="1"/>
    </font>
    <font>
      <sz val="10"/>
      <color rgb="FFFF0000"/>
      <name val="Times New Roman"/>
      <family val="1"/>
    </font>
    <font>
      <sz val="10"/>
      <name val="Arial"/>
      <family val="2"/>
    </font>
    <font>
      <sz val="13"/>
      <color rgb="FFFF0000"/>
      <name val="Times New Roman"/>
      <family val="1"/>
    </font>
    <font>
      <b/>
      <sz val="10"/>
      <color indexed="10"/>
      <name val="Times New Roman"/>
      <family val="1"/>
    </font>
    <font>
      <sz val="10"/>
      <color theme="1"/>
      <name val="Times New Roman"/>
      <family val="1"/>
    </font>
    <font>
      <b/>
      <sz val="12"/>
      <name val="Times New Roman"/>
      <family val="1"/>
    </font>
    <font>
      <sz val="9"/>
      <color indexed="10"/>
      <name val="Times New Roman"/>
      <family val="1"/>
    </font>
    <font>
      <sz val="16"/>
      <name val="Times New Roman"/>
      <family val="1"/>
    </font>
    <font>
      <sz val="6"/>
      <name val="Times New Roman"/>
      <family val="1"/>
    </font>
    <font>
      <b/>
      <sz val="10"/>
      <color rgb="FFFF0000"/>
      <name val="Times New Roman"/>
      <family val="1"/>
    </font>
    <font>
      <sz val="16"/>
      <color rgb="FFFF0000"/>
      <name val="Times New Roman"/>
      <family val="1"/>
    </font>
    <font>
      <b/>
      <u/>
      <sz val="13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  <charset val="163"/>
    </font>
    <font>
      <b/>
      <sz val="12"/>
      <name val="Times New Roman"/>
      <family val="1"/>
      <charset val="163"/>
    </font>
    <font>
      <sz val="11"/>
      <name val="Times New Roman"/>
      <family val="1"/>
    </font>
    <font>
      <b/>
      <u/>
      <sz val="12"/>
      <name val="Times New Roman"/>
      <family val="1"/>
    </font>
    <font>
      <sz val="12"/>
      <name val="Times New Roman"/>
      <family val="1"/>
      <charset val="163"/>
    </font>
    <font>
      <b/>
      <sz val="11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  <charset val="163"/>
    </font>
    <font>
      <b/>
      <sz val="13"/>
      <name val="Times New Roman"/>
      <family val="1"/>
      <charset val="163"/>
    </font>
    <font>
      <sz val="14"/>
      <color indexed="10"/>
      <name val="Times New Roman"/>
      <family val="1"/>
    </font>
    <font>
      <sz val="12"/>
      <color indexed="10"/>
      <name val="Times New Roman"/>
      <family val="1"/>
    </font>
    <font>
      <sz val="11"/>
      <color rgb="FFFF0000"/>
      <name val="Times New Roman"/>
      <family val="1"/>
    </font>
    <font>
      <sz val="12"/>
      <color indexed="9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sz val="11"/>
      <color rgb="FF000000"/>
      <name val="Times New Roman"/>
      <family val="1"/>
    </font>
    <font>
      <sz val="13"/>
      <color rgb="FF000000"/>
      <name val="Times New Roman"/>
      <family val="1"/>
    </font>
    <font>
      <sz val="8"/>
      <name val="Arial"/>
      <family val="2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rgb="FF000000"/>
      <name val="Times New Roman"/>
      <family val="1"/>
    </font>
    <font>
      <sz val="12"/>
      <color rgb="FF081C36"/>
      <name val="Times New Roman"/>
      <family val="1"/>
      <scheme val="major"/>
    </font>
    <font>
      <sz val="11"/>
      <color rgb="FF081C36"/>
      <name val="Times New Roman"/>
      <family val="1"/>
    </font>
    <font>
      <sz val="11"/>
      <color rgb="FF081C36"/>
      <name val="Times New Roman"/>
      <family val="1"/>
      <scheme val="major"/>
    </font>
    <font>
      <sz val="11"/>
      <color rgb="FF081B3A"/>
      <name val="Times New Roman"/>
      <family val="1"/>
      <scheme val="major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3">
    <xf numFmtId="0" fontId="0" fillId="0" borderId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5" borderId="0" applyNumberFormat="0" applyBorder="0" applyAlignment="0" applyProtection="0"/>
    <xf numFmtId="0" fontId="16" fillId="8" borderId="0" applyNumberFormat="0" applyBorder="0" applyAlignment="0" applyProtection="0"/>
    <xf numFmtId="0" fontId="16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9" borderId="0" applyNumberFormat="0" applyBorder="0" applyAlignment="0" applyProtection="0"/>
    <xf numFmtId="0" fontId="18" fillId="3" borderId="0" applyNumberFormat="0" applyBorder="0" applyAlignment="0" applyProtection="0"/>
    <xf numFmtId="0" fontId="19" fillId="20" borderId="1" applyNumberFormat="0" applyAlignment="0" applyProtection="0"/>
    <xf numFmtId="0" fontId="20" fillId="21" borderId="2" applyNumberFormat="0" applyAlignment="0" applyProtection="0"/>
    <xf numFmtId="166" fontId="1" fillId="0" borderId="0" applyFont="0" applyFill="0" applyBorder="0" applyAlignment="0" applyProtection="0"/>
    <xf numFmtId="166" fontId="12" fillId="0" borderId="0" applyFont="0" applyFill="0" applyBorder="0" applyAlignment="0" applyProtection="0"/>
    <xf numFmtId="3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21" fillId="0" borderId="0" applyNumberFormat="0" applyFill="0" applyBorder="0" applyAlignment="0" applyProtection="0"/>
    <xf numFmtId="2" fontId="12" fillId="0" borderId="0" applyFont="0" applyFill="0" applyBorder="0" applyAlignment="0" applyProtection="0"/>
    <xf numFmtId="0" fontId="22" fillId="4" borderId="0" applyNumberFormat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3" applyNumberFormat="0" applyFill="0" applyAlignment="0" applyProtection="0"/>
    <xf numFmtId="0" fontId="25" fillId="0" borderId="0" applyNumberFormat="0" applyFill="0" applyBorder="0" applyAlignment="0" applyProtection="0"/>
    <xf numFmtId="0" fontId="26" fillId="7" borderId="1" applyNumberFormat="0" applyAlignment="0" applyProtection="0"/>
    <xf numFmtId="0" fontId="27" fillId="0" borderId="4" applyNumberFormat="0" applyFill="0" applyAlignment="0" applyProtection="0"/>
    <xf numFmtId="0" fontId="28" fillId="22" borderId="0" applyNumberFormat="0" applyBorder="0" applyAlignment="0" applyProtection="0"/>
    <xf numFmtId="0" fontId="12" fillId="0" borderId="0"/>
    <xf numFmtId="0" fontId="1" fillId="0" borderId="0"/>
    <xf numFmtId="0" fontId="29" fillId="23" borderId="5" applyNumberFormat="0" applyFont="0" applyAlignment="0" applyProtection="0"/>
    <xf numFmtId="0" fontId="30" fillId="20" borderId="6" applyNumberFormat="0" applyAlignment="0" applyProtection="0"/>
    <xf numFmtId="0" fontId="31" fillId="0" borderId="0" applyNumberFormat="0" applyFill="0" applyBorder="0" applyAlignment="0" applyProtection="0"/>
    <xf numFmtId="0" fontId="12" fillId="0" borderId="7" applyNumberFormat="0" applyFont="0" applyFill="0" applyAlignment="0" applyProtection="0"/>
    <xf numFmtId="0" fontId="32" fillId="0" borderId="0" applyNumberFormat="0" applyFill="0" applyBorder="0" applyAlignment="0" applyProtection="0"/>
    <xf numFmtId="40" fontId="33" fillId="0" borderId="0" applyFont="0" applyFill="0" applyBorder="0" applyAlignment="0" applyProtection="0"/>
    <xf numFmtId="38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0" fontId="12" fillId="0" borderId="0" applyFont="0" applyFill="0" applyBorder="0" applyAlignment="0" applyProtection="0"/>
    <xf numFmtId="0" fontId="34" fillId="0" borderId="0"/>
    <xf numFmtId="170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68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0" fontId="36" fillId="0" borderId="0"/>
    <xf numFmtId="0" fontId="46" fillId="0" borderId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0" fontId="1" fillId="0" borderId="0"/>
    <xf numFmtId="0" fontId="1" fillId="0" borderId="7" applyNumberFormat="0" applyFont="0" applyFill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528">
    <xf numFmtId="0" fontId="0" fillId="0" borderId="0" xfId="0"/>
    <xf numFmtId="0" fontId="4" fillId="0" borderId="0" xfId="0" applyFont="1"/>
    <xf numFmtId="0" fontId="6" fillId="0" borderId="0" xfId="0" applyFont="1" applyAlignment="1">
      <alignment horizontal="center"/>
    </xf>
    <xf numFmtId="0" fontId="5" fillId="0" borderId="8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/>
    </xf>
    <xf numFmtId="166" fontId="5" fillId="0" borderId="8" xfId="28" applyFont="1" applyBorder="1" applyAlignment="1">
      <alignment horizontal="center"/>
    </xf>
    <xf numFmtId="0" fontId="10" fillId="0" borderId="8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166" fontId="4" fillId="0" borderId="11" xfId="0" applyNumberFormat="1" applyFont="1" applyBorder="1" applyAlignment="1">
      <alignment horizontal="right" vertical="top" wrapText="1"/>
    </xf>
    <xf numFmtId="0" fontId="4" fillId="0" borderId="8" xfId="0" applyFont="1" applyBorder="1" applyAlignment="1">
      <alignment wrapText="1"/>
    </xf>
    <xf numFmtId="0" fontId="3" fillId="0" borderId="0" xfId="0" applyFont="1"/>
    <xf numFmtId="165" fontId="4" fillId="0" borderId="8" xfId="28" applyNumberFormat="1" applyFont="1" applyBorder="1"/>
    <xf numFmtId="166" fontId="11" fillId="0" borderId="11" xfId="0" applyNumberFormat="1" applyFont="1" applyBorder="1" applyAlignment="1">
      <alignment horizontal="right" vertical="top" wrapText="1"/>
    </xf>
    <xf numFmtId="166" fontId="5" fillId="0" borderId="12" xfId="28" applyFont="1" applyFill="1" applyBorder="1" applyAlignment="1">
      <alignment horizontal="center"/>
    </xf>
    <xf numFmtId="0" fontId="12" fillId="0" borderId="0" xfId="43"/>
    <xf numFmtId="166" fontId="12" fillId="0" borderId="0" xfId="29"/>
    <xf numFmtId="0" fontId="7" fillId="0" borderId="0" xfId="43" applyFont="1"/>
    <xf numFmtId="0" fontId="6" fillId="0" borderId="0" xfId="43" applyFont="1" applyAlignment="1">
      <alignment horizontal="center"/>
    </xf>
    <xf numFmtId="166" fontId="7" fillId="0" borderId="0" xfId="29" applyFont="1"/>
    <xf numFmtId="0" fontId="5" fillId="0" borderId="8" xfId="43" applyFont="1" applyBorder="1" applyAlignment="1">
      <alignment horizontal="center" vertical="top" wrapText="1"/>
    </xf>
    <xf numFmtId="0" fontId="5" fillId="0" borderId="8" xfId="43" applyFont="1" applyBorder="1" applyAlignment="1">
      <alignment horizontal="center"/>
    </xf>
    <xf numFmtId="166" fontId="5" fillId="0" borderId="8" xfId="29" applyFont="1" applyBorder="1" applyAlignment="1">
      <alignment horizontal="center"/>
    </xf>
    <xf numFmtId="166" fontId="13" fillId="0" borderId="8" xfId="29" applyFont="1" applyBorder="1" applyAlignment="1">
      <alignment horizontal="right"/>
    </xf>
    <xf numFmtId="165" fontId="4" fillId="0" borderId="8" xfId="29" applyNumberFormat="1" applyFont="1" applyBorder="1"/>
    <xf numFmtId="166" fontId="12" fillId="0" borderId="0" xfId="43" applyNumberFormat="1"/>
    <xf numFmtId="165" fontId="12" fillId="0" borderId="0" xfId="43" applyNumberFormat="1"/>
    <xf numFmtId="0" fontId="4" fillId="0" borderId="10" xfId="43" applyFont="1" applyBorder="1" applyAlignment="1">
      <alignment vertical="top" wrapText="1"/>
    </xf>
    <xf numFmtId="0" fontId="14" fillId="0" borderId="11" xfId="43" applyFont="1" applyBorder="1"/>
    <xf numFmtId="166" fontId="4" fillId="0" borderId="11" xfId="43" applyNumberFormat="1" applyFont="1" applyBorder="1" applyAlignment="1">
      <alignment horizontal="right" vertical="top" wrapText="1"/>
    </xf>
    <xf numFmtId="165" fontId="14" fillId="0" borderId="8" xfId="29" applyNumberFormat="1" applyFont="1" applyBorder="1"/>
    <xf numFmtId="166" fontId="11" fillId="0" borderId="11" xfId="43" applyNumberFormat="1" applyFont="1" applyBorder="1" applyAlignment="1">
      <alignment horizontal="right" vertical="top" wrapText="1"/>
    </xf>
    <xf numFmtId="166" fontId="12" fillId="0" borderId="0" xfId="29" applyFont="1"/>
    <xf numFmtId="166" fontId="15" fillId="0" borderId="8" xfId="29" applyFont="1" applyFill="1" applyBorder="1" applyAlignment="1">
      <alignment horizontal="right"/>
    </xf>
    <xf numFmtId="166" fontId="39" fillId="0" borderId="12" xfId="0" applyNumberFormat="1" applyFont="1" applyBorder="1" applyAlignment="1">
      <alignment horizontal="right" vertical="top" wrapText="1"/>
    </xf>
    <xf numFmtId="166" fontId="41" fillId="0" borderId="12" xfId="29" applyFont="1" applyFill="1" applyBorder="1" applyAlignment="1">
      <alignment horizontal="center"/>
    </xf>
    <xf numFmtId="166" fontId="39" fillId="0" borderId="12" xfId="43" applyNumberFormat="1" applyFont="1" applyBorder="1" applyAlignment="1">
      <alignment horizontal="right" vertical="top" wrapText="1"/>
    </xf>
    <xf numFmtId="166" fontId="40" fillId="0" borderId="12" xfId="43" applyNumberFormat="1" applyFont="1" applyBorder="1"/>
    <xf numFmtId="0" fontId="37" fillId="0" borderId="0" xfId="0" applyFont="1"/>
    <xf numFmtId="166" fontId="37" fillId="0" borderId="0" xfId="28" applyFont="1"/>
    <xf numFmtId="0" fontId="42" fillId="0" borderId="0" xfId="0" applyFont="1"/>
    <xf numFmtId="166" fontId="42" fillId="0" borderId="0" xfId="28" applyFont="1"/>
    <xf numFmtId="165" fontId="37" fillId="0" borderId="0" xfId="0" applyNumberFormat="1" applyFont="1"/>
    <xf numFmtId="166" fontId="15" fillId="0" borderId="8" xfId="28" applyFont="1" applyFill="1" applyBorder="1" applyAlignment="1">
      <alignment horizontal="right"/>
    </xf>
    <xf numFmtId="166" fontId="37" fillId="0" borderId="0" xfId="0" applyNumberFormat="1" applyFont="1"/>
    <xf numFmtId="0" fontId="5" fillId="0" borderId="11" xfId="0" applyFont="1" applyBorder="1"/>
    <xf numFmtId="166" fontId="43" fillId="0" borderId="12" xfId="0" applyNumberFormat="1" applyFont="1" applyBorder="1"/>
    <xf numFmtId="166" fontId="38" fillId="0" borderId="0" xfId="28" applyFont="1"/>
    <xf numFmtId="166" fontId="5" fillId="0" borderId="0" xfId="28" applyFont="1" applyFill="1" applyBorder="1" applyAlignment="1">
      <alignment horizontal="center"/>
    </xf>
    <xf numFmtId="166" fontId="39" fillId="0" borderId="0" xfId="0" applyNumberFormat="1" applyFont="1" applyAlignment="1">
      <alignment horizontal="right" vertical="top" wrapText="1"/>
    </xf>
    <xf numFmtId="166" fontId="43" fillId="0" borderId="0" xfId="0" applyNumberFormat="1" applyFont="1"/>
    <xf numFmtId="0" fontId="5" fillId="0" borderId="9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/>
    </xf>
    <xf numFmtId="166" fontId="5" fillId="0" borderId="9" xfId="28" applyFont="1" applyBorder="1" applyAlignment="1">
      <alignment horizontal="center"/>
    </xf>
    <xf numFmtId="166" fontId="4" fillId="0" borderId="9" xfId="28" applyFont="1" applyBorder="1"/>
    <xf numFmtId="166" fontId="15" fillId="0" borderId="9" xfId="28" applyFont="1" applyFill="1" applyBorder="1" applyAlignment="1">
      <alignment horizontal="right"/>
    </xf>
    <xf numFmtId="166" fontId="4" fillId="0" borderId="9" xfId="28" applyFont="1" applyBorder="1" applyAlignment="1">
      <alignment horizontal="center"/>
    </xf>
    <xf numFmtId="165" fontId="4" fillId="0" borderId="9" xfId="28" applyNumberFormat="1" applyFont="1" applyBorder="1" applyAlignment="1">
      <alignment horizontal="center"/>
    </xf>
    <xf numFmtId="166" fontId="4" fillId="0" borderId="8" xfId="28" applyFont="1" applyBorder="1" applyAlignment="1">
      <alignment horizontal="center"/>
    </xf>
    <xf numFmtId="0" fontId="1" fillId="0" borderId="0" xfId="43" applyFont="1"/>
    <xf numFmtId="166" fontId="1" fillId="0" borderId="0" xfId="29" applyFont="1"/>
    <xf numFmtId="0" fontId="8" fillId="0" borderId="0" xfId="0" applyFont="1" applyAlignment="1">
      <alignment horizontal="center"/>
    </xf>
    <xf numFmtId="165" fontId="3" fillId="0" borderId="0" xfId="0" applyNumberFormat="1" applyFont="1"/>
    <xf numFmtId="0" fontId="4" fillId="0" borderId="9" xfId="0" applyFont="1" applyBorder="1" applyAlignment="1">
      <alignment wrapText="1"/>
    </xf>
    <xf numFmtId="0" fontId="4" fillId="0" borderId="9" xfId="0" applyFont="1" applyBorder="1"/>
    <xf numFmtId="166" fontId="47" fillId="0" borderId="9" xfId="0" applyNumberFormat="1" applyFont="1" applyBorder="1" applyAlignment="1">
      <alignment horizontal="right" vertical="top" wrapText="1"/>
    </xf>
    <xf numFmtId="0" fontId="10" fillId="0" borderId="9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5" fillId="0" borderId="9" xfId="0" applyFont="1" applyBorder="1"/>
    <xf numFmtId="166" fontId="4" fillId="0" borderId="9" xfId="0" applyNumberFormat="1" applyFont="1" applyBorder="1" applyAlignment="1">
      <alignment horizontal="right" vertical="top" wrapText="1"/>
    </xf>
    <xf numFmtId="165" fontId="4" fillId="0" borderId="9" xfId="28" applyNumberFormat="1" applyFont="1" applyBorder="1"/>
    <xf numFmtId="165" fontId="4" fillId="0" borderId="9" xfId="28" applyNumberFormat="1" applyFont="1" applyBorder="1" applyAlignment="1">
      <alignment horizontal="center" vertical="center"/>
    </xf>
    <xf numFmtId="166" fontId="37" fillId="0" borderId="0" xfId="28" applyFont="1" applyAlignment="1">
      <alignment shrinkToFit="1"/>
    </xf>
    <xf numFmtId="0" fontId="37" fillId="0" borderId="0" xfId="0" applyFont="1" applyAlignment="1">
      <alignment shrinkToFit="1"/>
    </xf>
    <xf numFmtId="0" fontId="6" fillId="0" borderId="0" xfId="0" applyFont="1" applyAlignment="1">
      <alignment horizontal="center" shrinkToFit="1"/>
    </xf>
    <xf numFmtId="0" fontId="42" fillId="0" borderId="0" xfId="0" applyFont="1" applyAlignment="1">
      <alignment shrinkToFit="1"/>
    </xf>
    <xf numFmtId="166" fontId="42" fillId="0" borderId="0" xfId="28" applyFont="1" applyAlignment="1">
      <alignment shrinkToFit="1"/>
    </xf>
    <xf numFmtId="0" fontId="4" fillId="0" borderId="9" xfId="0" applyFont="1" applyBorder="1" applyAlignment="1">
      <alignment shrinkToFit="1"/>
    </xf>
    <xf numFmtId="166" fontId="37" fillId="0" borderId="0" xfId="0" applyNumberFormat="1" applyFont="1" applyAlignment="1">
      <alignment shrinkToFit="1"/>
    </xf>
    <xf numFmtId="0" fontId="49" fillId="0" borderId="0" xfId="0" applyFont="1" applyAlignment="1">
      <alignment shrinkToFit="1"/>
    </xf>
    <xf numFmtId="0" fontId="4" fillId="0" borderId="11" xfId="0" applyFont="1" applyBorder="1" applyAlignment="1">
      <alignment wrapText="1"/>
    </xf>
    <xf numFmtId="166" fontId="15" fillId="0" borderId="11" xfId="28" applyFont="1" applyFill="1" applyBorder="1" applyAlignment="1">
      <alignment horizontal="right"/>
    </xf>
    <xf numFmtId="166" fontId="15" fillId="0" borderId="11" xfId="29" applyFont="1" applyFill="1" applyBorder="1" applyAlignment="1">
      <alignment horizontal="right"/>
    </xf>
    <xf numFmtId="0" fontId="37" fillId="0" borderId="0" xfId="0" applyFont="1" applyAlignment="1">
      <alignment wrapText="1"/>
    </xf>
    <xf numFmtId="3" fontId="37" fillId="0" borderId="0" xfId="62" applyNumberFormat="1" applyFont="1" applyFill="1" applyAlignment="1"/>
    <xf numFmtId="0" fontId="9" fillId="0" borderId="0" xfId="0" applyFont="1"/>
    <xf numFmtId="3" fontId="9" fillId="0" borderId="0" xfId="62" applyNumberFormat="1" applyFont="1" applyFill="1" applyAlignment="1"/>
    <xf numFmtId="165" fontId="4" fillId="0" borderId="9" xfId="28" applyNumberFormat="1" applyFont="1" applyBorder="1" applyAlignment="1">
      <alignment vertical="center"/>
    </xf>
    <xf numFmtId="166" fontId="4" fillId="0" borderId="11" xfId="28" applyFont="1" applyBorder="1" applyAlignment="1">
      <alignment horizontal="center"/>
    </xf>
    <xf numFmtId="0" fontId="38" fillId="0" borderId="0" xfId="61" applyFont="1" applyAlignment="1">
      <alignment wrapText="1"/>
    </xf>
    <xf numFmtId="0" fontId="37" fillId="0" borderId="0" xfId="61" applyFont="1"/>
    <xf numFmtId="3" fontId="52" fillId="0" borderId="0" xfId="61" applyNumberFormat="1" applyFont="1"/>
    <xf numFmtId="0" fontId="10" fillId="0" borderId="0" xfId="61" applyFont="1"/>
    <xf numFmtId="0" fontId="37" fillId="0" borderId="0" xfId="61" applyFont="1" applyAlignment="1">
      <alignment wrapText="1"/>
    </xf>
    <xf numFmtId="3" fontId="9" fillId="0" borderId="0" xfId="28" applyNumberFormat="1" applyFont="1" applyFill="1" applyAlignment="1"/>
    <xf numFmtId="166" fontId="9" fillId="0" borderId="0" xfId="28" applyFont="1" applyFill="1" applyAlignment="1"/>
    <xf numFmtId="0" fontId="53" fillId="0" borderId="0" xfId="0" applyFont="1"/>
    <xf numFmtId="0" fontId="37" fillId="0" borderId="0" xfId="61" applyFont="1" applyAlignment="1">
      <alignment horizontal="left"/>
    </xf>
    <xf numFmtId="166" fontId="9" fillId="0" borderId="0" xfId="62" applyFont="1" applyFill="1" applyAlignment="1"/>
    <xf numFmtId="3" fontId="55" fillId="0" borderId="0" xfId="61" applyNumberFormat="1" applyFont="1" applyAlignment="1">
      <alignment horizontal="right"/>
    </xf>
    <xf numFmtId="0" fontId="37" fillId="0" borderId="0" xfId="0" applyFont="1" applyAlignment="1">
      <alignment vertical="top"/>
    </xf>
    <xf numFmtId="0" fontId="45" fillId="0" borderId="0" xfId="0" applyFont="1" applyAlignment="1">
      <alignment vertical="top"/>
    </xf>
    <xf numFmtId="0" fontId="45" fillId="0" borderId="0" xfId="0" applyFont="1" applyAlignment="1">
      <alignment horizontal="right" vertical="top"/>
    </xf>
    <xf numFmtId="0" fontId="5" fillId="0" borderId="9" xfId="0" applyFont="1" applyBorder="1" applyAlignment="1">
      <alignment horizontal="center" vertical="center" shrinkToFit="1"/>
    </xf>
    <xf numFmtId="166" fontId="13" fillId="0" borderId="11" xfId="29" applyFont="1" applyBorder="1" applyAlignment="1">
      <alignment horizontal="right"/>
    </xf>
    <xf numFmtId="164" fontId="3" fillId="0" borderId="0" xfId="0" applyNumberFormat="1" applyFont="1"/>
    <xf numFmtId="0" fontId="58" fillId="0" borderId="0" xfId="0" applyFont="1"/>
    <xf numFmtId="166" fontId="37" fillId="0" borderId="0" xfId="0" applyNumberFormat="1" applyFont="1" applyAlignment="1">
      <alignment vertical="center"/>
    </xf>
    <xf numFmtId="0" fontId="4" fillId="0" borderId="9" xfId="0" applyFont="1" applyBorder="1" applyAlignment="1">
      <alignment vertical="center" wrapText="1"/>
    </xf>
    <xf numFmtId="166" fontId="4" fillId="0" borderId="9" xfId="28" applyFont="1" applyBorder="1" applyAlignment="1">
      <alignment horizontal="center" vertical="center"/>
    </xf>
    <xf numFmtId="166" fontId="10" fillId="0" borderId="0" xfId="28" applyFont="1"/>
    <xf numFmtId="0" fontId="50" fillId="0" borderId="0" xfId="61" applyFont="1"/>
    <xf numFmtId="0" fontId="44" fillId="0" borderId="0" xfId="0" applyFont="1"/>
    <xf numFmtId="0" fontId="10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vertical="center" shrinkToFit="1"/>
    </xf>
    <xf numFmtId="0" fontId="10" fillId="0" borderId="9" xfId="0" applyFont="1" applyBorder="1" applyAlignment="1">
      <alignment horizontal="center" vertical="center" shrinkToFit="1"/>
    </xf>
    <xf numFmtId="0" fontId="4" fillId="0" borderId="9" xfId="0" applyFont="1" applyBorder="1" applyAlignment="1">
      <alignment vertical="center" shrinkToFit="1"/>
    </xf>
    <xf numFmtId="166" fontId="4" fillId="0" borderId="9" xfId="28" applyFont="1" applyFill="1" applyBorder="1" applyAlignment="1">
      <alignment horizontal="center" vertical="center" shrinkToFit="1"/>
    </xf>
    <xf numFmtId="165" fontId="37" fillId="0" borderId="9" xfId="0" applyNumberFormat="1" applyFont="1" applyBorder="1" applyAlignment="1">
      <alignment vertical="center" shrinkToFit="1"/>
    </xf>
    <xf numFmtId="0" fontId="37" fillId="0" borderId="9" xfId="0" applyFont="1" applyBorder="1" applyAlignment="1">
      <alignment vertical="center" shrinkToFit="1"/>
    </xf>
    <xf numFmtId="0" fontId="37" fillId="0" borderId="9" xfId="0" applyFont="1" applyBorder="1" applyAlignment="1">
      <alignment horizontal="center" vertical="center" shrinkToFit="1"/>
    </xf>
    <xf numFmtId="166" fontId="60" fillId="0" borderId="9" xfId="28" applyFont="1" applyFill="1" applyBorder="1" applyAlignment="1">
      <alignment horizontal="center" vertical="center" shrinkToFit="1"/>
    </xf>
    <xf numFmtId="166" fontId="4" fillId="0" borderId="9" xfId="0" applyNumberFormat="1" applyFont="1" applyBorder="1" applyAlignment="1">
      <alignment vertical="center" shrinkToFit="1"/>
    </xf>
    <xf numFmtId="3" fontId="37" fillId="0" borderId="9" xfId="0" applyNumberFormat="1" applyFont="1" applyBorder="1" applyAlignment="1">
      <alignment vertical="center" shrinkToFit="1"/>
    </xf>
    <xf numFmtId="0" fontId="5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166" fontId="5" fillId="0" borderId="9" xfId="28" applyFont="1" applyBorder="1" applyAlignment="1">
      <alignment horizontal="center" vertical="center"/>
    </xf>
    <xf numFmtId="166" fontId="4" fillId="0" borderId="9" xfId="28" applyFont="1" applyBorder="1" applyAlignment="1">
      <alignment vertical="center"/>
    </xf>
    <xf numFmtId="0" fontId="5" fillId="0" borderId="9" xfId="0" applyFont="1" applyBorder="1" applyAlignment="1">
      <alignment vertical="center"/>
    </xf>
    <xf numFmtId="166" fontId="4" fillId="0" borderId="9" xfId="0" applyNumberFormat="1" applyFont="1" applyBorder="1" applyAlignment="1">
      <alignment horizontal="right" vertical="center" wrapText="1"/>
    </xf>
    <xf numFmtId="166" fontId="11" fillId="0" borderId="9" xfId="0" applyNumberFormat="1" applyFont="1" applyBorder="1" applyAlignment="1">
      <alignment horizontal="right" vertical="center" wrapText="1"/>
    </xf>
    <xf numFmtId="0" fontId="50" fillId="0" borderId="0" xfId="0" applyFont="1"/>
    <xf numFmtId="0" fontId="44" fillId="0" borderId="9" xfId="61" applyFont="1" applyBorder="1" applyAlignment="1">
      <alignment horizontal="center" vertical="center" wrapText="1"/>
    </xf>
    <xf numFmtId="0" fontId="63" fillId="0" borderId="9" xfId="61" applyFont="1" applyBorder="1" applyAlignment="1">
      <alignment horizontal="center" vertical="center" wrapText="1"/>
    </xf>
    <xf numFmtId="166" fontId="57" fillId="0" borderId="0" xfId="28" applyFont="1"/>
    <xf numFmtId="166" fontId="5" fillId="0" borderId="9" xfId="28" applyFont="1" applyFill="1" applyBorder="1" applyAlignment="1">
      <alignment horizontal="center" vertical="center" shrinkToFit="1"/>
    </xf>
    <xf numFmtId="3" fontId="50" fillId="0" borderId="0" xfId="62" applyNumberFormat="1" applyFont="1" applyFill="1" applyAlignment="1"/>
    <xf numFmtId="0" fontId="57" fillId="0" borderId="0" xfId="0" applyFont="1"/>
    <xf numFmtId="166" fontId="42" fillId="0" borderId="0" xfId="28" applyFont="1" applyFill="1" applyAlignment="1"/>
    <xf numFmtId="3" fontId="42" fillId="0" borderId="0" xfId="62" applyNumberFormat="1" applyFont="1" applyFill="1" applyAlignment="1"/>
    <xf numFmtId="3" fontId="57" fillId="0" borderId="0" xfId="62" applyNumberFormat="1" applyFont="1" applyFill="1" applyAlignment="1"/>
    <xf numFmtId="166" fontId="42" fillId="0" borderId="0" xfId="62" applyFont="1" applyFill="1" applyAlignment="1"/>
    <xf numFmtId="0" fontId="10" fillId="0" borderId="0" xfId="0" applyFont="1"/>
    <xf numFmtId="0" fontId="50" fillId="0" borderId="9" xfId="0" applyFont="1" applyBorder="1" applyAlignment="1">
      <alignment horizontal="center" wrapText="1"/>
    </xf>
    <xf numFmtId="0" fontId="10" fillId="0" borderId="9" xfId="0" applyFont="1" applyBorder="1" applyAlignment="1">
      <alignment wrapText="1"/>
    </xf>
    <xf numFmtId="0" fontId="10" fillId="0" borderId="9" xfId="0" applyFont="1" applyBorder="1" applyAlignment="1">
      <alignment horizontal="center" wrapText="1"/>
    </xf>
    <xf numFmtId="165" fontId="10" fillId="0" borderId="9" xfId="28" applyNumberFormat="1" applyFont="1" applyFill="1" applyBorder="1" applyAlignment="1">
      <alignment wrapText="1"/>
    </xf>
    <xf numFmtId="165" fontId="10" fillId="0" borderId="9" xfId="28" applyNumberFormat="1" applyFont="1" applyBorder="1" applyAlignment="1">
      <alignment wrapText="1"/>
    </xf>
    <xf numFmtId="0" fontId="10" fillId="0" borderId="9" xfId="0" applyFont="1" applyBorder="1"/>
    <xf numFmtId="0" fontId="50" fillId="0" borderId="9" xfId="0" applyFont="1" applyBorder="1" applyAlignment="1">
      <alignment wrapText="1"/>
    </xf>
    <xf numFmtId="165" fontId="50" fillId="0" borderId="9" xfId="28" applyNumberFormat="1" applyFont="1" applyBorder="1" applyAlignment="1">
      <alignment wrapText="1"/>
    </xf>
    <xf numFmtId="165" fontId="50" fillId="0" borderId="0" xfId="0" applyNumberFormat="1" applyFont="1"/>
    <xf numFmtId="0" fontId="37" fillId="0" borderId="0" xfId="0" applyFont="1" applyAlignment="1">
      <alignment horizontal="center" shrinkToFit="1"/>
    </xf>
    <xf numFmtId="3" fontId="50" fillId="0" borderId="9" xfId="28" applyNumberFormat="1" applyFont="1" applyBorder="1" applyAlignment="1">
      <alignment horizontal="center" vertical="center" shrinkToFit="1"/>
    </xf>
    <xf numFmtId="0" fontId="9" fillId="0" borderId="0" xfId="0" applyFont="1" applyAlignment="1">
      <alignment horizontal="left"/>
    </xf>
    <xf numFmtId="0" fontId="37" fillId="0" borderId="0" xfId="61" applyFont="1" applyAlignment="1">
      <alignment vertical="center"/>
    </xf>
    <xf numFmtId="0" fontId="42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37" fillId="0" borderId="0" xfId="0" applyFont="1" applyAlignment="1">
      <alignment vertical="center" wrapText="1"/>
    </xf>
    <xf numFmtId="0" fontId="37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53" fillId="0" borderId="0" xfId="0" applyFont="1" applyAlignment="1">
      <alignment vertical="center"/>
    </xf>
    <xf numFmtId="0" fontId="38" fillId="0" borderId="0" xfId="61" applyFont="1" applyAlignment="1">
      <alignment vertical="center" wrapText="1"/>
    </xf>
    <xf numFmtId="0" fontId="37" fillId="0" borderId="0" xfId="61" applyFont="1" applyAlignment="1">
      <alignment horizontal="left" vertical="center"/>
    </xf>
    <xf numFmtId="0" fontId="9" fillId="0" borderId="0" xfId="0" applyFont="1" applyAlignment="1">
      <alignment vertical="center"/>
    </xf>
    <xf numFmtId="0" fontId="58" fillId="0" borderId="0" xfId="0" applyFont="1" applyAlignment="1">
      <alignment vertical="center"/>
    </xf>
    <xf numFmtId="3" fontId="50" fillId="0" borderId="0" xfId="28" applyNumberFormat="1" applyFont="1" applyFill="1" applyBorder="1" applyAlignment="1"/>
    <xf numFmtId="3" fontId="50" fillId="0" borderId="0" xfId="28" applyNumberFormat="1" applyFont="1" applyFill="1" applyAlignment="1"/>
    <xf numFmtId="0" fontId="42" fillId="0" borderId="0" xfId="0" applyFont="1" applyAlignment="1">
      <alignment horizontal="left" vertical="center"/>
    </xf>
    <xf numFmtId="0" fontId="37" fillId="0" borderId="0" xfId="0" applyFont="1" applyAlignment="1">
      <alignment horizontal="center" vertical="center" wrapText="1"/>
    </xf>
    <xf numFmtId="0" fontId="37" fillId="0" borderId="0" xfId="43" applyFont="1"/>
    <xf numFmtId="166" fontId="11" fillId="0" borderId="9" xfId="0" applyNumberFormat="1" applyFont="1" applyBorder="1" applyAlignment="1">
      <alignment horizontal="right" vertical="top" wrapText="1"/>
    </xf>
    <xf numFmtId="0" fontId="10" fillId="0" borderId="9" xfId="0" applyFont="1" applyBorder="1" applyAlignment="1">
      <alignment horizontal="center" vertical="top" wrapText="1"/>
    </xf>
    <xf numFmtId="165" fontId="10" fillId="0" borderId="0" xfId="0" applyNumberFormat="1" applyFont="1"/>
    <xf numFmtId="166" fontId="68" fillId="0" borderId="0" xfId="28" applyFont="1"/>
    <xf numFmtId="0" fontId="6" fillId="0" borderId="0" xfId="61" applyFont="1" applyAlignment="1">
      <alignment horizontal="center"/>
    </xf>
    <xf numFmtId="3" fontId="6" fillId="0" borderId="0" xfId="61" applyNumberFormat="1" applyFont="1" applyAlignment="1">
      <alignment horizontal="center"/>
    </xf>
    <xf numFmtId="166" fontId="37" fillId="0" borderId="0" xfId="28" applyFont="1" applyAlignment="1">
      <alignment horizontal="center" vertical="center"/>
    </xf>
    <xf numFmtId="0" fontId="6" fillId="0" borderId="0" xfId="61" applyFont="1" applyAlignment="1">
      <alignment horizontal="left"/>
    </xf>
    <xf numFmtId="166" fontId="37" fillId="0" borderId="0" xfId="28" applyFont="1" applyAlignment="1">
      <alignment horizontal="left" shrinkToFit="1"/>
    </xf>
    <xf numFmtId="166" fontId="5" fillId="0" borderId="9" xfId="28" applyFont="1" applyFill="1" applyBorder="1" applyAlignment="1">
      <alignment horizontal="left" vertical="center" shrinkToFit="1"/>
    </xf>
    <xf numFmtId="3" fontId="4" fillId="0" borderId="9" xfId="28" applyNumberFormat="1" applyFont="1" applyFill="1" applyBorder="1" applyAlignment="1">
      <alignment horizontal="left" vertical="center" shrinkToFit="1"/>
    </xf>
    <xf numFmtId="49" fontId="50" fillId="0" borderId="9" xfId="28" applyNumberFormat="1" applyFont="1" applyFill="1" applyBorder="1" applyAlignment="1">
      <alignment horizontal="left" vertical="center" shrinkToFit="1"/>
    </xf>
    <xf numFmtId="0" fontId="37" fillId="0" borderId="0" xfId="0" applyFont="1" applyAlignment="1">
      <alignment horizontal="left" shrinkToFit="1"/>
    </xf>
    <xf numFmtId="165" fontId="10" fillId="0" borderId="9" xfId="0" applyNumberFormat="1" applyFont="1" applyBorder="1" applyAlignment="1">
      <alignment horizontal="left" vertical="center" shrinkToFit="1"/>
    </xf>
    <xf numFmtId="0" fontId="44" fillId="0" borderId="0" xfId="0" applyFont="1" applyAlignment="1">
      <alignment vertical="center"/>
    </xf>
    <xf numFmtId="0" fontId="49" fillId="0" borderId="9" xfId="61" applyFont="1" applyBorder="1" applyAlignment="1">
      <alignment horizontal="center" vertical="center" wrapText="1"/>
    </xf>
    <xf numFmtId="3" fontId="49" fillId="0" borderId="9" xfId="61" applyNumberFormat="1" applyFont="1" applyBorder="1" applyAlignment="1">
      <alignment horizontal="center" vertical="center" wrapText="1" shrinkToFit="1"/>
    </xf>
    <xf numFmtId="3" fontId="49" fillId="0" borderId="9" xfId="61" applyNumberFormat="1" applyFont="1" applyBorder="1" applyAlignment="1">
      <alignment horizontal="center" vertical="center" shrinkToFit="1"/>
    </xf>
    <xf numFmtId="166" fontId="48" fillId="0" borderId="9" xfId="62" applyFont="1" applyFill="1" applyBorder="1" applyAlignment="1">
      <alignment horizontal="center" vertical="center" wrapText="1"/>
    </xf>
    <xf numFmtId="0" fontId="37" fillId="0" borderId="0" xfId="0" applyFont="1" applyAlignment="1">
      <alignment vertical="center" shrinkToFit="1"/>
    </xf>
    <xf numFmtId="0" fontId="49" fillId="0" borderId="0" xfId="61" applyFont="1" applyAlignment="1">
      <alignment vertical="center" wrapText="1"/>
    </xf>
    <xf numFmtId="0" fontId="49" fillId="0" borderId="0" xfId="0" applyFont="1" applyAlignment="1">
      <alignment vertical="center"/>
    </xf>
    <xf numFmtId="0" fontId="37" fillId="0" borderId="0" xfId="61" applyFont="1" applyAlignment="1">
      <alignment vertical="center" wrapText="1"/>
    </xf>
    <xf numFmtId="3" fontId="37" fillId="0" borderId="0" xfId="0" applyNumberFormat="1" applyFont="1" applyAlignment="1">
      <alignment vertical="top"/>
    </xf>
    <xf numFmtId="0" fontId="10" fillId="0" borderId="0" xfId="61" applyFont="1" applyAlignment="1">
      <alignment wrapText="1"/>
    </xf>
    <xf numFmtId="0" fontId="9" fillId="0" borderId="0" xfId="0" applyFont="1" applyAlignment="1">
      <alignment wrapText="1"/>
    </xf>
    <xf numFmtId="0" fontId="60" fillId="0" borderId="9" xfId="61" applyFont="1" applyBorder="1" applyAlignment="1">
      <alignment horizontal="center" vertical="center" wrapText="1"/>
    </xf>
    <xf numFmtId="0" fontId="60" fillId="0" borderId="9" xfId="44" applyFont="1" applyBorder="1" applyAlignment="1">
      <alignment horizontal="center" vertical="center" wrapText="1" shrinkToFit="1"/>
    </xf>
    <xf numFmtId="3" fontId="60" fillId="0" borderId="9" xfId="61" applyNumberFormat="1" applyFont="1" applyBorder="1" applyAlignment="1">
      <alignment horizontal="center" vertical="center" wrapText="1" shrinkToFit="1"/>
    </xf>
    <xf numFmtId="0" fontId="44" fillId="0" borderId="0" xfId="61" applyFont="1" applyAlignment="1">
      <alignment vertical="center" wrapText="1"/>
    </xf>
    <xf numFmtId="3" fontId="60" fillId="0" borderId="9" xfId="62" applyNumberFormat="1" applyFont="1" applyFill="1" applyBorder="1" applyAlignment="1">
      <alignment horizontal="center" vertical="center" wrapText="1"/>
    </xf>
    <xf numFmtId="166" fontId="4" fillId="0" borderId="9" xfId="28" applyFont="1" applyFill="1" applyBorder="1" applyAlignment="1">
      <alignment horizontal="center"/>
    </xf>
    <xf numFmtId="166" fontId="4" fillId="0" borderId="9" xfId="28" applyFont="1" applyFill="1" applyBorder="1"/>
    <xf numFmtId="0" fontId="4" fillId="0" borderId="0" xfId="0" applyFont="1" applyAlignment="1">
      <alignment horizontal="center" shrinkToFit="1"/>
    </xf>
    <xf numFmtId="0" fontId="5" fillId="0" borderId="0" xfId="0" applyFont="1" applyAlignment="1">
      <alignment horizontal="center" shrinkToFit="1"/>
    </xf>
    <xf numFmtId="1" fontId="10" fillId="0" borderId="9" xfId="0" applyNumberFormat="1" applyFont="1" applyBorder="1" applyAlignment="1">
      <alignment horizontal="center" wrapText="1"/>
    </xf>
    <xf numFmtId="3" fontId="37" fillId="0" borderId="0" xfId="61" applyNumberFormat="1" applyFont="1"/>
    <xf numFmtId="3" fontId="49" fillId="0" borderId="0" xfId="61" applyNumberFormat="1" applyFont="1" applyAlignment="1">
      <alignment vertical="center" wrapText="1"/>
    </xf>
    <xf numFmtId="0" fontId="6" fillId="0" borderId="0" xfId="61" applyFont="1" applyAlignment="1">
      <alignment horizontal="center" vertical="center"/>
    </xf>
    <xf numFmtId="0" fontId="54" fillId="0" borderId="9" xfId="61" applyFont="1" applyBorder="1" applyAlignment="1">
      <alignment horizontal="center" vertical="center" wrapText="1"/>
    </xf>
    <xf numFmtId="49" fontId="54" fillId="0" borderId="9" xfId="0" applyNumberFormat="1" applyFont="1" applyBorder="1" applyAlignment="1">
      <alignment horizontal="center" vertical="center"/>
    </xf>
    <xf numFmtId="0" fontId="54" fillId="0" borderId="9" xfId="0" applyFont="1" applyBorder="1" applyAlignment="1">
      <alignment horizontal="center" vertical="center"/>
    </xf>
    <xf numFmtId="0" fontId="6" fillId="0" borderId="0" xfId="61" applyFont="1" applyAlignment="1">
      <alignment horizontal="center" wrapText="1"/>
    </xf>
    <xf numFmtId="0" fontId="63" fillId="0" borderId="9" xfId="61" applyFont="1" applyBorder="1" applyAlignment="1">
      <alignment vertical="center" wrapText="1"/>
    </xf>
    <xf numFmtId="0" fontId="37" fillId="24" borderId="0" xfId="61" applyFont="1" applyFill="1" applyAlignment="1">
      <alignment horizontal="left"/>
    </xf>
    <xf numFmtId="0" fontId="10" fillId="24" borderId="0" xfId="61" applyFont="1" applyFill="1" applyAlignment="1">
      <alignment horizontal="left"/>
    </xf>
    <xf numFmtId="0" fontId="9" fillId="24" borderId="0" xfId="0" applyFont="1" applyFill="1" applyAlignment="1">
      <alignment horizontal="left"/>
    </xf>
    <xf numFmtId="3" fontId="63" fillId="0" borderId="9" xfId="62" applyNumberFormat="1" applyFont="1" applyFill="1" applyBorder="1" applyAlignment="1">
      <alignment vertical="center" wrapText="1"/>
    </xf>
    <xf numFmtId="166" fontId="63" fillId="0" borderId="9" xfId="62" applyFont="1" applyFill="1" applyBorder="1" applyAlignment="1">
      <alignment vertical="center" wrapText="1"/>
    </xf>
    <xf numFmtId="0" fontId="10" fillId="0" borderId="8" xfId="43" applyFont="1" applyBorder="1" applyAlignment="1">
      <alignment horizontal="center" vertical="center" wrapText="1"/>
    </xf>
    <xf numFmtId="0" fontId="10" fillId="0" borderId="10" xfId="43" applyFont="1" applyBorder="1" applyAlignment="1">
      <alignment horizontal="center" vertical="center" wrapText="1"/>
    </xf>
    <xf numFmtId="166" fontId="37" fillId="0" borderId="0" xfId="28" applyFont="1" applyAlignment="1">
      <alignment horizontal="center" shrinkToFit="1"/>
    </xf>
    <xf numFmtId="3" fontId="4" fillId="0" borderId="9" xfId="28" applyNumberFormat="1" applyFont="1" applyFill="1" applyBorder="1" applyAlignment="1">
      <alignment horizontal="center" vertical="center" shrinkToFit="1"/>
    </xf>
    <xf numFmtId="1" fontId="4" fillId="0" borderId="9" xfId="28" applyNumberFormat="1" applyFont="1" applyBorder="1" applyAlignment="1">
      <alignment horizontal="center"/>
    </xf>
    <xf numFmtId="0" fontId="63" fillId="0" borderId="9" xfId="0" applyFont="1" applyBorder="1" applyAlignment="1">
      <alignment horizontal="center" vertical="center"/>
    </xf>
    <xf numFmtId="49" fontId="63" fillId="0" borderId="9" xfId="0" applyNumberFormat="1" applyFont="1" applyBorder="1" applyAlignment="1">
      <alignment horizontal="center" vertical="center"/>
    </xf>
    <xf numFmtId="49" fontId="63" fillId="0" borderId="9" xfId="0" applyNumberFormat="1" applyFont="1" applyBorder="1" applyAlignment="1">
      <alignment horizontal="center" vertical="center" wrapText="1"/>
    </xf>
    <xf numFmtId="49" fontId="63" fillId="0" borderId="9" xfId="62" applyNumberFormat="1" applyFont="1" applyFill="1" applyBorder="1" applyAlignment="1">
      <alignment horizontal="center" vertical="center"/>
    </xf>
    <xf numFmtId="0" fontId="60" fillId="0" borderId="9" xfId="0" applyFont="1" applyBorder="1" applyAlignment="1">
      <alignment horizontal="center" vertical="center" wrapText="1"/>
    </xf>
    <xf numFmtId="0" fontId="69" fillId="0" borderId="9" xfId="0" applyFont="1" applyBorder="1" applyAlignment="1">
      <alignment horizontal="center" vertical="center" wrapText="1"/>
    </xf>
    <xf numFmtId="172" fontId="69" fillId="0" borderId="9" xfId="62" applyNumberFormat="1" applyFont="1" applyFill="1" applyBorder="1" applyAlignment="1">
      <alignment horizontal="center" vertical="center" wrapText="1"/>
    </xf>
    <xf numFmtId="165" fontId="4" fillId="0" borderId="9" xfId="28" applyNumberFormat="1" applyFont="1" applyFill="1" applyBorder="1" applyAlignment="1">
      <alignment vertical="center"/>
    </xf>
    <xf numFmtId="1" fontId="10" fillId="0" borderId="9" xfId="0" applyNumberFormat="1" applyFont="1" applyBorder="1" applyAlignment="1">
      <alignment horizontal="center" vertical="center" wrapText="1"/>
    </xf>
    <xf numFmtId="166" fontId="37" fillId="0" borderId="0" xfId="0" applyNumberFormat="1" applyFont="1" applyAlignment="1">
      <alignment vertical="center" shrinkToFit="1"/>
    </xf>
    <xf numFmtId="164" fontId="37" fillId="0" borderId="0" xfId="0" applyNumberFormat="1" applyFont="1" applyAlignment="1">
      <alignment vertical="center" shrinkToFit="1"/>
    </xf>
    <xf numFmtId="165" fontId="37" fillId="0" borderId="0" xfId="0" applyNumberFormat="1" applyFont="1" applyAlignment="1">
      <alignment vertical="center" shrinkToFit="1"/>
    </xf>
    <xf numFmtId="0" fontId="10" fillId="0" borderId="9" xfId="0" applyFont="1" applyBorder="1" applyAlignment="1">
      <alignment vertical="center" shrinkToFit="1"/>
    </xf>
    <xf numFmtId="166" fontId="10" fillId="0" borderId="9" xfId="28" applyFont="1" applyFill="1" applyBorder="1" applyAlignment="1">
      <alignment horizontal="center" vertical="center" shrinkToFit="1"/>
    </xf>
    <xf numFmtId="3" fontId="10" fillId="0" borderId="9" xfId="28" applyNumberFormat="1" applyFont="1" applyFill="1" applyBorder="1" applyAlignment="1">
      <alignment horizontal="left" vertical="center" shrinkToFit="1"/>
    </xf>
    <xf numFmtId="3" fontId="10" fillId="0" borderId="9" xfId="28" applyNumberFormat="1" applyFont="1" applyFill="1" applyBorder="1" applyAlignment="1">
      <alignment horizontal="center" vertical="center" shrinkToFit="1"/>
    </xf>
    <xf numFmtId="0" fontId="10" fillId="0" borderId="9" xfId="0" applyFont="1" applyBorder="1" applyAlignment="1">
      <alignment vertical="center" wrapText="1"/>
    </xf>
    <xf numFmtId="0" fontId="50" fillId="0" borderId="9" xfId="0" applyFont="1" applyBorder="1" applyAlignment="1">
      <alignment vertical="center" shrinkToFit="1"/>
    </xf>
    <xf numFmtId="166" fontId="10" fillId="0" borderId="9" xfId="0" applyNumberFormat="1" applyFont="1" applyBorder="1" applyAlignment="1">
      <alignment vertical="center" shrinkToFit="1"/>
    </xf>
    <xf numFmtId="0" fontId="50" fillId="0" borderId="9" xfId="0" applyFont="1" applyBorder="1" applyAlignment="1">
      <alignment horizontal="center" vertical="center" shrinkToFit="1"/>
    </xf>
    <xf numFmtId="166" fontId="50" fillId="0" borderId="9" xfId="28" applyFont="1" applyFill="1" applyBorder="1" applyAlignment="1">
      <alignment horizontal="center" vertical="center" shrinkToFit="1"/>
    </xf>
    <xf numFmtId="166" fontId="50" fillId="0" borderId="9" xfId="28" applyFont="1" applyFill="1" applyBorder="1" applyAlignment="1">
      <alignment horizontal="left" vertical="center" shrinkToFit="1"/>
    </xf>
    <xf numFmtId="0" fontId="10" fillId="0" borderId="0" xfId="0" applyFont="1" applyAlignment="1">
      <alignment vertical="center" shrinkToFit="1"/>
    </xf>
    <xf numFmtId="0" fontId="5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16" fontId="37" fillId="0" borderId="0" xfId="0" applyNumberFormat="1" applyFont="1" applyAlignment="1">
      <alignment vertical="center"/>
    </xf>
    <xf numFmtId="3" fontId="37" fillId="0" borderId="0" xfId="0" applyNumberFormat="1" applyFont="1" applyAlignment="1">
      <alignment vertical="center"/>
    </xf>
    <xf numFmtId="0" fontId="50" fillId="0" borderId="9" xfId="0" applyFont="1" applyBorder="1" applyAlignment="1">
      <alignment horizontal="center" vertical="center" wrapText="1"/>
    </xf>
    <xf numFmtId="0" fontId="50" fillId="0" borderId="9" xfId="0" applyFont="1" applyBorder="1" applyAlignment="1">
      <alignment horizontal="center" vertical="center"/>
    </xf>
    <xf numFmtId="166" fontId="50" fillId="0" borderId="9" xfId="28" applyFont="1" applyBorder="1" applyAlignment="1">
      <alignment horizontal="center" vertical="center"/>
    </xf>
    <xf numFmtId="165" fontId="10" fillId="0" borderId="9" xfId="28" applyNumberFormat="1" applyFont="1" applyBorder="1" applyAlignment="1">
      <alignment vertical="center"/>
    </xf>
    <xf numFmtId="165" fontId="10" fillId="0" borderId="9" xfId="0" applyNumberFormat="1" applyFont="1" applyBorder="1"/>
    <xf numFmtId="0" fontId="50" fillId="0" borderId="9" xfId="0" applyFont="1" applyBorder="1" applyAlignment="1">
      <alignment vertical="center"/>
    </xf>
    <xf numFmtId="166" fontId="10" fillId="0" borderId="9" xfId="0" applyNumberFormat="1" applyFont="1" applyBorder="1" applyAlignment="1">
      <alignment horizontal="right" vertical="center" wrapText="1"/>
    </xf>
    <xf numFmtId="166" fontId="70" fillId="0" borderId="9" xfId="0" applyNumberFormat="1" applyFont="1" applyBorder="1"/>
    <xf numFmtId="166" fontId="50" fillId="0" borderId="9" xfId="28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166" fontId="4" fillId="0" borderId="9" xfId="28" applyFont="1" applyFill="1" applyBorder="1" applyAlignment="1">
      <alignment horizontal="center" vertical="center"/>
    </xf>
    <xf numFmtId="3" fontId="4" fillId="0" borderId="9" xfId="28" applyNumberFormat="1" applyFont="1" applyFill="1" applyBorder="1" applyAlignment="1">
      <alignment vertical="center"/>
    </xf>
    <xf numFmtId="0" fontId="44" fillId="0" borderId="0" xfId="0" applyFont="1" applyAlignment="1">
      <alignment horizontal="left" shrinkToFit="1"/>
    </xf>
    <xf numFmtId="0" fontId="58" fillId="0" borderId="0" xfId="0" applyFont="1" applyAlignment="1">
      <alignment vertical="center" wrapText="1"/>
    </xf>
    <xf numFmtId="3" fontId="62" fillId="0" borderId="9" xfId="28" applyNumberFormat="1" applyFont="1" applyBorder="1" applyAlignment="1">
      <alignment horizontal="center" vertical="center" shrinkToFit="1"/>
    </xf>
    <xf numFmtId="3" fontId="37" fillId="0" borderId="0" xfId="61" applyNumberFormat="1" applyFont="1" applyAlignment="1">
      <alignment horizontal="center" vertical="center"/>
    </xf>
    <xf numFmtId="0" fontId="60" fillId="0" borderId="0" xfId="0" applyFont="1" applyAlignment="1">
      <alignment vertical="center" wrapText="1"/>
    </xf>
    <xf numFmtId="2" fontId="58" fillId="0" borderId="0" xfId="0" applyNumberFormat="1" applyFont="1" applyAlignment="1">
      <alignment vertical="center"/>
    </xf>
    <xf numFmtId="166" fontId="58" fillId="0" borderId="0" xfId="62" applyFont="1" applyFill="1" applyAlignment="1">
      <alignment vertical="center"/>
    </xf>
    <xf numFmtId="37" fontId="60" fillId="0" borderId="9" xfId="62" applyNumberFormat="1" applyFont="1" applyFill="1" applyBorder="1" applyAlignment="1">
      <alignment horizontal="center" vertical="center" shrinkToFit="1"/>
    </xf>
    <xf numFmtId="0" fontId="60" fillId="0" borderId="9" xfId="0" applyFont="1" applyBorder="1" applyAlignment="1">
      <alignment horizontal="center" vertical="center"/>
    </xf>
    <xf numFmtId="166" fontId="42" fillId="0" borderId="0" xfId="28" applyFont="1" applyAlignment="1">
      <alignment horizontal="left" shrinkToFit="1"/>
    </xf>
    <xf numFmtId="0" fontId="42" fillId="0" borderId="0" xfId="0" applyFont="1" applyAlignment="1">
      <alignment horizontal="left" shrinkToFit="1"/>
    </xf>
    <xf numFmtId="165" fontId="42" fillId="0" borderId="0" xfId="0" applyNumberFormat="1" applyFont="1" applyAlignment="1">
      <alignment horizontal="left" shrinkToFit="1"/>
    </xf>
    <xf numFmtId="165" fontId="42" fillId="0" borderId="0" xfId="0" applyNumberFormat="1" applyFont="1"/>
    <xf numFmtId="0" fontId="37" fillId="0" borderId="9" xfId="0" applyFont="1" applyBorder="1" applyAlignment="1">
      <alignment horizontal="left" vertical="center" wrapText="1"/>
    </xf>
    <xf numFmtId="49" fontId="60" fillId="0" borderId="9" xfId="0" applyNumberFormat="1" applyFont="1" applyBorder="1" applyAlignment="1">
      <alignment horizontal="center" vertical="center"/>
    </xf>
    <xf numFmtId="0" fontId="60" fillId="0" borderId="9" xfId="0" applyFont="1" applyBorder="1" applyAlignment="1">
      <alignment vertical="center"/>
    </xf>
    <xf numFmtId="0" fontId="6" fillId="0" borderId="0" xfId="61" applyFont="1"/>
    <xf numFmtId="3" fontId="42" fillId="0" borderId="0" xfId="62" applyNumberFormat="1" applyFont="1" applyFill="1" applyAlignment="1">
      <alignment vertical="center"/>
    </xf>
    <xf numFmtId="3" fontId="9" fillId="0" borderId="0" xfId="62" applyNumberFormat="1" applyFont="1" applyFill="1" applyAlignment="1">
      <alignment vertical="center"/>
    </xf>
    <xf numFmtId="3" fontId="57" fillId="0" borderId="0" xfId="62" applyNumberFormat="1" applyFont="1" applyFill="1" applyAlignment="1">
      <alignment vertical="center"/>
    </xf>
    <xf numFmtId="0" fontId="9" fillId="0" borderId="0" xfId="0" applyFont="1" applyAlignment="1">
      <alignment horizontal="left" vertical="center"/>
    </xf>
    <xf numFmtId="0" fontId="42" fillId="0" borderId="0" xfId="0" applyFont="1" applyAlignment="1">
      <alignment horizontal="center"/>
    </xf>
    <xf numFmtId="0" fontId="60" fillId="0" borderId="9" xfId="71" applyFont="1" applyBorder="1" applyAlignment="1">
      <alignment horizontal="center" vertical="center" wrapText="1"/>
    </xf>
    <xf numFmtId="3" fontId="49" fillId="0" borderId="9" xfId="71" applyNumberFormat="1" applyFont="1" applyBorder="1" applyAlignment="1">
      <alignment horizontal="center" vertical="center" wrapText="1" shrinkToFit="1"/>
    </xf>
    <xf numFmtId="0" fontId="60" fillId="0" borderId="0" xfId="0" applyFont="1" applyAlignment="1">
      <alignment vertical="center"/>
    </xf>
    <xf numFmtId="173" fontId="60" fillId="0" borderId="0" xfId="0" applyNumberFormat="1" applyFont="1" applyAlignment="1">
      <alignment vertical="center"/>
    </xf>
    <xf numFmtId="0" fontId="69" fillId="0" borderId="0" xfId="0" applyFont="1" applyAlignment="1">
      <alignment horizontal="center" vertical="center"/>
    </xf>
    <xf numFmtId="0" fontId="60" fillId="0" borderId="0" xfId="0" applyFont="1" applyAlignment="1">
      <alignment horizontal="center" vertical="center"/>
    </xf>
    <xf numFmtId="3" fontId="10" fillId="0" borderId="0" xfId="28" applyNumberFormat="1" applyFont="1" applyFill="1" applyAlignment="1"/>
    <xf numFmtId="0" fontId="60" fillId="0" borderId="9" xfId="0" applyFont="1" applyBorder="1" applyAlignment="1">
      <alignment horizontal="left" vertical="center" wrapText="1"/>
    </xf>
    <xf numFmtId="0" fontId="60" fillId="0" borderId="9" xfId="0" applyFont="1" applyBorder="1" applyAlignment="1">
      <alignment horizontal="center" vertical="center" shrinkToFit="1"/>
    </xf>
    <xf numFmtId="0" fontId="4" fillId="0" borderId="0" xfId="0" applyFont="1" applyAlignment="1">
      <alignment vertical="center"/>
    </xf>
    <xf numFmtId="14" fontId="74" fillId="0" borderId="0" xfId="0" applyNumberFormat="1" applyFont="1" applyAlignment="1">
      <alignment horizontal="left" vertical="center" wrapText="1"/>
    </xf>
    <xf numFmtId="49" fontId="74" fillId="0" borderId="0" xfId="0" applyNumberFormat="1" applyFont="1" applyAlignment="1">
      <alignment horizontal="left" vertical="center" wrapText="1"/>
    </xf>
    <xf numFmtId="2" fontId="74" fillId="0" borderId="0" xfId="0" applyNumberFormat="1" applyFont="1" applyAlignment="1">
      <alignment horizontal="left" vertical="center" wrapText="1"/>
    </xf>
    <xf numFmtId="3" fontId="7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vertical="center" wrapText="1"/>
    </xf>
    <xf numFmtId="3" fontId="4" fillId="0" borderId="0" xfId="0" applyNumberFormat="1" applyFont="1" applyAlignment="1">
      <alignment vertical="center" wrapText="1"/>
    </xf>
    <xf numFmtId="3" fontId="47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1" fontId="4" fillId="0" borderId="0" xfId="0" applyNumberFormat="1" applyFont="1" applyAlignment="1">
      <alignment vertical="center"/>
    </xf>
    <xf numFmtId="0" fontId="47" fillId="0" borderId="0" xfId="0" applyFont="1" applyAlignment="1">
      <alignment horizontal="center" vertical="center"/>
    </xf>
    <xf numFmtId="3" fontId="4" fillId="0" borderId="0" xfId="0" applyNumberFormat="1" applyFont="1" applyAlignment="1">
      <alignment vertical="center"/>
    </xf>
    <xf numFmtId="2" fontId="4" fillId="0" borderId="0" xfId="0" applyNumberFormat="1" applyFont="1" applyAlignment="1">
      <alignment vertical="center"/>
    </xf>
    <xf numFmtId="37" fontId="4" fillId="0" borderId="0" xfId="0" applyNumberFormat="1" applyFont="1" applyAlignment="1">
      <alignment vertical="center"/>
    </xf>
    <xf numFmtId="1" fontId="60" fillId="0" borderId="9" xfId="0" applyNumberFormat="1" applyFont="1" applyBorder="1" applyAlignment="1">
      <alignment horizontal="center" vertical="center" wrapText="1"/>
    </xf>
    <xf numFmtId="1" fontId="60" fillId="0" borderId="9" xfId="0" applyNumberFormat="1" applyFont="1" applyBorder="1" applyAlignment="1">
      <alignment horizontal="center" wrapText="1"/>
    </xf>
    <xf numFmtId="0" fontId="10" fillId="0" borderId="0" xfId="61" applyFont="1" applyAlignment="1">
      <alignment horizontal="left"/>
    </xf>
    <xf numFmtId="0" fontId="63" fillId="24" borderId="9" xfId="61" applyFont="1" applyFill="1" applyBorder="1" applyAlignment="1">
      <alignment horizontal="left" vertical="center" wrapText="1"/>
    </xf>
    <xf numFmtId="165" fontId="10" fillId="0" borderId="9" xfId="28" applyNumberFormat="1" applyFont="1" applyBorder="1" applyAlignment="1">
      <alignment horizontal="center" vertical="center"/>
    </xf>
    <xf numFmtId="0" fontId="37" fillId="0" borderId="0" xfId="0" applyFont="1" applyAlignment="1">
      <alignment horizontal="center"/>
    </xf>
    <xf numFmtId="165" fontId="42" fillId="0" borderId="0" xfId="0" applyNumberFormat="1" applyFont="1" applyAlignment="1">
      <alignment horizontal="center"/>
    </xf>
    <xf numFmtId="3" fontId="10" fillId="0" borderId="9" xfId="28" applyNumberFormat="1" applyFont="1" applyBorder="1" applyAlignment="1">
      <alignment horizontal="right" vertical="center"/>
    </xf>
    <xf numFmtId="0" fontId="37" fillId="0" borderId="9" xfId="0" applyFont="1" applyBorder="1" applyAlignment="1">
      <alignment horizontal="center" vertical="center" wrapText="1" shrinkToFit="1"/>
    </xf>
    <xf numFmtId="3" fontId="37" fillId="0" borderId="9" xfId="62" applyNumberFormat="1" applyFont="1" applyFill="1" applyBorder="1" applyAlignment="1" applyProtection="1">
      <alignment horizontal="center" vertical="center" wrapText="1" shrinkToFit="1"/>
      <protection locked="0"/>
    </xf>
    <xf numFmtId="0" fontId="37" fillId="0" borderId="9" xfId="0" applyFont="1" applyBorder="1" applyAlignment="1">
      <alignment vertical="center" wrapText="1"/>
    </xf>
    <xf numFmtId="3" fontId="44" fillId="0" borderId="9" xfId="0" applyNumberFormat="1" applyFont="1" applyBorder="1" applyAlignment="1">
      <alignment horizontal="center" vertical="center" wrapText="1"/>
    </xf>
    <xf numFmtId="49" fontId="44" fillId="0" borderId="9" xfId="0" applyNumberFormat="1" applyFont="1" applyBorder="1" applyAlignment="1">
      <alignment horizontal="left" vertical="center" wrapText="1"/>
    </xf>
    <xf numFmtId="0" fontId="76" fillId="0" borderId="9" xfId="0" applyFont="1" applyBorder="1" applyAlignment="1">
      <alignment horizontal="center" vertical="center"/>
    </xf>
    <xf numFmtId="3" fontId="76" fillId="0" borderId="9" xfId="0" applyNumberFormat="1" applyFont="1" applyBorder="1" applyAlignment="1">
      <alignment horizontal="center" vertical="center"/>
    </xf>
    <xf numFmtId="0" fontId="57" fillId="0" borderId="0" xfId="0" applyFont="1" applyAlignment="1">
      <alignment horizontal="center"/>
    </xf>
    <xf numFmtId="0" fontId="45" fillId="0" borderId="0" xfId="0" applyFont="1" applyAlignment="1">
      <alignment vertical="center"/>
    </xf>
    <xf numFmtId="0" fontId="57" fillId="0" borderId="0" xfId="0" applyFont="1" applyAlignment="1">
      <alignment wrapText="1"/>
    </xf>
    <xf numFmtId="0" fontId="57" fillId="0" borderId="0" xfId="0" applyFont="1" applyAlignment="1">
      <alignment vertical="center" wrapText="1"/>
    </xf>
    <xf numFmtId="3" fontId="57" fillId="0" borderId="0" xfId="28" applyNumberFormat="1" applyFont="1" applyFill="1" applyBorder="1" applyAlignment="1">
      <alignment horizontal="left"/>
    </xf>
    <xf numFmtId="3" fontId="57" fillId="0" borderId="0" xfId="28" applyNumberFormat="1" applyFont="1" applyFill="1" applyBorder="1" applyAlignment="1"/>
    <xf numFmtId="0" fontId="57" fillId="24" borderId="0" xfId="0" applyFont="1" applyFill="1" applyAlignment="1">
      <alignment horizontal="left"/>
    </xf>
    <xf numFmtId="0" fontId="57" fillId="0" borderId="0" xfId="0" applyFont="1" applyAlignment="1">
      <alignment horizontal="center" vertical="center" wrapText="1"/>
    </xf>
    <xf numFmtId="0" fontId="57" fillId="0" borderId="0" xfId="0" applyFont="1" applyAlignment="1">
      <alignment horizontal="left"/>
    </xf>
    <xf numFmtId="3" fontId="57" fillId="0" borderId="0" xfId="28" applyNumberFormat="1" applyFont="1" applyFill="1" applyAlignment="1"/>
    <xf numFmtId="0" fontId="42" fillId="0" borderId="0" xfId="0" applyFont="1" applyAlignment="1">
      <alignment wrapText="1"/>
    </xf>
    <xf numFmtId="172" fontId="42" fillId="0" borderId="0" xfId="0" applyNumberFormat="1" applyFont="1" applyAlignment="1">
      <alignment wrapText="1"/>
    </xf>
    <xf numFmtId="0" fontId="42" fillId="0" borderId="0" xfId="0" applyFont="1" applyAlignment="1">
      <alignment horizontal="left"/>
    </xf>
    <xf numFmtId="3" fontId="42" fillId="0" borderId="0" xfId="28" applyNumberFormat="1" applyFont="1" applyFill="1" applyAlignment="1"/>
    <xf numFmtId="0" fontId="42" fillId="24" borderId="0" xfId="0" applyFont="1" applyFill="1" applyAlignment="1">
      <alignment horizontal="left"/>
    </xf>
    <xf numFmtId="0" fontId="77" fillId="0" borderId="0" xfId="0" applyFont="1" applyAlignment="1">
      <alignment vertical="top"/>
    </xf>
    <xf numFmtId="49" fontId="78" fillId="0" borderId="0" xfId="0" applyNumberFormat="1" applyFont="1" applyAlignment="1">
      <alignment horizontal="left" vertical="center" wrapText="1"/>
    </xf>
    <xf numFmtId="0" fontId="50" fillId="0" borderId="0" xfId="0" applyFont="1" applyAlignment="1">
      <alignment horizontal="center" vertical="center"/>
    </xf>
    <xf numFmtId="3" fontId="10" fillId="0" borderId="0" xfId="28" applyNumberFormat="1" applyFont="1" applyFill="1" applyAlignment="1">
      <alignment wrapText="1"/>
    </xf>
    <xf numFmtId="0" fontId="10" fillId="0" borderId="0" xfId="0" applyFont="1" applyAlignment="1">
      <alignment vertical="top"/>
    </xf>
    <xf numFmtId="3" fontId="10" fillId="0" borderId="0" xfId="28" applyNumberFormat="1" applyFont="1" applyFill="1" applyAlignment="1">
      <alignment horizontal="right" vertical="center" wrapText="1"/>
    </xf>
    <xf numFmtId="0" fontId="50" fillId="0" borderId="0" xfId="0" applyFont="1" applyAlignment="1">
      <alignment vertical="center"/>
    </xf>
    <xf numFmtId="3" fontId="52" fillId="0" borderId="0" xfId="61" applyNumberFormat="1" applyFont="1" applyAlignment="1">
      <alignment vertical="center" wrapText="1"/>
    </xf>
    <xf numFmtId="3" fontId="10" fillId="0" borderId="0" xfId="28" applyNumberFormat="1" applyFont="1" applyFill="1" applyAlignment="1">
      <alignment vertical="center" wrapText="1"/>
    </xf>
    <xf numFmtId="2" fontId="63" fillId="0" borderId="9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1" fontId="79" fillId="0" borderId="9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 vertical="center" wrapText="1" shrinkToFit="1"/>
    </xf>
    <xf numFmtId="166" fontId="5" fillId="0" borderId="9" xfId="28" applyFont="1" applyBorder="1" applyAlignment="1">
      <alignment horizontal="center" vertical="center" wrapText="1" shrinkToFit="1"/>
    </xf>
    <xf numFmtId="0" fontId="37" fillId="0" borderId="0" xfId="0" applyFont="1" applyAlignment="1">
      <alignment wrapText="1" shrinkToFit="1"/>
    </xf>
    <xf numFmtId="0" fontId="45" fillId="0" borderId="9" xfId="0" applyFont="1" applyBorder="1" applyAlignment="1">
      <alignment horizontal="center" vertical="center" wrapText="1" shrinkToFit="1"/>
    </xf>
    <xf numFmtId="3" fontId="45" fillId="0" borderId="9" xfId="62" applyNumberFormat="1" applyFont="1" applyFill="1" applyBorder="1" applyAlignment="1" applyProtection="1">
      <alignment horizontal="center" vertical="center" wrapText="1" shrinkToFit="1"/>
      <protection locked="0"/>
    </xf>
    <xf numFmtId="16" fontId="45" fillId="0" borderId="0" xfId="0" applyNumberFormat="1" applyFont="1" applyAlignment="1">
      <alignment vertical="center"/>
    </xf>
    <xf numFmtId="0" fontId="6" fillId="0" borderId="0" xfId="61" applyFont="1" applyAlignment="1">
      <alignment horizontal="center" vertical="center" wrapText="1"/>
    </xf>
    <xf numFmtId="0" fontId="37" fillId="0" borderId="0" xfId="0" applyFont="1" applyAlignment="1">
      <alignment horizontal="left" vertical="center"/>
    </xf>
    <xf numFmtId="49" fontId="44" fillId="0" borderId="9" xfId="0" applyNumberFormat="1" applyFont="1" applyBorder="1" applyAlignment="1">
      <alignment horizontal="left" vertical="center"/>
    </xf>
    <xf numFmtId="173" fontId="37" fillId="0" borderId="9" xfId="28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0" fillId="0" borderId="0" xfId="0" applyFont="1" applyAlignment="1">
      <alignment horizontal="center" vertical="center" shrinkToFit="1"/>
    </xf>
    <xf numFmtId="14" fontId="73" fillId="0" borderId="0" xfId="0" applyNumberFormat="1" applyFont="1" applyAlignment="1">
      <alignment horizontal="left" vertical="center" wrapText="1"/>
    </xf>
    <xf numFmtId="49" fontId="71" fillId="0" borderId="0" xfId="0" applyNumberFormat="1" applyFont="1" applyAlignment="1">
      <alignment horizontal="left" vertical="center" wrapText="1"/>
    </xf>
    <xf numFmtId="2" fontId="63" fillId="0" borderId="0" xfId="0" applyNumberFormat="1" applyFont="1" applyAlignment="1">
      <alignment horizontal="center" vertical="center" wrapText="1"/>
    </xf>
    <xf numFmtId="49" fontId="73" fillId="0" borderId="0" xfId="0" applyNumberFormat="1" applyFont="1" applyAlignment="1">
      <alignment horizontal="left" vertical="center" wrapText="1"/>
    </xf>
    <xf numFmtId="3" fontId="72" fillId="0" borderId="0" xfId="62" applyNumberFormat="1" applyFont="1" applyFill="1" applyBorder="1" applyAlignment="1">
      <alignment horizontal="center" vertical="center" shrinkToFit="1"/>
    </xf>
    <xf numFmtId="3" fontId="72" fillId="0" borderId="0" xfId="62" applyNumberFormat="1" applyFont="1" applyFill="1" applyBorder="1" applyAlignment="1">
      <alignment horizontal="left" vertical="center" shrinkToFit="1"/>
    </xf>
    <xf numFmtId="0" fontId="37" fillId="0" borderId="0" xfId="0" applyFont="1" applyAlignment="1">
      <alignment vertical="center" wrapText="1" shrinkToFit="1"/>
    </xf>
    <xf numFmtId="173" fontId="37" fillId="0" borderId="9" xfId="28" applyNumberFormat="1" applyFont="1" applyFill="1" applyBorder="1" applyAlignment="1">
      <alignment horizontal="left" vertical="top" wrapText="1"/>
    </xf>
    <xf numFmtId="0" fontId="37" fillId="0" borderId="18" xfId="0" applyFont="1" applyBorder="1" applyAlignment="1">
      <alignment horizontal="left" vertical="top" wrapText="1"/>
    </xf>
    <xf numFmtId="0" fontId="37" fillId="0" borderId="9" xfId="0" applyFont="1" applyBorder="1" applyAlignment="1">
      <alignment horizontal="center" vertical="top" wrapText="1"/>
    </xf>
    <xf numFmtId="0" fontId="10" fillId="0" borderId="10" xfId="0" applyFont="1" applyBorder="1" applyAlignment="1">
      <alignment vertical="top" wrapText="1"/>
    </xf>
    <xf numFmtId="165" fontId="10" fillId="0" borderId="9" xfId="0" applyNumberFormat="1" applyFont="1" applyBorder="1" applyAlignment="1">
      <alignment horizontal="center" vertical="center" shrinkToFit="1"/>
    </xf>
    <xf numFmtId="0" fontId="37" fillId="0" borderId="0" xfId="0" applyFont="1" applyAlignment="1">
      <alignment horizontal="center" vertical="center" shrinkToFit="1"/>
    </xf>
    <xf numFmtId="0" fontId="10" fillId="0" borderId="9" xfId="0" applyFont="1" applyBorder="1" applyAlignment="1">
      <alignment horizontal="left" vertical="center" shrinkToFit="1"/>
    </xf>
    <xf numFmtId="0" fontId="45" fillId="0" borderId="9" xfId="0" applyFont="1" applyBorder="1" applyAlignment="1">
      <alignment horizontal="left" vertical="top" wrapText="1"/>
    </xf>
    <xf numFmtId="173" fontId="45" fillId="0" borderId="9" xfId="28" applyNumberFormat="1" applyFont="1" applyFill="1" applyBorder="1" applyAlignment="1">
      <alignment horizontal="left" vertical="top" wrapText="1"/>
    </xf>
    <xf numFmtId="0" fontId="45" fillId="0" borderId="9" xfId="0" applyFont="1" applyBorder="1" applyAlignment="1">
      <alignment horizontal="center" vertical="top" wrapText="1"/>
    </xf>
    <xf numFmtId="14" fontId="60" fillId="0" borderId="9" xfId="0" applyNumberFormat="1" applyFont="1" applyBorder="1" applyAlignment="1">
      <alignment horizontal="left" vertical="center" wrapText="1"/>
    </xf>
    <xf numFmtId="49" fontId="63" fillId="0" borderId="9" xfId="0" applyNumberFormat="1" applyFont="1" applyBorder="1" applyAlignment="1">
      <alignment horizontal="left" vertical="center" wrapText="1"/>
    </xf>
    <xf numFmtId="49" fontId="60" fillId="0" borderId="9" xfId="0" applyNumberFormat="1" applyFont="1" applyBorder="1" applyAlignment="1">
      <alignment horizontal="left" vertical="center" wrapText="1"/>
    </xf>
    <xf numFmtId="3" fontId="63" fillId="0" borderId="9" xfId="62" applyNumberFormat="1" applyFont="1" applyFill="1" applyBorder="1" applyAlignment="1">
      <alignment horizontal="center" vertical="center" shrinkToFit="1"/>
    </xf>
    <xf numFmtId="49" fontId="50" fillId="0" borderId="9" xfId="28" applyNumberFormat="1" applyFont="1" applyFill="1" applyBorder="1" applyAlignment="1">
      <alignment horizontal="center" vertical="center" shrinkToFit="1"/>
    </xf>
    <xf numFmtId="166" fontId="37" fillId="0" borderId="0" xfId="28" applyFont="1" applyAlignment="1">
      <alignment horizontal="center" vertical="center" shrinkToFit="1"/>
    </xf>
    <xf numFmtId="166" fontId="42" fillId="0" borderId="0" xfId="28" applyFont="1" applyAlignment="1">
      <alignment horizontal="center" vertical="center" shrinkToFit="1"/>
    </xf>
    <xf numFmtId="3" fontId="44" fillId="0" borderId="9" xfId="62" applyNumberFormat="1" applyFont="1" applyFill="1" applyBorder="1" applyAlignment="1">
      <alignment horizontal="center" vertical="center" wrapText="1"/>
    </xf>
    <xf numFmtId="166" fontId="44" fillId="0" borderId="9" xfId="62" applyFont="1" applyFill="1" applyBorder="1" applyAlignment="1">
      <alignment horizontal="center" vertical="center" wrapText="1"/>
    </xf>
    <xf numFmtId="0" fontId="37" fillId="0" borderId="0" xfId="61" applyFont="1" applyAlignment="1">
      <alignment horizontal="center" wrapText="1"/>
    </xf>
    <xf numFmtId="0" fontId="37" fillId="0" borderId="9" xfId="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 shrinkToFit="1"/>
    </xf>
    <xf numFmtId="0" fontId="10" fillId="0" borderId="9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 wrapText="1" shrinkToFit="1"/>
    </xf>
    <xf numFmtId="1" fontId="80" fillId="0" borderId="9" xfId="0" applyNumberFormat="1" applyFont="1" applyBorder="1" applyAlignment="1">
      <alignment horizontal="center"/>
    </xf>
    <xf numFmtId="166" fontId="42" fillId="0" borderId="0" xfId="28" applyFont="1" applyAlignment="1">
      <alignment horizontal="center" shrinkToFit="1"/>
    </xf>
    <xf numFmtId="166" fontId="50" fillId="0" borderId="0" xfId="28" applyFont="1" applyAlignment="1"/>
    <xf numFmtId="166" fontId="57" fillId="0" borderId="0" xfId="28" applyFont="1" applyAlignment="1"/>
    <xf numFmtId="166" fontId="10" fillId="0" borderId="9" xfId="0" applyNumberFormat="1" applyFont="1" applyBorder="1" applyAlignment="1">
      <alignment horizontal="center" vertical="center" shrinkToFit="1"/>
    </xf>
    <xf numFmtId="3" fontId="10" fillId="0" borderId="17" xfId="28" applyNumberFormat="1" applyFont="1" applyFill="1" applyBorder="1" applyAlignment="1">
      <alignment horizontal="center" vertical="center" shrinkToFit="1"/>
    </xf>
    <xf numFmtId="3" fontId="9" fillId="0" borderId="0" xfId="0" applyNumberFormat="1" applyFont="1"/>
    <xf numFmtId="0" fontId="38" fillId="0" borderId="0" xfId="61" applyFont="1" applyAlignment="1">
      <alignment horizontal="center" vertical="center" wrapText="1"/>
    </xf>
    <xf numFmtId="0" fontId="37" fillId="0" borderId="0" xfId="61" applyFont="1" applyAlignment="1">
      <alignment horizontal="center" vertical="center"/>
    </xf>
    <xf numFmtId="3" fontId="54" fillId="0" borderId="9" xfId="0" applyNumberFormat="1" applyFont="1" applyBorder="1" applyAlignment="1">
      <alignment horizontal="center" vertical="center"/>
    </xf>
    <xf numFmtId="3" fontId="51" fillId="0" borderId="0" xfId="62" applyNumberFormat="1" applyFont="1" applyFill="1" applyAlignment="1">
      <alignment horizontal="center" vertical="center"/>
    </xf>
    <xf numFmtId="166" fontId="67" fillId="0" borderId="0" xfId="62" applyFont="1" applyFill="1" applyAlignment="1">
      <alignment horizontal="center" vertical="center"/>
    </xf>
    <xf numFmtId="166" fontId="38" fillId="0" borderId="0" xfId="62" applyFont="1" applyFill="1" applyAlignment="1">
      <alignment horizontal="center" vertical="center"/>
    </xf>
    <xf numFmtId="49" fontId="60" fillId="0" borderId="9" xfId="0" applyNumberFormat="1" applyFont="1" applyBorder="1" applyAlignment="1">
      <alignment horizontal="center" vertical="center" wrapText="1"/>
    </xf>
    <xf numFmtId="1" fontId="81" fillId="0" borderId="9" xfId="0" applyNumberFormat="1" applyFont="1" applyBorder="1" applyAlignment="1">
      <alignment horizontal="center"/>
    </xf>
    <xf numFmtId="1" fontId="60" fillId="0" borderId="19" xfId="0" applyNumberFormat="1" applyFont="1" applyBorder="1" applyAlignment="1">
      <alignment horizontal="center" wrapText="1"/>
    </xf>
    <xf numFmtId="1" fontId="73" fillId="25" borderId="9" xfId="0" applyNumberFormat="1" applyFont="1" applyFill="1" applyBorder="1" applyAlignment="1">
      <alignment horizontal="center" vertical="center" wrapText="1"/>
    </xf>
    <xf numFmtId="1" fontId="81" fillId="0" borderId="18" xfId="0" applyNumberFormat="1" applyFont="1" applyBorder="1" applyAlignment="1">
      <alignment horizontal="center"/>
    </xf>
    <xf numFmtId="1" fontId="82" fillId="0" borderId="0" xfId="0" applyNumberFormat="1" applyFont="1" applyAlignment="1">
      <alignment horizontal="center"/>
    </xf>
    <xf numFmtId="166" fontId="60" fillId="0" borderId="9" xfId="28" applyFont="1" applyFill="1" applyBorder="1" applyAlignment="1">
      <alignment horizontal="center" vertical="center"/>
    </xf>
    <xf numFmtId="166" fontId="60" fillId="0" borderId="15" xfId="28" applyFont="1" applyFill="1" applyBorder="1" applyAlignment="1">
      <alignment horizontal="center" vertical="center"/>
    </xf>
    <xf numFmtId="0" fontId="44" fillId="0" borderId="0" xfId="6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61" applyFont="1" applyAlignment="1">
      <alignment horizontal="center" vertical="center"/>
    </xf>
    <xf numFmtId="0" fontId="50" fillId="0" borderId="0" xfId="61" applyFont="1" applyAlignment="1">
      <alignment horizontal="center" vertical="center"/>
    </xf>
    <xf numFmtId="0" fontId="77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37" fillId="0" borderId="9" xfId="0" applyFont="1" applyBorder="1" applyAlignment="1">
      <alignment horizontal="left" vertical="top" wrapText="1"/>
    </xf>
    <xf numFmtId="173" fontId="37" fillId="0" borderId="9" xfId="28" applyNumberFormat="1" applyFont="1" applyFill="1" applyBorder="1" applyAlignment="1">
      <alignment horizontal="center" vertical="center" wrapText="1"/>
    </xf>
    <xf numFmtId="0" fontId="37" fillId="0" borderId="18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top"/>
    </xf>
    <xf numFmtId="0" fontId="37" fillId="0" borderId="9" xfId="0" applyFont="1" applyBorder="1" applyAlignment="1">
      <alignment horizontal="left" vertical="center"/>
    </xf>
    <xf numFmtId="173" fontId="37" fillId="0" borderId="9" xfId="28" applyNumberFormat="1" applyFont="1" applyFill="1" applyBorder="1" applyAlignment="1">
      <alignment horizontal="left" vertical="center" wrapText="1"/>
    </xf>
    <xf numFmtId="0" fontId="10" fillId="26" borderId="9" xfId="0" applyFont="1" applyFill="1" applyBorder="1" applyAlignment="1">
      <alignment horizontal="center" vertical="center" wrapText="1"/>
    </xf>
    <xf numFmtId="0" fontId="4" fillId="26" borderId="9" xfId="0" applyFont="1" applyFill="1" applyBorder="1" applyAlignment="1">
      <alignment vertical="center" wrapText="1"/>
    </xf>
    <xf numFmtId="166" fontId="4" fillId="26" borderId="9" xfId="28" applyFont="1" applyFill="1" applyBorder="1" applyAlignment="1">
      <alignment horizontal="center" vertical="center"/>
    </xf>
    <xf numFmtId="1" fontId="79" fillId="26" borderId="9" xfId="0" applyNumberFormat="1" applyFont="1" applyFill="1" applyBorder="1" applyAlignment="1">
      <alignment horizontal="center"/>
    </xf>
    <xf numFmtId="165" fontId="10" fillId="26" borderId="9" xfId="28" applyNumberFormat="1" applyFont="1" applyFill="1" applyBorder="1" applyAlignment="1">
      <alignment vertical="center"/>
    </xf>
    <xf numFmtId="3" fontId="10" fillId="26" borderId="9" xfId="28" applyNumberFormat="1" applyFont="1" applyFill="1" applyBorder="1" applyAlignment="1">
      <alignment horizontal="center" vertical="center"/>
    </xf>
    <xf numFmtId="165" fontId="10" fillId="26" borderId="9" xfId="0" applyNumberFormat="1" applyFont="1" applyFill="1" applyBorder="1"/>
    <xf numFmtId="165" fontId="37" fillId="26" borderId="0" xfId="0" applyNumberFormat="1" applyFont="1" applyFill="1" applyAlignment="1">
      <alignment horizontal="left" vertical="center"/>
    </xf>
    <xf numFmtId="165" fontId="37" fillId="26" borderId="0" xfId="0" applyNumberFormat="1" applyFont="1" applyFill="1" applyAlignment="1">
      <alignment vertical="center"/>
    </xf>
    <xf numFmtId="0" fontId="37" fillId="26" borderId="0" xfId="0" applyFont="1" applyFill="1"/>
    <xf numFmtId="0" fontId="10" fillId="27" borderId="9" xfId="0" applyFont="1" applyFill="1" applyBorder="1" applyAlignment="1">
      <alignment horizontal="center" vertical="center" wrapText="1"/>
    </xf>
    <xf numFmtId="0" fontId="4" fillId="27" borderId="9" xfId="0" applyFont="1" applyFill="1" applyBorder="1" applyAlignment="1">
      <alignment vertical="center" wrapText="1"/>
    </xf>
    <xf numFmtId="166" fontId="4" fillId="27" borderId="9" xfId="28" applyFont="1" applyFill="1" applyBorder="1" applyAlignment="1">
      <alignment horizontal="center" vertical="center"/>
    </xf>
    <xf numFmtId="1" fontId="79" fillId="27" borderId="9" xfId="0" applyNumberFormat="1" applyFont="1" applyFill="1" applyBorder="1" applyAlignment="1">
      <alignment horizontal="center"/>
    </xf>
    <xf numFmtId="165" fontId="10" fillId="27" borderId="9" xfId="28" applyNumberFormat="1" applyFont="1" applyFill="1" applyBorder="1" applyAlignment="1">
      <alignment vertical="center"/>
    </xf>
    <xf numFmtId="3" fontId="10" fillId="27" borderId="9" xfId="28" applyNumberFormat="1" applyFont="1" applyFill="1" applyBorder="1" applyAlignment="1">
      <alignment horizontal="center" vertical="center"/>
    </xf>
    <xf numFmtId="165" fontId="10" fillId="27" borderId="9" xfId="0" applyNumberFormat="1" applyFont="1" applyFill="1" applyBorder="1"/>
    <xf numFmtId="165" fontId="37" fillId="27" borderId="0" xfId="0" applyNumberFormat="1" applyFont="1" applyFill="1" applyAlignment="1">
      <alignment horizontal="left" vertical="center"/>
    </xf>
    <xf numFmtId="165" fontId="37" fillId="27" borderId="0" xfId="0" applyNumberFormat="1" applyFont="1" applyFill="1" applyAlignment="1">
      <alignment vertical="center"/>
    </xf>
    <xf numFmtId="0" fontId="37" fillId="27" borderId="0" xfId="0" applyFont="1" applyFill="1"/>
    <xf numFmtId="0" fontId="10" fillId="28" borderId="9" xfId="0" applyFont="1" applyFill="1" applyBorder="1" applyAlignment="1">
      <alignment horizontal="center" vertical="center" wrapText="1"/>
    </xf>
    <xf numFmtId="0" fontId="4" fillId="28" borderId="9" xfId="0" applyFont="1" applyFill="1" applyBorder="1" applyAlignment="1">
      <alignment vertical="center" wrapText="1"/>
    </xf>
    <xf numFmtId="166" fontId="4" fillId="28" borderId="9" xfId="28" applyFont="1" applyFill="1" applyBorder="1" applyAlignment="1">
      <alignment horizontal="center" vertical="center"/>
    </xf>
    <xf numFmtId="1" fontId="79" fillId="28" borderId="9" xfId="0" applyNumberFormat="1" applyFont="1" applyFill="1" applyBorder="1" applyAlignment="1">
      <alignment horizontal="center"/>
    </xf>
    <xf numFmtId="165" fontId="10" fillId="28" borderId="9" xfId="28" applyNumberFormat="1" applyFont="1" applyFill="1" applyBorder="1" applyAlignment="1">
      <alignment vertical="center"/>
    </xf>
    <xf numFmtId="3" fontId="10" fillId="28" borderId="9" xfId="28" applyNumberFormat="1" applyFont="1" applyFill="1" applyBorder="1" applyAlignment="1">
      <alignment horizontal="center" vertical="center"/>
    </xf>
    <xf numFmtId="165" fontId="10" fillId="28" borderId="9" xfId="0" applyNumberFormat="1" applyFont="1" applyFill="1" applyBorder="1"/>
    <xf numFmtId="165" fontId="37" fillId="28" borderId="0" xfId="0" applyNumberFormat="1" applyFont="1" applyFill="1" applyAlignment="1">
      <alignment horizontal="left" vertical="center"/>
    </xf>
    <xf numFmtId="165" fontId="37" fillId="28" borderId="0" xfId="0" applyNumberFormat="1" applyFont="1" applyFill="1" applyAlignment="1">
      <alignment vertical="center"/>
    </xf>
    <xf numFmtId="0" fontId="37" fillId="28" borderId="0" xfId="0" applyFont="1" applyFill="1"/>
    <xf numFmtId="49" fontId="37" fillId="0" borderId="9" xfId="0" applyNumberFormat="1" applyFont="1" applyBorder="1" applyAlignment="1">
      <alignment horizontal="center" vertical="center"/>
    </xf>
    <xf numFmtId="0" fontId="37" fillId="0" borderId="9" xfId="0" applyFont="1" applyBorder="1" applyAlignment="1">
      <alignment horizontal="center" vertical="center"/>
    </xf>
    <xf numFmtId="3" fontId="37" fillId="0" borderId="9" xfId="0" applyNumberFormat="1" applyFont="1" applyBorder="1" applyAlignment="1">
      <alignment vertical="center"/>
    </xf>
    <xf numFmtId="0" fontId="37" fillId="0" borderId="9" xfId="71" applyFont="1" applyBorder="1" applyAlignment="1">
      <alignment horizontal="center" vertical="center" wrapText="1"/>
    </xf>
    <xf numFmtId="0" fontId="57" fillId="0" borderId="0" xfId="0" applyFont="1" applyAlignment="1">
      <alignment horizontal="center"/>
    </xf>
    <xf numFmtId="0" fontId="57" fillId="0" borderId="0" xfId="0" applyFont="1" applyAlignment="1">
      <alignment horizontal="center" wrapText="1"/>
    </xf>
    <xf numFmtId="0" fontId="4" fillId="0" borderId="0" xfId="61" applyFont="1" applyAlignment="1">
      <alignment horizontal="center"/>
    </xf>
    <xf numFmtId="0" fontId="5" fillId="0" borderId="0" xfId="61" applyFont="1" applyAlignment="1">
      <alignment horizontal="center"/>
    </xf>
    <xf numFmtId="3" fontId="64" fillId="0" borderId="0" xfId="61" applyNumberFormat="1" applyFont="1" applyAlignment="1">
      <alignment horizontal="center"/>
    </xf>
    <xf numFmtId="0" fontId="6" fillId="0" borderId="0" xfId="61" applyFont="1" applyAlignment="1">
      <alignment horizontal="center"/>
    </xf>
    <xf numFmtId="3" fontId="50" fillId="0" borderId="0" xfId="62" applyNumberFormat="1" applyFont="1" applyFill="1" applyBorder="1" applyAlignment="1">
      <alignment horizontal="center"/>
    </xf>
    <xf numFmtId="3" fontId="57" fillId="0" borderId="0" xfId="62" applyNumberFormat="1" applyFont="1" applyFill="1" applyAlignment="1">
      <alignment horizontal="center"/>
    </xf>
    <xf numFmtId="0" fontId="54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6" fontId="50" fillId="0" borderId="0" xfId="28" applyFont="1" applyAlignment="1">
      <alignment horizontal="center"/>
    </xf>
    <xf numFmtId="0" fontId="50" fillId="0" borderId="0" xfId="0" applyFont="1" applyAlignment="1">
      <alignment horizontal="center"/>
    </xf>
    <xf numFmtId="166" fontId="37" fillId="0" borderId="0" xfId="28" applyFont="1" applyAlignment="1">
      <alignment horizontal="center"/>
    </xf>
    <xf numFmtId="0" fontId="44" fillId="0" borderId="0" xfId="0" applyFont="1" applyAlignment="1">
      <alignment horizontal="center"/>
    </xf>
    <xf numFmtId="166" fontId="44" fillId="0" borderId="0" xfId="28" applyFont="1" applyAlignment="1">
      <alignment horizontal="center"/>
    </xf>
    <xf numFmtId="0" fontId="65" fillId="0" borderId="0" xfId="0" applyFont="1" applyAlignment="1">
      <alignment horizontal="center"/>
    </xf>
    <xf numFmtId="166" fontId="65" fillId="0" borderId="0" xfId="28" applyFont="1" applyAlignment="1">
      <alignment horizontal="center"/>
    </xf>
    <xf numFmtId="0" fontId="42" fillId="0" borderId="0" xfId="0" applyFont="1" applyAlignment="1">
      <alignment horizontal="center"/>
    </xf>
    <xf numFmtId="0" fontId="10" fillId="0" borderId="0" xfId="61" applyFont="1" applyAlignment="1">
      <alignment horizontal="center"/>
    </xf>
    <xf numFmtId="0" fontId="50" fillId="0" borderId="0" xfId="61" applyFont="1" applyAlignment="1">
      <alignment horizontal="center"/>
    </xf>
    <xf numFmtId="3" fontId="6" fillId="0" borderId="0" xfId="61" applyNumberFormat="1" applyFont="1" applyAlignment="1">
      <alignment horizontal="center"/>
    </xf>
    <xf numFmtId="0" fontId="57" fillId="0" borderId="0" xfId="61" applyFont="1" applyAlignment="1">
      <alignment horizontal="center"/>
    </xf>
    <xf numFmtId="3" fontId="57" fillId="0" borderId="0" xfId="28" applyNumberFormat="1" applyFont="1" applyFill="1" applyAlignment="1">
      <alignment horizontal="center"/>
    </xf>
    <xf numFmtId="0" fontId="57" fillId="0" borderId="0" xfId="0" applyFont="1" applyAlignment="1">
      <alignment horizontal="center" vertical="center" wrapText="1"/>
    </xf>
    <xf numFmtId="3" fontId="57" fillId="0" borderId="13" xfId="28" applyNumberFormat="1" applyFont="1" applyFill="1" applyBorder="1" applyAlignment="1">
      <alignment horizontal="center"/>
    </xf>
    <xf numFmtId="166" fontId="50" fillId="0" borderId="0" xfId="28" applyFont="1" applyAlignment="1">
      <alignment horizontal="center" vertical="center"/>
    </xf>
    <xf numFmtId="166" fontId="57" fillId="0" borderId="0" xfId="28" applyFont="1" applyAlignment="1">
      <alignment horizontal="center"/>
    </xf>
    <xf numFmtId="3" fontId="50" fillId="0" borderId="13" xfId="28" applyNumberFormat="1" applyFont="1" applyFill="1" applyBorder="1" applyAlignment="1">
      <alignment horizontal="center"/>
    </xf>
    <xf numFmtId="3" fontId="50" fillId="0" borderId="0" xfId="28" applyNumberFormat="1" applyFont="1" applyFill="1" applyBorder="1" applyAlignment="1">
      <alignment horizontal="center"/>
    </xf>
    <xf numFmtId="0" fontId="50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top"/>
    </xf>
    <xf numFmtId="3" fontId="10" fillId="0" borderId="0" xfId="0" applyNumberFormat="1" applyFont="1" applyAlignment="1">
      <alignment horizontal="center" vertical="top"/>
    </xf>
    <xf numFmtId="3" fontId="10" fillId="0" borderId="0" xfId="28" applyNumberFormat="1" applyFont="1" applyFill="1" applyAlignment="1">
      <alignment horizontal="center" wrapText="1"/>
    </xf>
    <xf numFmtId="0" fontId="63" fillId="0" borderId="9" xfId="0" applyFont="1" applyBorder="1" applyAlignment="1">
      <alignment horizontal="center" vertical="center" wrapText="1"/>
    </xf>
    <xf numFmtId="0" fontId="63" fillId="0" borderId="9" xfId="0" applyFont="1" applyBorder="1" applyAlignment="1">
      <alignment horizontal="center" vertical="center" wrapText="1" shrinkToFit="1"/>
    </xf>
    <xf numFmtId="3" fontId="6" fillId="0" borderId="0" xfId="61" applyNumberFormat="1" applyFont="1" applyAlignment="1">
      <alignment horizontal="center" vertical="center"/>
    </xf>
    <xf numFmtId="3" fontId="50" fillId="0" borderId="14" xfId="61" applyNumberFormat="1" applyFont="1" applyBorder="1" applyAlignment="1">
      <alignment horizontal="center" vertical="center"/>
    </xf>
    <xf numFmtId="0" fontId="62" fillId="0" borderId="0" xfId="0" applyFont="1" applyAlignment="1">
      <alignment horizontal="center"/>
    </xf>
    <xf numFmtId="0" fontId="5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 wrapText="1"/>
    </xf>
    <xf numFmtId="3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/>
    </xf>
    <xf numFmtId="166" fontId="63" fillId="0" borderId="0" xfId="28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43" applyFont="1" applyAlignment="1">
      <alignment horizontal="center"/>
    </xf>
    <xf numFmtId="0" fontId="66" fillId="0" borderId="0" xfId="43" applyFont="1" applyAlignment="1">
      <alignment horizontal="center"/>
    </xf>
    <xf numFmtId="0" fontId="7" fillId="0" borderId="0" xfId="43" applyFont="1" applyAlignment="1">
      <alignment horizontal="center"/>
    </xf>
    <xf numFmtId="166" fontId="12" fillId="0" borderId="0" xfId="29" applyFont="1" applyAlignment="1">
      <alignment horizontal="center"/>
    </xf>
    <xf numFmtId="0" fontId="4" fillId="0" borderId="0" xfId="0" applyFont="1" applyAlignment="1">
      <alignment horizontal="center" shrinkToFit="1"/>
    </xf>
    <xf numFmtId="0" fontId="5" fillId="0" borderId="0" xfId="0" applyFont="1" applyAlignment="1">
      <alignment horizontal="center" shrinkToFit="1"/>
    </xf>
    <xf numFmtId="0" fontId="57" fillId="0" borderId="0" xfId="0" applyFont="1" applyAlignment="1">
      <alignment horizontal="center" shrinkToFit="1"/>
    </xf>
    <xf numFmtId="0" fontId="50" fillId="0" borderId="0" xfId="0" applyFont="1" applyAlignment="1">
      <alignment horizontal="left" vertical="center" shrinkToFit="1"/>
    </xf>
    <xf numFmtId="166" fontId="57" fillId="0" borderId="0" xfId="28" applyFont="1" applyAlignment="1">
      <alignment horizontal="center" vertical="center" shrinkToFit="1"/>
    </xf>
    <xf numFmtId="0" fontId="57" fillId="0" borderId="0" xfId="0" applyFont="1" applyAlignment="1">
      <alignment horizontal="center" vertical="center" shrinkToFit="1"/>
    </xf>
    <xf numFmtId="166" fontId="57" fillId="0" borderId="0" xfId="28" applyFont="1" applyAlignment="1">
      <alignment horizontal="center" shrinkToFit="1"/>
    </xf>
    <xf numFmtId="166" fontId="10" fillId="0" borderId="0" xfId="28" applyFont="1" applyAlignment="1">
      <alignment horizontal="center"/>
    </xf>
    <xf numFmtId="0" fontId="50" fillId="0" borderId="15" xfId="0" applyFont="1" applyBorder="1" applyAlignment="1">
      <alignment horizontal="center" vertical="center" shrinkToFit="1"/>
    </xf>
    <xf numFmtId="0" fontId="50" fillId="0" borderId="16" xfId="0" applyFont="1" applyBorder="1" applyAlignment="1">
      <alignment horizontal="center" vertical="center" shrinkToFit="1"/>
    </xf>
    <xf numFmtId="0" fontId="50" fillId="0" borderId="17" xfId="0" applyFont="1" applyBorder="1" applyAlignment="1">
      <alignment horizontal="center" vertical="center" shrinkToFit="1"/>
    </xf>
    <xf numFmtId="0" fontId="4" fillId="0" borderId="0" xfId="0" applyFont="1" applyAlignment="1">
      <alignment horizontal="left" shrinkToFit="1"/>
    </xf>
    <xf numFmtId="0" fontId="5" fillId="0" borderId="0" xfId="0" applyFont="1" applyAlignment="1">
      <alignment horizontal="left" shrinkToFit="1"/>
    </xf>
    <xf numFmtId="0" fontId="44" fillId="0" borderId="0" xfId="0" applyFont="1" applyAlignment="1">
      <alignment horizontal="left" shrinkToFit="1"/>
    </xf>
    <xf numFmtId="0" fontId="50" fillId="0" borderId="13" xfId="0" applyFont="1" applyBorder="1" applyAlignment="1">
      <alignment horizontal="center" vertical="center" shrinkToFit="1"/>
    </xf>
  </cellXfs>
  <cellStyles count="7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omma" xfId="28" builtinId="3"/>
    <cellStyle name="Comma 2" xfId="29" xr:uid="{00000000-0005-0000-0000-00001B000000}"/>
    <cellStyle name="Comma 2 2" xfId="64" xr:uid="{EEEE3EC9-2F79-463A-AACE-305B744CA0D7}"/>
    <cellStyle name="Comma 3" xfId="62" xr:uid="{00000000-0005-0000-0000-00001C000000}"/>
    <cellStyle name="Comma 3 2" xfId="72" xr:uid="{62B19156-1EE2-4F8D-A4FB-B7E13CDA85A3}"/>
    <cellStyle name="Comma 4" xfId="63" xr:uid="{2E40234C-35C5-4DA1-BD6C-4DC357CE6B21}"/>
    <cellStyle name="Comma0" xfId="30" xr:uid="{00000000-0005-0000-0000-00001D000000}"/>
    <cellStyle name="Comma0 2" xfId="65" xr:uid="{AD3A8F31-C0F6-49EC-AF4F-DC40655A1899}"/>
    <cellStyle name="Currency0" xfId="31" xr:uid="{00000000-0005-0000-0000-00001E000000}"/>
    <cellStyle name="Currency0 2" xfId="66" xr:uid="{E6834E57-4504-4423-9510-1624EC7ED038}"/>
    <cellStyle name="Check Cell" xfId="27" builtinId="23" customBuiltin="1"/>
    <cellStyle name="Date" xfId="32" xr:uid="{00000000-0005-0000-0000-000020000000}"/>
    <cellStyle name="Date 2" xfId="67" xr:uid="{586E5136-6382-487E-96CE-ACBD86BEFC3C}"/>
    <cellStyle name="Explanatory Text" xfId="33" builtinId="53" customBuiltin="1"/>
    <cellStyle name="Fixed" xfId="34" xr:uid="{00000000-0005-0000-0000-000022000000}"/>
    <cellStyle name="Fixed 2" xfId="68" xr:uid="{F965C987-6641-49D9-8884-2F1B5E7B7769}"/>
    <cellStyle name="Good" xfId="35" builtinId="26" customBuiltin="1"/>
    <cellStyle name="Heading 1" xfId="36" builtinId="16" customBuiltin="1"/>
    <cellStyle name="Heading 2" xfId="37" builtinId="17" customBuiltin="1"/>
    <cellStyle name="Heading 3" xfId="38" builtinId="18" customBuiltin="1"/>
    <cellStyle name="Heading 4" xfId="39" builtinId="19" customBuiltin="1"/>
    <cellStyle name="Input" xfId="40" builtinId="20" customBuiltin="1"/>
    <cellStyle name="Linked Cell" xfId="41" builtinId="24" customBuiltin="1"/>
    <cellStyle name="Neutral" xfId="42" builtinId="28" customBuiltin="1"/>
    <cellStyle name="Normal" xfId="0" builtinId="0"/>
    <cellStyle name="Normal 2" xfId="43" xr:uid="{00000000-0005-0000-0000-00002C000000}"/>
    <cellStyle name="Normal 2 2" xfId="69" xr:uid="{74551A7F-3681-4C57-892F-9FE823749A4C}"/>
    <cellStyle name="Normal 3" xfId="61" xr:uid="{00000000-0005-0000-0000-00002D000000}"/>
    <cellStyle name="Normal 3 2" xfId="71" xr:uid="{740C27F8-73F5-4531-B504-F6A6B2DC6C2C}"/>
    <cellStyle name="Normal_GOI_NGOAI 8_22013" xfId="44" xr:uid="{00000000-0005-0000-0000-00002E000000}"/>
    <cellStyle name="Note" xfId="45" builtinId="10" customBuiltin="1"/>
    <cellStyle name="Output" xfId="46" builtinId="21" customBuiltin="1"/>
    <cellStyle name="Title" xfId="47" builtinId="15" customBuiltin="1"/>
    <cellStyle name="Total" xfId="48" builtinId="25" customBuiltin="1"/>
    <cellStyle name="Total 2" xfId="70" xr:uid="{E2048853-1894-464F-893A-A24ABA5D3252}"/>
    <cellStyle name="Warning Text" xfId="49" builtinId="11" customBuiltin="1"/>
    <cellStyle name="똿뗦먛귟 [0.00]_PRODUCT DETAIL Q1" xfId="50" xr:uid="{00000000-0005-0000-0000-000034000000}"/>
    <cellStyle name="똿뗦먛귟_PRODUCT DETAIL Q1" xfId="51" xr:uid="{00000000-0005-0000-0000-000035000000}"/>
    <cellStyle name="믅됞 [0.00]_PRODUCT DETAIL Q1" xfId="52" xr:uid="{00000000-0005-0000-0000-000036000000}"/>
    <cellStyle name="믅됞_PRODUCT DETAIL Q1" xfId="53" xr:uid="{00000000-0005-0000-0000-000037000000}"/>
    <cellStyle name="백분율_HOBONG" xfId="54" xr:uid="{00000000-0005-0000-0000-000038000000}"/>
    <cellStyle name="뷭?_BOOKSHIP" xfId="55" xr:uid="{00000000-0005-0000-0000-000039000000}"/>
    <cellStyle name="콤마 [0]_1202" xfId="56" xr:uid="{00000000-0005-0000-0000-00003A000000}"/>
    <cellStyle name="콤마_1202" xfId="57" xr:uid="{00000000-0005-0000-0000-00003B000000}"/>
    <cellStyle name="통화 [0]_1202" xfId="58" xr:uid="{00000000-0005-0000-0000-00003C000000}"/>
    <cellStyle name="통화_1202" xfId="59" xr:uid="{00000000-0005-0000-0000-00003D000000}"/>
    <cellStyle name="표준_(정보부문)월별인원계획" xfId="60" xr:uid="{00000000-0005-0000-0000-00003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1</xdr:row>
      <xdr:rowOff>200025</xdr:rowOff>
    </xdr:from>
    <xdr:to>
      <xdr:col>1</xdr:col>
      <xdr:colOff>1400175</xdr:colOff>
      <xdr:row>1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571500" y="409575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</xdr:row>
      <xdr:rowOff>200025</xdr:rowOff>
    </xdr:from>
    <xdr:to>
      <xdr:col>1</xdr:col>
      <xdr:colOff>1076325</xdr:colOff>
      <xdr:row>1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628650" y="409575"/>
          <a:ext cx="9239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2</xdr:row>
      <xdr:rowOff>9525</xdr:rowOff>
    </xdr:from>
    <xdr:to>
      <xdr:col>1</xdr:col>
      <xdr:colOff>1352550</xdr:colOff>
      <xdr:row>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723900" y="428625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247650</xdr:colOff>
      <xdr:row>1</xdr:row>
      <xdr:rowOff>228600</xdr:rowOff>
    </xdr:from>
    <xdr:to>
      <xdr:col>1</xdr:col>
      <xdr:colOff>1200150</xdr:colOff>
      <xdr:row>1</xdr:row>
      <xdr:rowOff>228600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CxnSpPr/>
      </xdr:nvCxnSpPr>
      <xdr:spPr>
        <a:xfrm>
          <a:off x="561975" y="428625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609600</xdr:colOff>
      <xdr:row>2</xdr:row>
      <xdr:rowOff>9525</xdr:rowOff>
    </xdr:from>
    <xdr:to>
      <xdr:col>1</xdr:col>
      <xdr:colOff>1733550</xdr:colOff>
      <xdr:row>2</xdr:row>
      <xdr:rowOff>9526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CxnSpPr/>
      </xdr:nvCxnSpPr>
      <xdr:spPr>
        <a:xfrm>
          <a:off x="1114425" y="533400"/>
          <a:ext cx="1123950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790575</xdr:colOff>
      <xdr:row>2</xdr:row>
      <xdr:rowOff>19050</xdr:rowOff>
    </xdr:from>
    <xdr:to>
      <xdr:col>2</xdr:col>
      <xdr:colOff>133350</xdr:colOff>
      <xdr:row>2</xdr:row>
      <xdr:rowOff>19051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CxnSpPr/>
      </xdr:nvCxnSpPr>
      <xdr:spPr>
        <a:xfrm flipV="1">
          <a:off x="1266825" y="438150"/>
          <a:ext cx="752475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0"/>
  </sheetPr>
  <dimension ref="A1:V84"/>
  <sheetViews>
    <sheetView tabSelected="1" zoomScaleNormal="100" zoomScaleSheetLayoutView="100" workbookViewId="0">
      <pane xSplit="7" ySplit="6" topLeftCell="H30" activePane="bottomRight" state="frozen"/>
      <selection pane="topRight" activeCell="H1" sqref="H1"/>
      <selection pane="bottomLeft" activeCell="A7" sqref="A7"/>
      <selection pane="bottomRight" activeCell="V73" sqref="V73"/>
    </sheetView>
  </sheetViews>
  <sheetFormatPr defaultColWidth="3.44140625" defaultRowHeight="13.2"/>
  <cols>
    <col min="1" max="1" width="4.5546875" style="37" customWidth="1"/>
    <col min="2" max="2" width="11" style="160" customWidth="1"/>
    <col min="3" max="3" width="17" style="156" customWidth="1"/>
    <col min="4" max="4" width="5.109375" style="157" customWidth="1"/>
    <col min="5" max="5" width="4.6640625" style="157" customWidth="1"/>
    <col min="6" max="6" width="19.33203125" style="156" customWidth="1"/>
    <col min="7" max="7" width="6.6640625" style="163" customWidth="1"/>
    <col min="8" max="8" width="11.88671875" style="405" customWidth="1"/>
    <col min="9" max="9" width="9.109375" style="84" customWidth="1"/>
    <col min="10" max="10" width="10.5546875" style="85" customWidth="1"/>
    <col min="11" max="11" width="9.6640625" style="283" customWidth="1"/>
    <col min="12" max="12" width="10.44140625" style="85" customWidth="1"/>
    <col min="13" max="13" width="9.6640625" style="163" customWidth="1"/>
    <col min="14" max="14" width="10.109375" style="85" customWidth="1"/>
    <col min="15" max="15" width="9.6640625" style="281" customWidth="1"/>
    <col min="16" max="16" width="10.33203125" style="85" customWidth="1"/>
    <col min="17" max="17" width="10.44140625" style="85" customWidth="1"/>
    <col min="18" max="18" width="12" style="97" bestFit="1" customWidth="1"/>
    <col min="19" max="22" width="9.109375" style="37" customWidth="1"/>
    <col min="23" max="32" width="3.44140625" style="37"/>
    <col min="33" max="33" width="3.44140625" style="37" customWidth="1"/>
    <col min="34" max="254" width="9.109375" style="37" customWidth="1"/>
    <col min="255" max="255" width="3.44140625" style="37" customWidth="1"/>
    <col min="256" max="256" width="9.109375" style="37" customWidth="1"/>
    <col min="257" max="258" width="26.88671875" style="37" customWidth="1"/>
    <col min="259" max="259" width="16.88671875" style="37" customWidth="1"/>
    <col min="260" max="261" width="4.5546875" style="37" customWidth="1"/>
    <col min="262" max="262" width="20.5546875" style="37" customWidth="1"/>
    <col min="263" max="263" width="6.109375" style="37" customWidth="1"/>
    <col min="264" max="265" width="14.6640625" style="37" customWidth="1"/>
    <col min="266" max="266" width="13.88671875" style="37" customWidth="1"/>
    <col min="267" max="267" width="7.109375" style="37" customWidth="1"/>
    <col min="268" max="268" width="11.88671875" style="37" customWidth="1"/>
    <col min="269" max="269" width="6.33203125" style="37" customWidth="1"/>
    <col min="270" max="270" width="11.109375" style="37" customWidth="1"/>
    <col min="271" max="271" width="7.5546875" style="37" customWidth="1"/>
    <col min="272" max="272" width="8.5546875" style="37" customWidth="1"/>
    <col min="273" max="273" width="13.6640625" style="37" customWidth="1"/>
    <col min="274" max="274" width="13.44140625" style="37" customWidth="1"/>
    <col min="275" max="278" width="9.109375" style="37" customWidth="1"/>
    <col min="279" max="288" width="3.44140625" style="37"/>
    <col min="289" max="289" width="3.44140625" style="37" customWidth="1"/>
    <col min="290" max="510" width="9.109375" style="37" customWidth="1"/>
    <col min="511" max="511" width="3.44140625" style="37" customWidth="1"/>
    <col min="512" max="512" width="9.109375" style="37" customWidth="1"/>
    <col min="513" max="514" width="26.88671875" style="37" customWidth="1"/>
    <col min="515" max="515" width="16.88671875" style="37" customWidth="1"/>
    <col min="516" max="517" width="4.5546875" style="37" customWidth="1"/>
    <col min="518" max="518" width="20.5546875" style="37" customWidth="1"/>
    <col min="519" max="519" width="6.109375" style="37" customWidth="1"/>
    <col min="520" max="521" width="14.6640625" style="37" customWidth="1"/>
    <col min="522" max="522" width="13.88671875" style="37" customWidth="1"/>
    <col min="523" max="523" width="7.109375" style="37" customWidth="1"/>
    <col min="524" max="524" width="11.88671875" style="37" customWidth="1"/>
    <col min="525" max="525" width="6.33203125" style="37" customWidth="1"/>
    <col min="526" max="526" width="11.109375" style="37" customWidth="1"/>
    <col min="527" max="527" width="7.5546875" style="37" customWidth="1"/>
    <col min="528" max="528" width="8.5546875" style="37" customWidth="1"/>
    <col min="529" max="529" width="13.6640625" style="37" customWidth="1"/>
    <col min="530" max="530" width="13.44140625" style="37" customWidth="1"/>
    <col min="531" max="534" width="9.109375" style="37" customWidth="1"/>
    <col min="535" max="544" width="3.44140625" style="37"/>
    <col min="545" max="545" width="3.44140625" style="37" customWidth="1"/>
    <col min="546" max="766" width="9.109375" style="37" customWidth="1"/>
    <col min="767" max="767" width="3.44140625" style="37" customWidth="1"/>
    <col min="768" max="768" width="9.109375" style="37" customWidth="1"/>
    <col min="769" max="770" width="26.88671875" style="37" customWidth="1"/>
    <col min="771" max="771" width="16.88671875" style="37" customWidth="1"/>
    <col min="772" max="773" width="4.5546875" style="37" customWidth="1"/>
    <col min="774" max="774" width="20.5546875" style="37" customWidth="1"/>
    <col min="775" max="775" width="6.109375" style="37" customWidth="1"/>
    <col min="776" max="777" width="14.6640625" style="37" customWidth="1"/>
    <col min="778" max="778" width="13.88671875" style="37" customWidth="1"/>
    <col min="779" max="779" width="7.109375" style="37" customWidth="1"/>
    <col min="780" max="780" width="11.88671875" style="37" customWidth="1"/>
    <col min="781" max="781" width="6.33203125" style="37" customWidth="1"/>
    <col min="782" max="782" width="11.109375" style="37" customWidth="1"/>
    <col min="783" max="783" width="7.5546875" style="37" customWidth="1"/>
    <col min="784" max="784" width="8.5546875" style="37" customWidth="1"/>
    <col min="785" max="785" width="13.6640625" style="37" customWidth="1"/>
    <col min="786" max="786" width="13.44140625" style="37" customWidth="1"/>
    <col min="787" max="790" width="9.109375" style="37" customWidth="1"/>
    <col min="791" max="800" width="3.44140625" style="37"/>
    <col min="801" max="801" width="3.44140625" style="37" customWidth="1"/>
    <col min="802" max="1022" width="9.109375" style="37" customWidth="1"/>
    <col min="1023" max="1023" width="3.44140625" style="37" customWidth="1"/>
    <col min="1024" max="1024" width="9.109375" style="37" customWidth="1"/>
    <col min="1025" max="1026" width="26.88671875" style="37" customWidth="1"/>
    <col min="1027" max="1027" width="16.88671875" style="37" customWidth="1"/>
    <col min="1028" max="1029" width="4.5546875" style="37" customWidth="1"/>
    <col min="1030" max="1030" width="20.5546875" style="37" customWidth="1"/>
    <col min="1031" max="1031" width="6.109375" style="37" customWidth="1"/>
    <col min="1032" max="1033" width="14.6640625" style="37" customWidth="1"/>
    <col min="1034" max="1034" width="13.88671875" style="37" customWidth="1"/>
    <col min="1035" max="1035" width="7.109375" style="37" customWidth="1"/>
    <col min="1036" max="1036" width="11.88671875" style="37" customWidth="1"/>
    <col min="1037" max="1037" width="6.33203125" style="37" customWidth="1"/>
    <col min="1038" max="1038" width="11.109375" style="37" customWidth="1"/>
    <col min="1039" max="1039" width="7.5546875" style="37" customWidth="1"/>
    <col min="1040" max="1040" width="8.5546875" style="37" customWidth="1"/>
    <col min="1041" max="1041" width="13.6640625" style="37" customWidth="1"/>
    <col min="1042" max="1042" width="13.44140625" style="37" customWidth="1"/>
    <col min="1043" max="1046" width="9.109375" style="37" customWidth="1"/>
    <col min="1047" max="1056" width="3.44140625" style="37"/>
    <col min="1057" max="1057" width="3.44140625" style="37" customWidth="1"/>
    <col min="1058" max="1278" width="9.109375" style="37" customWidth="1"/>
    <col min="1279" max="1279" width="3.44140625" style="37" customWidth="1"/>
    <col min="1280" max="1280" width="9.109375" style="37" customWidth="1"/>
    <col min="1281" max="1282" width="26.88671875" style="37" customWidth="1"/>
    <col min="1283" max="1283" width="16.88671875" style="37" customWidth="1"/>
    <col min="1284" max="1285" width="4.5546875" style="37" customWidth="1"/>
    <col min="1286" max="1286" width="20.5546875" style="37" customWidth="1"/>
    <col min="1287" max="1287" width="6.109375" style="37" customWidth="1"/>
    <col min="1288" max="1289" width="14.6640625" style="37" customWidth="1"/>
    <col min="1290" max="1290" width="13.88671875" style="37" customWidth="1"/>
    <col min="1291" max="1291" width="7.109375" style="37" customWidth="1"/>
    <col min="1292" max="1292" width="11.88671875" style="37" customWidth="1"/>
    <col min="1293" max="1293" width="6.33203125" style="37" customWidth="1"/>
    <col min="1294" max="1294" width="11.109375" style="37" customWidth="1"/>
    <col min="1295" max="1295" width="7.5546875" style="37" customWidth="1"/>
    <col min="1296" max="1296" width="8.5546875" style="37" customWidth="1"/>
    <col min="1297" max="1297" width="13.6640625" style="37" customWidth="1"/>
    <col min="1298" max="1298" width="13.44140625" style="37" customWidth="1"/>
    <col min="1299" max="1302" width="9.109375" style="37" customWidth="1"/>
    <col min="1303" max="1312" width="3.44140625" style="37"/>
    <col min="1313" max="1313" width="3.44140625" style="37" customWidth="1"/>
    <col min="1314" max="1534" width="9.109375" style="37" customWidth="1"/>
    <col min="1535" max="1535" width="3.44140625" style="37" customWidth="1"/>
    <col min="1536" max="1536" width="9.109375" style="37" customWidth="1"/>
    <col min="1537" max="1538" width="26.88671875" style="37" customWidth="1"/>
    <col min="1539" max="1539" width="16.88671875" style="37" customWidth="1"/>
    <col min="1540" max="1541" width="4.5546875" style="37" customWidth="1"/>
    <col min="1542" max="1542" width="20.5546875" style="37" customWidth="1"/>
    <col min="1543" max="1543" width="6.109375" style="37" customWidth="1"/>
    <col min="1544" max="1545" width="14.6640625" style="37" customWidth="1"/>
    <col min="1546" max="1546" width="13.88671875" style="37" customWidth="1"/>
    <col min="1547" max="1547" width="7.109375" style="37" customWidth="1"/>
    <col min="1548" max="1548" width="11.88671875" style="37" customWidth="1"/>
    <col min="1549" max="1549" width="6.33203125" style="37" customWidth="1"/>
    <col min="1550" max="1550" width="11.109375" style="37" customWidth="1"/>
    <col min="1551" max="1551" width="7.5546875" style="37" customWidth="1"/>
    <col min="1552" max="1552" width="8.5546875" style="37" customWidth="1"/>
    <col min="1553" max="1553" width="13.6640625" style="37" customWidth="1"/>
    <col min="1554" max="1554" width="13.44140625" style="37" customWidth="1"/>
    <col min="1555" max="1558" width="9.109375" style="37" customWidth="1"/>
    <col min="1559" max="1568" width="3.44140625" style="37"/>
    <col min="1569" max="1569" width="3.44140625" style="37" customWidth="1"/>
    <col min="1570" max="1790" width="9.109375" style="37" customWidth="1"/>
    <col min="1791" max="1791" width="3.44140625" style="37" customWidth="1"/>
    <col min="1792" max="1792" width="9.109375" style="37" customWidth="1"/>
    <col min="1793" max="1794" width="26.88671875" style="37" customWidth="1"/>
    <col min="1795" max="1795" width="16.88671875" style="37" customWidth="1"/>
    <col min="1796" max="1797" width="4.5546875" style="37" customWidth="1"/>
    <col min="1798" max="1798" width="20.5546875" style="37" customWidth="1"/>
    <col min="1799" max="1799" width="6.109375" style="37" customWidth="1"/>
    <col min="1800" max="1801" width="14.6640625" style="37" customWidth="1"/>
    <col min="1802" max="1802" width="13.88671875" style="37" customWidth="1"/>
    <col min="1803" max="1803" width="7.109375" style="37" customWidth="1"/>
    <col min="1804" max="1804" width="11.88671875" style="37" customWidth="1"/>
    <col min="1805" max="1805" width="6.33203125" style="37" customWidth="1"/>
    <col min="1806" max="1806" width="11.109375" style="37" customWidth="1"/>
    <col min="1807" max="1807" width="7.5546875" style="37" customWidth="1"/>
    <col min="1808" max="1808" width="8.5546875" style="37" customWidth="1"/>
    <col min="1809" max="1809" width="13.6640625" style="37" customWidth="1"/>
    <col min="1810" max="1810" width="13.44140625" style="37" customWidth="1"/>
    <col min="1811" max="1814" width="9.109375" style="37" customWidth="1"/>
    <col min="1815" max="1824" width="3.44140625" style="37"/>
    <col min="1825" max="1825" width="3.44140625" style="37" customWidth="1"/>
    <col min="1826" max="2046" width="9.109375" style="37" customWidth="1"/>
    <col min="2047" max="2047" width="3.44140625" style="37" customWidth="1"/>
    <col min="2048" max="2048" width="9.109375" style="37" customWidth="1"/>
    <col min="2049" max="2050" width="26.88671875" style="37" customWidth="1"/>
    <col min="2051" max="2051" width="16.88671875" style="37" customWidth="1"/>
    <col min="2052" max="2053" width="4.5546875" style="37" customWidth="1"/>
    <col min="2054" max="2054" width="20.5546875" style="37" customWidth="1"/>
    <col min="2055" max="2055" width="6.109375" style="37" customWidth="1"/>
    <col min="2056" max="2057" width="14.6640625" style="37" customWidth="1"/>
    <col min="2058" max="2058" width="13.88671875" style="37" customWidth="1"/>
    <col min="2059" max="2059" width="7.109375" style="37" customWidth="1"/>
    <col min="2060" max="2060" width="11.88671875" style="37" customWidth="1"/>
    <col min="2061" max="2061" width="6.33203125" style="37" customWidth="1"/>
    <col min="2062" max="2062" width="11.109375" style="37" customWidth="1"/>
    <col min="2063" max="2063" width="7.5546875" style="37" customWidth="1"/>
    <col min="2064" max="2064" width="8.5546875" style="37" customWidth="1"/>
    <col min="2065" max="2065" width="13.6640625" style="37" customWidth="1"/>
    <col min="2066" max="2066" width="13.44140625" style="37" customWidth="1"/>
    <col min="2067" max="2070" width="9.109375" style="37" customWidth="1"/>
    <col min="2071" max="2080" width="3.44140625" style="37"/>
    <col min="2081" max="2081" width="3.44140625" style="37" customWidth="1"/>
    <col min="2082" max="2302" width="9.109375" style="37" customWidth="1"/>
    <col min="2303" max="2303" width="3.44140625" style="37" customWidth="1"/>
    <col min="2304" max="2304" width="9.109375" style="37" customWidth="1"/>
    <col min="2305" max="2306" width="26.88671875" style="37" customWidth="1"/>
    <col min="2307" max="2307" width="16.88671875" style="37" customWidth="1"/>
    <col min="2308" max="2309" width="4.5546875" style="37" customWidth="1"/>
    <col min="2310" max="2310" width="20.5546875" style="37" customWidth="1"/>
    <col min="2311" max="2311" width="6.109375" style="37" customWidth="1"/>
    <col min="2312" max="2313" width="14.6640625" style="37" customWidth="1"/>
    <col min="2314" max="2314" width="13.88671875" style="37" customWidth="1"/>
    <col min="2315" max="2315" width="7.109375" style="37" customWidth="1"/>
    <col min="2316" max="2316" width="11.88671875" style="37" customWidth="1"/>
    <col min="2317" max="2317" width="6.33203125" style="37" customWidth="1"/>
    <col min="2318" max="2318" width="11.109375" style="37" customWidth="1"/>
    <col min="2319" max="2319" width="7.5546875" style="37" customWidth="1"/>
    <col min="2320" max="2320" width="8.5546875" style="37" customWidth="1"/>
    <col min="2321" max="2321" width="13.6640625" style="37" customWidth="1"/>
    <col min="2322" max="2322" width="13.44140625" style="37" customWidth="1"/>
    <col min="2323" max="2326" width="9.109375" style="37" customWidth="1"/>
    <col min="2327" max="2336" width="3.44140625" style="37"/>
    <col min="2337" max="2337" width="3.44140625" style="37" customWidth="1"/>
    <col min="2338" max="2558" width="9.109375" style="37" customWidth="1"/>
    <col min="2559" max="2559" width="3.44140625" style="37" customWidth="1"/>
    <col min="2560" max="2560" width="9.109375" style="37" customWidth="1"/>
    <col min="2561" max="2562" width="26.88671875" style="37" customWidth="1"/>
    <col min="2563" max="2563" width="16.88671875" style="37" customWidth="1"/>
    <col min="2564" max="2565" width="4.5546875" style="37" customWidth="1"/>
    <col min="2566" max="2566" width="20.5546875" style="37" customWidth="1"/>
    <col min="2567" max="2567" width="6.109375" style="37" customWidth="1"/>
    <col min="2568" max="2569" width="14.6640625" style="37" customWidth="1"/>
    <col min="2570" max="2570" width="13.88671875" style="37" customWidth="1"/>
    <col min="2571" max="2571" width="7.109375" style="37" customWidth="1"/>
    <col min="2572" max="2572" width="11.88671875" style="37" customWidth="1"/>
    <col min="2573" max="2573" width="6.33203125" style="37" customWidth="1"/>
    <col min="2574" max="2574" width="11.109375" style="37" customWidth="1"/>
    <col min="2575" max="2575" width="7.5546875" style="37" customWidth="1"/>
    <col min="2576" max="2576" width="8.5546875" style="37" customWidth="1"/>
    <col min="2577" max="2577" width="13.6640625" style="37" customWidth="1"/>
    <col min="2578" max="2578" width="13.44140625" style="37" customWidth="1"/>
    <col min="2579" max="2582" width="9.109375" style="37" customWidth="1"/>
    <col min="2583" max="2592" width="3.44140625" style="37"/>
    <col min="2593" max="2593" width="3.44140625" style="37" customWidth="1"/>
    <col min="2594" max="2814" width="9.109375" style="37" customWidth="1"/>
    <col min="2815" max="2815" width="3.44140625" style="37" customWidth="1"/>
    <col min="2816" max="2816" width="9.109375" style="37" customWidth="1"/>
    <col min="2817" max="2818" width="26.88671875" style="37" customWidth="1"/>
    <col min="2819" max="2819" width="16.88671875" style="37" customWidth="1"/>
    <col min="2820" max="2821" width="4.5546875" style="37" customWidth="1"/>
    <col min="2822" max="2822" width="20.5546875" style="37" customWidth="1"/>
    <col min="2823" max="2823" width="6.109375" style="37" customWidth="1"/>
    <col min="2824" max="2825" width="14.6640625" style="37" customWidth="1"/>
    <col min="2826" max="2826" width="13.88671875" style="37" customWidth="1"/>
    <col min="2827" max="2827" width="7.109375" style="37" customWidth="1"/>
    <col min="2828" max="2828" width="11.88671875" style="37" customWidth="1"/>
    <col min="2829" max="2829" width="6.33203125" style="37" customWidth="1"/>
    <col min="2830" max="2830" width="11.109375" style="37" customWidth="1"/>
    <col min="2831" max="2831" width="7.5546875" style="37" customWidth="1"/>
    <col min="2832" max="2832" width="8.5546875" style="37" customWidth="1"/>
    <col min="2833" max="2833" width="13.6640625" style="37" customWidth="1"/>
    <col min="2834" max="2834" width="13.44140625" style="37" customWidth="1"/>
    <col min="2835" max="2838" width="9.109375" style="37" customWidth="1"/>
    <col min="2839" max="2848" width="3.44140625" style="37"/>
    <col min="2849" max="2849" width="3.44140625" style="37" customWidth="1"/>
    <col min="2850" max="3070" width="9.109375" style="37" customWidth="1"/>
    <col min="3071" max="3071" width="3.44140625" style="37" customWidth="1"/>
    <col min="3072" max="3072" width="9.109375" style="37" customWidth="1"/>
    <col min="3073" max="3074" width="26.88671875" style="37" customWidth="1"/>
    <col min="3075" max="3075" width="16.88671875" style="37" customWidth="1"/>
    <col min="3076" max="3077" width="4.5546875" style="37" customWidth="1"/>
    <col min="3078" max="3078" width="20.5546875" style="37" customWidth="1"/>
    <col min="3079" max="3079" width="6.109375" style="37" customWidth="1"/>
    <col min="3080" max="3081" width="14.6640625" style="37" customWidth="1"/>
    <col min="3082" max="3082" width="13.88671875" style="37" customWidth="1"/>
    <col min="3083" max="3083" width="7.109375" style="37" customWidth="1"/>
    <col min="3084" max="3084" width="11.88671875" style="37" customWidth="1"/>
    <col min="3085" max="3085" width="6.33203125" style="37" customWidth="1"/>
    <col min="3086" max="3086" width="11.109375" style="37" customWidth="1"/>
    <col min="3087" max="3087" width="7.5546875" style="37" customWidth="1"/>
    <col min="3088" max="3088" width="8.5546875" style="37" customWidth="1"/>
    <col min="3089" max="3089" width="13.6640625" style="37" customWidth="1"/>
    <col min="3090" max="3090" width="13.44140625" style="37" customWidth="1"/>
    <col min="3091" max="3094" width="9.109375" style="37" customWidth="1"/>
    <col min="3095" max="3104" width="3.44140625" style="37"/>
    <col min="3105" max="3105" width="3.44140625" style="37" customWidth="1"/>
    <col min="3106" max="3326" width="9.109375" style="37" customWidth="1"/>
    <col min="3327" max="3327" width="3.44140625" style="37" customWidth="1"/>
    <col min="3328" max="3328" width="9.109375" style="37" customWidth="1"/>
    <col min="3329" max="3330" width="26.88671875" style="37" customWidth="1"/>
    <col min="3331" max="3331" width="16.88671875" style="37" customWidth="1"/>
    <col min="3332" max="3333" width="4.5546875" style="37" customWidth="1"/>
    <col min="3334" max="3334" width="20.5546875" style="37" customWidth="1"/>
    <col min="3335" max="3335" width="6.109375" style="37" customWidth="1"/>
    <col min="3336" max="3337" width="14.6640625" style="37" customWidth="1"/>
    <col min="3338" max="3338" width="13.88671875" style="37" customWidth="1"/>
    <col min="3339" max="3339" width="7.109375" style="37" customWidth="1"/>
    <col min="3340" max="3340" width="11.88671875" style="37" customWidth="1"/>
    <col min="3341" max="3341" width="6.33203125" style="37" customWidth="1"/>
    <col min="3342" max="3342" width="11.109375" style="37" customWidth="1"/>
    <col min="3343" max="3343" width="7.5546875" style="37" customWidth="1"/>
    <col min="3344" max="3344" width="8.5546875" style="37" customWidth="1"/>
    <col min="3345" max="3345" width="13.6640625" style="37" customWidth="1"/>
    <col min="3346" max="3346" width="13.44140625" style="37" customWidth="1"/>
    <col min="3347" max="3350" width="9.109375" style="37" customWidth="1"/>
    <col min="3351" max="3360" width="3.44140625" style="37"/>
    <col min="3361" max="3361" width="3.44140625" style="37" customWidth="1"/>
    <col min="3362" max="3582" width="9.109375" style="37" customWidth="1"/>
    <col min="3583" max="3583" width="3.44140625" style="37" customWidth="1"/>
    <col min="3584" max="3584" width="9.109375" style="37" customWidth="1"/>
    <col min="3585" max="3586" width="26.88671875" style="37" customWidth="1"/>
    <col min="3587" max="3587" width="16.88671875" style="37" customWidth="1"/>
    <col min="3588" max="3589" width="4.5546875" style="37" customWidth="1"/>
    <col min="3590" max="3590" width="20.5546875" style="37" customWidth="1"/>
    <col min="3591" max="3591" width="6.109375" style="37" customWidth="1"/>
    <col min="3592" max="3593" width="14.6640625" style="37" customWidth="1"/>
    <col min="3594" max="3594" width="13.88671875" style="37" customWidth="1"/>
    <col min="3595" max="3595" width="7.109375" style="37" customWidth="1"/>
    <col min="3596" max="3596" width="11.88671875" style="37" customWidth="1"/>
    <col min="3597" max="3597" width="6.33203125" style="37" customWidth="1"/>
    <col min="3598" max="3598" width="11.109375" style="37" customWidth="1"/>
    <col min="3599" max="3599" width="7.5546875" style="37" customWidth="1"/>
    <col min="3600" max="3600" width="8.5546875" style="37" customWidth="1"/>
    <col min="3601" max="3601" width="13.6640625" style="37" customWidth="1"/>
    <col min="3602" max="3602" width="13.44140625" style="37" customWidth="1"/>
    <col min="3603" max="3606" width="9.109375" style="37" customWidth="1"/>
    <col min="3607" max="3616" width="3.44140625" style="37"/>
    <col min="3617" max="3617" width="3.44140625" style="37" customWidth="1"/>
    <col min="3618" max="3838" width="9.109375" style="37" customWidth="1"/>
    <col min="3839" max="3839" width="3.44140625" style="37" customWidth="1"/>
    <col min="3840" max="3840" width="9.109375" style="37" customWidth="1"/>
    <col min="3841" max="3842" width="26.88671875" style="37" customWidth="1"/>
    <col min="3843" max="3843" width="16.88671875" style="37" customWidth="1"/>
    <col min="3844" max="3845" width="4.5546875" style="37" customWidth="1"/>
    <col min="3846" max="3846" width="20.5546875" style="37" customWidth="1"/>
    <col min="3847" max="3847" width="6.109375" style="37" customWidth="1"/>
    <col min="3848" max="3849" width="14.6640625" style="37" customWidth="1"/>
    <col min="3850" max="3850" width="13.88671875" style="37" customWidth="1"/>
    <col min="3851" max="3851" width="7.109375" style="37" customWidth="1"/>
    <col min="3852" max="3852" width="11.88671875" style="37" customWidth="1"/>
    <col min="3853" max="3853" width="6.33203125" style="37" customWidth="1"/>
    <col min="3854" max="3854" width="11.109375" style="37" customWidth="1"/>
    <col min="3855" max="3855" width="7.5546875" style="37" customWidth="1"/>
    <col min="3856" max="3856" width="8.5546875" style="37" customWidth="1"/>
    <col min="3857" max="3857" width="13.6640625" style="37" customWidth="1"/>
    <col min="3858" max="3858" width="13.44140625" style="37" customWidth="1"/>
    <col min="3859" max="3862" width="9.109375" style="37" customWidth="1"/>
    <col min="3863" max="3872" width="3.44140625" style="37"/>
    <col min="3873" max="3873" width="3.44140625" style="37" customWidth="1"/>
    <col min="3874" max="4094" width="9.109375" style="37" customWidth="1"/>
    <col min="4095" max="4095" width="3.44140625" style="37" customWidth="1"/>
    <col min="4096" max="4096" width="9.109375" style="37" customWidth="1"/>
    <col min="4097" max="4098" width="26.88671875" style="37" customWidth="1"/>
    <col min="4099" max="4099" width="16.88671875" style="37" customWidth="1"/>
    <col min="4100" max="4101" width="4.5546875" style="37" customWidth="1"/>
    <col min="4102" max="4102" width="20.5546875" style="37" customWidth="1"/>
    <col min="4103" max="4103" width="6.109375" style="37" customWidth="1"/>
    <col min="4104" max="4105" width="14.6640625" style="37" customWidth="1"/>
    <col min="4106" max="4106" width="13.88671875" style="37" customWidth="1"/>
    <col min="4107" max="4107" width="7.109375" style="37" customWidth="1"/>
    <col min="4108" max="4108" width="11.88671875" style="37" customWidth="1"/>
    <col min="4109" max="4109" width="6.33203125" style="37" customWidth="1"/>
    <col min="4110" max="4110" width="11.109375" style="37" customWidth="1"/>
    <col min="4111" max="4111" width="7.5546875" style="37" customWidth="1"/>
    <col min="4112" max="4112" width="8.5546875" style="37" customWidth="1"/>
    <col min="4113" max="4113" width="13.6640625" style="37" customWidth="1"/>
    <col min="4114" max="4114" width="13.44140625" style="37" customWidth="1"/>
    <col min="4115" max="4118" width="9.109375" style="37" customWidth="1"/>
    <col min="4119" max="4128" width="3.44140625" style="37"/>
    <col min="4129" max="4129" width="3.44140625" style="37" customWidth="1"/>
    <col min="4130" max="4350" width="9.109375" style="37" customWidth="1"/>
    <col min="4351" max="4351" width="3.44140625" style="37" customWidth="1"/>
    <col min="4352" max="4352" width="9.109375" style="37" customWidth="1"/>
    <col min="4353" max="4354" width="26.88671875" style="37" customWidth="1"/>
    <col min="4355" max="4355" width="16.88671875" style="37" customWidth="1"/>
    <col min="4356" max="4357" width="4.5546875" style="37" customWidth="1"/>
    <col min="4358" max="4358" width="20.5546875" style="37" customWidth="1"/>
    <col min="4359" max="4359" width="6.109375" style="37" customWidth="1"/>
    <col min="4360" max="4361" width="14.6640625" style="37" customWidth="1"/>
    <col min="4362" max="4362" width="13.88671875" style="37" customWidth="1"/>
    <col min="4363" max="4363" width="7.109375" style="37" customWidth="1"/>
    <col min="4364" max="4364" width="11.88671875" style="37" customWidth="1"/>
    <col min="4365" max="4365" width="6.33203125" style="37" customWidth="1"/>
    <col min="4366" max="4366" width="11.109375" style="37" customWidth="1"/>
    <col min="4367" max="4367" width="7.5546875" style="37" customWidth="1"/>
    <col min="4368" max="4368" width="8.5546875" style="37" customWidth="1"/>
    <col min="4369" max="4369" width="13.6640625" style="37" customWidth="1"/>
    <col min="4370" max="4370" width="13.44140625" style="37" customWidth="1"/>
    <col min="4371" max="4374" width="9.109375" style="37" customWidth="1"/>
    <col min="4375" max="4384" width="3.44140625" style="37"/>
    <col min="4385" max="4385" width="3.44140625" style="37" customWidth="1"/>
    <col min="4386" max="4606" width="9.109375" style="37" customWidth="1"/>
    <col min="4607" max="4607" width="3.44140625" style="37" customWidth="1"/>
    <col min="4608" max="4608" width="9.109375" style="37" customWidth="1"/>
    <col min="4609" max="4610" width="26.88671875" style="37" customWidth="1"/>
    <col min="4611" max="4611" width="16.88671875" style="37" customWidth="1"/>
    <col min="4612" max="4613" width="4.5546875" style="37" customWidth="1"/>
    <col min="4614" max="4614" width="20.5546875" style="37" customWidth="1"/>
    <col min="4615" max="4615" width="6.109375" style="37" customWidth="1"/>
    <col min="4616" max="4617" width="14.6640625" style="37" customWidth="1"/>
    <col min="4618" max="4618" width="13.88671875" style="37" customWidth="1"/>
    <col min="4619" max="4619" width="7.109375" style="37" customWidth="1"/>
    <col min="4620" max="4620" width="11.88671875" style="37" customWidth="1"/>
    <col min="4621" max="4621" width="6.33203125" style="37" customWidth="1"/>
    <col min="4622" max="4622" width="11.109375" style="37" customWidth="1"/>
    <col min="4623" max="4623" width="7.5546875" style="37" customWidth="1"/>
    <col min="4624" max="4624" width="8.5546875" style="37" customWidth="1"/>
    <col min="4625" max="4625" width="13.6640625" style="37" customWidth="1"/>
    <col min="4626" max="4626" width="13.44140625" style="37" customWidth="1"/>
    <col min="4627" max="4630" width="9.109375" style="37" customWidth="1"/>
    <col min="4631" max="4640" width="3.44140625" style="37"/>
    <col min="4641" max="4641" width="3.44140625" style="37" customWidth="1"/>
    <col min="4642" max="4862" width="9.109375" style="37" customWidth="1"/>
    <col min="4863" max="4863" width="3.44140625" style="37" customWidth="1"/>
    <col min="4864" max="4864" width="9.109375" style="37" customWidth="1"/>
    <col min="4865" max="4866" width="26.88671875" style="37" customWidth="1"/>
    <col min="4867" max="4867" width="16.88671875" style="37" customWidth="1"/>
    <col min="4868" max="4869" width="4.5546875" style="37" customWidth="1"/>
    <col min="4870" max="4870" width="20.5546875" style="37" customWidth="1"/>
    <col min="4871" max="4871" width="6.109375" style="37" customWidth="1"/>
    <col min="4872" max="4873" width="14.6640625" style="37" customWidth="1"/>
    <col min="4874" max="4874" width="13.88671875" style="37" customWidth="1"/>
    <col min="4875" max="4875" width="7.109375" style="37" customWidth="1"/>
    <col min="4876" max="4876" width="11.88671875" style="37" customWidth="1"/>
    <col min="4877" max="4877" width="6.33203125" style="37" customWidth="1"/>
    <col min="4878" max="4878" width="11.109375" style="37" customWidth="1"/>
    <col min="4879" max="4879" width="7.5546875" style="37" customWidth="1"/>
    <col min="4880" max="4880" width="8.5546875" style="37" customWidth="1"/>
    <col min="4881" max="4881" width="13.6640625" style="37" customWidth="1"/>
    <col min="4882" max="4882" width="13.44140625" style="37" customWidth="1"/>
    <col min="4883" max="4886" width="9.109375" style="37" customWidth="1"/>
    <col min="4887" max="4896" width="3.44140625" style="37"/>
    <col min="4897" max="4897" width="3.44140625" style="37" customWidth="1"/>
    <col min="4898" max="5118" width="9.109375" style="37" customWidth="1"/>
    <col min="5119" max="5119" width="3.44140625" style="37" customWidth="1"/>
    <col min="5120" max="5120" width="9.109375" style="37" customWidth="1"/>
    <col min="5121" max="5122" width="26.88671875" style="37" customWidth="1"/>
    <col min="5123" max="5123" width="16.88671875" style="37" customWidth="1"/>
    <col min="5124" max="5125" width="4.5546875" style="37" customWidth="1"/>
    <col min="5126" max="5126" width="20.5546875" style="37" customWidth="1"/>
    <col min="5127" max="5127" width="6.109375" style="37" customWidth="1"/>
    <col min="5128" max="5129" width="14.6640625" style="37" customWidth="1"/>
    <col min="5130" max="5130" width="13.88671875" style="37" customWidth="1"/>
    <col min="5131" max="5131" width="7.109375" style="37" customWidth="1"/>
    <col min="5132" max="5132" width="11.88671875" style="37" customWidth="1"/>
    <col min="5133" max="5133" width="6.33203125" style="37" customWidth="1"/>
    <col min="5134" max="5134" width="11.109375" style="37" customWidth="1"/>
    <col min="5135" max="5135" width="7.5546875" style="37" customWidth="1"/>
    <col min="5136" max="5136" width="8.5546875" style="37" customWidth="1"/>
    <col min="5137" max="5137" width="13.6640625" style="37" customWidth="1"/>
    <col min="5138" max="5138" width="13.44140625" style="37" customWidth="1"/>
    <col min="5139" max="5142" width="9.109375" style="37" customWidth="1"/>
    <col min="5143" max="5152" width="3.44140625" style="37"/>
    <col min="5153" max="5153" width="3.44140625" style="37" customWidth="1"/>
    <col min="5154" max="5374" width="9.109375" style="37" customWidth="1"/>
    <col min="5375" max="5375" width="3.44140625" style="37" customWidth="1"/>
    <col min="5376" max="5376" width="9.109375" style="37" customWidth="1"/>
    <col min="5377" max="5378" width="26.88671875" style="37" customWidth="1"/>
    <col min="5379" max="5379" width="16.88671875" style="37" customWidth="1"/>
    <col min="5380" max="5381" width="4.5546875" style="37" customWidth="1"/>
    <col min="5382" max="5382" width="20.5546875" style="37" customWidth="1"/>
    <col min="5383" max="5383" width="6.109375" style="37" customWidth="1"/>
    <col min="5384" max="5385" width="14.6640625" style="37" customWidth="1"/>
    <col min="5386" max="5386" width="13.88671875" style="37" customWidth="1"/>
    <col min="5387" max="5387" width="7.109375" style="37" customWidth="1"/>
    <col min="5388" max="5388" width="11.88671875" style="37" customWidth="1"/>
    <col min="5389" max="5389" width="6.33203125" style="37" customWidth="1"/>
    <col min="5390" max="5390" width="11.109375" style="37" customWidth="1"/>
    <col min="5391" max="5391" width="7.5546875" style="37" customWidth="1"/>
    <col min="5392" max="5392" width="8.5546875" style="37" customWidth="1"/>
    <col min="5393" max="5393" width="13.6640625" style="37" customWidth="1"/>
    <col min="5394" max="5394" width="13.44140625" style="37" customWidth="1"/>
    <col min="5395" max="5398" width="9.109375" style="37" customWidth="1"/>
    <col min="5399" max="5408" width="3.44140625" style="37"/>
    <col min="5409" max="5409" width="3.44140625" style="37" customWidth="1"/>
    <col min="5410" max="5630" width="9.109375" style="37" customWidth="1"/>
    <col min="5631" max="5631" width="3.44140625" style="37" customWidth="1"/>
    <col min="5632" max="5632" width="9.109375" style="37" customWidth="1"/>
    <col min="5633" max="5634" width="26.88671875" style="37" customWidth="1"/>
    <col min="5635" max="5635" width="16.88671875" style="37" customWidth="1"/>
    <col min="5636" max="5637" width="4.5546875" style="37" customWidth="1"/>
    <col min="5638" max="5638" width="20.5546875" style="37" customWidth="1"/>
    <col min="5639" max="5639" width="6.109375" style="37" customWidth="1"/>
    <col min="5640" max="5641" width="14.6640625" style="37" customWidth="1"/>
    <col min="5642" max="5642" width="13.88671875" style="37" customWidth="1"/>
    <col min="5643" max="5643" width="7.109375" style="37" customWidth="1"/>
    <col min="5644" max="5644" width="11.88671875" style="37" customWidth="1"/>
    <col min="5645" max="5645" width="6.33203125" style="37" customWidth="1"/>
    <col min="5646" max="5646" width="11.109375" style="37" customWidth="1"/>
    <col min="5647" max="5647" width="7.5546875" style="37" customWidth="1"/>
    <col min="5648" max="5648" width="8.5546875" style="37" customWidth="1"/>
    <col min="5649" max="5649" width="13.6640625" style="37" customWidth="1"/>
    <col min="5650" max="5650" width="13.44140625" style="37" customWidth="1"/>
    <col min="5651" max="5654" width="9.109375" style="37" customWidth="1"/>
    <col min="5655" max="5664" width="3.44140625" style="37"/>
    <col min="5665" max="5665" width="3.44140625" style="37" customWidth="1"/>
    <col min="5666" max="5886" width="9.109375" style="37" customWidth="1"/>
    <col min="5887" max="5887" width="3.44140625" style="37" customWidth="1"/>
    <col min="5888" max="5888" width="9.109375" style="37" customWidth="1"/>
    <col min="5889" max="5890" width="26.88671875" style="37" customWidth="1"/>
    <col min="5891" max="5891" width="16.88671875" style="37" customWidth="1"/>
    <col min="5892" max="5893" width="4.5546875" style="37" customWidth="1"/>
    <col min="5894" max="5894" width="20.5546875" style="37" customWidth="1"/>
    <col min="5895" max="5895" width="6.109375" style="37" customWidth="1"/>
    <col min="5896" max="5897" width="14.6640625" style="37" customWidth="1"/>
    <col min="5898" max="5898" width="13.88671875" style="37" customWidth="1"/>
    <col min="5899" max="5899" width="7.109375" style="37" customWidth="1"/>
    <col min="5900" max="5900" width="11.88671875" style="37" customWidth="1"/>
    <col min="5901" max="5901" width="6.33203125" style="37" customWidth="1"/>
    <col min="5902" max="5902" width="11.109375" style="37" customWidth="1"/>
    <col min="5903" max="5903" width="7.5546875" style="37" customWidth="1"/>
    <col min="5904" max="5904" width="8.5546875" style="37" customWidth="1"/>
    <col min="5905" max="5905" width="13.6640625" style="37" customWidth="1"/>
    <col min="5906" max="5906" width="13.44140625" style="37" customWidth="1"/>
    <col min="5907" max="5910" width="9.109375" style="37" customWidth="1"/>
    <col min="5911" max="5920" width="3.44140625" style="37"/>
    <col min="5921" max="5921" width="3.44140625" style="37" customWidth="1"/>
    <col min="5922" max="6142" width="9.109375" style="37" customWidth="1"/>
    <col min="6143" max="6143" width="3.44140625" style="37" customWidth="1"/>
    <col min="6144" max="6144" width="9.109375" style="37" customWidth="1"/>
    <col min="6145" max="6146" width="26.88671875" style="37" customWidth="1"/>
    <col min="6147" max="6147" width="16.88671875" style="37" customWidth="1"/>
    <col min="6148" max="6149" width="4.5546875" style="37" customWidth="1"/>
    <col min="6150" max="6150" width="20.5546875" style="37" customWidth="1"/>
    <col min="6151" max="6151" width="6.109375" style="37" customWidth="1"/>
    <col min="6152" max="6153" width="14.6640625" style="37" customWidth="1"/>
    <col min="6154" max="6154" width="13.88671875" style="37" customWidth="1"/>
    <col min="6155" max="6155" width="7.109375" style="37" customWidth="1"/>
    <col min="6156" max="6156" width="11.88671875" style="37" customWidth="1"/>
    <col min="6157" max="6157" width="6.33203125" style="37" customWidth="1"/>
    <col min="6158" max="6158" width="11.109375" style="37" customWidth="1"/>
    <col min="6159" max="6159" width="7.5546875" style="37" customWidth="1"/>
    <col min="6160" max="6160" width="8.5546875" style="37" customWidth="1"/>
    <col min="6161" max="6161" width="13.6640625" style="37" customWidth="1"/>
    <col min="6162" max="6162" width="13.44140625" style="37" customWidth="1"/>
    <col min="6163" max="6166" width="9.109375" style="37" customWidth="1"/>
    <col min="6167" max="6176" width="3.44140625" style="37"/>
    <col min="6177" max="6177" width="3.44140625" style="37" customWidth="1"/>
    <col min="6178" max="6398" width="9.109375" style="37" customWidth="1"/>
    <col min="6399" max="6399" width="3.44140625" style="37" customWidth="1"/>
    <col min="6400" max="6400" width="9.109375" style="37" customWidth="1"/>
    <col min="6401" max="6402" width="26.88671875" style="37" customWidth="1"/>
    <col min="6403" max="6403" width="16.88671875" style="37" customWidth="1"/>
    <col min="6404" max="6405" width="4.5546875" style="37" customWidth="1"/>
    <col min="6406" max="6406" width="20.5546875" style="37" customWidth="1"/>
    <col min="6407" max="6407" width="6.109375" style="37" customWidth="1"/>
    <col min="6408" max="6409" width="14.6640625" style="37" customWidth="1"/>
    <col min="6410" max="6410" width="13.88671875" style="37" customWidth="1"/>
    <col min="6411" max="6411" width="7.109375" style="37" customWidth="1"/>
    <col min="6412" max="6412" width="11.88671875" style="37" customWidth="1"/>
    <col min="6413" max="6413" width="6.33203125" style="37" customWidth="1"/>
    <col min="6414" max="6414" width="11.109375" style="37" customWidth="1"/>
    <col min="6415" max="6415" width="7.5546875" style="37" customWidth="1"/>
    <col min="6416" max="6416" width="8.5546875" style="37" customWidth="1"/>
    <col min="6417" max="6417" width="13.6640625" style="37" customWidth="1"/>
    <col min="6418" max="6418" width="13.44140625" style="37" customWidth="1"/>
    <col min="6419" max="6422" width="9.109375" style="37" customWidth="1"/>
    <col min="6423" max="6432" width="3.44140625" style="37"/>
    <col min="6433" max="6433" width="3.44140625" style="37" customWidth="1"/>
    <col min="6434" max="6654" width="9.109375" style="37" customWidth="1"/>
    <col min="6655" max="6655" width="3.44140625" style="37" customWidth="1"/>
    <col min="6656" max="6656" width="9.109375" style="37" customWidth="1"/>
    <col min="6657" max="6658" width="26.88671875" style="37" customWidth="1"/>
    <col min="6659" max="6659" width="16.88671875" style="37" customWidth="1"/>
    <col min="6660" max="6661" width="4.5546875" style="37" customWidth="1"/>
    <col min="6662" max="6662" width="20.5546875" style="37" customWidth="1"/>
    <col min="6663" max="6663" width="6.109375" style="37" customWidth="1"/>
    <col min="6664" max="6665" width="14.6640625" style="37" customWidth="1"/>
    <col min="6666" max="6666" width="13.88671875" style="37" customWidth="1"/>
    <col min="6667" max="6667" width="7.109375" style="37" customWidth="1"/>
    <col min="6668" max="6668" width="11.88671875" style="37" customWidth="1"/>
    <col min="6669" max="6669" width="6.33203125" style="37" customWidth="1"/>
    <col min="6670" max="6670" width="11.109375" style="37" customWidth="1"/>
    <col min="6671" max="6671" width="7.5546875" style="37" customWidth="1"/>
    <col min="6672" max="6672" width="8.5546875" style="37" customWidth="1"/>
    <col min="6673" max="6673" width="13.6640625" style="37" customWidth="1"/>
    <col min="6674" max="6674" width="13.44140625" style="37" customWidth="1"/>
    <col min="6675" max="6678" width="9.109375" style="37" customWidth="1"/>
    <col min="6679" max="6688" width="3.44140625" style="37"/>
    <col min="6689" max="6689" width="3.44140625" style="37" customWidth="1"/>
    <col min="6690" max="6910" width="9.109375" style="37" customWidth="1"/>
    <col min="6911" max="6911" width="3.44140625" style="37" customWidth="1"/>
    <col min="6912" max="6912" width="9.109375" style="37" customWidth="1"/>
    <col min="6913" max="6914" width="26.88671875" style="37" customWidth="1"/>
    <col min="6915" max="6915" width="16.88671875" style="37" customWidth="1"/>
    <col min="6916" max="6917" width="4.5546875" style="37" customWidth="1"/>
    <col min="6918" max="6918" width="20.5546875" style="37" customWidth="1"/>
    <col min="6919" max="6919" width="6.109375" style="37" customWidth="1"/>
    <col min="6920" max="6921" width="14.6640625" style="37" customWidth="1"/>
    <col min="6922" max="6922" width="13.88671875" style="37" customWidth="1"/>
    <col min="6923" max="6923" width="7.109375" style="37" customWidth="1"/>
    <col min="6924" max="6924" width="11.88671875" style="37" customWidth="1"/>
    <col min="6925" max="6925" width="6.33203125" style="37" customWidth="1"/>
    <col min="6926" max="6926" width="11.109375" style="37" customWidth="1"/>
    <col min="6927" max="6927" width="7.5546875" style="37" customWidth="1"/>
    <col min="6928" max="6928" width="8.5546875" style="37" customWidth="1"/>
    <col min="6929" max="6929" width="13.6640625" style="37" customWidth="1"/>
    <col min="6930" max="6930" width="13.44140625" style="37" customWidth="1"/>
    <col min="6931" max="6934" width="9.109375" style="37" customWidth="1"/>
    <col min="6935" max="6944" width="3.44140625" style="37"/>
    <col min="6945" max="6945" width="3.44140625" style="37" customWidth="1"/>
    <col min="6946" max="7166" width="9.109375" style="37" customWidth="1"/>
    <col min="7167" max="7167" width="3.44140625" style="37" customWidth="1"/>
    <col min="7168" max="7168" width="9.109375" style="37" customWidth="1"/>
    <col min="7169" max="7170" width="26.88671875" style="37" customWidth="1"/>
    <col min="7171" max="7171" width="16.88671875" style="37" customWidth="1"/>
    <col min="7172" max="7173" width="4.5546875" style="37" customWidth="1"/>
    <col min="7174" max="7174" width="20.5546875" style="37" customWidth="1"/>
    <col min="7175" max="7175" width="6.109375" style="37" customWidth="1"/>
    <col min="7176" max="7177" width="14.6640625" style="37" customWidth="1"/>
    <col min="7178" max="7178" width="13.88671875" style="37" customWidth="1"/>
    <col min="7179" max="7179" width="7.109375" style="37" customWidth="1"/>
    <col min="7180" max="7180" width="11.88671875" style="37" customWidth="1"/>
    <col min="7181" max="7181" width="6.33203125" style="37" customWidth="1"/>
    <col min="7182" max="7182" width="11.109375" style="37" customWidth="1"/>
    <col min="7183" max="7183" width="7.5546875" style="37" customWidth="1"/>
    <col min="7184" max="7184" width="8.5546875" style="37" customWidth="1"/>
    <col min="7185" max="7185" width="13.6640625" style="37" customWidth="1"/>
    <col min="7186" max="7186" width="13.44140625" style="37" customWidth="1"/>
    <col min="7187" max="7190" width="9.109375" style="37" customWidth="1"/>
    <col min="7191" max="7200" width="3.44140625" style="37"/>
    <col min="7201" max="7201" width="3.44140625" style="37" customWidth="1"/>
    <col min="7202" max="7422" width="9.109375" style="37" customWidth="1"/>
    <col min="7423" max="7423" width="3.44140625" style="37" customWidth="1"/>
    <col min="7424" max="7424" width="9.109375" style="37" customWidth="1"/>
    <col min="7425" max="7426" width="26.88671875" style="37" customWidth="1"/>
    <col min="7427" max="7427" width="16.88671875" style="37" customWidth="1"/>
    <col min="7428" max="7429" width="4.5546875" style="37" customWidth="1"/>
    <col min="7430" max="7430" width="20.5546875" style="37" customWidth="1"/>
    <col min="7431" max="7431" width="6.109375" style="37" customWidth="1"/>
    <col min="7432" max="7433" width="14.6640625" style="37" customWidth="1"/>
    <col min="7434" max="7434" width="13.88671875" style="37" customWidth="1"/>
    <col min="7435" max="7435" width="7.109375" style="37" customWidth="1"/>
    <col min="7436" max="7436" width="11.88671875" style="37" customWidth="1"/>
    <col min="7437" max="7437" width="6.33203125" style="37" customWidth="1"/>
    <col min="7438" max="7438" width="11.109375" style="37" customWidth="1"/>
    <col min="7439" max="7439" width="7.5546875" style="37" customWidth="1"/>
    <col min="7440" max="7440" width="8.5546875" style="37" customWidth="1"/>
    <col min="7441" max="7441" width="13.6640625" style="37" customWidth="1"/>
    <col min="7442" max="7442" width="13.44140625" style="37" customWidth="1"/>
    <col min="7443" max="7446" width="9.109375" style="37" customWidth="1"/>
    <col min="7447" max="7456" width="3.44140625" style="37"/>
    <col min="7457" max="7457" width="3.44140625" style="37" customWidth="1"/>
    <col min="7458" max="7678" width="9.109375" style="37" customWidth="1"/>
    <col min="7679" max="7679" width="3.44140625" style="37" customWidth="1"/>
    <col min="7680" max="7680" width="9.109375" style="37" customWidth="1"/>
    <col min="7681" max="7682" width="26.88671875" style="37" customWidth="1"/>
    <col min="7683" max="7683" width="16.88671875" style="37" customWidth="1"/>
    <col min="7684" max="7685" width="4.5546875" style="37" customWidth="1"/>
    <col min="7686" max="7686" width="20.5546875" style="37" customWidth="1"/>
    <col min="7687" max="7687" width="6.109375" style="37" customWidth="1"/>
    <col min="7688" max="7689" width="14.6640625" style="37" customWidth="1"/>
    <col min="7690" max="7690" width="13.88671875" style="37" customWidth="1"/>
    <col min="7691" max="7691" width="7.109375" style="37" customWidth="1"/>
    <col min="7692" max="7692" width="11.88671875" style="37" customWidth="1"/>
    <col min="7693" max="7693" width="6.33203125" style="37" customWidth="1"/>
    <col min="7694" max="7694" width="11.109375" style="37" customWidth="1"/>
    <col min="7695" max="7695" width="7.5546875" style="37" customWidth="1"/>
    <col min="7696" max="7696" width="8.5546875" style="37" customWidth="1"/>
    <col min="7697" max="7697" width="13.6640625" style="37" customWidth="1"/>
    <col min="7698" max="7698" width="13.44140625" style="37" customWidth="1"/>
    <col min="7699" max="7702" width="9.109375" style="37" customWidth="1"/>
    <col min="7703" max="7712" width="3.44140625" style="37"/>
    <col min="7713" max="7713" width="3.44140625" style="37" customWidth="1"/>
    <col min="7714" max="7934" width="9.109375" style="37" customWidth="1"/>
    <col min="7935" max="7935" width="3.44140625" style="37" customWidth="1"/>
    <col min="7936" max="7936" width="9.109375" style="37" customWidth="1"/>
    <col min="7937" max="7938" width="26.88671875" style="37" customWidth="1"/>
    <col min="7939" max="7939" width="16.88671875" style="37" customWidth="1"/>
    <col min="7940" max="7941" width="4.5546875" style="37" customWidth="1"/>
    <col min="7942" max="7942" width="20.5546875" style="37" customWidth="1"/>
    <col min="7943" max="7943" width="6.109375" style="37" customWidth="1"/>
    <col min="7944" max="7945" width="14.6640625" style="37" customWidth="1"/>
    <col min="7946" max="7946" width="13.88671875" style="37" customWidth="1"/>
    <col min="7947" max="7947" width="7.109375" style="37" customWidth="1"/>
    <col min="7948" max="7948" width="11.88671875" style="37" customWidth="1"/>
    <col min="7949" max="7949" width="6.33203125" style="37" customWidth="1"/>
    <col min="7950" max="7950" width="11.109375" style="37" customWidth="1"/>
    <col min="7951" max="7951" width="7.5546875" style="37" customWidth="1"/>
    <col min="7952" max="7952" width="8.5546875" style="37" customWidth="1"/>
    <col min="7953" max="7953" width="13.6640625" style="37" customWidth="1"/>
    <col min="7954" max="7954" width="13.44140625" style="37" customWidth="1"/>
    <col min="7955" max="7958" width="9.109375" style="37" customWidth="1"/>
    <col min="7959" max="7968" width="3.44140625" style="37"/>
    <col min="7969" max="7969" width="3.44140625" style="37" customWidth="1"/>
    <col min="7970" max="8190" width="9.109375" style="37" customWidth="1"/>
    <col min="8191" max="8191" width="3.44140625" style="37" customWidth="1"/>
    <col min="8192" max="8192" width="9.109375" style="37" customWidth="1"/>
    <col min="8193" max="8194" width="26.88671875" style="37" customWidth="1"/>
    <col min="8195" max="8195" width="16.88671875" style="37" customWidth="1"/>
    <col min="8196" max="8197" width="4.5546875" style="37" customWidth="1"/>
    <col min="8198" max="8198" width="20.5546875" style="37" customWidth="1"/>
    <col min="8199" max="8199" width="6.109375" style="37" customWidth="1"/>
    <col min="8200" max="8201" width="14.6640625" style="37" customWidth="1"/>
    <col min="8202" max="8202" width="13.88671875" style="37" customWidth="1"/>
    <col min="8203" max="8203" width="7.109375" style="37" customWidth="1"/>
    <col min="8204" max="8204" width="11.88671875" style="37" customWidth="1"/>
    <col min="8205" max="8205" width="6.33203125" style="37" customWidth="1"/>
    <col min="8206" max="8206" width="11.109375" style="37" customWidth="1"/>
    <col min="8207" max="8207" width="7.5546875" style="37" customWidth="1"/>
    <col min="8208" max="8208" width="8.5546875" style="37" customWidth="1"/>
    <col min="8209" max="8209" width="13.6640625" style="37" customWidth="1"/>
    <col min="8210" max="8210" width="13.44140625" style="37" customWidth="1"/>
    <col min="8211" max="8214" width="9.109375" style="37" customWidth="1"/>
    <col min="8215" max="8224" width="3.44140625" style="37"/>
    <col min="8225" max="8225" width="3.44140625" style="37" customWidth="1"/>
    <col min="8226" max="8446" width="9.109375" style="37" customWidth="1"/>
    <col min="8447" max="8447" width="3.44140625" style="37" customWidth="1"/>
    <col min="8448" max="8448" width="9.109375" style="37" customWidth="1"/>
    <col min="8449" max="8450" width="26.88671875" style="37" customWidth="1"/>
    <col min="8451" max="8451" width="16.88671875" style="37" customWidth="1"/>
    <col min="8452" max="8453" width="4.5546875" style="37" customWidth="1"/>
    <col min="8454" max="8454" width="20.5546875" style="37" customWidth="1"/>
    <col min="8455" max="8455" width="6.109375" style="37" customWidth="1"/>
    <col min="8456" max="8457" width="14.6640625" style="37" customWidth="1"/>
    <col min="8458" max="8458" width="13.88671875" style="37" customWidth="1"/>
    <col min="8459" max="8459" width="7.109375" style="37" customWidth="1"/>
    <col min="8460" max="8460" width="11.88671875" style="37" customWidth="1"/>
    <col min="8461" max="8461" width="6.33203125" style="37" customWidth="1"/>
    <col min="8462" max="8462" width="11.109375" style="37" customWidth="1"/>
    <col min="8463" max="8463" width="7.5546875" style="37" customWidth="1"/>
    <col min="8464" max="8464" width="8.5546875" style="37" customWidth="1"/>
    <col min="8465" max="8465" width="13.6640625" style="37" customWidth="1"/>
    <col min="8466" max="8466" width="13.44140625" style="37" customWidth="1"/>
    <col min="8467" max="8470" width="9.109375" style="37" customWidth="1"/>
    <col min="8471" max="8480" width="3.44140625" style="37"/>
    <col min="8481" max="8481" width="3.44140625" style="37" customWidth="1"/>
    <col min="8482" max="8702" width="9.109375" style="37" customWidth="1"/>
    <col min="8703" max="8703" width="3.44140625" style="37" customWidth="1"/>
    <col min="8704" max="8704" width="9.109375" style="37" customWidth="1"/>
    <col min="8705" max="8706" width="26.88671875" style="37" customWidth="1"/>
    <col min="8707" max="8707" width="16.88671875" style="37" customWidth="1"/>
    <col min="8708" max="8709" width="4.5546875" style="37" customWidth="1"/>
    <col min="8710" max="8710" width="20.5546875" style="37" customWidth="1"/>
    <col min="8711" max="8711" width="6.109375" style="37" customWidth="1"/>
    <col min="8712" max="8713" width="14.6640625" style="37" customWidth="1"/>
    <col min="8714" max="8714" width="13.88671875" style="37" customWidth="1"/>
    <col min="8715" max="8715" width="7.109375" style="37" customWidth="1"/>
    <col min="8716" max="8716" width="11.88671875" style="37" customWidth="1"/>
    <col min="8717" max="8717" width="6.33203125" style="37" customWidth="1"/>
    <col min="8718" max="8718" width="11.109375" style="37" customWidth="1"/>
    <col min="8719" max="8719" width="7.5546875" style="37" customWidth="1"/>
    <col min="8720" max="8720" width="8.5546875" style="37" customWidth="1"/>
    <col min="8721" max="8721" width="13.6640625" style="37" customWidth="1"/>
    <col min="8722" max="8722" width="13.44140625" style="37" customWidth="1"/>
    <col min="8723" max="8726" width="9.109375" style="37" customWidth="1"/>
    <col min="8727" max="8736" width="3.44140625" style="37"/>
    <col min="8737" max="8737" width="3.44140625" style="37" customWidth="1"/>
    <col min="8738" max="8958" width="9.109375" style="37" customWidth="1"/>
    <col min="8959" max="8959" width="3.44140625" style="37" customWidth="1"/>
    <col min="8960" max="8960" width="9.109375" style="37" customWidth="1"/>
    <col min="8961" max="8962" width="26.88671875" style="37" customWidth="1"/>
    <col min="8963" max="8963" width="16.88671875" style="37" customWidth="1"/>
    <col min="8964" max="8965" width="4.5546875" style="37" customWidth="1"/>
    <col min="8966" max="8966" width="20.5546875" style="37" customWidth="1"/>
    <col min="8967" max="8967" width="6.109375" style="37" customWidth="1"/>
    <col min="8968" max="8969" width="14.6640625" style="37" customWidth="1"/>
    <col min="8970" max="8970" width="13.88671875" style="37" customWidth="1"/>
    <col min="8971" max="8971" width="7.109375" style="37" customWidth="1"/>
    <col min="8972" max="8972" width="11.88671875" style="37" customWidth="1"/>
    <col min="8973" max="8973" width="6.33203125" style="37" customWidth="1"/>
    <col min="8974" max="8974" width="11.109375" style="37" customWidth="1"/>
    <col min="8975" max="8975" width="7.5546875" style="37" customWidth="1"/>
    <col min="8976" max="8976" width="8.5546875" style="37" customWidth="1"/>
    <col min="8977" max="8977" width="13.6640625" style="37" customWidth="1"/>
    <col min="8978" max="8978" width="13.44140625" style="37" customWidth="1"/>
    <col min="8979" max="8982" width="9.109375" style="37" customWidth="1"/>
    <col min="8983" max="8992" width="3.44140625" style="37"/>
    <col min="8993" max="8993" width="3.44140625" style="37" customWidth="1"/>
    <col min="8994" max="9214" width="9.109375" style="37" customWidth="1"/>
    <col min="9215" max="9215" width="3.44140625" style="37" customWidth="1"/>
    <col min="9216" max="9216" width="9.109375" style="37" customWidth="1"/>
    <col min="9217" max="9218" width="26.88671875" style="37" customWidth="1"/>
    <col min="9219" max="9219" width="16.88671875" style="37" customWidth="1"/>
    <col min="9220" max="9221" width="4.5546875" style="37" customWidth="1"/>
    <col min="9222" max="9222" width="20.5546875" style="37" customWidth="1"/>
    <col min="9223" max="9223" width="6.109375" style="37" customWidth="1"/>
    <col min="9224" max="9225" width="14.6640625" style="37" customWidth="1"/>
    <col min="9226" max="9226" width="13.88671875" style="37" customWidth="1"/>
    <col min="9227" max="9227" width="7.109375" style="37" customWidth="1"/>
    <col min="9228" max="9228" width="11.88671875" style="37" customWidth="1"/>
    <col min="9229" max="9229" width="6.33203125" style="37" customWidth="1"/>
    <col min="9230" max="9230" width="11.109375" style="37" customWidth="1"/>
    <col min="9231" max="9231" width="7.5546875" style="37" customWidth="1"/>
    <col min="9232" max="9232" width="8.5546875" style="37" customWidth="1"/>
    <col min="9233" max="9233" width="13.6640625" style="37" customWidth="1"/>
    <col min="9234" max="9234" width="13.44140625" style="37" customWidth="1"/>
    <col min="9235" max="9238" width="9.109375" style="37" customWidth="1"/>
    <col min="9239" max="9248" width="3.44140625" style="37"/>
    <col min="9249" max="9249" width="3.44140625" style="37" customWidth="1"/>
    <col min="9250" max="9470" width="9.109375" style="37" customWidth="1"/>
    <col min="9471" max="9471" width="3.44140625" style="37" customWidth="1"/>
    <col min="9472" max="9472" width="9.109375" style="37" customWidth="1"/>
    <col min="9473" max="9474" width="26.88671875" style="37" customWidth="1"/>
    <col min="9475" max="9475" width="16.88671875" style="37" customWidth="1"/>
    <col min="9476" max="9477" width="4.5546875" style="37" customWidth="1"/>
    <col min="9478" max="9478" width="20.5546875" style="37" customWidth="1"/>
    <col min="9479" max="9479" width="6.109375" style="37" customWidth="1"/>
    <col min="9480" max="9481" width="14.6640625" style="37" customWidth="1"/>
    <col min="9482" max="9482" width="13.88671875" style="37" customWidth="1"/>
    <col min="9483" max="9483" width="7.109375" style="37" customWidth="1"/>
    <col min="9484" max="9484" width="11.88671875" style="37" customWidth="1"/>
    <col min="9485" max="9485" width="6.33203125" style="37" customWidth="1"/>
    <col min="9486" max="9486" width="11.109375" style="37" customWidth="1"/>
    <col min="9487" max="9487" width="7.5546875" style="37" customWidth="1"/>
    <col min="9488" max="9488" width="8.5546875" style="37" customWidth="1"/>
    <col min="9489" max="9489" width="13.6640625" style="37" customWidth="1"/>
    <col min="9490" max="9490" width="13.44140625" style="37" customWidth="1"/>
    <col min="9491" max="9494" width="9.109375" style="37" customWidth="1"/>
    <col min="9495" max="9504" width="3.44140625" style="37"/>
    <col min="9505" max="9505" width="3.44140625" style="37" customWidth="1"/>
    <col min="9506" max="9726" width="9.109375" style="37" customWidth="1"/>
    <col min="9727" max="9727" width="3.44140625" style="37" customWidth="1"/>
    <col min="9728" max="9728" width="9.109375" style="37" customWidth="1"/>
    <col min="9729" max="9730" width="26.88671875" style="37" customWidth="1"/>
    <col min="9731" max="9731" width="16.88671875" style="37" customWidth="1"/>
    <col min="9732" max="9733" width="4.5546875" style="37" customWidth="1"/>
    <col min="9734" max="9734" width="20.5546875" style="37" customWidth="1"/>
    <col min="9735" max="9735" width="6.109375" style="37" customWidth="1"/>
    <col min="9736" max="9737" width="14.6640625" style="37" customWidth="1"/>
    <col min="9738" max="9738" width="13.88671875" style="37" customWidth="1"/>
    <col min="9739" max="9739" width="7.109375" style="37" customWidth="1"/>
    <col min="9740" max="9740" width="11.88671875" style="37" customWidth="1"/>
    <col min="9741" max="9741" width="6.33203125" style="37" customWidth="1"/>
    <col min="9742" max="9742" width="11.109375" style="37" customWidth="1"/>
    <col min="9743" max="9743" width="7.5546875" style="37" customWidth="1"/>
    <col min="9744" max="9744" width="8.5546875" style="37" customWidth="1"/>
    <col min="9745" max="9745" width="13.6640625" style="37" customWidth="1"/>
    <col min="9746" max="9746" width="13.44140625" style="37" customWidth="1"/>
    <col min="9747" max="9750" width="9.109375" style="37" customWidth="1"/>
    <col min="9751" max="9760" width="3.44140625" style="37"/>
    <col min="9761" max="9761" width="3.44140625" style="37" customWidth="1"/>
    <col min="9762" max="9982" width="9.109375" style="37" customWidth="1"/>
    <col min="9983" max="9983" width="3.44140625" style="37" customWidth="1"/>
    <col min="9984" max="9984" width="9.109375" style="37" customWidth="1"/>
    <col min="9985" max="9986" width="26.88671875" style="37" customWidth="1"/>
    <col min="9987" max="9987" width="16.88671875" style="37" customWidth="1"/>
    <col min="9988" max="9989" width="4.5546875" style="37" customWidth="1"/>
    <col min="9990" max="9990" width="20.5546875" style="37" customWidth="1"/>
    <col min="9991" max="9991" width="6.109375" style="37" customWidth="1"/>
    <col min="9992" max="9993" width="14.6640625" style="37" customWidth="1"/>
    <col min="9994" max="9994" width="13.88671875" style="37" customWidth="1"/>
    <col min="9995" max="9995" width="7.109375" style="37" customWidth="1"/>
    <col min="9996" max="9996" width="11.88671875" style="37" customWidth="1"/>
    <col min="9997" max="9997" width="6.33203125" style="37" customWidth="1"/>
    <col min="9998" max="9998" width="11.109375" style="37" customWidth="1"/>
    <col min="9999" max="9999" width="7.5546875" style="37" customWidth="1"/>
    <col min="10000" max="10000" width="8.5546875" style="37" customWidth="1"/>
    <col min="10001" max="10001" width="13.6640625" style="37" customWidth="1"/>
    <col min="10002" max="10002" width="13.44140625" style="37" customWidth="1"/>
    <col min="10003" max="10006" width="9.109375" style="37" customWidth="1"/>
    <col min="10007" max="10016" width="3.44140625" style="37"/>
    <col min="10017" max="10017" width="3.44140625" style="37" customWidth="1"/>
    <col min="10018" max="10238" width="9.109375" style="37" customWidth="1"/>
    <col min="10239" max="10239" width="3.44140625" style="37" customWidth="1"/>
    <col min="10240" max="10240" width="9.109375" style="37" customWidth="1"/>
    <col min="10241" max="10242" width="26.88671875" style="37" customWidth="1"/>
    <col min="10243" max="10243" width="16.88671875" style="37" customWidth="1"/>
    <col min="10244" max="10245" width="4.5546875" style="37" customWidth="1"/>
    <col min="10246" max="10246" width="20.5546875" style="37" customWidth="1"/>
    <col min="10247" max="10247" width="6.109375" style="37" customWidth="1"/>
    <col min="10248" max="10249" width="14.6640625" style="37" customWidth="1"/>
    <col min="10250" max="10250" width="13.88671875" style="37" customWidth="1"/>
    <col min="10251" max="10251" width="7.109375" style="37" customWidth="1"/>
    <col min="10252" max="10252" width="11.88671875" style="37" customWidth="1"/>
    <col min="10253" max="10253" width="6.33203125" style="37" customWidth="1"/>
    <col min="10254" max="10254" width="11.109375" style="37" customWidth="1"/>
    <col min="10255" max="10255" width="7.5546875" style="37" customWidth="1"/>
    <col min="10256" max="10256" width="8.5546875" style="37" customWidth="1"/>
    <col min="10257" max="10257" width="13.6640625" style="37" customWidth="1"/>
    <col min="10258" max="10258" width="13.44140625" style="37" customWidth="1"/>
    <col min="10259" max="10262" width="9.109375" style="37" customWidth="1"/>
    <col min="10263" max="10272" width="3.44140625" style="37"/>
    <col min="10273" max="10273" width="3.44140625" style="37" customWidth="1"/>
    <col min="10274" max="10494" width="9.109375" style="37" customWidth="1"/>
    <col min="10495" max="10495" width="3.44140625" style="37" customWidth="1"/>
    <col min="10496" max="10496" width="9.109375" style="37" customWidth="1"/>
    <col min="10497" max="10498" width="26.88671875" style="37" customWidth="1"/>
    <col min="10499" max="10499" width="16.88671875" style="37" customWidth="1"/>
    <col min="10500" max="10501" width="4.5546875" style="37" customWidth="1"/>
    <col min="10502" max="10502" width="20.5546875" style="37" customWidth="1"/>
    <col min="10503" max="10503" width="6.109375" style="37" customWidth="1"/>
    <col min="10504" max="10505" width="14.6640625" style="37" customWidth="1"/>
    <col min="10506" max="10506" width="13.88671875" style="37" customWidth="1"/>
    <col min="10507" max="10507" width="7.109375" style="37" customWidth="1"/>
    <col min="10508" max="10508" width="11.88671875" style="37" customWidth="1"/>
    <col min="10509" max="10509" width="6.33203125" style="37" customWidth="1"/>
    <col min="10510" max="10510" width="11.109375" style="37" customWidth="1"/>
    <col min="10511" max="10511" width="7.5546875" style="37" customWidth="1"/>
    <col min="10512" max="10512" width="8.5546875" style="37" customWidth="1"/>
    <col min="10513" max="10513" width="13.6640625" style="37" customWidth="1"/>
    <col min="10514" max="10514" width="13.44140625" style="37" customWidth="1"/>
    <col min="10515" max="10518" width="9.109375" style="37" customWidth="1"/>
    <col min="10519" max="10528" width="3.44140625" style="37"/>
    <col min="10529" max="10529" width="3.44140625" style="37" customWidth="1"/>
    <col min="10530" max="10750" width="9.109375" style="37" customWidth="1"/>
    <col min="10751" max="10751" width="3.44140625" style="37" customWidth="1"/>
    <col min="10752" max="10752" width="9.109375" style="37" customWidth="1"/>
    <col min="10753" max="10754" width="26.88671875" style="37" customWidth="1"/>
    <col min="10755" max="10755" width="16.88671875" style="37" customWidth="1"/>
    <col min="10756" max="10757" width="4.5546875" style="37" customWidth="1"/>
    <col min="10758" max="10758" width="20.5546875" style="37" customWidth="1"/>
    <col min="10759" max="10759" width="6.109375" style="37" customWidth="1"/>
    <col min="10760" max="10761" width="14.6640625" style="37" customWidth="1"/>
    <col min="10762" max="10762" width="13.88671875" style="37" customWidth="1"/>
    <col min="10763" max="10763" width="7.109375" style="37" customWidth="1"/>
    <col min="10764" max="10764" width="11.88671875" style="37" customWidth="1"/>
    <col min="10765" max="10765" width="6.33203125" style="37" customWidth="1"/>
    <col min="10766" max="10766" width="11.109375" style="37" customWidth="1"/>
    <col min="10767" max="10767" width="7.5546875" style="37" customWidth="1"/>
    <col min="10768" max="10768" width="8.5546875" style="37" customWidth="1"/>
    <col min="10769" max="10769" width="13.6640625" style="37" customWidth="1"/>
    <col min="10770" max="10770" width="13.44140625" style="37" customWidth="1"/>
    <col min="10771" max="10774" width="9.109375" style="37" customWidth="1"/>
    <col min="10775" max="10784" width="3.44140625" style="37"/>
    <col min="10785" max="10785" width="3.44140625" style="37" customWidth="1"/>
    <col min="10786" max="11006" width="9.109375" style="37" customWidth="1"/>
    <col min="11007" max="11007" width="3.44140625" style="37" customWidth="1"/>
    <col min="11008" max="11008" width="9.109375" style="37" customWidth="1"/>
    <col min="11009" max="11010" width="26.88671875" style="37" customWidth="1"/>
    <col min="11011" max="11011" width="16.88671875" style="37" customWidth="1"/>
    <col min="11012" max="11013" width="4.5546875" style="37" customWidth="1"/>
    <col min="11014" max="11014" width="20.5546875" style="37" customWidth="1"/>
    <col min="11015" max="11015" width="6.109375" style="37" customWidth="1"/>
    <col min="11016" max="11017" width="14.6640625" style="37" customWidth="1"/>
    <col min="11018" max="11018" width="13.88671875" style="37" customWidth="1"/>
    <col min="11019" max="11019" width="7.109375" style="37" customWidth="1"/>
    <col min="11020" max="11020" width="11.88671875" style="37" customWidth="1"/>
    <col min="11021" max="11021" width="6.33203125" style="37" customWidth="1"/>
    <col min="11022" max="11022" width="11.109375" style="37" customWidth="1"/>
    <col min="11023" max="11023" width="7.5546875" style="37" customWidth="1"/>
    <col min="11024" max="11024" width="8.5546875" style="37" customWidth="1"/>
    <col min="11025" max="11025" width="13.6640625" style="37" customWidth="1"/>
    <col min="11026" max="11026" width="13.44140625" style="37" customWidth="1"/>
    <col min="11027" max="11030" width="9.109375" style="37" customWidth="1"/>
    <col min="11031" max="11040" width="3.44140625" style="37"/>
    <col min="11041" max="11041" width="3.44140625" style="37" customWidth="1"/>
    <col min="11042" max="11262" width="9.109375" style="37" customWidth="1"/>
    <col min="11263" max="11263" width="3.44140625" style="37" customWidth="1"/>
    <col min="11264" max="11264" width="9.109375" style="37" customWidth="1"/>
    <col min="11265" max="11266" width="26.88671875" style="37" customWidth="1"/>
    <col min="11267" max="11267" width="16.88671875" style="37" customWidth="1"/>
    <col min="11268" max="11269" width="4.5546875" style="37" customWidth="1"/>
    <col min="11270" max="11270" width="20.5546875" style="37" customWidth="1"/>
    <col min="11271" max="11271" width="6.109375" style="37" customWidth="1"/>
    <col min="11272" max="11273" width="14.6640625" style="37" customWidth="1"/>
    <col min="11274" max="11274" width="13.88671875" style="37" customWidth="1"/>
    <col min="11275" max="11275" width="7.109375" style="37" customWidth="1"/>
    <col min="11276" max="11276" width="11.88671875" style="37" customWidth="1"/>
    <col min="11277" max="11277" width="6.33203125" style="37" customWidth="1"/>
    <col min="11278" max="11278" width="11.109375" style="37" customWidth="1"/>
    <col min="11279" max="11279" width="7.5546875" style="37" customWidth="1"/>
    <col min="11280" max="11280" width="8.5546875" style="37" customWidth="1"/>
    <col min="11281" max="11281" width="13.6640625" style="37" customWidth="1"/>
    <col min="11282" max="11282" width="13.44140625" style="37" customWidth="1"/>
    <col min="11283" max="11286" width="9.109375" style="37" customWidth="1"/>
    <col min="11287" max="11296" width="3.44140625" style="37"/>
    <col min="11297" max="11297" width="3.44140625" style="37" customWidth="1"/>
    <col min="11298" max="11518" width="9.109375" style="37" customWidth="1"/>
    <col min="11519" max="11519" width="3.44140625" style="37" customWidth="1"/>
    <col min="11520" max="11520" width="9.109375" style="37" customWidth="1"/>
    <col min="11521" max="11522" width="26.88671875" style="37" customWidth="1"/>
    <col min="11523" max="11523" width="16.88671875" style="37" customWidth="1"/>
    <col min="11524" max="11525" width="4.5546875" style="37" customWidth="1"/>
    <col min="11526" max="11526" width="20.5546875" style="37" customWidth="1"/>
    <col min="11527" max="11527" width="6.109375" style="37" customWidth="1"/>
    <col min="11528" max="11529" width="14.6640625" style="37" customWidth="1"/>
    <col min="11530" max="11530" width="13.88671875" style="37" customWidth="1"/>
    <col min="11531" max="11531" width="7.109375" style="37" customWidth="1"/>
    <col min="11532" max="11532" width="11.88671875" style="37" customWidth="1"/>
    <col min="11533" max="11533" width="6.33203125" style="37" customWidth="1"/>
    <col min="11534" max="11534" width="11.109375" style="37" customWidth="1"/>
    <col min="11535" max="11535" width="7.5546875" style="37" customWidth="1"/>
    <col min="11536" max="11536" width="8.5546875" style="37" customWidth="1"/>
    <col min="11537" max="11537" width="13.6640625" style="37" customWidth="1"/>
    <col min="11538" max="11538" width="13.44140625" style="37" customWidth="1"/>
    <col min="11539" max="11542" width="9.109375" style="37" customWidth="1"/>
    <col min="11543" max="11552" width="3.44140625" style="37"/>
    <col min="11553" max="11553" width="3.44140625" style="37" customWidth="1"/>
    <col min="11554" max="11774" width="9.109375" style="37" customWidth="1"/>
    <col min="11775" max="11775" width="3.44140625" style="37" customWidth="1"/>
    <col min="11776" max="11776" width="9.109375" style="37" customWidth="1"/>
    <col min="11777" max="11778" width="26.88671875" style="37" customWidth="1"/>
    <col min="11779" max="11779" width="16.88671875" style="37" customWidth="1"/>
    <col min="11780" max="11781" width="4.5546875" style="37" customWidth="1"/>
    <col min="11782" max="11782" width="20.5546875" style="37" customWidth="1"/>
    <col min="11783" max="11783" width="6.109375" style="37" customWidth="1"/>
    <col min="11784" max="11785" width="14.6640625" style="37" customWidth="1"/>
    <col min="11786" max="11786" width="13.88671875" style="37" customWidth="1"/>
    <col min="11787" max="11787" width="7.109375" style="37" customWidth="1"/>
    <col min="11788" max="11788" width="11.88671875" style="37" customWidth="1"/>
    <col min="11789" max="11789" width="6.33203125" style="37" customWidth="1"/>
    <col min="11790" max="11790" width="11.109375" style="37" customWidth="1"/>
    <col min="11791" max="11791" width="7.5546875" style="37" customWidth="1"/>
    <col min="11792" max="11792" width="8.5546875" style="37" customWidth="1"/>
    <col min="11793" max="11793" width="13.6640625" style="37" customWidth="1"/>
    <col min="11794" max="11794" width="13.44140625" style="37" customWidth="1"/>
    <col min="11795" max="11798" width="9.109375" style="37" customWidth="1"/>
    <col min="11799" max="11808" width="3.44140625" style="37"/>
    <col min="11809" max="11809" width="3.44140625" style="37" customWidth="1"/>
    <col min="11810" max="12030" width="9.109375" style="37" customWidth="1"/>
    <col min="12031" max="12031" width="3.44140625" style="37" customWidth="1"/>
    <col min="12032" max="12032" width="9.109375" style="37" customWidth="1"/>
    <col min="12033" max="12034" width="26.88671875" style="37" customWidth="1"/>
    <col min="12035" max="12035" width="16.88671875" style="37" customWidth="1"/>
    <col min="12036" max="12037" width="4.5546875" style="37" customWidth="1"/>
    <col min="12038" max="12038" width="20.5546875" style="37" customWidth="1"/>
    <col min="12039" max="12039" width="6.109375" style="37" customWidth="1"/>
    <col min="12040" max="12041" width="14.6640625" style="37" customWidth="1"/>
    <col min="12042" max="12042" width="13.88671875" style="37" customWidth="1"/>
    <col min="12043" max="12043" width="7.109375" style="37" customWidth="1"/>
    <col min="12044" max="12044" width="11.88671875" style="37" customWidth="1"/>
    <col min="12045" max="12045" width="6.33203125" style="37" customWidth="1"/>
    <col min="12046" max="12046" width="11.109375" style="37" customWidth="1"/>
    <col min="12047" max="12047" width="7.5546875" style="37" customWidth="1"/>
    <col min="12048" max="12048" width="8.5546875" style="37" customWidth="1"/>
    <col min="12049" max="12049" width="13.6640625" style="37" customWidth="1"/>
    <col min="12050" max="12050" width="13.44140625" style="37" customWidth="1"/>
    <col min="12051" max="12054" width="9.109375" style="37" customWidth="1"/>
    <col min="12055" max="12064" width="3.44140625" style="37"/>
    <col min="12065" max="12065" width="3.44140625" style="37" customWidth="1"/>
    <col min="12066" max="12286" width="9.109375" style="37" customWidth="1"/>
    <col min="12287" max="12287" width="3.44140625" style="37" customWidth="1"/>
    <col min="12288" max="12288" width="9.109375" style="37" customWidth="1"/>
    <col min="12289" max="12290" width="26.88671875" style="37" customWidth="1"/>
    <col min="12291" max="12291" width="16.88671875" style="37" customWidth="1"/>
    <col min="12292" max="12293" width="4.5546875" style="37" customWidth="1"/>
    <col min="12294" max="12294" width="20.5546875" style="37" customWidth="1"/>
    <col min="12295" max="12295" width="6.109375" style="37" customWidth="1"/>
    <col min="12296" max="12297" width="14.6640625" style="37" customWidth="1"/>
    <col min="12298" max="12298" width="13.88671875" style="37" customWidth="1"/>
    <col min="12299" max="12299" width="7.109375" style="37" customWidth="1"/>
    <col min="12300" max="12300" width="11.88671875" style="37" customWidth="1"/>
    <col min="12301" max="12301" width="6.33203125" style="37" customWidth="1"/>
    <col min="12302" max="12302" width="11.109375" style="37" customWidth="1"/>
    <col min="12303" max="12303" width="7.5546875" style="37" customWidth="1"/>
    <col min="12304" max="12304" width="8.5546875" style="37" customWidth="1"/>
    <col min="12305" max="12305" width="13.6640625" style="37" customWidth="1"/>
    <col min="12306" max="12306" width="13.44140625" style="37" customWidth="1"/>
    <col min="12307" max="12310" width="9.109375" style="37" customWidth="1"/>
    <col min="12311" max="12320" width="3.44140625" style="37"/>
    <col min="12321" max="12321" width="3.44140625" style="37" customWidth="1"/>
    <col min="12322" max="12542" width="9.109375" style="37" customWidth="1"/>
    <col min="12543" max="12543" width="3.44140625" style="37" customWidth="1"/>
    <col min="12544" max="12544" width="9.109375" style="37" customWidth="1"/>
    <col min="12545" max="12546" width="26.88671875" style="37" customWidth="1"/>
    <col min="12547" max="12547" width="16.88671875" style="37" customWidth="1"/>
    <col min="12548" max="12549" width="4.5546875" style="37" customWidth="1"/>
    <col min="12550" max="12550" width="20.5546875" style="37" customWidth="1"/>
    <col min="12551" max="12551" width="6.109375" style="37" customWidth="1"/>
    <col min="12552" max="12553" width="14.6640625" style="37" customWidth="1"/>
    <col min="12554" max="12554" width="13.88671875" style="37" customWidth="1"/>
    <col min="12555" max="12555" width="7.109375" style="37" customWidth="1"/>
    <col min="12556" max="12556" width="11.88671875" style="37" customWidth="1"/>
    <col min="12557" max="12557" width="6.33203125" style="37" customWidth="1"/>
    <col min="12558" max="12558" width="11.109375" style="37" customWidth="1"/>
    <col min="12559" max="12559" width="7.5546875" style="37" customWidth="1"/>
    <col min="12560" max="12560" width="8.5546875" style="37" customWidth="1"/>
    <col min="12561" max="12561" width="13.6640625" style="37" customWidth="1"/>
    <col min="12562" max="12562" width="13.44140625" style="37" customWidth="1"/>
    <col min="12563" max="12566" width="9.109375" style="37" customWidth="1"/>
    <col min="12567" max="12576" width="3.44140625" style="37"/>
    <col min="12577" max="12577" width="3.44140625" style="37" customWidth="1"/>
    <col min="12578" max="12798" width="9.109375" style="37" customWidth="1"/>
    <col min="12799" max="12799" width="3.44140625" style="37" customWidth="1"/>
    <col min="12800" max="12800" width="9.109375" style="37" customWidth="1"/>
    <col min="12801" max="12802" width="26.88671875" style="37" customWidth="1"/>
    <col min="12803" max="12803" width="16.88671875" style="37" customWidth="1"/>
    <col min="12804" max="12805" width="4.5546875" style="37" customWidth="1"/>
    <col min="12806" max="12806" width="20.5546875" style="37" customWidth="1"/>
    <col min="12807" max="12807" width="6.109375" style="37" customWidth="1"/>
    <col min="12808" max="12809" width="14.6640625" style="37" customWidth="1"/>
    <col min="12810" max="12810" width="13.88671875" style="37" customWidth="1"/>
    <col min="12811" max="12811" width="7.109375" style="37" customWidth="1"/>
    <col min="12812" max="12812" width="11.88671875" style="37" customWidth="1"/>
    <col min="12813" max="12813" width="6.33203125" style="37" customWidth="1"/>
    <col min="12814" max="12814" width="11.109375" style="37" customWidth="1"/>
    <col min="12815" max="12815" width="7.5546875" style="37" customWidth="1"/>
    <col min="12816" max="12816" width="8.5546875" style="37" customWidth="1"/>
    <col min="12817" max="12817" width="13.6640625" style="37" customWidth="1"/>
    <col min="12818" max="12818" width="13.44140625" style="37" customWidth="1"/>
    <col min="12819" max="12822" width="9.109375" style="37" customWidth="1"/>
    <col min="12823" max="12832" width="3.44140625" style="37"/>
    <col min="12833" max="12833" width="3.44140625" style="37" customWidth="1"/>
    <col min="12834" max="13054" width="9.109375" style="37" customWidth="1"/>
    <col min="13055" max="13055" width="3.44140625" style="37" customWidth="1"/>
    <col min="13056" max="13056" width="9.109375" style="37" customWidth="1"/>
    <col min="13057" max="13058" width="26.88671875" style="37" customWidth="1"/>
    <col min="13059" max="13059" width="16.88671875" style="37" customWidth="1"/>
    <col min="13060" max="13061" width="4.5546875" style="37" customWidth="1"/>
    <col min="13062" max="13062" width="20.5546875" style="37" customWidth="1"/>
    <col min="13063" max="13063" width="6.109375" style="37" customWidth="1"/>
    <col min="13064" max="13065" width="14.6640625" style="37" customWidth="1"/>
    <col min="13066" max="13066" width="13.88671875" style="37" customWidth="1"/>
    <col min="13067" max="13067" width="7.109375" style="37" customWidth="1"/>
    <col min="13068" max="13068" width="11.88671875" style="37" customWidth="1"/>
    <col min="13069" max="13069" width="6.33203125" style="37" customWidth="1"/>
    <col min="13070" max="13070" width="11.109375" style="37" customWidth="1"/>
    <col min="13071" max="13071" width="7.5546875" style="37" customWidth="1"/>
    <col min="13072" max="13072" width="8.5546875" style="37" customWidth="1"/>
    <col min="13073" max="13073" width="13.6640625" style="37" customWidth="1"/>
    <col min="13074" max="13074" width="13.44140625" style="37" customWidth="1"/>
    <col min="13075" max="13078" width="9.109375" style="37" customWidth="1"/>
    <col min="13079" max="13088" width="3.44140625" style="37"/>
    <col min="13089" max="13089" width="3.44140625" style="37" customWidth="1"/>
    <col min="13090" max="13310" width="9.109375" style="37" customWidth="1"/>
    <col min="13311" max="13311" width="3.44140625" style="37" customWidth="1"/>
    <col min="13312" max="13312" width="9.109375" style="37" customWidth="1"/>
    <col min="13313" max="13314" width="26.88671875" style="37" customWidth="1"/>
    <col min="13315" max="13315" width="16.88671875" style="37" customWidth="1"/>
    <col min="13316" max="13317" width="4.5546875" style="37" customWidth="1"/>
    <col min="13318" max="13318" width="20.5546875" style="37" customWidth="1"/>
    <col min="13319" max="13319" width="6.109375" style="37" customWidth="1"/>
    <col min="13320" max="13321" width="14.6640625" style="37" customWidth="1"/>
    <col min="13322" max="13322" width="13.88671875" style="37" customWidth="1"/>
    <col min="13323" max="13323" width="7.109375" style="37" customWidth="1"/>
    <col min="13324" max="13324" width="11.88671875" style="37" customWidth="1"/>
    <col min="13325" max="13325" width="6.33203125" style="37" customWidth="1"/>
    <col min="13326" max="13326" width="11.109375" style="37" customWidth="1"/>
    <col min="13327" max="13327" width="7.5546875" style="37" customWidth="1"/>
    <col min="13328" max="13328" width="8.5546875" style="37" customWidth="1"/>
    <col min="13329" max="13329" width="13.6640625" style="37" customWidth="1"/>
    <col min="13330" max="13330" width="13.44140625" style="37" customWidth="1"/>
    <col min="13331" max="13334" width="9.109375" style="37" customWidth="1"/>
    <col min="13335" max="13344" width="3.44140625" style="37"/>
    <col min="13345" max="13345" width="3.44140625" style="37" customWidth="1"/>
    <col min="13346" max="13566" width="9.109375" style="37" customWidth="1"/>
    <col min="13567" max="13567" width="3.44140625" style="37" customWidth="1"/>
    <col min="13568" max="13568" width="9.109375" style="37" customWidth="1"/>
    <col min="13569" max="13570" width="26.88671875" style="37" customWidth="1"/>
    <col min="13571" max="13571" width="16.88671875" style="37" customWidth="1"/>
    <col min="13572" max="13573" width="4.5546875" style="37" customWidth="1"/>
    <col min="13574" max="13574" width="20.5546875" style="37" customWidth="1"/>
    <col min="13575" max="13575" width="6.109375" style="37" customWidth="1"/>
    <col min="13576" max="13577" width="14.6640625" style="37" customWidth="1"/>
    <col min="13578" max="13578" width="13.88671875" style="37" customWidth="1"/>
    <col min="13579" max="13579" width="7.109375" style="37" customWidth="1"/>
    <col min="13580" max="13580" width="11.88671875" style="37" customWidth="1"/>
    <col min="13581" max="13581" width="6.33203125" style="37" customWidth="1"/>
    <col min="13582" max="13582" width="11.109375" style="37" customWidth="1"/>
    <col min="13583" max="13583" width="7.5546875" style="37" customWidth="1"/>
    <col min="13584" max="13584" width="8.5546875" style="37" customWidth="1"/>
    <col min="13585" max="13585" width="13.6640625" style="37" customWidth="1"/>
    <col min="13586" max="13586" width="13.44140625" style="37" customWidth="1"/>
    <col min="13587" max="13590" width="9.109375" style="37" customWidth="1"/>
    <col min="13591" max="13600" width="3.44140625" style="37"/>
    <col min="13601" max="13601" width="3.44140625" style="37" customWidth="1"/>
    <col min="13602" max="13822" width="9.109375" style="37" customWidth="1"/>
    <col min="13823" max="13823" width="3.44140625" style="37" customWidth="1"/>
    <col min="13824" max="13824" width="9.109375" style="37" customWidth="1"/>
    <col min="13825" max="13826" width="26.88671875" style="37" customWidth="1"/>
    <col min="13827" max="13827" width="16.88671875" style="37" customWidth="1"/>
    <col min="13828" max="13829" width="4.5546875" style="37" customWidth="1"/>
    <col min="13830" max="13830" width="20.5546875" style="37" customWidth="1"/>
    <col min="13831" max="13831" width="6.109375" style="37" customWidth="1"/>
    <col min="13832" max="13833" width="14.6640625" style="37" customWidth="1"/>
    <col min="13834" max="13834" width="13.88671875" style="37" customWidth="1"/>
    <col min="13835" max="13835" width="7.109375" style="37" customWidth="1"/>
    <col min="13836" max="13836" width="11.88671875" style="37" customWidth="1"/>
    <col min="13837" max="13837" width="6.33203125" style="37" customWidth="1"/>
    <col min="13838" max="13838" width="11.109375" style="37" customWidth="1"/>
    <col min="13839" max="13839" width="7.5546875" style="37" customWidth="1"/>
    <col min="13840" max="13840" width="8.5546875" style="37" customWidth="1"/>
    <col min="13841" max="13841" width="13.6640625" style="37" customWidth="1"/>
    <col min="13842" max="13842" width="13.44140625" style="37" customWidth="1"/>
    <col min="13843" max="13846" width="9.109375" style="37" customWidth="1"/>
    <col min="13847" max="13856" width="3.44140625" style="37"/>
    <col min="13857" max="13857" width="3.44140625" style="37" customWidth="1"/>
    <col min="13858" max="14078" width="9.109375" style="37" customWidth="1"/>
    <col min="14079" max="14079" width="3.44140625" style="37" customWidth="1"/>
    <col min="14080" max="14080" width="9.109375" style="37" customWidth="1"/>
    <col min="14081" max="14082" width="26.88671875" style="37" customWidth="1"/>
    <col min="14083" max="14083" width="16.88671875" style="37" customWidth="1"/>
    <col min="14084" max="14085" width="4.5546875" style="37" customWidth="1"/>
    <col min="14086" max="14086" width="20.5546875" style="37" customWidth="1"/>
    <col min="14087" max="14087" width="6.109375" style="37" customWidth="1"/>
    <col min="14088" max="14089" width="14.6640625" style="37" customWidth="1"/>
    <col min="14090" max="14090" width="13.88671875" style="37" customWidth="1"/>
    <col min="14091" max="14091" width="7.109375" style="37" customWidth="1"/>
    <col min="14092" max="14092" width="11.88671875" style="37" customWidth="1"/>
    <col min="14093" max="14093" width="6.33203125" style="37" customWidth="1"/>
    <col min="14094" max="14094" width="11.109375" style="37" customWidth="1"/>
    <col min="14095" max="14095" width="7.5546875" style="37" customWidth="1"/>
    <col min="14096" max="14096" width="8.5546875" style="37" customWidth="1"/>
    <col min="14097" max="14097" width="13.6640625" style="37" customWidth="1"/>
    <col min="14098" max="14098" width="13.44140625" style="37" customWidth="1"/>
    <col min="14099" max="14102" width="9.109375" style="37" customWidth="1"/>
    <col min="14103" max="14112" width="3.44140625" style="37"/>
    <col min="14113" max="14113" width="3.44140625" style="37" customWidth="1"/>
    <col min="14114" max="14334" width="9.109375" style="37" customWidth="1"/>
    <col min="14335" max="14335" width="3.44140625" style="37" customWidth="1"/>
    <col min="14336" max="14336" width="9.109375" style="37" customWidth="1"/>
    <col min="14337" max="14338" width="26.88671875" style="37" customWidth="1"/>
    <col min="14339" max="14339" width="16.88671875" style="37" customWidth="1"/>
    <col min="14340" max="14341" width="4.5546875" style="37" customWidth="1"/>
    <col min="14342" max="14342" width="20.5546875" style="37" customWidth="1"/>
    <col min="14343" max="14343" width="6.109375" style="37" customWidth="1"/>
    <col min="14344" max="14345" width="14.6640625" style="37" customWidth="1"/>
    <col min="14346" max="14346" width="13.88671875" style="37" customWidth="1"/>
    <col min="14347" max="14347" width="7.109375" style="37" customWidth="1"/>
    <col min="14348" max="14348" width="11.88671875" style="37" customWidth="1"/>
    <col min="14349" max="14349" width="6.33203125" style="37" customWidth="1"/>
    <col min="14350" max="14350" width="11.109375" style="37" customWidth="1"/>
    <col min="14351" max="14351" width="7.5546875" style="37" customWidth="1"/>
    <col min="14352" max="14352" width="8.5546875" style="37" customWidth="1"/>
    <col min="14353" max="14353" width="13.6640625" style="37" customWidth="1"/>
    <col min="14354" max="14354" width="13.44140625" style="37" customWidth="1"/>
    <col min="14355" max="14358" width="9.109375" style="37" customWidth="1"/>
    <col min="14359" max="14368" width="3.44140625" style="37"/>
    <col min="14369" max="14369" width="3.44140625" style="37" customWidth="1"/>
    <col min="14370" max="14590" width="9.109375" style="37" customWidth="1"/>
    <col min="14591" max="14591" width="3.44140625" style="37" customWidth="1"/>
    <col min="14592" max="14592" width="9.109375" style="37" customWidth="1"/>
    <col min="14593" max="14594" width="26.88671875" style="37" customWidth="1"/>
    <col min="14595" max="14595" width="16.88671875" style="37" customWidth="1"/>
    <col min="14596" max="14597" width="4.5546875" style="37" customWidth="1"/>
    <col min="14598" max="14598" width="20.5546875" style="37" customWidth="1"/>
    <col min="14599" max="14599" width="6.109375" style="37" customWidth="1"/>
    <col min="14600" max="14601" width="14.6640625" style="37" customWidth="1"/>
    <col min="14602" max="14602" width="13.88671875" style="37" customWidth="1"/>
    <col min="14603" max="14603" width="7.109375" style="37" customWidth="1"/>
    <col min="14604" max="14604" width="11.88671875" style="37" customWidth="1"/>
    <col min="14605" max="14605" width="6.33203125" style="37" customWidth="1"/>
    <col min="14606" max="14606" width="11.109375" style="37" customWidth="1"/>
    <col min="14607" max="14607" width="7.5546875" style="37" customWidth="1"/>
    <col min="14608" max="14608" width="8.5546875" style="37" customWidth="1"/>
    <col min="14609" max="14609" width="13.6640625" style="37" customWidth="1"/>
    <col min="14610" max="14610" width="13.44140625" style="37" customWidth="1"/>
    <col min="14611" max="14614" width="9.109375" style="37" customWidth="1"/>
    <col min="14615" max="14624" width="3.44140625" style="37"/>
    <col min="14625" max="14625" width="3.44140625" style="37" customWidth="1"/>
    <col min="14626" max="14846" width="9.109375" style="37" customWidth="1"/>
    <col min="14847" max="14847" width="3.44140625" style="37" customWidth="1"/>
    <col min="14848" max="14848" width="9.109375" style="37" customWidth="1"/>
    <col min="14849" max="14850" width="26.88671875" style="37" customWidth="1"/>
    <col min="14851" max="14851" width="16.88671875" style="37" customWidth="1"/>
    <col min="14852" max="14853" width="4.5546875" style="37" customWidth="1"/>
    <col min="14854" max="14854" width="20.5546875" style="37" customWidth="1"/>
    <col min="14855" max="14855" width="6.109375" style="37" customWidth="1"/>
    <col min="14856" max="14857" width="14.6640625" style="37" customWidth="1"/>
    <col min="14858" max="14858" width="13.88671875" style="37" customWidth="1"/>
    <col min="14859" max="14859" width="7.109375" style="37" customWidth="1"/>
    <col min="14860" max="14860" width="11.88671875" style="37" customWidth="1"/>
    <col min="14861" max="14861" width="6.33203125" style="37" customWidth="1"/>
    <col min="14862" max="14862" width="11.109375" style="37" customWidth="1"/>
    <col min="14863" max="14863" width="7.5546875" style="37" customWidth="1"/>
    <col min="14864" max="14864" width="8.5546875" style="37" customWidth="1"/>
    <col min="14865" max="14865" width="13.6640625" style="37" customWidth="1"/>
    <col min="14866" max="14866" width="13.44140625" style="37" customWidth="1"/>
    <col min="14867" max="14870" width="9.109375" style="37" customWidth="1"/>
    <col min="14871" max="14880" width="3.44140625" style="37"/>
    <col min="14881" max="14881" width="3.44140625" style="37" customWidth="1"/>
    <col min="14882" max="15102" width="9.109375" style="37" customWidth="1"/>
    <col min="15103" max="15103" width="3.44140625" style="37" customWidth="1"/>
    <col min="15104" max="15104" width="9.109375" style="37" customWidth="1"/>
    <col min="15105" max="15106" width="26.88671875" style="37" customWidth="1"/>
    <col min="15107" max="15107" width="16.88671875" style="37" customWidth="1"/>
    <col min="15108" max="15109" width="4.5546875" style="37" customWidth="1"/>
    <col min="15110" max="15110" width="20.5546875" style="37" customWidth="1"/>
    <col min="15111" max="15111" width="6.109375" style="37" customWidth="1"/>
    <col min="15112" max="15113" width="14.6640625" style="37" customWidth="1"/>
    <col min="15114" max="15114" width="13.88671875" style="37" customWidth="1"/>
    <col min="15115" max="15115" width="7.109375" style="37" customWidth="1"/>
    <col min="15116" max="15116" width="11.88671875" style="37" customWidth="1"/>
    <col min="15117" max="15117" width="6.33203125" style="37" customWidth="1"/>
    <col min="15118" max="15118" width="11.109375" style="37" customWidth="1"/>
    <col min="15119" max="15119" width="7.5546875" style="37" customWidth="1"/>
    <col min="15120" max="15120" width="8.5546875" style="37" customWidth="1"/>
    <col min="15121" max="15121" width="13.6640625" style="37" customWidth="1"/>
    <col min="15122" max="15122" width="13.44140625" style="37" customWidth="1"/>
    <col min="15123" max="15126" width="9.109375" style="37" customWidth="1"/>
    <col min="15127" max="15136" width="3.44140625" style="37"/>
    <col min="15137" max="15137" width="3.44140625" style="37" customWidth="1"/>
    <col min="15138" max="15358" width="9.109375" style="37" customWidth="1"/>
    <col min="15359" max="15359" width="3.44140625" style="37" customWidth="1"/>
    <col min="15360" max="15360" width="9.109375" style="37" customWidth="1"/>
    <col min="15361" max="15362" width="26.88671875" style="37" customWidth="1"/>
    <col min="15363" max="15363" width="16.88671875" style="37" customWidth="1"/>
    <col min="15364" max="15365" width="4.5546875" style="37" customWidth="1"/>
    <col min="15366" max="15366" width="20.5546875" style="37" customWidth="1"/>
    <col min="15367" max="15367" width="6.109375" style="37" customWidth="1"/>
    <col min="15368" max="15369" width="14.6640625" style="37" customWidth="1"/>
    <col min="15370" max="15370" width="13.88671875" style="37" customWidth="1"/>
    <col min="15371" max="15371" width="7.109375" style="37" customWidth="1"/>
    <col min="15372" max="15372" width="11.88671875" style="37" customWidth="1"/>
    <col min="15373" max="15373" width="6.33203125" style="37" customWidth="1"/>
    <col min="15374" max="15374" width="11.109375" style="37" customWidth="1"/>
    <col min="15375" max="15375" width="7.5546875" style="37" customWidth="1"/>
    <col min="15376" max="15376" width="8.5546875" style="37" customWidth="1"/>
    <col min="15377" max="15377" width="13.6640625" style="37" customWidth="1"/>
    <col min="15378" max="15378" width="13.44140625" style="37" customWidth="1"/>
    <col min="15379" max="15382" width="9.109375" style="37" customWidth="1"/>
    <col min="15383" max="15392" width="3.44140625" style="37"/>
    <col min="15393" max="15393" width="3.44140625" style="37" customWidth="1"/>
    <col min="15394" max="15614" width="9.109375" style="37" customWidth="1"/>
    <col min="15615" max="15615" width="3.44140625" style="37" customWidth="1"/>
    <col min="15616" max="15616" width="9.109375" style="37" customWidth="1"/>
    <col min="15617" max="15618" width="26.88671875" style="37" customWidth="1"/>
    <col min="15619" max="15619" width="16.88671875" style="37" customWidth="1"/>
    <col min="15620" max="15621" width="4.5546875" style="37" customWidth="1"/>
    <col min="15622" max="15622" width="20.5546875" style="37" customWidth="1"/>
    <col min="15623" max="15623" width="6.109375" style="37" customWidth="1"/>
    <col min="15624" max="15625" width="14.6640625" style="37" customWidth="1"/>
    <col min="15626" max="15626" width="13.88671875" style="37" customWidth="1"/>
    <col min="15627" max="15627" width="7.109375" style="37" customWidth="1"/>
    <col min="15628" max="15628" width="11.88671875" style="37" customWidth="1"/>
    <col min="15629" max="15629" width="6.33203125" style="37" customWidth="1"/>
    <col min="15630" max="15630" width="11.109375" style="37" customWidth="1"/>
    <col min="15631" max="15631" width="7.5546875" style="37" customWidth="1"/>
    <col min="15632" max="15632" width="8.5546875" style="37" customWidth="1"/>
    <col min="15633" max="15633" width="13.6640625" style="37" customWidth="1"/>
    <col min="15634" max="15634" width="13.44140625" style="37" customWidth="1"/>
    <col min="15635" max="15638" width="9.109375" style="37" customWidth="1"/>
    <col min="15639" max="15648" width="3.44140625" style="37"/>
    <col min="15649" max="15649" width="3.44140625" style="37" customWidth="1"/>
    <col min="15650" max="15870" width="9.109375" style="37" customWidth="1"/>
    <col min="15871" max="15871" width="3.44140625" style="37" customWidth="1"/>
    <col min="15872" max="15872" width="9.109375" style="37" customWidth="1"/>
    <col min="15873" max="15874" width="26.88671875" style="37" customWidth="1"/>
    <col min="15875" max="15875" width="16.88671875" style="37" customWidth="1"/>
    <col min="15876" max="15877" width="4.5546875" style="37" customWidth="1"/>
    <col min="15878" max="15878" width="20.5546875" style="37" customWidth="1"/>
    <col min="15879" max="15879" width="6.109375" style="37" customWidth="1"/>
    <col min="15880" max="15881" width="14.6640625" style="37" customWidth="1"/>
    <col min="15882" max="15882" width="13.88671875" style="37" customWidth="1"/>
    <col min="15883" max="15883" width="7.109375" style="37" customWidth="1"/>
    <col min="15884" max="15884" width="11.88671875" style="37" customWidth="1"/>
    <col min="15885" max="15885" width="6.33203125" style="37" customWidth="1"/>
    <col min="15886" max="15886" width="11.109375" style="37" customWidth="1"/>
    <col min="15887" max="15887" width="7.5546875" style="37" customWidth="1"/>
    <col min="15888" max="15888" width="8.5546875" style="37" customWidth="1"/>
    <col min="15889" max="15889" width="13.6640625" style="37" customWidth="1"/>
    <col min="15890" max="15890" width="13.44140625" style="37" customWidth="1"/>
    <col min="15891" max="15894" width="9.109375" style="37" customWidth="1"/>
    <col min="15895" max="15904" width="3.44140625" style="37"/>
    <col min="15905" max="15905" width="3.44140625" style="37" customWidth="1"/>
    <col min="15906" max="16126" width="9.109375" style="37" customWidth="1"/>
    <col min="16127" max="16127" width="3.44140625" style="37" customWidth="1"/>
    <col min="16128" max="16128" width="9.109375" style="37" customWidth="1"/>
    <col min="16129" max="16130" width="26.88671875" style="37" customWidth="1"/>
    <col min="16131" max="16131" width="16.88671875" style="37" customWidth="1"/>
    <col min="16132" max="16133" width="4.5546875" style="37" customWidth="1"/>
    <col min="16134" max="16134" width="20.5546875" style="37" customWidth="1"/>
    <col min="16135" max="16135" width="6.109375" style="37" customWidth="1"/>
    <col min="16136" max="16137" width="14.6640625" style="37" customWidth="1"/>
    <col min="16138" max="16138" width="13.88671875" style="37" customWidth="1"/>
    <col min="16139" max="16139" width="7.109375" style="37" customWidth="1"/>
    <col min="16140" max="16140" width="11.88671875" style="37" customWidth="1"/>
    <col min="16141" max="16141" width="6.33203125" style="37" customWidth="1"/>
    <col min="16142" max="16142" width="11.109375" style="37" customWidth="1"/>
    <col min="16143" max="16143" width="7.5546875" style="37" customWidth="1"/>
    <col min="16144" max="16144" width="8.5546875" style="37" customWidth="1"/>
    <col min="16145" max="16145" width="13.6640625" style="37" customWidth="1"/>
    <col min="16146" max="16146" width="13.44140625" style="37" customWidth="1"/>
    <col min="16147" max="16150" width="9.109375" style="37" customWidth="1"/>
    <col min="16151" max="16160" width="3.44140625" style="37"/>
    <col min="16161" max="16161" width="3.44140625" style="37" customWidth="1"/>
    <col min="16162" max="16384" width="9.109375" style="37" customWidth="1"/>
  </cols>
  <sheetData>
    <row r="1" spans="1:22" ht="16.8">
      <c r="A1" s="464" t="s">
        <v>0</v>
      </c>
      <c r="B1" s="464"/>
      <c r="C1" s="464"/>
      <c r="D1" s="464"/>
      <c r="E1" s="464"/>
      <c r="F1" s="161"/>
      <c r="G1" s="161"/>
      <c r="H1" s="400"/>
      <c r="I1" s="89"/>
      <c r="J1" s="89"/>
      <c r="K1" s="162"/>
      <c r="L1" s="89"/>
      <c r="M1" s="154"/>
      <c r="N1" s="89"/>
      <c r="O1" s="154"/>
      <c r="P1" s="89"/>
      <c r="Q1" s="89"/>
      <c r="R1" s="89"/>
      <c r="S1" s="89"/>
      <c r="T1" s="89"/>
      <c r="U1" s="89"/>
      <c r="V1" s="89"/>
    </row>
    <row r="2" spans="1:22" ht="16.8">
      <c r="A2" s="465" t="s">
        <v>97</v>
      </c>
      <c r="B2" s="465"/>
      <c r="C2" s="465"/>
      <c r="D2" s="465"/>
      <c r="E2" s="465"/>
      <c r="F2" s="192"/>
      <c r="G2" s="154"/>
      <c r="H2" s="401"/>
      <c r="I2" s="89"/>
      <c r="J2" s="89"/>
      <c r="K2" s="162"/>
      <c r="L2" s="206"/>
      <c r="M2" s="154"/>
      <c r="N2" s="89"/>
      <c r="O2" s="154"/>
      <c r="P2" s="89"/>
      <c r="Q2" s="89"/>
      <c r="R2" s="89"/>
      <c r="S2" s="89"/>
      <c r="T2" s="89"/>
      <c r="U2" s="89"/>
      <c r="V2" s="89"/>
    </row>
    <row r="3" spans="1:22" ht="22.8">
      <c r="A3" s="466" t="s">
        <v>1</v>
      </c>
      <c r="B3" s="466"/>
      <c r="C3" s="466"/>
      <c r="D3" s="466"/>
      <c r="E3" s="466"/>
      <c r="F3" s="466"/>
      <c r="G3" s="466"/>
      <c r="H3" s="466"/>
      <c r="I3" s="466"/>
      <c r="J3" s="466"/>
      <c r="K3" s="466"/>
      <c r="L3" s="466"/>
      <c r="M3" s="466"/>
      <c r="N3" s="466"/>
      <c r="O3" s="466"/>
      <c r="P3" s="466"/>
      <c r="Q3" s="466"/>
      <c r="R3" s="466"/>
      <c r="S3" s="89"/>
      <c r="T3" s="89"/>
      <c r="U3" s="89"/>
      <c r="V3" s="89"/>
    </row>
    <row r="4" spans="1:22" ht="20.399999999999999">
      <c r="A4" s="467" t="s">
        <v>173</v>
      </c>
      <c r="B4" s="467"/>
      <c r="C4" s="467"/>
      <c r="D4" s="467"/>
      <c r="E4" s="467"/>
      <c r="F4" s="467"/>
      <c r="G4" s="467"/>
      <c r="H4" s="467"/>
      <c r="I4" s="467"/>
      <c r="J4" s="467"/>
      <c r="K4" s="467"/>
      <c r="L4" s="467"/>
      <c r="M4" s="467"/>
      <c r="N4" s="467"/>
      <c r="O4" s="467"/>
      <c r="P4" s="467"/>
      <c r="Q4" s="467"/>
      <c r="R4" s="467"/>
      <c r="S4" s="89"/>
      <c r="T4" s="89"/>
      <c r="U4" s="89"/>
      <c r="V4" s="89"/>
    </row>
    <row r="5" spans="1:22" ht="20.399999999999999">
      <c r="A5" s="174"/>
      <c r="B5" s="174"/>
      <c r="C5" s="356"/>
      <c r="D5" s="174"/>
      <c r="E5" s="174"/>
      <c r="F5" s="212"/>
      <c r="G5" s="208"/>
      <c r="H5" s="174"/>
      <c r="I5" s="279"/>
      <c r="J5" s="174"/>
      <c r="K5" s="177"/>
      <c r="L5" s="175"/>
      <c r="M5" s="279"/>
      <c r="N5" s="174"/>
      <c r="O5" s="279"/>
      <c r="P5" s="174"/>
      <c r="Q5" s="174"/>
      <c r="R5" s="175"/>
      <c r="S5" s="89"/>
      <c r="T5" s="89"/>
      <c r="U5" s="89"/>
      <c r="V5" s="89"/>
    </row>
    <row r="6" spans="1:22" s="313" customFormat="1" ht="39.6">
      <c r="A6" s="131" t="s">
        <v>2</v>
      </c>
      <c r="B6" s="131" t="s">
        <v>12</v>
      </c>
      <c r="C6" s="131" t="s">
        <v>107</v>
      </c>
      <c r="D6" s="131" t="s">
        <v>42</v>
      </c>
      <c r="E6" s="131" t="s">
        <v>43</v>
      </c>
      <c r="F6" s="131" t="s">
        <v>5</v>
      </c>
      <c r="G6" s="131" t="s">
        <v>105</v>
      </c>
      <c r="H6" s="188" t="s">
        <v>36</v>
      </c>
      <c r="I6" s="131" t="s">
        <v>6</v>
      </c>
      <c r="J6" s="386" t="s">
        <v>7</v>
      </c>
      <c r="K6" s="131" t="s">
        <v>8</v>
      </c>
      <c r="L6" s="386" t="s">
        <v>7</v>
      </c>
      <c r="M6" s="131" t="s">
        <v>9</v>
      </c>
      <c r="N6" s="386" t="s">
        <v>7</v>
      </c>
      <c r="O6" s="386" t="s">
        <v>95</v>
      </c>
      <c r="P6" s="386" t="s">
        <v>7</v>
      </c>
      <c r="Q6" s="386" t="s">
        <v>10</v>
      </c>
      <c r="R6" s="387" t="s">
        <v>106</v>
      </c>
      <c r="S6" s="388"/>
      <c r="T6" s="388"/>
      <c r="U6" s="388"/>
      <c r="V6" s="388"/>
    </row>
    <row r="7" spans="1:22" s="191" customFormat="1" ht="45.75" customHeight="1">
      <c r="A7" s="185">
        <v>1</v>
      </c>
      <c r="B7" s="458" t="s">
        <v>283</v>
      </c>
      <c r="C7" s="318" t="s">
        <v>284</v>
      </c>
      <c r="D7" s="459"/>
      <c r="E7" s="459">
        <v>42</v>
      </c>
      <c r="F7" s="318" t="s">
        <v>285</v>
      </c>
      <c r="G7" s="459" t="s">
        <v>286</v>
      </c>
      <c r="H7" s="460">
        <v>2128200</v>
      </c>
      <c r="I7" s="461" t="s">
        <v>266</v>
      </c>
      <c r="J7" s="186">
        <f>R7-L7-N7-P7-Q7</f>
        <v>175576.5</v>
      </c>
      <c r="K7" s="286" t="s">
        <v>272</v>
      </c>
      <c r="L7" s="186">
        <f>IF(K7="-",0,H7*0.03)</f>
        <v>63846</v>
      </c>
      <c r="M7" s="286" t="s">
        <v>279</v>
      </c>
      <c r="N7" s="186">
        <f>IF(M7="-",0,H7*0.02)</f>
        <v>42564</v>
      </c>
      <c r="O7" s="286" t="s">
        <v>56</v>
      </c>
      <c r="P7" s="186">
        <f>IF(O7="-",0,H7*0.01)</f>
        <v>0</v>
      </c>
      <c r="Q7" s="187">
        <f>H7*0.005</f>
        <v>10641</v>
      </c>
      <c r="R7" s="187">
        <f>IF(I7="V.Tân",H7*0.1375,IF(I7="nguyện",H7*0.1375,IF(I7="TOẢN",H7*0.1375,H7*0.17)))</f>
        <v>292627.5</v>
      </c>
      <c r="S7" s="190"/>
      <c r="T7" s="190"/>
      <c r="U7" s="190"/>
      <c r="V7" s="190"/>
    </row>
    <row r="8" spans="1:22" s="191" customFormat="1" ht="45.75" customHeight="1">
      <c r="A8" s="185">
        <v>2</v>
      </c>
      <c r="B8" s="458" t="s">
        <v>290</v>
      </c>
      <c r="C8" s="318" t="s">
        <v>193</v>
      </c>
      <c r="D8" s="459">
        <v>63</v>
      </c>
      <c r="E8" s="459"/>
      <c r="F8" s="318" t="s">
        <v>285</v>
      </c>
      <c r="G8" s="459" t="s">
        <v>286</v>
      </c>
      <c r="H8" s="460">
        <v>2127400</v>
      </c>
      <c r="I8" s="461" t="s">
        <v>266</v>
      </c>
      <c r="J8" s="186">
        <f t="shared" ref="J8:J70" si="0">R8-L8-N8-P8-Q8</f>
        <v>154236.5</v>
      </c>
      <c r="K8" s="286" t="s">
        <v>272</v>
      </c>
      <c r="L8" s="186">
        <f t="shared" ref="L8:L70" si="1">IF(K8="-",0,H8*0.03)</f>
        <v>63822</v>
      </c>
      <c r="M8" s="286" t="s">
        <v>274</v>
      </c>
      <c r="N8" s="186">
        <f t="shared" ref="N8:N70" si="2">IF(M8="-",0,H8*0.02)</f>
        <v>42548</v>
      </c>
      <c r="O8" s="286" t="s">
        <v>344</v>
      </c>
      <c r="P8" s="186">
        <f t="shared" ref="P8:P70" si="3">IF(O8="-",0,H8*0.01)</f>
        <v>21274</v>
      </c>
      <c r="Q8" s="187">
        <f t="shared" ref="Q8:Q70" si="4">H8*0.005</f>
        <v>10637</v>
      </c>
      <c r="R8" s="187">
        <f t="shared" ref="R8:R69" si="5">IF(I8="V.Tân",H8*0.1375,IF(I8="nguyện",H8*0.1375,IF(I8="TOẢN",H8*0.1375,H8*0.17)))</f>
        <v>292517.5</v>
      </c>
      <c r="S8" s="190"/>
      <c r="T8" s="190"/>
      <c r="U8" s="190"/>
      <c r="V8" s="190"/>
    </row>
    <row r="9" spans="1:22" s="191" customFormat="1" ht="45.75" customHeight="1">
      <c r="A9" s="185">
        <v>3</v>
      </c>
      <c r="B9" s="458" t="s">
        <v>290</v>
      </c>
      <c r="C9" s="318" t="s">
        <v>291</v>
      </c>
      <c r="D9" s="459"/>
      <c r="E9" s="459">
        <v>61</v>
      </c>
      <c r="F9" s="318" t="s">
        <v>285</v>
      </c>
      <c r="G9" s="459" t="s">
        <v>286</v>
      </c>
      <c r="H9" s="460">
        <v>2128200</v>
      </c>
      <c r="I9" s="461" t="s">
        <v>269</v>
      </c>
      <c r="J9" s="186">
        <f t="shared" si="0"/>
        <v>223461</v>
      </c>
      <c r="K9" s="286" t="s">
        <v>275</v>
      </c>
      <c r="L9" s="186">
        <f t="shared" si="1"/>
        <v>63846</v>
      </c>
      <c r="M9" s="286" t="s">
        <v>342</v>
      </c>
      <c r="N9" s="186">
        <f t="shared" si="2"/>
        <v>42564</v>
      </c>
      <c r="O9" s="286" t="s">
        <v>282</v>
      </c>
      <c r="P9" s="186">
        <f t="shared" si="3"/>
        <v>21282</v>
      </c>
      <c r="Q9" s="187">
        <f t="shared" si="4"/>
        <v>10641</v>
      </c>
      <c r="R9" s="187">
        <f t="shared" si="5"/>
        <v>361794</v>
      </c>
      <c r="S9" s="207"/>
      <c r="T9" s="190"/>
      <c r="U9" s="190"/>
      <c r="V9" s="190"/>
    </row>
    <row r="10" spans="1:22" s="191" customFormat="1" ht="45.75" customHeight="1">
      <c r="A10" s="185">
        <v>4</v>
      </c>
      <c r="B10" s="458" t="s">
        <v>145</v>
      </c>
      <c r="C10" s="318" t="s">
        <v>292</v>
      </c>
      <c r="D10" s="459">
        <v>42</v>
      </c>
      <c r="E10" s="459"/>
      <c r="F10" s="318" t="s">
        <v>293</v>
      </c>
      <c r="G10" s="459" t="s">
        <v>286</v>
      </c>
      <c r="H10" s="460">
        <v>2128200</v>
      </c>
      <c r="I10" s="461" t="s">
        <v>266</v>
      </c>
      <c r="J10" s="186">
        <f t="shared" si="0"/>
        <v>154294.5</v>
      </c>
      <c r="K10" s="286" t="s">
        <v>272</v>
      </c>
      <c r="L10" s="186">
        <f t="shared" si="1"/>
        <v>63846</v>
      </c>
      <c r="M10" s="286" t="s">
        <v>343</v>
      </c>
      <c r="N10" s="186">
        <f t="shared" si="2"/>
        <v>42564</v>
      </c>
      <c r="O10" s="286" t="s">
        <v>277</v>
      </c>
      <c r="P10" s="186">
        <f t="shared" si="3"/>
        <v>21282</v>
      </c>
      <c r="Q10" s="187">
        <f t="shared" si="4"/>
        <v>10641</v>
      </c>
      <c r="R10" s="187">
        <f t="shared" si="5"/>
        <v>292627.5</v>
      </c>
      <c r="S10" s="190"/>
      <c r="T10" s="190"/>
      <c r="U10" s="190"/>
      <c r="V10" s="190"/>
    </row>
    <row r="11" spans="1:22" s="191" customFormat="1" ht="45.75" customHeight="1">
      <c r="A11" s="185">
        <v>5</v>
      </c>
      <c r="B11" s="458" t="s">
        <v>145</v>
      </c>
      <c r="C11" s="318" t="s">
        <v>177</v>
      </c>
      <c r="D11" s="459">
        <v>43</v>
      </c>
      <c r="E11" s="459"/>
      <c r="F11" s="318" t="s">
        <v>178</v>
      </c>
      <c r="G11" s="459" t="s">
        <v>179</v>
      </c>
      <c r="H11" s="460">
        <v>3405500</v>
      </c>
      <c r="I11" s="461" t="s">
        <v>263</v>
      </c>
      <c r="J11" s="186">
        <f t="shared" si="0"/>
        <v>357577.5</v>
      </c>
      <c r="K11" s="286" t="s">
        <v>268</v>
      </c>
      <c r="L11" s="186">
        <f t="shared" si="1"/>
        <v>102165</v>
      </c>
      <c r="M11" s="286" t="s">
        <v>274</v>
      </c>
      <c r="N11" s="186">
        <f t="shared" si="2"/>
        <v>68110</v>
      </c>
      <c r="O11" s="286" t="s">
        <v>276</v>
      </c>
      <c r="P11" s="186">
        <f t="shared" si="3"/>
        <v>34055</v>
      </c>
      <c r="Q11" s="187">
        <f t="shared" si="4"/>
        <v>17027.5</v>
      </c>
      <c r="R11" s="187">
        <f t="shared" si="5"/>
        <v>578935</v>
      </c>
      <c r="S11" s="190"/>
      <c r="T11" s="190"/>
      <c r="U11" s="190"/>
      <c r="V11" s="190"/>
    </row>
    <row r="12" spans="1:22" s="191" customFormat="1" ht="45.75" customHeight="1">
      <c r="A12" s="185">
        <v>6</v>
      </c>
      <c r="B12" s="458" t="s">
        <v>180</v>
      </c>
      <c r="C12" s="318" t="s">
        <v>181</v>
      </c>
      <c r="D12" s="459">
        <v>54</v>
      </c>
      <c r="E12" s="459"/>
      <c r="F12" s="318" t="s">
        <v>182</v>
      </c>
      <c r="G12" s="459" t="s">
        <v>179</v>
      </c>
      <c r="H12" s="460">
        <v>3525500</v>
      </c>
      <c r="I12" s="461" t="s">
        <v>264</v>
      </c>
      <c r="J12" s="186">
        <f t="shared" si="0"/>
        <v>370177.5</v>
      </c>
      <c r="K12" s="286" t="s">
        <v>265</v>
      </c>
      <c r="L12" s="186">
        <f t="shared" si="1"/>
        <v>105765</v>
      </c>
      <c r="M12" s="286" t="s">
        <v>272</v>
      </c>
      <c r="N12" s="186">
        <f t="shared" si="2"/>
        <v>70510</v>
      </c>
      <c r="O12" s="286" t="s">
        <v>275</v>
      </c>
      <c r="P12" s="186">
        <f t="shared" si="3"/>
        <v>35255</v>
      </c>
      <c r="Q12" s="187">
        <f t="shared" si="4"/>
        <v>17627.5</v>
      </c>
      <c r="R12" s="187">
        <f t="shared" si="5"/>
        <v>599335</v>
      </c>
      <c r="S12" s="190"/>
      <c r="T12" s="190"/>
      <c r="U12" s="190"/>
      <c r="V12" s="190"/>
    </row>
    <row r="13" spans="1:22" s="191" customFormat="1" ht="45.75" customHeight="1">
      <c r="A13" s="185">
        <v>7</v>
      </c>
      <c r="B13" s="458" t="s">
        <v>180</v>
      </c>
      <c r="C13" s="318" t="s">
        <v>183</v>
      </c>
      <c r="D13" s="459">
        <v>55</v>
      </c>
      <c r="E13" s="459"/>
      <c r="F13" s="318" t="s">
        <v>182</v>
      </c>
      <c r="G13" s="459" t="s">
        <v>179</v>
      </c>
      <c r="H13" s="460">
        <v>3525500</v>
      </c>
      <c r="I13" s="461" t="s">
        <v>264</v>
      </c>
      <c r="J13" s="186">
        <f t="shared" si="0"/>
        <v>370177.5</v>
      </c>
      <c r="K13" s="286" t="s">
        <v>265</v>
      </c>
      <c r="L13" s="186">
        <f t="shared" si="1"/>
        <v>105765</v>
      </c>
      <c r="M13" s="286" t="s">
        <v>272</v>
      </c>
      <c r="N13" s="186">
        <f t="shared" si="2"/>
        <v>70510</v>
      </c>
      <c r="O13" s="286" t="s">
        <v>275</v>
      </c>
      <c r="P13" s="186">
        <f t="shared" si="3"/>
        <v>35255</v>
      </c>
      <c r="Q13" s="187">
        <f t="shared" si="4"/>
        <v>17627.5</v>
      </c>
      <c r="R13" s="187">
        <f t="shared" si="5"/>
        <v>599335</v>
      </c>
      <c r="S13" s="190"/>
      <c r="T13" s="190"/>
      <c r="U13" s="190"/>
      <c r="V13" s="190"/>
    </row>
    <row r="14" spans="1:22" s="158" customFormat="1" ht="45.75" customHeight="1">
      <c r="A14" s="185">
        <v>8</v>
      </c>
      <c r="B14" s="458" t="s">
        <v>180</v>
      </c>
      <c r="C14" s="318" t="s">
        <v>184</v>
      </c>
      <c r="D14" s="459">
        <v>54</v>
      </c>
      <c r="E14" s="459"/>
      <c r="F14" s="318" t="s">
        <v>182</v>
      </c>
      <c r="G14" s="459" t="s">
        <v>179</v>
      </c>
      <c r="H14" s="460">
        <v>3525500</v>
      </c>
      <c r="I14" s="461" t="s">
        <v>264</v>
      </c>
      <c r="J14" s="186">
        <f t="shared" si="0"/>
        <v>370177.5</v>
      </c>
      <c r="K14" s="286" t="s">
        <v>265</v>
      </c>
      <c r="L14" s="186">
        <f t="shared" si="1"/>
        <v>105765</v>
      </c>
      <c r="M14" s="286" t="s">
        <v>272</v>
      </c>
      <c r="N14" s="186">
        <f t="shared" si="2"/>
        <v>70510</v>
      </c>
      <c r="O14" s="286" t="s">
        <v>275</v>
      </c>
      <c r="P14" s="186">
        <f t="shared" si="3"/>
        <v>35255</v>
      </c>
      <c r="Q14" s="187">
        <f t="shared" si="4"/>
        <v>17627.5</v>
      </c>
      <c r="R14" s="187">
        <f t="shared" si="5"/>
        <v>599335</v>
      </c>
      <c r="S14" s="192"/>
      <c r="T14" s="192"/>
      <c r="U14" s="192"/>
      <c r="V14" s="192"/>
    </row>
    <row r="15" spans="1:22" s="158" customFormat="1" ht="45.75" customHeight="1">
      <c r="A15" s="185">
        <v>9</v>
      </c>
      <c r="B15" s="458" t="s">
        <v>189</v>
      </c>
      <c r="C15" s="318" t="s">
        <v>190</v>
      </c>
      <c r="D15" s="459">
        <v>77</v>
      </c>
      <c r="E15" s="459"/>
      <c r="F15" s="318" t="s">
        <v>191</v>
      </c>
      <c r="G15" s="459" t="s">
        <v>192</v>
      </c>
      <c r="H15" s="460">
        <v>3897500</v>
      </c>
      <c r="I15" s="461" t="s">
        <v>265</v>
      </c>
      <c r="J15" s="186">
        <f t="shared" si="0"/>
        <v>282568.75</v>
      </c>
      <c r="K15" s="286" t="s">
        <v>267</v>
      </c>
      <c r="L15" s="186">
        <f t="shared" si="1"/>
        <v>116925</v>
      </c>
      <c r="M15" s="286" t="s">
        <v>268</v>
      </c>
      <c r="N15" s="186">
        <f t="shared" si="2"/>
        <v>77950</v>
      </c>
      <c r="O15" s="286" t="s">
        <v>280</v>
      </c>
      <c r="P15" s="186">
        <f t="shared" si="3"/>
        <v>38975</v>
      </c>
      <c r="Q15" s="187">
        <f t="shared" si="4"/>
        <v>19487.5</v>
      </c>
      <c r="R15" s="187">
        <f t="shared" si="5"/>
        <v>535906.25</v>
      </c>
      <c r="S15" s="192"/>
      <c r="T15" s="192"/>
      <c r="U15" s="192"/>
      <c r="V15" s="192"/>
    </row>
    <row r="16" spans="1:22" s="158" customFormat="1" ht="45.75" customHeight="1">
      <c r="A16" s="185">
        <v>10</v>
      </c>
      <c r="B16" s="458" t="s">
        <v>189</v>
      </c>
      <c r="C16" s="318" t="s">
        <v>330</v>
      </c>
      <c r="D16" s="459">
        <v>38</v>
      </c>
      <c r="E16" s="459"/>
      <c r="F16" s="318" t="s">
        <v>331</v>
      </c>
      <c r="G16" s="459" t="s">
        <v>332</v>
      </c>
      <c r="H16" s="460">
        <v>9972000</v>
      </c>
      <c r="I16" s="461" t="s">
        <v>268</v>
      </c>
      <c r="J16" s="186">
        <f t="shared" si="0"/>
        <v>722970</v>
      </c>
      <c r="K16" s="286" t="s">
        <v>265</v>
      </c>
      <c r="L16" s="186">
        <f t="shared" si="1"/>
        <v>299160</v>
      </c>
      <c r="M16" s="286" t="s">
        <v>274</v>
      </c>
      <c r="N16" s="186">
        <f t="shared" si="2"/>
        <v>199440</v>
      </c>
      <c r="O16" s="286" t="s">
        <v>343</v>
      </c>
      <c r="P16" s="186">
        <f t="shared" si="3"/>
        <v>99720</v>
      </c>
      <c r="Q16" s="187">
        <f t="shared" si="4"/>
        <v>49860</v>
      </c>
      <c r="R16" s="187">
        <f t="shared" si="5"/>
        <v>1371150</v>
      </c>
      <c r="S16" s="192"/>
      <c r="T16" s="192"/>
      <c r="U16" s="192"/>
      <c r="V16" s="192"/>
    </row>
    <row r="17" spans="1:22" s="158" customFormat="1" ht="45.75" customHeight="1">
      <c r="A17" s="185">
        <v>11</v>
      </c>
      <c r="B17" s="458" t="s">
        <v>189</v>
      </c>
      <c r="C17" s="318" t="s">
        <v>296</v>
      </c>
      <c r="D17" s="459"/>
      <c r="E17" s="459">
        <v>78</v>
      </c>
      <c r="F17" s="318" t="s">
        <v>285</v>
      </c>
      <c r="G17" s="459" t="s">
        <v>286</v>
      </c>
      <c r="H17" s="460">
        <v>2127400</v>
      </c>
      <c r="I17" s="461" t="s">
        <v>265</v>
      </c>
      <c r="J17" s="186">
        <f t="shared" si="0"/>
        <v>154236.5</v>
      </c>
      <c r="K17" s="286" t="s">
        <v>267</v>
      </c>
      <c r="L17" s="186">
        <f t="shared" si="1"/>
        <v>63822</v>
      </c>
      <c r="M17" s="286" t="s">
        <v>278</v>
      </c>
      <c r="N17" s="186">
        <f t="shared" si="2"/>
        <v>42548</v>
      </c>
      <c r="O17" s="286" t="s">
        <v>273</v>
      </c>
      <c r="P17" s="186">
        <f t="shared" si="3"/>
        <v>21274</v>
      </c>
      <c r="Q17" s="187">
        <f t="shared" si="4"/>
        <v>10637</v>
      </c>
      <c r="R17" s="187">
        <f t="shared" si="5"/>
        <v>292517.5</v>
      </c>
      <c r="S17" s="192"/>
      <c r="T17" s="192"/>
      <c r="U17" s="192"/>
      <c r="V17" s="192"/>
    </row>
    <row r="18" spans="1:22" s="158" customFormat="1" ht="45.75" customHeight="1">
      <c r="A18" s="185">
        <v>12</v>
      </c>
      <c r="B18" s="458" t="s">
        <v>189</v>
      </c>
      <c r="C18" s="318" t="s">
        <v>297</v>
      </c>
      <c r="D18" s="459">
        <v>22</v>
      </c>
      <c r="E18" s="459"/>
      <c r="F18" s="318" t="s">
        <v>298</v>
      </c>
      <c r="G18" s="459" t="s">
        <v>286</v>
      </c>
      <c r="H18" s="460">
        <v>2496100</v>
      </c>
      <c r="I18" s="461" t="s">
        <v>265</v>
      </c>
      <c r="J18" s="186">
        <f t="shared" si="0"/>
        <v>180967.25</v>
      </c>
      <c r="K18" s="286" t="s">
        <v>280</v>
      </c>
      <c r="L18" s="186">
        <f t="shared" si="1"/>
        <v>74883</v>
      </c>
      <c r="M18" s="286" t="s">
        <v>277</v>
      </c>
      <c r="N18" s="186">
        <f t="shared" si="2"/>
        <v>49922</v>
      </c>
      <c r="O18" s="286" t="s">
        <v>281</v>
      </c>
      <c r="P18" s="186">
        <f t="shared" si="3"/>
        <v>24961</v>
      </c>
      <c r="Q18" s="187">
        <f t="shared" si="4"/>
        <v>12480.5</v>
      </c>
      <c r="R18" s="187">
        <f t="shared" si="5"/>
        <v>343213.75</v>
      </c>
      <c r="S18" s="192"/>
      <c r="T18" s="192"/>
      <c r="U18" s="192"/>
      <c r="V18" s="192"/>
    </row>
    <row r="19" spans="1:22" s="158" customFormat="1" ht="45.75" customHeight="1">
      <c r="A19" s="185">
        <v>13</v>
      </c>
      <c r="B19" s="458" t="s">
        <v>195</v>
      </c>
      <c r="C19" s="318" t="s">
        <v>299</v>
      </c>
      <c r="D19" s="459">
        <v>62</v>
      </c>
      <c r="E19" s="459"/>
      <c r="F19" s="318" t="s">
        <v>300</v>
      </c>
      <c r="G19" s="459" t="s">
        <v>286</v>
      </c>
      <c r="H19" s="460">
        <v>2559100</v>
      </c>
      <c r="I19" s="461" t="s">
        <v>266</v>
      </c>
      <c r="J19" s="186">
        <f t="shared" si="0"/>
        <v>185534.75</v>
      </c>
      <c r="K19" s="286" t="s">
        <v>280</v>
      </c>
      <c r="L19" s="186">
        <f t="shared" si="1"/>
        <v>76773</v>
      </c>
      <c r="M19" s="286" t="s">
        <v>273</v>
      </c>
      <c r="N19" s="186">
        <f t="shared" si="2"/>
        <v>51182</v>
      </c>
      <c r="O19" s="286" t="s">
        <v>281</v>
      </c>
      <c r="P19" s="186">
        <f t="shared" si="3"/>
        <v>25591</v>
      </c>
      <c r="Q19" s="187">
        <f t="shared" si="4"/>
        <v>12795.5</v>
      </c>
      <c r="R19" s="187">
        <f t="shared" si="5"/>
        <v>351876.25</v>
      </c>
      <c r="S19" s="192"/>
      <c r="T19" s="192"/>
      <c r="U19" s="192"/>
      <c r="V19" s="192"/>
    </row>
    <row r="20" spans="1:22" s="158" customFormat="1" ht="45.75" customHeight="1">
      <c r="A20" s="185">
        <v>14</v>
      </c>
      <c r="B20" s="458" t="s">
        <v>302</v>
      </c>
      <c r="C20" s="318" t="s">
        <v>333</v>
      </c>
      <c r="D20" s="459">
        <v>50</v>
      </c>
      <c r="E20" s="459"/>
      <c r="F20" s="318" t="s">
        <v>334</v>
      </c>
      <c r="G20" s="459" t="s">
        <v>332</v>
      </c>
      <c r="H20" s="460">
        <v>5302000</v>
      </c>
      <c r="I20" s="461" t="s">
        <v>268</v>
      </c>
      <c r="J20" s="186">
        <f t="shared" si="0"/>
        <v>384395.00000000012</v>
      </c>
      <c r="K20" s="286" t="s">
        <v>274</v>
      </c>
      <c r="L20" s="186">
        <f t="shared" si="1"/>
        <v>159060</v>
      </c>
      <c r="M20" s="286" t="s">
        <v>276</v>
      </c>
      <c r="N20" s="186">
        <f t="shared" si="2"/>
        <v>106040</v>
      </c>
      <c r="O20" s="286" t="s">
        <v>282</v>
      </c>
      <c r="P20" s="186">
        <f t="shared" si="3"/>
        <v>53020</v>
      </c>
      <c r="Q20" s="187">
        <f t="shared" si="4"/>
        <v>26510</v>
      </c>
      <c r="R20" s="187">
        <f t="shared" si="5"/>
        <v>729025.00000000012</v>
      </c>
      <c r="S20" s="192"/>
      <c r="T20" s="192"/>
      <c r="U20" s="192"/>
      <c r="V20" s="192"/>
    </row>
    <row r="21" spans="1:22" s="158" customFormat="1" ht="45.75" customHeight="1">
      <c r="A21" s="185">
        <v>15</v>
      </c>
      <c r="B21" s="458" t="s">
        <v>197</v>
      </c>
      <c r="C21" s="318" t="s">
        <v>198</v>
      </c>
      <c r="D21" s="459"/>
      <c r="E21" s="459">
        <v>69</v>
      </c>
      <c r="F21" s="318" t="s">
        <v>199</v>
      </c>
      <c r="G21" s="459" t="s">
        <v>179</v>
      </c>
      <c r="H21" s="460">
        <v>4497500</v>
      </c>
      <c r="I21" s="461" t="s">
        <v>265</v>
      </c>
      <c r="J21" s="186">
        <f t="shared" si="0"/>
        <v>326068.75</v>
      </c>
      <c r="K21" s="286" t="s">
        <v>268</v>
      </c>
      <c r="L21" s="186">
        <f t="shared" si="1"/>
        <v>134925</v>
      </c>
      <c r="M21" s="286" t="s">
        <v>272</v>
      </c>
      <c r="N21" s="186">
        <f t="shared" si="2"/>
        <v>89950</v>
      </c>
      <c r="O21" s="286" t="s">
        <v>275</v>
      </c>
      <c r="P21" s="186">
        <f t="shared" si="3"/>
        <v>44975</v>
      </c>
      <c r="Q21" s="187">
        <f t="shared" si="4"/>
        <v>22487.5</v>
      </c>
      <c r="R21" s="187">
        <f t="shared" si="5"/>
        <v>618406.25</v>
      </c>
      <c r="S21" s="192"/>
      <c r="T21" s="192"/>
      <c r="U21" s="192"/>
      <c r="V21" s="192"/>
    </row>
    <row r="22" spans="1:22" s="158" customFormat="1" ht="45.75" customHeight="1">
      <c r="A22" s="185">
        <v>16</v>
      </c>
      <c r="B22" s="458" t="s">
        <v>200</v>
      </c>
      <c r="C22" s="318" t="s">
        <v>201</v>
      </c>
      <c r="D22" s="459">
        <v>63</v>
      </c>
      <c r="E22" s="459"/>
      <c r="F22" s="318" t="s">
        <v>202</v>
      </c>
      <c r="G22" s="459" t="s">
        <v>179</v>
      </c>
      <c r="H22" s="460">
        <v>4497500</v>
      </c>
      <c r="I22" s="461" t="s">
        <v>266</v>
      </c>
      <c r="J22" s="186">
        <f t="shared" si="0"/>
        <v>326068.75</v>
      </c>
      <c r="K22" s="286" t="s">
        <v>272</v>
      </c>
      <c r="L22" s="186">
        <f t="shared" si="1"/>
        <v>134925</v>
      </c>
      <c r="M22" s="286" t="s">
        <v>275</v>
      </c>
      <c r="N22" s="186">
        <f t="shared" si="2"/>
        <v>89950</v>
      </c>
      <c r="O22" s="286" t="s">
        <v>343</v>
      </c>
      <c r="P22" s="186">
        <f t="shared" si="3"/>
        <v>44975</v>
      </c>
      <c r="Q22" s="187">
        <f t="shared" si="4"/>
        <v>22487.5</v>
      </c>
      <c r="R22" s="187">
        <f t="shared" si="5"/>
        <v>618406.25</v>
      </c>
      <c r="S22" s="192"/>
      <c r="T22" s="192"/>
      <c r="U22" s="192"/>
      <c r="V22" s="192"/>
    </row>
    <row r="23" spans="1:22" s="158" customFormat="1" ht="45.75" customHeight="1">
      <c r="A23" s="185">
        <v>17</v>
      </c>
      <c r="B23" s="458" t="s">
        <v>200</v>
      </c>
      <c r="C23" s="318" t="s">
        <v>309</v>
      </c>
      <c r="D23" s="459">
        <v>26</v>
      </c>
      <c r="E23" s="459"/>
      <c r="F23" s="318" t="s">
        <v>310</v>
      </c>
      <c r="G23" s="459" t="s">
        <v>286</v>
      </c>
      <c r="H23" s="460">
        <v>2897500</v>
      </c>
      <c r="I23" s="461" t="s">
        <v>265</v>
      </c>
      <c r="J23" s="186">
        <f t="shared" si="0"/>
        <v>210068.75000000006</v>
      </c>
      <c r="K23" s="286" t="s">
        <v>272</v>
      </c>
      <c r="L23" s="186">
        <f t="shared" si="1"/>
        <v>86925</v>
      </c>
      <c r="M23" s="286" t="s">
        <v>275</v>
      </c>
      <c r="N23" s="186">
        <f t="shared" si="2"/>
        <v>57950</v>
      </c>
      <c r="O23" s="286" t="s">
        <v>276</v>
      </c>
      <c r="P23" s="186">
        <f t="shared" si="3"/>
        <v>28975</v>
      </c>
      <c r="Q23" s="187">
        <f t="shared" si="4"/>
        <v>14487.5</v>
      </c>
      <c r="R23" s="187">
        <f t="shared" si="5"/>
        <v>398406.25000000006</v>
      </c>
      <c r="S23" s="192"/>
      <c r="T23" s="192"/>
      <c r="U23" s="192"/>
      <c r="V23" s="192"/>
    </row>
    <row r="24" spans="1:22" s="158" customFormat="1" ht="26.4">
      <c r="A24" s="185">
        <v>18</v>
      </c>
      <c r="B24" s="458" t="s">
        <v>200</v>
      </c>
      <c r="C24" s="318" t="s">
        <v>203</v>
      </c>
      <c r="D24" s="459">
        <v>61</v>
      </c>
      <c r="E24" s="459"/>
      <c r="F24" s="318" t="s">
        <v>199</v>
      </c>
      <c r="G24" s="459" t="s">
        <v>179</v>
      </c>
      <c r="H24" s="460">
        <v>4497500</v>
      </c>
      <c r="I24" s="461" t="s">
        <v>264</v>
      </c>
      <c r="J24" s="186">
        <f t="shared" si="0"/>
        <v>472237.5</v>
      </c>
      <c r="K24" s="286" t="s">
        <v>268</v>
      </c>
      <c r="L24" s="186">
        <f t="shared" si="1"/>
        <v>134925</v>
      </c>
      <c r="M24" s="286" t="s">
        <v>272</v>
      </c>
      <c r="N24" s="186">
        <f t="shared" si="2"/>
        <v>89950</v>
      </c>
      <c r="O24" s="286" t="s">
        <v>275</v>
      </c>
      <c r="P24" s="186">
        <f t="shared" si="3"/>
        <v>44975</v>
      </c>
      <c r="Q24" s="187">
        <f t="shared" si="4"/>
        <v>22487.5</v>
      </c>
      <c r="R24" s="187">
        <f t="shared" si="5"/>
        <v>764575</v>
      </c>
      <c r="S24" s="192"/>
      <c r="T24" s="192"/>
      <c r="U24" s="192"/>
      <c r="V24" s="192"/>
    </row>
    <row r="25" spans="1:22" s="158" customFormat="1" ht="45.75" customHeight="1">
      <c r="A25" s="185">
        <v>19</v>
      </c>
      <c r="B25" s="458" t="s">
        <v>200</v>
      </c>
      <c r="C25" s="318" t="s">
        <v>311</v>
      </c>
      <c r="D25" s="459">
        <v>72</v>
      </c>
      <c r="E25" s="459"/>
      <c r="F25" s="318" t="s">
        <v>308</v>
      </c>
      <c r="G25" s="459" t="s">
        <v>286</v>
      </c>
      <c r="H25" s="460">
        <v>2128200</v>
      </c>
      <c r="I25" s="461" t="s">
        <v>267</v>
      </c>
      <c r="J25" s="186">
        <f t="shared" si="0"/>
        <v>223461</v>
      </c>
      <c r="K25" s="286" t="s">
        <v>274</v>
      </c>
      <c r="L25" s="186">
        <f t="shared" si="1"/>
        <v>63846</v>
      </c>
      <c r="M25" s="286" t="s">
        <v>273</v>
      </c>
      <c r="N25" s="186">
        <f t="shared" si="2"/>
        <v>42564</v>
      </c>
      <c r="O25" s="286" t="s">
        <v>277</v>
      </c>
      <c r="P25" s="186">
        <f t="shared" si="3"/>
        <v>21282</v>
      </c>
      <c r="Q25" s="187">
        <f t="shared" si="4"/>
        <v>10641</v>
      </c>
      <c r="R25" s="187">
        <f t="shared" si="5"/>
        <v>361794</v>
      </c>
      <c r="S25" s="192"/>
      <c r="T25" s="192"/>
      <c r="U25" s="192"/>
      <c r="V25" s="192"/>
    </row>
    <row r="26" spans="1:22" s="158" customFormat="1" ht="45.75" customHeight="1">
      <c r="A26" s="185">
        <v>20</v>
      </c>
      <c r="B26" s="458" t="s">
        <v>200</v>
      </c>
      <c r="C26" s="318" t="s">
        <v>291</v>
      </c>
      <c r="D26" s="459"/>
      <c r="E26" s="459">
        <v>62</v>
      </c>
      <c r="F26" s="318" t="s">
        <v>308</v>
      </c>
      <c r="G26" s="459" t="s">
        <v>286</v>
      </c>
      <c r="H26" s="460">
        <v>2128200</v>
      </c>
      <c r="I26" s="461" t="s">
        <v>267</v>
      </c>
      <c r="J26" s="186">
        <f t="shared" si="0"/>
        <v>223461</v>
      </c>
      <c r="K26" s="286" t="s">
        <v>274</v>
      </c>
      <c r="L26" s="186">
        <f t="shared" si="1"/>
        <v>63846</v>
      </c>
      <c r="M26" s="286" t="s">
        <v>273</v>
      </c>
      <c r="N26" s="186">
        <f t="shared" si="2"/>
        <v>42564</v>
      </c>
      <c r="O26" s="286" t="s">
        <v>277</v>
      </c>
      <c r="P26" s="186">
        <f t="shared" si="3"/>
        <v>21282</v>
      </c>
      <c r="Q26" s="187">
        <f t="shared" si="4"/>
        <v>10641</v>
      </c>
      <c r="R26" s="187">
        <f t="shared" si="5"/>
        <v>361794</v>
      </c>
      <c r="S26" s="192"/>
      <c r="T26" s="192"/>
      <c r="U26" s="192"/>
      <c r="V26" s="192"/>
    </row>
    <row r="27" spans="1:22" s="158" customFormat="1" ht="45.75" customHeight="1">
      <c r="A27" s="185">
        <v>21</v>
      </c>
      <c r="B27" s="458" t="s">
        <v>200</v>
      </c>
      <c r="C27" s="318" t="s">
        <v>205</v>
      </c>
      <c r="D27" s="459"/>
      <c r="E27" s="459">
        <v>40</v>
      </c>
      <c r="F27" s="318" t="s">
        <v>196</v>
      </c>
      <c r="G27" s="459" t="s">
        <v>192</v>
      </c>
      <c r="H27" s="460">
        <v>3397500</v>
      </c>
      <c r="I27" s="461" t="s">
        <v>264</v>
      </c>
      <c r="J27" s="186">
        <f t="shared" si="0"/>
        <v>356737.5</v>
      </c>
      <c r="K27" s="286" t="s">
        <v>268</v>
      </c>
      <c r="L27" s="186">
        <f t="shared" si="1"/>
        <v>101925</v>
      </c>
      <c r="M27" s="286" t="s">
        <v>272</v>
      </c>
      <c r="N27" s="186">
        <f t="shared" si="2"/>
        <v>67950</v>
      </c>
      <c r="O27" s="286" t="s">
        <v>275</v>
      </c>
      <c r="P27" s="186">
        <f t="shared" si="3"/>
        <v>33975</v>
      </c>
      <c r="Q27" s="187">
        <f t="shared" si="4"/>
        <v>16987.5</v>
      </c>
      <c r="R27" s="187">
        <f t="shared" si="5"/>
        <v>577575</v>
      </c>
      <c r="S27" s="192"/>
      <c r="T27" s="192"/>
      <c r="U27" s="192"/>
      <c r="V27" s="192"/>
    </row>
    <row r="28" spans="1:22" s="158" customFormat="1" ht="45.75" customHeight="1">
      <c r="A28" s="185">
        <v>22</v>
      </c>
      <c r="B28" s="458" t="s">
        <v>206</v>
      </c>
      <c r="C28" s="318" t="s">
        <v>207</v>
      </c>
      <c r="D28" s="459"/>
      <c r="E28" s="459">
        <v>88</v>
      </c>
      <c r="F28" s="318" t="s">
        <v>191</v>
      </c>
      <c r="G28" s="459" t="s">
        <v>192</v>
      </c>
      <c r="H28" s="460">
        <v>3897500</v>
      </c>
      <c r="I28" s="461" t="s">
        <v>264</v>
      </c>
      <c r="J28" s="186">
        <f t="shared" si="0"/>
        <v>409237.5</v>
      </c>
      <c r="K28" s="286" t="s">
        <v>265</v>
      </c>
      <c r="L28" s="186">
        <f t="shared" si="1"/>
        <v>116925</v>
      </c>
      <c r="M28" s="286" t="s">
        <v>267</v>
      </c>
      <c r="N28" s="186">
        <f t="shared" si="2"/>
        <v>77950</v>
      </c>
      <c r="O28" s="286" t="s">
        <v>272</v>
      </c>
      <c r="P28" s="186">
        <f t="shared" si="3"/>
        <v>38975</v>
      </c>
      <c r="Q28" s="187">
        <f t="shared" si="4"/>
        <v>19487.5</v>
      </c>
      <c r="R28" s="187">
        <f t="shared" si="5"/>
        <v>662575</v>
      </c>
      <c r="S28" s="192"/>
      <c r="T28" s="192"/>
      <c r="U28" s="192"/>
      <c r="V28" s="192"/>
    </row>
    <row r="29" spans="1:22" s="158" customFormat="1" ht="45.75" customHeight="1">
      <c r="A29" s="185">
        <v>23</v>
      </c>
      <c r="B29" s="458" t="s">
        <v>206</v>
      </c>
      <c r="C29" s="318" t="s">
        <v>208</v>
      </c>
      <c r="D29" s="459">
        <v>84</v>
      </c>
      <c r="E29" s="459"/>
      <c r="F29" s="318" t="s">
        <v>187</v>
      </c>
      <c r="G29" s="459" t="s">
        <v>192</v>
      </c>
      <c r="H29" s="460">
        <v>796000</v>
      </c>
      <c r="I29" s="461" t="s">
        <v>267</v>
      </c>
      <c r="J29" s="186">
        <f t="shared" si="0"/>
        <v>91540</v>
      </c>
      <c r="K29" s="286" t="s">
        <v>272</v>
      </c>
      <c r="L29" s="186">
        <f t="shared" si="1"/>
        <v>23880</v>
      </c>
      <c r="M29" s="286" t="s">
        <v>279</v>
      </c>
      <c r="N29" s="186">
        <f t="shared" si="2"/>
        <v>15920</v>
      </c>
      <c r="O29" s="286" t="s">
        <v>56</v>
      </c>
      <c r="P29" s="186">
        <f t="shared" si="3"/>
        <v>0</v>
      </c>
      <c r="Q29" s="187">
        <f t="shared" si="4"/>
        <v>3980</v>
      </c>
      <c r="R29" s="187">
        <f t="shared" si="5"/>
        <v>135320</v>
      </c>
      <c r="S29" s="192"/>
      <c r="T29" s="192"/>
      <c r="U29" s="192"/>
      <c r="V29" s="192"/>
    </row>
    <row r="30" spans="1:22" s="158" customFormat="1" ht="45.75" customHeight="1">
      <c r="A30" s="185">
        <v>24</v>
      </c>
      <c r="B30" s="458" t="s">
        <v>209</v>
      </c>
      <c r="C30" s="318" t="s">
        <v>314</v>
      </c>
      <c r="D30" s="459"/>
      <c r="E30" s="459">
        <v>28</v>
      </c>
      <c r="F30" s="318" t="s">
        <v>300</v>
      </c>
      <c r="G30" s="459" t="s">
        <v>286</v>
      </c>
      <c r="H30" s="460">
        <v>2559100</v>
      </c>
      <c r="I30" s="461" t="s">
        <v>266</v>
      </c>
      <c r="J30" s="186">
        <f t="shared" si="0"/>
        <v>211125.75</v>
      </c>
      <c r="K30" s="286" t="s">
        <v>280</v>
      </c>
      <c r="L30" s="186">
        <f t="shared" si="1"/>
        <v>76773</v>
      </c>
      <c r="M30" s="286" t="s">
        <v>276</v>
      </c>
      <c r="N30" s="186">
        <f t="shared" si="2"/>
        <v>51182</v>
      </c>
      <c r="O30" s="286" t="s">
        <v>56</v>
      </c>
      <c r="P30" s="186">
        <f t="shared" si="3"/>
        <v>0</v>
      </c>
      <c r="Q30" s="187">
        <f t="shared" si="4"/>
        <v>12795.5</v>
      </c>
      <c r="R30" s="187">
        <f t="shared" si="5"/>
        <v>351876.25</v>
      </c>
      <c r="S30" s="192"/>
      <c r="T30" s="192"/>
      <c r="U30" s="192"/>
      <c r="V30" s="192"/>
    </row>
    <row r="31" spans="1:22" s="158" customFormat="1" ht="45.75" customHeight="1">
      <c r="A31" s="185">
        <v>25</v>
      </c>
      <c r="B31" s="458" t="s">
        <v>212</v>
      </c>
      <c r="C31" s="318" t="s">
        <v>296</v>
      </c>
      <c r="D31" s="459"/>
      <c r="E31" s="459">
        <v>78</v>
      </c>
      <c r="F31" s="318" t="s">
        <v>315</v>
      </c>
      <c r="G31" s="459" t="s">
        <v>286</v>
      </c>
      <c r="H31" s="460">
        <v>3127400</v>
      </c>
      <c r="I31" s="461" t="s">
        <v>267</v>
      </c>
      <c r="J31" s="186">
        <f t="shared" si="0"/>
        <v>359651</v>
      </c>
      <c r="K31" s="286" t="s">
        <v>274</v>
      </c>
      <c r="L31" s="186">
        <f t="shared" si="1"/>
        <v>93822</v>
      </c>
      <c r="M31" s="286" t="s">
        <v>273</v>
      </c>
      <c r="N31" s="186">
        <f t="shared" si="2"/>
        <v>62548</v>
      </c>
      <c r="O31" s="286" t="s">
        <v>56</v>
      </c>
      <c r="P31" s="186">
        <f t="shared" si="3"/>
        <v>0</v>
      </c>
      <c r="Q31" s="187">
        <f t="shared" si="4"/>
        <v>15637</v>
      </c>
      <c r="R31" s="187">
        <f t="shared" si="5"/>
        <v>531658</v>
      </c>
      <c r="S31" s="192"/>
      <c r="T31" s="192"/>
      <c r="U31" s="192"/>
      <c r="V31" s="192"/>
    </row>
    <row r="32" spans="1:22" s="158" customFormat="1" ht="45.75" customHeight="1">
      <c r="A32" s="185">
        <v>26</v>
      </c>
      <c r="B32" s="458" t="s">
        <v>212</v>
      </c>
      <c r="C32" s="318" t="s">
        <v>213</v>
      </c>
      <c r="D32" s="459">
        <v>61</v>
      </c>
      <c r="E32" s="459"/>
      <c r="F32" s="318" t="s">
        <v>199</v>
      </c>
      <c r="G32" s="459" t="s">
        <v>179</v>
      </c>
      <c r="H32" s="460">
        <v>4497500</v>
      </c>
      <c r="I32" s="461" t="s">
        <v>269</v>
      </c>
      <c r="J32" s="186">
        <f t="shared" si="0"/>
        <v>472237.5</v>
      </c>
      <c r="K32" s="286" t="s">
        <v>272</v>
      </c>
      <c r="L32" s="186">
        <f t="shared" si="1"/>
        <v>134925</v>
      </c>
      <c r="M32" s="286" t="s">
        <v>280</v>
      </c>
      <c r="N32" s="186">
        <f t="shared" si="2"/>
        <v>89950</v>
      </c>
      <c r="O32" s="286" t="s">
        <v>273</v>
      </c>
      <c r="P32" s="186">
        <f t="shared" si="3"/>
        <v>44975</v>
      </c>
      <c r="Q32" s="187">
        <f t="shared" si="4"/>
        <v>22487.5</v>
      </c>
      <c r="R32" s="187">
        <f t="shared" si="5"/>
        <v>764575</v>
      </c>
      <c r="S32" s="192"/>
      <c r="T32" s="192"/>
      <c r="U32" s="192"/>
      <c r="V32" s="192"/>
    </row>
    <row r="33" spans="1:22" s="158" customFormat="1" ht="45.75" customHeight="1">
      <c r="A33" s="185">
        <v>27</v>
      </c>
      <c r="B33" s="458" t="s">
        <v>212</v>
      </c>
      <c r="C33" s="318" t="s">
        <v>214</v>
      </c>
      <c r="D33" s="459"/>
      <c r="E33" s="459">
        <v>17</v>
      </c>
      <c r="F33" s="318" t="s">
        <v>199</v>
      </c>
      <c r="G33" s="459" t="s">
        <v>179</v>
      </c>
      <c r="H33" s="460">
        <v>4497500</v>
      </c>
      <c r="I33" s="461" t="s">
        <v>265</v>
      </c>
      <c r="J33" s="186">
        <f t="shared" si="0"/>
        <v>326068.75</v>
      </c>
      <c r="K33" s="286" t="s">
        <v>272</v>
      </c>
      <c r="L33" s="186">
        <f t="shared" si="1"/>
        <v>134925</v>
      </c>
      <c r="M33" s="286" t="s">
        <v>280</v>
      </c>
      <c r="N33" s="186">
        <f t="shared" si="2"/>
        <v>89950</v>
      </c>
      <c r="O33" s="286" t="s">
        <v>273</v>
      </c>
      <c r="P33" s="186">
        <f t="shared" si="3"/>
        <v>44975</v>
      </c>
      <c r="Q33" s="187">
        <f t="shared" si="4"/>
        <v>22487.5</v>
      </c>
      <c r="R33" s="187">
        <f t="shared" si="5"/>
        <v>618406.25</v>
      </c>
      <c r="S33" s="192"/>
      <c r="T33" s="192"/>
      <c r="U33" s="192"/>
      <c r="V33" s="192"/>
    </row>
    <row r="34" spans="1:22" s="158" customFormat="1" ht="45.75" customHeight="1">
      <c r="A34" s="185">
        <v>28</v>
      </c>
      <c r="B34" s="458" t="s">
        <v>212</v>
      </c>
      <c r="C34" s="318" t="s">
        <v>335</v>
      </c>
      <c r="D34" s="459">
        <v>30</v>
      </c>
      <c r="E34" s="459"/>
      <c r="F34" s="318" t="s">
        <v>199</v>
      </c>
      <c r="G34" s="459" t="s">
        <v>332</v>
      </c>
      <c r="H34" s="460">
        <v>9972000</v>
      </c>
      <c r="I34" s="461" t="s">
        <v>264</v>
      </c>
      <c r="J34" s="186">
        <f t="shared" si="0"/>
        <v>1047060.0000000002</v>
      </c>
      <c r="K34" s="286" t="s">
        <v>272</v>
      </c>
      <c r="L34" s="186">
        <f t="shared" si="1"/>
        <v>299160</v>
      </c>
      <c r="M34" s="286" t="s">
        <v>275</v>
      </c>
      <c r="N34" s="186">
        <f t="shared" si="2"/>
        <v>199440</v>
      </c>
      <c r="O34" s="286" t="s">
        <v>276</v>
      </c>
      <c r="P34" s="186">
        <f t="shared" si="3"/>
        <v>99720</v>
      </c>
      <c r="Q34" s="187">
        <f t="shared" si="4"/>
        <v>49860</v>
      </c>
      <c r="R34" s="187">
        <f t="shared" si="5"/>
        <v>1695240.0000000002</v>
      </c>
      <c r="S34" s="192"/>
      <c r="T34" s="192"/>
      <c r="U34" s="192"/>
      <c r="V34" s="192"/>
    </row>
    <row r="35" spans="1:22" s="158" customFormat="1" ht="45.75" customHeight="1">
      <c r="A35" s="185">
        <v>29</v>
      </c>
      <c r="B35" s="458" t="s">
        <v>215</v>
      </c>
      <c r="C35" s="318" t="s">
        <v>216</v>
      </c>
      <c r="D35" s="459"/>
      <c r="E35" s="459">
        <v>74</v>
      </c>
      <c r="F35" s="318" t="s">
        <v>217</v>
      </c>
      <c r="G35" s="459" t="s">
        <v>179</v>
      </c>
      <c r="H35" s="460">
        <v>3525500</v>
      </c>
      <c r="I35" s="461" t="s">
        <v>264</v>
      </c>
      <c r="J35" s="186">
        <f t="shared" si="0"/>
        <v>370177.5</v>
      </c>
      <c r="K35" s="286" t="s">
        <v>266</v>
      </c>
      <c r="L35" s="186">
        <f t="shared" si="1"/>
        <v>105765</v>
      </c>
      <c r="M35" s="286" t="s">
        <v>272</v>
      </c>
      <c r="N35" s="186">
        <f t="shared" si="2"/>
        <v>70510</v>
      </c>
      <c r="O35" s="286" t="s">
        <v>280</v>
      </c>
      <c r="P35" s="186">
        <f t="shared" si="3"/>
        <v>35255</v>
      </c>
      <c r="Q35" s="187">
        <f t="shared" si="4"/>
        <v>17627.5</v>
      </c>
      <c r="R35" s="187">
        <f t="shared" si="5"/>
        <v>599335</v>
      </c>
      <c r="S35" s="192"/>
      <c r="T35" s="192"/>
      <c r="U35" s="192"/>
      <c r="V35" s="192"/>
    </row>
    <row r="36" spans="1:22" s="158" customFormat="1" ht="45.75" customHeight="1">
      <c r="A36" s="185">
        <v>30</v>
      </c>
      <c r="B36" s="458" t="s">
        <v>215</v>
      </c>
      <c r="C36" s="318" t="s">
        <v>218</v>
      </c>
      <c r="D36" s="459">
        <v>84</v>
      </c>
      <c r="E36" s="459"/>
      <c r="F36" s="318" t="s">
        <v>219</v>
      </c>
      <c r="G36" s="459" t="s">
        <v>192</v>
      </c>
      <c r="H36" s="460">
        <v>3897500</v>
      </c>
      <c r="I36" s="461" t="s">
        <v>264</v>
      </c>
      <c r="J36" s="186">
        <f t="shared" si="0"/>
        <v>409237.5</v>
      </c>
      <c r="K36" s="286" t="s">
        <v>272</v>
      </c>
      <c r="L36" s="186">
        <f t="shared" si="1"/>
        <v>116925</v>
      </c>
      <c r="M36" s="286" t="s">
        <v>280</v>
      </c>
      <c r="N36" s="186">
        <f t="shared" si="2"/>
        <v>77950</v>
      </c>
      <c r="O36" s="286" t="s">
        <v>273</v>
      </c>
      <c r="P36" s="186">
        <f t="shared" si="3"/>
        <v>38975</v>
      </c>
      <c r="Q36" s="187">
        <f t="shared" si="4"/>
        <v>19487.5</v>
      </c>
      <c r="R36" s="187">
        <f t="shared" si="5"/>
        <v>662575</v>
      </c>
      <c r="S36" s="192"/>
      <c r="T36" s="192"/>
      <c r="U36" s="192"/>
      <c r="V36" s="192"/>
    </row>
    <row r="37" spans="1:22" s="158" customFormat="1" ht="26.4">
      <c r="A37" s="185">
        <v>31</v>
      </c>
      <c r="B37" s="458" t="s">
        <v>215</v>
      </c>
      <c r="C37" s="318" t="s">
        <v>336</v>
      </c>
      <c r="D37" s="459">
        <v>87</v>
      </c>
      <c r="E37" s="459"/>
      <c r="F37" s="318" t="s">
        <v>191</v>
      </c>
      <c r="G37" s="459" t="s">
        <v>332</v>
      </c>
      <c r="H37" s="460">
        <v>8000000</v>
      </c>
      <c r="I37" s="461" t="s">
        <v>265</v>
      </c>
      <c r="J37" s="186">
        <f t="shared" si="0"/>
        <v>580000</v>
      </c>
      <c r="K37" s="286" t="s">
        <v>268</v>
      </c>
      <c r="L37" s="186">
        <f t="shared" si="1"/>
        <v>240000</v>
      </c>
      <c r="M37" s="286" t="s">
        <v>272</v>
      </c>
      <c r="N37" s="186">
        <f t="shared" si="2"/>
        <v>160000</v>
      </c>
      <c r="O37" s="286" t="s">
        <v>275</v>
      </c>
      <c r="P37" s="186">
        <f t="shared" si="3"/>
        <v>80000</v>
      </c>
      <c r="Q37" s="187">
        <f t="shared" si="4"/>
        <v>40000</v>
      </c>
      <c r="R37" s="187">
        <f t="shared" si="5"/>
        <v>1100000</v>
      </c>
      <c r="S37" s="192"/>
      <c r="T37" s="192"/>
      <c r="U37" s="192"/>
      <c r="V37" s="192"/>
    </row>
    <row r="38" spans="1:22" s="158" customFormat="1" ht="19.5" customHeight="1">
      <c r="A38" s="185">
        <v>32</v>
      </c>
      <c r="B38" s="458" t="s">
        <v>215</v>
      </c>
      <c r="C38" s="318" t="s">
        <v>316</v>
      </c>
      <c r="D38" s="459">
        <v>42</v>
      </c>
      <c r="E38" s="459"/>
      <c r="F38" s="318" t="s">
        <v>317</v>
      </c>
      <c r="G38" s="459" t="s">
        <v>286</v>
      </c>
      <c r="H38" s="460">
        <v>2559100</v>
      </c>
      <c r="I38" s="461" t="s">
        <v>265</v>
      </c>
      <c r="J38" s="186">
        <f t="shared" si="0"/>
        <v>185534.75</v>
      </c>
      <c r="K38" s="286" t="s">
        <v>272</v>
      </c>
      <c r="L38" s="186">
        <f t="shared" si="1"/>
        <v>76773</v>
      </c>
      <c r="M38" s="286" t="s">
        <v>274</v>
      </c>
      <c r="N38" s="186">
        <f t="shared" si="2"/>
        <v>51182</v>
      </c>
      <c r="O38" s="286" t="s">
        <v>343</v>
      </c>
      <c r="P38" s="186">
        <f t="shared" si="3"/>
        <v>25591</v>
      </c>
      <c r="Q38" s="187">
        <f t="shared" si="4"/>
        <v>12795.5</v>
      </c>
      <c r="R38" s="187">
        <f t="shared" si="5"/>
        <v>351876.25</v>
      </c>
      <c r="S38" s="192"/>
      <c r="T38" s="192"/>
      <c r="U38" s="192"/>
      <c r="V38" s="192"/>
    </row>
    <row r="39" spans="1:22" s="158" customFormat="1" ht="45.75" customHeight="1">
      <c r="A39" s="185">
        <v>33</v>
      </c>
      <c r="B39" s="458" t="s">
        <v>215</v>
      </c>
      <c r="C39" s="318" t="s">
        <v>220</v>
      </c>
      <c r="D39" s="459"/>
      <c r="E39" s="459">
        <v>22</v>
      </c>
      <c r="F39" s="318" t="s">
        <v>221</v>
      </c>
      <c r="G39" s="459" t="s">
        <v>179</v>
      </c>
      <c r="H39" s="460">
        <v>3405500</v>
      </c>
      <c r="I39" s="461" t="s">
        <v>269</v>
      </c>
      <c r="J39" s="186">
        <f t="shared" si="0"/>
        <v>357577.5</v>
      </c>
      <c r="K39" s="286" t="s">
        <v>268</v>
      </c>
      <c r="L39" s="186">
        <f t="shared" si="1"/>
        <v>102165</v>
      </c>
      <c r="M39" s="286" t="s">
        <v>280</v>
      </c>
      <c r="N39" s="186">
        <f t="shared" si="2"/>
        <v>68110</v>
      </c>
      <c r="O39" s="286" t="s">
        <v>276</v>
      </c>
      <c r="P39" s="186">
        <f t="shared" si="3"/>
        <v>34055</v>
      </c>
      <c r="Q39" s="187">
        <f t="shared" si="4"/>
        <v>17027.5</v>
      </c>
      <c r="R39" s="187">
        <f t="shared" si="5"/>
        <v>578935</v>
      </c>
      <c r="S39" s="192"/>
      <c r="T39" s="192"/>
      <c r="U39" s="192"/>
      <c r="V39" s="192"/>
    </row>
    <row r="40" spans="1:22" s="158" customFormat="1" ht="45.75" customHeight="1">
      <c r="A40" s="185">
        <v>34</v>
      </c>
      <c r="B40" s="458" t="s">
        <v>222</v>
      </c>
      <c r="C40" s="318" t="s">
        <v>223</v>
      </c>
      <c r="D40" s="459"/>
      <c r="E40" s="459">
        <v>75</v>
      </c>
      <c r="F40" s="318" t="s">
        <v>199</v>
      </c>
      <c r="G40" s="459" t="s">
        <v>179</v>
      </c>
      <c r="H40" s="460">
        <v>4497500</v>
      </c>
      <c r="I40" s="461" t="s">
        <v>265</v>
      </c>
      <c r="J40" s="186">
        <f t="shared" si="0"/>
        <v>326068.75</v>
      </c>
      <c r="K40" s="286" t="s">
        <v>268</v>
      </c>
      <c r="L40" s="186">
        <f t="shared" si="1"/>
        <v>134925</v>
      </c>
      <c r="M40" s="286" t="s">
        <v>272</v>
      </c>
      <c r="N40" s="186">
        <f t="shared" si="2"/>
        <v>89950</v>
      </c>
      <c r="O40" s="286" t="s">
        <v>277</v>
      </c>
      <c r="P40" s="186">
        <f t="shared" si="3"/>
        <v>44975</v>
      </c>
      <c r="Q40" s="187">
        <f t="shared" si="4"/>
        <v>22487.5</v>
      </c>
      <c r="R40" s="187">
        <f t="shared" si="5"/>
        <v>618406.25</v>
      </c>
      <c r="S40" s="192"/>
      <c r="T40" s="192"/>
      <c r="U40" s="192"/>
      <c r="V40" s="192"/>
    </row>
    <row r="41" spans="1:22" s="158" customFormat="1" ht="45.75" customHeight="1">
      <c r="A41" s="185">
        <v>35</v>
      </c>
      <c r="B41" s="458" t="s">
        <v>224</v>
      </c>
      <c r="C41" s="318" t="s">
        <v>225</v>
      </c>
      <c r="D41" s="459"/>
      <c r="E41" s="459">
        <v>80</v>
      </c>
      <c r="F41" s="318" t="s">
        <v>191</v>
      </c>
      <c r="G41" s="459" t="s">
        <v>192</v>
      </c>
      <c r="H41" s="460">
        <v>3897500</v>
      </c>
      <c r="I41" s="461" t="s">
        <v>264</v>
      </c>
      <c r="J41" s="186">
        <f t="shared" si="0"/>
        <v>409237.5</v>
      </c>
      <c r="K41" s="286" t="s">
        <v>265</v>
      </c>
      <c r="L41" s="186">
        <f t="shared" si="1"/>
        <v>116925</v>
      </c>
      <c r="M41" s="286" t="s">
        <v>267</v>
      </c>
      <c r="N41" s="186">
        <f t="shared" si="2"/>
        <v>77950</v>
      </c>
      <c r="O41" s="286" t="s">
        <v>272</v>
      </c>
      <c r="P41" s="186">
        <f t="shared" si="3"/>
        <v>38975</v>
      </c>
      <c r="Q41" s="187">
        <f t="shared" si="4"/>
        <v>19487.5</v>
      </c>
      <c r="R41" s="187">
        <f t="shared" si="5"/>
        <v>662575</v>
      </c>
      <c r="S41" s="192"/>
      <c r="T41" s="192"/>
      <c r="U41" s="192"/>
      <c r="V41" s="192"/>
    </row>
    <row r="42" spans="1:22" s="158" customFormat="1" ht="45.75" customHeight="1">
      <c r="A42" s="185">
        <v>36</v>
      </c>
      <c r="B42" s="458" t="s">
        <v>224</v>
      </c>
      <c r="C42" s="318" t="s">
        <v>226</v>
      </c>
      <c r="D42" s="459">
        <v>97</v>
      </c>
      <c r="E42" s="459"/>
      <c r="F42" s="318" t="s">
        <v>191</v>
      </c>
      <c r="G42" s="459" t="s">
        <v>192</v>
      </c>
      <c r="H42" s="460">
        <v>3897500</v>
      </c>
      <c r="I42" s="461" t="s">
        <v>264</v>
      </c>
      <c r="J42" s="186">
        <f t="shared" si="0"/>
        <v>409237.5</v>
      </c>
      <c r="K42" s="286" t="s">
        <v>265</v>
      </c>
      <c r="L42" s="186">
        <f t="shared" si="1"/>
        <v>116925</v>
      </c>
      <c r="M42" s="286" t="s">
        <v>267</v>
      </c>
      <c r="N42" s="186">
        <f t="shared" si="2"/>
        <v>77950</v>
      </c>
      <c r="O42" s="286" t="s">
        <v>272</v>
      </c>
      <c r="P42" s="186">
        <f t="shared" si="3"/>
        <v>38975</v>
      </c>
      <c r="Q42" s="187">
        <f t="shared" si="4"/>
        <v>19487.5</v>
      </c>
      <c r="R42" s="187">
        <f t="shared" si="5"/>
        <v>662575</v>
      </c>
      <c r="S42" s="192"/>
      <c r="T42" s="192"/>
      <c r="U42" s="192"/>
      <c r="V42" s="192"/>
    </row>
    <row r="43" spans="1:22" s="158" customFormat="1" ht="45.75" customHeight="1">
      <c r="A43" s="185">
        <v>37</v>
      </c>
      <c r="B43" s="458" t="s">
        <v>224</v>
      </c>
      <c r="C43" s="318" t="s">
        <v>227</v>
      </c>
      <c r="D43" s="459"/>
      <c r="E43" s="459">
        <v>38</v>
      </c>
      <c r="F43" s="318" t="s">
        <v>191</v>
      </c>
      <c r="G43" s="459" t="s">
        <v>192</v>
      </c>
      <c r="H43" s="460">
        <v>3897500</v>
      </c>
      <c r="I43" s="461" t="s">
        <v>265</v>
      </c>
      <c r="J43" s="186">
        <f t="shared" si="0"/>
        <v>282568.75</v>
      </c>
      <c r="K43" s="286" t="s">
        <v>267</v>
      </c>
      <c r="L43" s="186">
        <f t="shared" si="1"/>
        <v>116925</v>
      </c>
      <c r="M43" s="286" t="s">
        <v>272</v>
      </c>
      <c r="N43" s="186">
        <f t="shared" si="2"/>
        <v>77950</v>
      </c>
      <c r="O43" s="286" t="s">
        <v>277</v>
      </c>
      <c r="P43" s="186">
        <f t="shared" si="3"/>
        <v>38975</v>
      </c>
      <c r="Q43" s="187">
        <f t="shared" si="4"/>
        <v>19487.5</v>
      </c>
      <c r="R43" s="187">
        <f t="shared" si="5"/>
        <v>535906.25</v>
      </c>
      <c r="S43" s="192"/>
      <c r="T43" s="192"/>
      <c r="U43" s="192"/>
      <c r="V43" s="192"/>
    </row>
    <row r="44" spans="1:22" s="158" customFormat="1" ht="45.75" customHeight="1">
      <c r="A44" s="185">
        <v>38</v>
      </c>
      <c r="B44" s="458" t="s">
        <v>224</v>
      </c>
      <c r="C44" s="318" t="s">
        <v>228</v>
      </c>
      <c r="D44" s="459"/>
      <c r="E44" s="459">
        <v>49</v>
      </c>
      <c r="F44" s="318" t="s">
        <v>229</v>
      </c>
      <c r="G44" s="459" t="s">
        <v>192</v>
      </c>
      <c r="H44" s="460">
        <v>2697100</v>
      </c>
      <c r="I44" s="461" t="s">
        <v>269</v>
      </c>
      <c r="J44" s="186">
        <f t="shared" si="0"/>
        <v>283195.50000000006</v>
      </c>
      <c r="K44" s="286" t="s">
        <v>275</v>
      </c>
      <c r="L44" s="186">
        <f t="shared" si="1"/>
        <v>80913</v>
      </c>
      <c r="M44" s="286" t="s">
        <v>281</v>
      </c>
      <c r="N44" s="186">
        <f t="shared" si="2"/>
        <v>53942</v>
      </c>
      <c r="O44" s="286" t="s">
        <v>345</v>
      </c>
      <c r="P44" s="186">
        <f t="shared" si="3"/>
        <v>26971</v>
      </c>
      <c r="Q44" s="187">
        <f t="shared" si="4"/>
        <v>13485.5</v>
      </c>
      <c r="R44" s="187">
        <f t="shared" si="5"/>
        <v>458507.00000000006</v>
      </c>
      <c r="S44" s="192"/>
      <c r="T44" s="192"/>
      <c r="U44" s="192"/>
      <c r="V44" s="192"/>
    </row>
    <row r="45" spans="1:22" s="158" customFormat="1" ht="45.75" customHeight="1">
      <c r="A45" s="185">
        <v>39</v>
      </c>
      <c r="B45" s="458" t="s">
        <v>230</v>
      </c>
      <c r="C45" s="318" t="s">
        <v>231</v>
      </c>
      <c r="D45" s="459">
        <v>38</v>
      </c>
      <c r="E45" s="459"/>
      <c r="F45" s="318" t="s">
        <v>202</v>
      </c>
      <c r="G45" s="459" t="s">
        <v>179</v>
      </c>
      <c r="H45" s="460">
        <v>4497500</v>
      </c>
      <c r="I45" s="461" t="s">
        <v>268</v>
      </c>
      <c r="J45" s="186">
        <f t="shared" si="0"/>
        <v>326068.75</v>
      </c>
      <c r="K45" s="286" t="s">
        <v>272</v>
      </c>
      <c r="L45" s="186">
        <f t="shared" si="1"/>
        <v>134925</v>
      </c>
      <c r="M45" s="286" t="s">
        <v>278</v>
      </c>
      <c r="N45" s="186">
        <f t="shared" si="2"/>
        <v>89950</v>
      </c>
      <c r="O45" s="286" t="s">
        <v>275</v>
      </c>
      <c r="P45" s="186">
        <f t="shared" si="3"/>
        <v>44975</v>
      </c>
      <c r="Q45" s="187">
        <f t="shared" si="4"/>
        <v>22487.5</v>
      </c>
      <c r="R45" s="187">
        <f t="shared" si="5"/>
        <v>618406.25</v>
      </c>
      <c r="S45" s="192"/>
      <c r="T45" s="192"/>
      <c r="U45" s="192"/>
      <c r="V45" s="192"/>
    </row>
    <row r="46" spans="1:22" s="158" customFormat="1" ht="45.75" customHeight="1">
      <c r="A46" s="185">
        <v>40</v>
      </c>
      <c r="B46" s="458" t="s">
        <v>230</v>
      </c>
      <c r="C46" s="318" t="s">
        <v>232</v>
      </c>
      <c r="D46" s="459">
        <v>100</v>
      </c>
      <c r="E46" s="459"/>
      <c r="F46" s="318" t="s">
        <v>187</v>
      </c>
      <c r="G46" s="459" t="s">
        <v>192</v>
      </c>
      <c r="H46" s="460">
        <v>796000</v>
      </c>
      <c r="I46" s="461" t="s">
        <v>270</v>
      </c>
      <c r="J46" s="186">
        <f t="shared" si="0"/>
        <v>83580</v>
      </c>
      <c r="K46" s="286" t="s">
        <v>276</v>
      </c>
      <c r="L46" s="186">
        <f t="shared" si="1"/>
        <v>23880</v>
      </c>
      <c r="M46" s="286" t="s">
        <v>281</v>
      </c>
      <c r="N46" s="186">
        <f t="shared" si="2"/>
        <v>15920</v>
      </c>
      <c r="O46" s="286" t="s">
        <v>342</v>
      </c>
      <c r="P46" s="186">
        <f t="shared" si="3"/>
        <v>7960</v>
      </c>
      <c r="Q46" s="187">
        <f t="shared" si="4"/>
        <v>3980</v>
      </c>
      <c r="R46" s="187">
        <f t="shared" si="5"/>
        <v>135320</v>
      </c>
      <c r="S46" s="192"/>
      <c r="T46" s="192"/>
      <c r="U46" s="192"/>
      <c r="V46" s="192"/>
    </row>
    <row r="47" spans="1:22" s="158" customFormat="1" ht="45.75" customHeight="1">
      <c r="A47" s="185">
        <v>41</v>
      </c>
      <c r="B47" s="458" t="s">
        <v>233</v>
      </c>
      <c r="C47" s="318" t="s">
        <v>320</v>
      </c>
      <c r="D47" s="459">
        <v>49</v>
      </c>
      <c r="E47" s="459"/>
      <c r="F47" s="318" t="s">
        <v>300</v>
      </c>
      <c r="G47" s="459" t="s">
        <v>286</v>
      </c>
      <c r="H47" s="460">
        <v>2559100</v>
      </c>
      <c r="I47" s="461" t="s">
        <v>271</v>
      </c>
      <c r="J47" s="186">
        <f t="shared" si="0"/>
        <v>268705.50000000006</v>
      </c>
      <c r="K47" s="286" t="s">
        <v>265</v>
      </c>
      <c r="L47" s="186">
        <f t="shared" si="1"/>
        <v>76773</v>
      </c>
      <c r="M47" s="286" t="s">
        <v>272</v>
      </c>
      <c r="N47" s="186">
        <f t="shared" si="2"/>
        <v>51182</v>
      </c>
      <c r="O47" s="286" t="s">
        <v>275</v>
      </c>
      <c r="P47" s="186">
        <f t="shared" si="3"/>
        <v>25591</v>
      </c>
      <c r="Q47" s="187">
        <f t="shared" si="4"/>
        <v>12795.5</v>
      </c>
      <c r="R47" s="187">
        <f t="shared" si="5"/>
        <v>435047.00000000006</v>
      </c>
      <c r="S47" s="192"/>
      <c r="T47" s="192"/>
      <c r="U47" s="192"/>
      <c r="V47" s="192"/>
    </row>
    <row r="48" spans="1:22" s="158" customFormat="1" ht="45.75" customHeight="1">
      <c r="A48" s="185">
        <v>42</v>
      </c>
      <c r="B48" s="458" t="s">
        <v>233</v>
      </c>
      <c r="C48" s="318" t="s">
        <v>234</v>
      </c>
      <c r="D48" s="459"/>
      <c r="E48" s="459">
        <v>49</v>
      </c>
      <c r="F48" s="318" t="s">
        <v>199</v>
      </c>
      <c r="G48" s="459" t="s">
        <v>179</v>
      </c>
      <c r="H48" s="460">
        <v>4497500</v>
      </c>
      <c r="I48" s="461" t="s">
        <v>267</v>
      </c>
      <c r="J48" s="186">
        <f t="shared" si="0"/>
        <v>472237.5</v>
      </c>
      <c r="K48" s="286" t="s">
        <v>274</v>
      </c>
      <c r="L48" s="186">
        <f t="shared" si="1"/>
        <v>134925</v>
      </c>
      <c r="M48" s="286" t="s">
        <v>273</v>
      </c>
      <c r="N48" s="186">
        <f t="shared" si="2"/>
        <v>89950</v>
      </c>
      <c r="O48" s="286" t="s">
        <v>282</v>
      </c>
      <c r="P48" s="186">
        <f t="shared" si="3"/>
        <v>44975</v>
      </c>
      <c r="Q48" s="187">
        <f t="shared" si="4"/>
        <v>22487.5</v>
      </c>
      <c r="R48" s="187">
        <f t="shared" si="5"/>
        <v>764575</v>
      </c>
      <c r="S48" s="192"/>
      <c r="T48" s="192"/>
      <c r="U48" s="192"/>
      <c r="V48" s="192"/>
    </row>
    <row r="49" spans="1:22" s="158" customFormat="1" ht="45.75" customHeight="1">
      <c r="A49" s="185">
        <v>43</v>
      </c>
      <c r="B49" s="458" t="s">
        <v>233</v>
      </c>
      <c r="C49" s="318" t="s">
        <v>235</v>
      </c>
      <c r="D49" s="459">
        <v>42</v>
      </c>
      <c r="E49" s="459"/>
      <c r="F49" s="318" t="s">
        <v>221</v>
      </c>
      <c r="G49" s="459" t="s">
        <v>179</v>
      </c>
      <c r="H49" s="460">
        <v>3405500</v>
      </c>
      <c r="I49" s="461" t="s">
        <v>268</v>
      </c>
      <c r="J49" s="186">
        <f t="shared" si="0"/>
        <v>246898.75000000006</v>
      </c>
      <c r="K49" s="286" t="s">
        <v>270</v>
      </c>
      <c r="L49" s="186">
        <f t="shared" si="1"/>
        <v>102165</v>
      </c>
      <c r="M49" s="286" t="s">
        <v>280</v>
      </c>
      <c r="N49" s="186">
        <f t="shared" si="2"/>
        <v>68110</v>
      </c>
      <c r="O49" s="286" t="s">
        <v>273</v>
      </c>
      <c r="P49" s="186">
        <f t="shared" si="3"/>
        <v>34055</v>
      </c>
      <c r="Q49" s="187">
        <f t="shared" si="4"/>
        <v>17027.5</v>
      </c>
      <c r="R49" s="187">
        <f t="shared" si="5"/>
        <v>468256.25000000006</v>
      </c>
      <c r="S49" s="192"/>
      <c r="T49" s="192"/>
      <c r="U49" s="192"/>
      <c r="V49" s="192"/>
    </row>
    <row r="50" spans="1:22" s="158" customFormat="1" ht="26.4">
      <c r="A50" s="185">
        <v>44</v>
      </c>
      <c r="B50" s="458" t="s">
        <v>233</v>
      </c>
      <c r="C50" s="318" t="s">
        <v>337</v>
      </c>
      <c r="D50" s="459"/>
      <c r="E50" s="459">
        <v>34</v>
      </c>
      <c r="F50" s="318" t="s">
        <v>338</v>
      </c>
      <c r="G50" s="459" t="s">
        <v>332</v>
      </c>
      <c r="H50" s="460">
        <v>7000000</v>
      </c>
      <c r="I50" s="461" t="s">
        <v>265</v>
      </c>
      <c r="J50" s="186">
        <f t="shared" si="0"/>
        <v>507500.00000000012</v>
      </c>
      <c r="K50" s="286" t="s">
        <v>272</v>
      </c>
      <c r="L50" s="186">
        <f t="shared" si="1"/>
        <v>210000</v>
      </c>
      <c r="M50" s="286" t="s">
        <v>277</v>
      </c>
      <c r="N50" s="186">
        <f t="shared" si="2"/>
        <v>140000</v>
      </c>
      <c r="O50" s="286" t="s">
        <v>279</v>
      </c>
      <c r="P50" s="186">
        <f t="shared" si="3"/>
        <v>70000</v>
      </c>
      <c r="Q50" s="187">
        <f t="shared" si="4"/>
        <v>35000</v>
      </c>
      <c r="R50" s="187">
        <f t="shared" si="5"/>
        <v>962500.00000000012</v>
      </c>
      <c r="S50" s="192"/>
      <c r="T50" s="192"/>
      <c r="U50" s="192"/>
      <c r="V50" s="192"/>
    </row>
    <row r="51" spans="1:22" s="158" customFormat="1" ht="45.75" customHeight="1">
      <c r="A51" s="185">
        <v>45</v>
      </c>
      <c r="B51" s="458" t="s">
        <v>236</v>
      </c>
      <c r="C51" s="318" t="s">
        <v>321</v>
      </c>
      <c r="D51" s="459"/>
      <c r="E51" s="459">
        <v>19</v>
      </c>
      <c r="F51" s="318" t="s">
        <v>306</v>
      </c>
      <c r="G51" s="459" t="s">
        <v>286</v>
      </c>
      <c r="H51" s="460">
        <v>2128200</v>
      </c>
      <c r="I51" s="461" t="s">
        <v>268</v>
      </c>
      <c r="J51" s="186">
        <f t="shared" si="0"/>
        <v>154294.5</v>
      </c>
      <c r="K51" s="286" t="s">
        <v>281</v>
      </c>
      <c r="L51" s="186">
        <f t="shared" si="1"/>
        <v>63846</v>
      </c>
      <c r="M51" s="286" t="s">
        <v>276</v>
      </c>
      <c r="N51" s="186">
        <f t="shared" si="2"/>
        <v>42564</v>
      </c>
      <c r="O51" s="286" t="s">
        <v>282</v>
      </c>
      <c r="P51" s="186">
        <f t="shared" si="3"/>
        <v>21282</v>
      </c>
      <c r="Q51" s="187">
        <f t="shared" si="4"/>
        <v>10641</v>
      </c>
      <c r="R51" s="187">
        <f t="shared" si="5"/>
        <v>292627.5</v>
      </c>
      <c r="S51" s="192"/>
      <c r="T51" s="192"/>
      <c r="U51" s="192"/>
      <c r="V51" s="192"/>
    </row>
    <row r="52" spans="1:22" s="158" customFormat="1" ht="45.75" customHeight="1">
      <c r="A52" s="185">
        <v>46</v>
      </c>
      <c r="B52" s="458" t="s">
        <v>236</v>
      </c>
      <c r="C52" s="318" t="s">
        <v>339</v>
      </c>
      <c r="D52" s="459">
        <v>34</v>
      </c>
      <c r="E52" s="459"/>
      <c r="F52" s="318" t="s">
        <v>221</v>
      </c>
      <c r="G52" s="459" t="s">
        <v>332</v>
      </c>
      <c r="H52" s="460">
        <v>8000000</v>
      </c>
      <c r="I52" s="461" t="s">
        <v>268</v>
      </c>
      <c r="J52" s="186">
        <f t="shared" si="0"/>
        <v>580000</v>
      </c>
      <c r="K52" s="286" t="s">
        <v>272</v>
      </c>
      <c r="L52" s="186">
        <f t="shared" si="1"/>
        <v>240000</v>
      </c>
      <c r="M52" s="286" t="s">
        <v>280</v>
      </c>
      <c r="N52" s="186">
        <f t="shared" si="2"/>
        <v>160000</v>
      </c>
      <c r="O52" s="286" t="s">
        <v>276</v>
      </c>
      <c r="P52" s="186">
        <f t="shared" si="3"/>
        <v>80000</v>
      </c>
      <c r="Q52" s="187">
        <f t="shared" si="4"/>
        <v>40000</v>
      </c>
      <c r="R52" s="187">
        <f t="shared" si="5"/>
        <v>1100000</v>
      </c>
      <c r="S52" s="192"/>
      <c r="T52" s="192"/>
      <c r="U52" s="192"/>
      <c r="V52" s="192"/>
    </row>
    <row r="53" spans="1:22" s="158" customFormat="1" ht="45.75" customHeight="1">
      <c r="A53" s="185">
        <v>47</v>
      </c>
      <c r="B53" s="458" t="s">
        <v>238</v>
      </c>
      <c r="C53" s="318" t="s">
        <v>239</v>
      </c>
      <c r="D53" s="459">
        <v>37</v>
      </c>
      <c r="E53" s="459"/>
      <c r="F53" s="318" t="s">
        <v>240</v>
      </c>
      <c r="G53" s="459" t="s">
        <v>192</v>
      </c>
      <c r="H53" s="460">
        <v>1859300</v>
      </c>
      <c r="I53" s="461" t="s">
        <v>265</v>
      </c>
      <c r="J53" s="186">
        <f t="shared" si="0"/>
        <v>134799.25000000003</v>
      </c>
      <c r="K53" s="286" t="s">
        <v>272</v>
      </c>
      <c r="L53" s="186">
        <f t="shared" si="1"/>
        <v>55779</v>
      </c>
      <c r="M53" s="286" t="s">
        <v>275</v>
      </c>
      <c r="N53" s="186">
        <f t="shared" si="2"/>
        <v>37186</v>
      </c>
      <c r="O53" s="286" t="s">
        <v>282</v>
      </c>
      <c r="P53" s="186">
        <f t="shared" si="3"/>
        <v>18593</v>
      </c>
      <c r="Q53" s="187">
        <f t="shared" si="4"/>
        <v>9296.5</v>
      </c>
      <c r="R53" s="187">
        <f t="shared" si="5"/>
        <v>255653.75000000003</v>
      </c>
      <c r="S53" s="192"/>
      <c r="T53" s="192"/>
      <c r="U53" s="192"/>
      <c r="V53" s="192"/>
    </row>
    <row r="54" spans="1:22" s="158" customFormat="1" ht="45.75" customHeight="1">
      <c r="A54" s="185">
        <v>48</v>
      </c>
      <c r="B54" s="458" t="s">
        <v>238</v>
      </c>
      <c r="C54" s="318" t="s">
        <v>241</v>
      </c>
      <c r="D54" s="459"/>
      <c r="E54" s="459">
        <v>52</v>
      </c>
      <c r="F54" s="318" t="s">
        <v>242</v>
      </c>
      <c r="G54" s="459" t="s">
        <v>192</v>
      </c>
      <c r="H54" s="460">
        <v>3796000</v>
      </c>
      <c r="I54" s="461" t="s">
        <v>269</v>
      </c>
      <c r="J54" s="186">
        <f t="shared" si="0"/>
        <v>398580</v>
      </c>
      <c r="K54" s="286" t="s">
        <v>277</v>
      </c>
      <c r="L54" s="186">
        <f t="shared" si="1"/>
        <v>113880</v>
      </c>
      <c r="M54" s="286" t="s">
        <v>275</v>
      </c>
      <c r="N54" s="186">
        <f t="shared" si="2"/>
        <v>75920</v>
      </c>
      <c r="O54" s="286" t="s">
        <v>282</v>
      </c>
      <c r="P54" s="186">
        <f t="shared" si="3"/>
        <v>37960</v>
      </c>
      <c r="Q54" s="187">
        <f t="shared" si="4"/>
        <v>18980</v>
      </c>
      <c r="R54" s="187">
        <f t="shared" si="5"/>
        <v>645320</v>
      </c>
      <c r="S54" s="192"/>
      <c r="T54" s="192"/>
      <c r="U54" s="192"/>
      <c r="V54" s="192"/>
    </row>
    <row r="55" spans="1:22" s="158" customFormat="1" ht="45.75" customHeight="1">
      <c r="A55" s="185">
        <v>49</v>
      </c>
      <c r="B55" s="458" t="s">
        <v>244</v>
      </c>
      <c r="C55" s="318" t="s">
        <v>245</v>
      </c>
      <c r="D55" s="459">
        <v>58</v>
      </c>
      <c r="E55" s="459"/>
      <c r="F55" s="318" t="s">
        <v>242</v>
      </c>
      <c r="G55" s="459" t="s">
        <v>192</v>
      </c>
      <c r="H55" s="460">
        <v>3796000</v>
      </c>
      <c r="I55" s="461" t="s">
        <v>269</v>
      </c>
      <c r="J55" s="186">
        <f t="shared" si="0"/>
        <v>398580</v>
      </c>
      <c r="K55" s="286" t="s">
        <v>273</v>
      </c>
      <c r="L55" s="186">
        <f t="shared" si="1"/>
        <v>113880</v>
      </c>
      <c r="M55" s="286" t="s">
        <v>277</v>
      </c>
      <c r="N55" s="186">
        <f t="shared" si="2"/>
        <v>75920</v>
      </c>
      <c r="O55" s="286" t="s">
        <v>278</v>
      </c>
      <c r="P55" s="186">
        <f t="shared" si="3"/>
        <v>37960</v>
      </c>
      <c r="Q55" s="187">
        <f t="shared" si="4"/>
        <v>18980</v>
      </c>
      <c r="R55" s="187">
        <f t="shared" si="5"/>
        <v>645320</v>
      </c>
      <c r="S55" s="192"/>
      <c r="T55" s="192"/>
      <c r="U55" s="192"/>
      <c r="V55" s="192"/>
    </row>
    <row r="56" spans="1:22" s="158" customFormat="1" ht="45.75" customHeight="1">
      <c r="A56" s="185">
        <v>50</v>
      </c>
      <c r="B56" s="458" t="s">
        <v>244</v>
      </c>
      <c r="C56" s="318" t="s">
        <v>246</v>
      </c>
      <c r="D56" s="459"/>
      <c r="E56" s="459">
        <v>59</v>
      </c>
      <c r="F56" s="318" t="s">
        <v>199</v>
      </c>
      <c r="G56" s="459" t="s">
        <v>179</v>
      </c>
      <c r="H56" s="460">
        <v>4497500</v>
      </c>
      <c r="I56" s="461" t="s">
        <v>268</v>
      </c>
      <c r="J56" s="186">
        <f t="shared" si="0"/>
        <v>326068.75</v>
      </c>
      <c r="K56" s="286" t="s">
        <v>265</v>
      </c>
      <c r="L56" s="186">
        <f t="shared" si="1"/>
        <v>134925</v>
      </c>
      <c r="M56" s="286" t="s">
        <v>272</v>
      </c>
      <c r="N56" s="186">
        <f t="shared" si="2"/>
        <v>89950</v>
      </c>
      <c r="O56" s="286" t="s">
        <v>277</v>
      </c>
      <c r="P56" s="186">
        <f t="shared" si="3"/>
        <v>44975</v>
      </c>
      <c r="Q56" s="187">
        <f t="shared" si="4"/>
        <v>22487.5</v>
      </c>
      <c r="R56" s="187">
        <f t="shared" si="5"/>
        <v>618406.25</v>
      </c>
      <c r="S56" s="192"/>
      <c r="T56" s="192"/>
      <c r="U56" s="192"/>
      <c r="V56" s="192"/>
    </row>
    <row r="57" spans="1:22" s="158" customFormat="1" ht="45.75" customHeight="1">
      <c r="A57" s="185">
        <v>51</v>
      </c>
      <c r="B57" s="458" t="s">
        <v>247</v>
      </c>
      <c r="C57" s="318" t="s">
        <v>340</v>
      </c>
      <c r="D57" s="459">
        <v>36</v>
      </c>
      <c r="E57" s="459"/>
      <c r="F57" s="318" t="s">
        <v>187</v>
      </c>
      <c r="G57" s="459" t="s">
        <v>332</v>
      </c>
      <c r="H57" s="460">
        <v>5100000</v>
      </c>
      <c r="I57" s="461" t="s">
        <v>267</v>
      </c>
      <c r="J57" s="186">
        <f t="shared" si="0"/>
        <v>535500.00000000012</v>
      </c>
      <c r="K57" s="286" t="s">
        <v>273</v>
      </c>
      <c r="L57" s="186">
        <f t="shared" si="1"/>
        <v>153000</v>
      </c>
      <c r="M57" s="286" t="s">
        <v>282</v>
      </c>
      <c r="N57" s="186">
        <f t="shared" si="2"/>
        <v>102000</v>
      </c>
      <c r="O57" s="286" t="s">
        <v>279</v>
      </c>
      <c r="P57" s="186">
        <f t="shared" si="3"/>
        <v>51000</v>
      </c>
      <c r="Q57" s="187">
        <f t="shared" si="4"/>
        <v>25500</v>
      </c>
      <c r="R57" s="187">
        <f t="shared" si="5"/>
        <v>867000.00000000012</v>
      </c>
      <c r="S57" s="192"/>
      <c r="T57" s="192"/>
      <c r="U57" s="192"/>
      <c r="V57" s="192"/>
    </row>
    <row r="58" spans="1:22" s="158" customFormat="1" ht="45.75" customHeight="1">
      <c r="A58" s="185">
        <v>52</v>
      </c>
      <c r="B58" s="458" t="s">
        <v>247</v>
      </c>
      <c r="C58" s="318" t="s">
        <v>248</v>
      </c>
      <c r="D58" s="459">
        <v>19</v>
      </c>
      <c r="E58" s="459"/>
      <c r="F58" s="318" t="s">
        <v>221</v>
      </c>
      <c r="G58" s="459" t="s">
        <v>179</v>
      </c>
      <c r="H58" s="460">
        <v>3405500</v>
      </c>
      <c r="I58" s="461" t="s">
        <v>271</v>
      </c>
      <c r="J58" s="186">
        <f t="shared" si="0"/>
        <v>357577.5</v>
      </c>
      <c r="K58" s="286" t="s">
        <v>268</v>
      </c>
      <c r="L58" s="186">
        <f t="shared" si="1"/>
        <v>102165</v>
      </c>
      <c r="M58" s="286" t="s">
        <v>275</v>
      </c>
      <c r="N58" s="186">
        <f t="shared" si="2"/>
        <v>68110</v>
      </c>
      <c r="O58" s="286" t="s">
        <v>276</v>
      </c>
      <c r="P58" s="186">
        <f t="shared" si="3"/>
        <v>34055</v>
      </c>
      <c r="Q58" s="187">
        <f t="shared" si="4"/>
        <v>17027.5</v>
      </c>
      <c r="R58" s="187">
        <f t="shared" si="5"/>
        <v>578935</v>
      </c>
      <c r="S58" s="192"/>
      <c r="T58" s="192"/>
      <c r="U58" s="192"/>
      <c r="V58" s="192"/>
    </row>
    <row r="59" spans="1:22" s="158" customFormat="1" ht="45.75" customHeight="1">
      <c r="A59" s="185">
        <v>53</v>
      </c>
      <c r="B59" s="458" t="s">
        <v>249</v>
      </c>
      <c r="C59" s="318" t="s">
        <v>250</v>
      </c>
      <c r="D59" s="459">
        <v>17</v>
      </c>
      <c r="E59" s="459"/>
      <c r="F59" s="318" t="s">
        <v>199</v>
      </c>
      <c r="G59" s="459" t="s">
        <v>179</v>
      </c>
      <c r="H59" s="460">
        <v>4497500</v>
      </c>
      <c r="I59" s="461" t="s">
        <v>270</v>
      </c>
      <c r="J59" s="186">
        <f t="shared" si="0"/>
        <v>472237.5</v>
      </c>
      <c r="K59" s="286" t="s">
        <v>266</v>
      </c>
      <c r="L59" s="186">
        <f t="shared" si="1"/>
        <v>134925</v>
      </c>
      <c r="M59" s="286" t="s">
        <v>272</v>
      </c>
      <c r="N59" s="186">
        <f t="shared" si="2"/>
        <v>89950</v>
      </c>
      <c r="O59" s="286" t="s">
        <v>276</v>
      </c>
      <c r="P59" s="186">
        <f t="shared" si="3"/>
        <v>44975</v>
      </c>
      <c r="Q59" s="187">
        <f t="shared" si="4"/>
        <v>22487.5</v>
      </c>
      <c r="R59" s="187">
        <f t="shared" si="5"/>
        <v>764575</v>
      </c>
      <c r="S59" s="192"/>
      <c r="T59" s="192"/>
      <c r="U59" s="192"/>
      <c r="V59" s="192"/>
    </row>
    <row r="60" spans="1:22" s="158" customFormat="1" ht="45.75" customHeight="1">
      <c r="A60" s="185">
        <v>54</v>
      </c>
      <c r="B60" s="458" t="s">
        <v>251</v>
      </c>
      <c r="C60" s="318" t="s">
        <v>252</v>
      </c>
      <c r="D60" s="459">
        <v>29</v>
      </c>
      <c r="E60" s="459"/>
      <c r="F60" s="318" t="s">
        <v>199</v>
      </c>
      <c r="G60" s="459" t="s">
        <v>179</v>
      </c>
      <c r="H60" s="460">
        <v>4497500</v>
      </c>
      <c r="I60" s="461" t="s">
        <v>265</v>
      </c>
      <c r="J60" s="186">
        <f t="shared" si="0"/>
        <v>326068.75</v>
      </c>
      <c r="K60" s="286" t="s">
        <v>272</v>
      </c>
      <c r="L60" s="186">
        <f t="shared" si="1"/>
        <v>134925</v>
      </c>
      <c r="M60" s="286" t="s">
        <v>280</v>
      </c>
      <c r="N60" s="186">
        <f t="shared" si="2"/>
        <v>89950</v>
      </c>
      <c r="O60" s="286" t="s">
        <v>277</v>
      </c>
      <c r="P60" s="186">
        <f t="shared" si="3"/>
        <v>44975</v>
      </c>
      <c r="Q60" s="187">
        <f t="shared" si="4"/>
        <v>22487.5</v>
      </c>
      <c r="R60" s="187">
        <f t="shared" si="5"/>
        <v>618406.25</v>
      </c>
      <c r="S60" s="192"/>
      <c r="T60" s="192"/>
      <c r="U60" s="192"/>
      <c r="V60" s="192"/>
    </row>
    <row r="61" spans="1:22" s="158" customFormat="1" ht="45.75" customHeight="1">
      <c r="A61" s="185">
        <v>55</v>
      </c>
      <c r="B61" s="458" t="s">
        <v>324</v>
      </c>
      <c r="C61" s="318" t="s">
        <v>325</v>
      </c>
      <c r="D61" s="459">
        <v>21</v>
      </c>
      <c r="E61" s="459"/>
      <c r="F61" s="318" t="s">
        <v>317</v>
      </c>
      <c r="G61" s="459" t="s">
        <v>286</v>
      </c>
      <c r="H61" s="460">
        <v>2559100</v>
      </c>
      <c r="I61" s="461" t="s">
        <v>268</v>
      </c>
      <c r="J61" s="186">
        <f t="shared" si="0"/>
        <v>185534.75</v>
      </c>
      <c r="K61" s="286" t="s">
        <v>277</v>
      </c>
      <c r="L61" s="186">
        <f t="shared" si="1"/>
        <v>76773</v>
      </c>
      <c r="M61" s="286" t="s">
        <v>276</v>
      </c>
      <c r="N61" s="186">
        <f t="shared" si="2"/>
        <v>51182</v>
      </c>
      <c r="O61" s="286" t="s">
        <v>281</v>
      </c>
      <c r="P61" s="186">
        <f t="shared" si="3"/>
        <v>25591</v>
      </c>
      <c r="Q61" s="187">
        <f t="shared" si="4"/>
        <v>12795.5</v>
      </c>
      <c r="R61" s="187">
        <f t="shared" si="5"/>
        <v>351876.25</v>
      </c>
      <c r="S61" s="192"/>
      <c r="T61" s="192"/>
      <c r="U61" s="192"/>
      <c r="V61" s="192"/>
    </row>
    <row r="62" spans="1:22" s="158" customFormat="1" ht="45.75" customHeight="1">
      <c r="A62" s="185">
        <v>56</v>
      </c>
      <c r="B62" s="458" t="s">
        <v>324</v>
      </c>
      <c r="C62" s="318" t="s">
        <v>326</v>
      </c>
      <c r="D62" s="459">
        <v>62</v>
      </c>
      <c r="E62" s="459"/>
      <c r="F62" s="318" t="s">
        <v>308</v>
      </c>
      <c r="G62" s="459" t="s">
        <v>286</v>
      </c>
      <c r="H62" s="460">
        <v>2128200</v>
      </c>
      <c r="I62" s="461" t="s">
        <v>270</v>
      </c>
      <c r="J62" s="186">
        <f t="shared" si="0"/>
        <v>223461</v>
      </c>
      <c r="K62" s="286" t="s">
        <v>281</v>
      </c>
      <c r="L62" s="186">
        <f t="shared" si="1"/>
        <v>63846</v>
      </c>
      <c r="M62" s="286" t="s">
        <v>273</v>
      </c>
      <c r="N62" s="186">
        <f t="shared" si="2"/>
        <v>42564</v>
      </c>
      <c r="O62" s="286" t="s">
        <v>276</v>
      </c>
      <c r="P62" s="186">
        <f t="shared" si="3"/>
        <v>21282</v>
      </c>
      <c r="Q62" s="187">
        <f t="shared" si="4"/>
        <v>10641</v>
      </c>
      <c r="R62" s="187">
        <f t="shared" si="5"/>
        <v>361794</v>
      </c>
      <c r="S62" s="192"/>
      <c r="T62" s="192"/>
      <c r="U62" s="192"/>
      <c r="V62" s="192"/>
    </row>
    <row r="63" spans="1:22" s="158" customFormat="1" ht="45.75" customHeight="1">
      <c r="A63" s="185">
        <v>57</v>
      </c>
      <c r="B63" s="458" t="s">
        <v>253</v>
      </c>
      <c r="C63" s="318" t="s">
        <v>341</v>
      </c>
      <c r="D63" s="459">
        <v>38</v>
      </c>
      <c r="E63" s="459"/>
      <c r="F63" s="318" t="s">
        <v>199</v>
      </c>
      <c r="G63" s="459" t="s">
        <v>332</v>
      </c>
      <c r="H63" s="460">
        <v>9972000</v>
      </c>
      <c r="I63" s="461" t="s">
        <v>269</v>
      </c>
      <c r="J63" s="186">
        <f t="shared" si="0"/>
        <v>1047060.0000000002</v>
      </c>
      <c r="K63" s="286" t="s">
        <v>272</v>
      </c>
      <c r="L63" s="186">
        <f t="shared" si="1"/>
        <v>299160</v>
      </c>
      <c r="M63" s="286" t="s">
        <v>277</v>
      </c>
      <c r="N63" s="186">
        <f t="shared" si="2"/>
        <v>199440</v>
      </c>
      <c r="O63" s="286" t="s">
        <v>344</v>
      </c>
      <c r="P63" s="186">
        <f t="shared" si="3"/>
        <v>99720</v>
      </c>
      <c r="Q63" s="187">
        <f t="shared" si="4"/>
        <v>49860</v>
      </c>
      <c r="R63" s="187">
        <f t="shared" si="5"/>
        <v>1695240.0000000002</v>
      </c>
      <c r="S63" s="192"/>
      <c r="T63" s="192"/>
      <c r="U63" s="192"/>
      <c r="V63" s="192"/>
    </row>
    <row r="64" spans="1:22" s="158" customFormat="1" ht="45.75" customHeight="1">
      <c r="A64" s="185">
        <v>58</v>
      </c>
      <c r="B64" s="458" t="s">
        <v>253</v>
      </c>
      <c r="C64" s="318" t="s">
        <v>327</v>
      </c>
      <c r="D64" s="459"/>
      <c r="E64" s="459">
        <v>65</v>
      </c>
      <c r="F64" s="318" t="s">
        <v>328</v>
      </c>
      <c r="G64" s="459" t="s">
        <v>286</v>
      </c>
      <c r="H64" s="460">
        <v>796000</v>
      </c>
      <c r="I64" s="461" t="s">
        <v>266</v>
      </c>
      <c r="J64" s="186">
        <f t="shared" si="0"/>
        <v>57710.000000000015</v>
      </c>
      <c r="K64" s="286" t="s">
        <v>277</v>
      </c>
      <c r="L64" s="186">
        <f t="shared" si="1"/>
        <v>23880</v>
      </c>
      <c r="M64" s="286" t="s">
        <v>279</v>
      </c>
      <c r="N64" s="186">
        <f t="shared" si="2"/>
        <v>15920</v>
      </c>
      <c r="O64" s="286" t="s">
        <v>344</v>
      </c>
      <c r="P64" s="186">
        <f t="shared" si="3"/>
        <v>7960</v>
      </c>
      <c r="Q64" s="187">
        <f t="shared" si="4"/>
        <v>3980</v>
      </c>
      <c r="R64" s="187">
        <f t="shared" si="5"/>
        <v>109450.00000000001</v>
      </c>
      <c r="S64" s="192"/>
      <c r="T64" s="192"/>
      <c r="U64" s="192"/>
      <c r="V64" s="192"/>
    </row>
    <row r="65" spans="1:22" s="158" customFormat="1" ht="45.75" customHeight="1">
      <c r="A65" s="185">
        <v>59</v>
      </c>
      <c r="B65" s="458" t="s">
        <v>253</v>
      </c>
      <c r="C65" s="318" t="s">
        <v>254</v>
      </c>
      <c r="D65" s="459">
        <v>67</v>
      </c>
      <c r="E65" s="459"/>
      <c r="F65" s="318" t="s">
        <v>202</v>
      </c>
      <c r="G65" s="459" t="s">
        <v>179</v>
      </c>
      <c r="H65" s="460">
        <v>4497500</v>
      </c>
      <c r="I65" s="461" t="s">
        <v>265</v>
      </c>
      <c r="J65" s="186">
        <f t="shared" si="0"/>
        <v>326068.75</v>
      </c>
      <c r="K65" s="286" t="s">
        <v>268</v>
      </c>
      <c r="L65" s="186">
        <f t="shared" si="1"/>
        <v>134925</v>
      </c>
      <c r="M65" s="286" t="s">
        <v>266</v>
      </c>
      <c r="N65" s="186">
        <f t="shared" si="2"/>
        <v>89950</v>
      </c>
      <c r="O65" s="286" t="s">
        <v>280</v>
      </c>
      <c r="P65" s="186">
        <f t="shared" si="3"/>
        <v>44975</v>
      </c>
      <c r="Q65" s="187">
        <f t="shared" si="4"/>
        <v>22487.5</v>
      </c>
      <c r="R65" s="187">
        <f t="shared" si="5"/>
        <v>618406.25</v>
      </c>
      <c r="S65" s="192"/>
      <c r="T65" s="192"/>
      <c r="U65" s="192"/>
      <c r="V65" s="192"/>
    </row>
    <row r="66" spans="1:22" s="158" customFormat="1" ht="45.75" customHeight="1">
      <c r="A66" s="185">
        <v>60</v>
      </c>
      <c r="B66" s="458" t="s">
        <v>253</v>
      </c>
      <c r="C66" s="318" t="s">
        <v>254</v>
      </c>
      <c r="D66" s="459">
        <v>67</v>
      </c>
      <c r="E66" s="459"/>
      <c r="F66" s="318" t="s">
        <v>255</v>
      </c>
      <c r="G66" s="459" t="s">
        <v>179</v>
      </c>
      <c r="H66" s="460">
        <v>2248750</v>
      </c>
      <c r="I66" s="461" t="s">
        <v>266</v>
      </c>
      <c r="J66" s="186">
        <f t="shared" si="0"/>
        <v>163034.375</v>
      </c>
      <c r="K66" s="286" t="s">
        <v>265</v>
      </c>
      <c r="L66" s="186">
        <f t="shared" si="1"/>
        <v>67462.5</v>
      </c>
      <c r="M66" s="286" t="s">
        <v>272</v>
      </c>
      <c r="N66" s="186">
        <f t="shared" si="2"/>
        <v>44975</v>
      </c>
      <c r="O66" s="286" t="s">
        <v>281</v>
      </c>
      <c r="P66" s="186">
        <f t="shared" si="3"/>
        <v>22487.5</v>
      </c>
      <c r="Q66" s="187">
        <f t="shared" si="4"/>
        <v>11243.75</v>
      </c>
      <c r="R66" s="187">
        <f t="shared" si="5"/>
        <v>309203.125</v>
      </c>
      <c r="S66" s="192"/>
      <c r="T66" s="192"/>
      <c r="U66" s="192"/>
      <c r="V66" s="192"/>
    </row>
    <row r="67" spans="1:22" s="158" customFormat="1" ht="45.75" customHeight="1">
      <c r="A67" s="185">
        <v>61</v>
      </c>
      <c r="B67" s="458" t="s">
        <v>256</v>
      </c>
      <c r="C67" s="318" t="s">
        <v>329</v>
      </c>
      <c r="D67" s="459">
        <v>52</v>
      </c>
      <c r="E67" s="459"/>
      <c r="F67" s="318" t="s">
        <v>308</v>
      </c>
      <c r="G67" s="459" t="s">
        <v>286</v>
      </c>
      <c r="H67" s="460">
        <v>2128200</v>
      </c>
      <c r="I67" s="461" t="s">
        <v>267</v>
      </c>
      <c r="J67" s="186">
        <f t="shared" si="0"/>
        <v>223461</v>
      </c>
      <c r="K67" s="286" t="s">
        <v>277</v>
      </c>
      <c r="L67" s="186">
        <f t="shared" si="1"/>
        <v>63846</v>
      </c>
      <c r="M67" s="286" t="s">
        <v>279</v>
      </c>
      <c r="N67" s="186">
        <f t="shared" si="2"/>
        <v>42564</v>
      </c>
      <c r="O67" s="286" t="s">
        <v>282</v>
      </c>
      <c r="P67" s="186">
        <f t="shared" si="3"/>
        <v>21282</v>
      </c>
      <c r="Q67" s="187">
        <f t="shared" si="4"/>
        <v>10641</v>
      </c>
      <c r="R67" s="187">
        <f t="shared" si="5"/>
        <v>361794</v>
      </c>
      <c r="S67" s="192"/>
      <c r="T67" s="192"/>
      <c r="U67" s="192"/>
      <c r="V67" s="192"/>
    </row>
    <row r="68" spans="1:22" s="158" customFormat="1" ht="45.75" customHeight="1">
      <c r="A68" s="185">
        <v>62</v>
      </c>
      <c r="B68" s="458" t="s">
        <v>256</v>
      </c>
      <c r="C68" s="318" t="s">
        <v>257</v>
      </c>
      <c r="D68" s="459"/>
      <c r="E68" s="459">
        <v>53</v>
      </c>
      <c r="F68" s="318" t="s">
        <v>199</v>
      </c>
      <c r="G68" s="459" t="s">
        <v>179</v>
      </c>
      <c r="H68" s="460">
        <v>4497500</v>
      </c>
      <c r="I68" s="461" t="s">
        <v>265</v>
      </c>
      <c r="J68" s="186">
        <f t="shared" si="0"/>
        <v>326068.75</v>
      </c>
      <c r="K68" s="286" t="s">
        <v>268</v>
      </c>
      <c r="L68" s="186">
        <f t="shared" si="1"/>
        <v>134925</v>
      </c>
      <c r="M68" s="286" t="s">
        <v>272</v>
      </c>
      <c r="N68" s="186">
        <f t="shared" si="2"/>
        <v>89950</v>
      </c>
      <c r="O68" s="286" t="s">
        <v>280</v>
      </c>
      <c r="P68" s="186">
        <f t="shared" si="3"/>
        <v>44975</v>
      </c>
      <c r="Q68" s="187">
        <f t="shared" si="4"/>
        <v>22487.5</v>
      </c>
      <c r="R68" s="187">
        <f t="shared" si="5"/>
        <v>618406.25</v>
      </c>
      <c r="S68" s="192"/>
      <c r="T68" s="192"/>
      <c r="U68" s="192"/>
      <c r="V68" s="192"/>
    </row>
    <row r="69" spans="1:22" s="158" customFormat="1" ht="45.75" customHeight="1">
      <c r="A69" s="185">
        <v>63</v>
      </c>
      <c r="B69" s="458" t="s">
        <v>258</v>
      </c>
      <c r="C69" s="318" t="s">
        <v>259</v>
      </c>
      <c r="D69" s="459">
        <v>71</v>
      </c>
      <c r="E69" s="459"/>
      <c r="F69" s="318" t="s">
        <v>199</v>
      </c>
      <c r="G69" s="459" t="s">
        <v>179</v>
      </c>
      <c r="H69" s="460">
        <v>4497500</v>
      </c>
      <c r="I69" s="461" t="s">
        <v>264</v>
      </c>
      <c r="J69" s="186">
        <f t="shared" si="0"/>
        <v>472237.5</v>
      </c>
      <c r="K69" s="286" t="s">
        <v>265</v>
      </c>
      <c r="L69" s="186">
        <f t="shared" si="1"/>
        <v>134925</v>
      </c>
      <c r="M69" s="286" t="s">
        <v>280</v>
      </c>
      <c r="N69" s="186">
        <f t="shared" si="2"/>
        <v>89950</v>
      </c>
      <c r="O69" s="286" t="s">
        <v>281</v>
      </c>
      <c r="P69" s="186">
        <f t="shared" si="3"/>
        <v>44975</v>
      </c>
      <c r="Q69" s="187">
        <f t="shared" si="4"/>
        <v>22487.5</v>
      </c>
      <c r="R69" s="187">
        <f t="shared" si="5"/>
        <v>764575</v>
      </c>
      <c r="S69" s="192"/>
      <c r="T69" s="192"/>
      <c r="U69" s="192"/>
      <c r="V69" s="192"/>
    </row>
    <row r="70" spans="1:22" s="158" customFormat="1" ht="45.75" customHeight="1">
      <c r="A70" s="185">
        <v>64</v>
      </c>
      <c r="B70" s="458" t="s">
        <v>261</v>
      </c>
      <c r="C70" s="318" t="s">
        <v>262</v>
      </c>
      <c r="D70" s="459">
        <v>65</v>
      </c>
      <c r="E70" s="459"/>
      <c r="F70" s="318" t="s">
        <v>199</v>
      </c>
      <c r="G70" s="459" t="s">
        <v>179</v>
      </c>
      <c r="H70" s="460">
        <v>4497500</v>
      </c>
      <c r="I70" s="461" t="s">
        <v>268</v>
      </c>
      <c r="J70" s="186">
        <f t="shared" si="0"/>
        <v>326068.75</v>
      </c>
      <c r="K70" s="286" t="s">
        <v>278</v>
      </c>
      <c r="L70" s="186">
        <f t="shared" si="1"/>
        <v>134925</v>
      </c>
      <c r="M70" s="286" t="s">
        <v>282</v>
      </c>
      <c r="N70" s="186">
        <f t="shared" si="2"/>
        <v>89950</v>
      </c>
      <c r="O70" s="286" t="s">
        <v>277</v>
      </c>
      <c r="P70" s="186">
        <f t="shared" si="3"/>
        <v>44975</v>
      </c>
      <c r="Q70" s="187">
        <f t="shared" si="4"/>
        <v>22487.5</v>
      </c>
      <c r="R70" s="187">
        <f t="shared" ref="R70" si="6">IF(I70="V.Tân",H70*0.1375,IF(I70="nguyện",H70*0.1375,IF(I70="TOẢN",H70*0.1375,H70*0.17)))</f>
        <v>618406.25</v>
      </c>
      <c r="S70" s="192"/>
      <c r="T70" s="192"/>
      <c r="U70" s="192"/>
      <c r="V70" s="192"/>
    </row>
    <row r="71" spans="1:22" s="184" customFormat="1" ht="24" customHeight="1">
      <c r="A71" s="209"/>
      <c r="B71" s="210"/>
      <c r="C71" s="470" t="s">
        <v>28</v>
      </c>
      <c r="D71" s="470"/>
      <c r="E71" s="470"/>
      <c r="F71" s="470"/>
      <c r="G71" s="211"/>
      <c r="H71" s="402">
        <f>SUBTOTAL(9,H7:H70)</f>
        <v>244669050</v>
      </c>
      <c r="I71" s="402"/>
      <c r="J71" s="402">
        <f t="shared" ref="J71:R71" si="7">SUBTOTAL(9,J7:J70)</f>
        <v>21693611.375</v>
      </c>
      <c r="K71" s="402"/>
      <c r="L71" s="402">
        <f t="shared" si="7"/>
        <v>7340071.5</v>
      </c>
      <c r="M71" s="402"/>
      <c r="N71" s="402">
        <f t="shared" si="7"/>
        <v>4893381</v>
      </c>
      <c r="O71" s="402"/>
      <c r="P71" s="402">
        <f t="shared" si="7"/>
        <v>2360583.5</v>
      </c>
      <c r="Q71" s="402">
        <f t="shared" si="7"/>
        <v>1223345.25</v>
      </c>
      <c r="R71" s="402">
        <f t="shared" si="7"/>
        <v>37510992.625</v>
      </c>
    </row>
    <row r="72" spans="1:22" ht="20.25" customHeight="1">
      <c r="B72" s="158"/>
      <c r="C72" s="157"/>
      <c r="F72" s="157"/>
      <c r="G72" s="158"/>
      <c r="H72" s="403"/>
      <c r="I72" s="37"/>
      <c r="J72" s="83"/>
      <c r="M72" s="158"/>
      <c r="N72" s="468" t="s">
        <v>639</v>
      </c>
      <c r="O72" s="468"/>
      <c r="P72" s="468"/>
      <c r="Q72" s="468"/>
      <c r="R72" s="468"/>
    </row>
    <row r="73" spans="1:22" ht="18">
      <c r="B73" s="463" t="s">
        <v>35</v>
      </c>
      <c r="C73" s="463"/>
      <c r="D73" s="155"/>
      <c r="E73" s="155"/>
      <c r="F73" s="155"/>
      <c r="G73" s="159"/>
      <c r="H73" s="404"/>
      <c r="I73" s="39"/>
      <c r="J73" s="138"/>
      <c r="K73" s="167"/>
      <c r="L73" s="39"/>
      <c r="M73" s="282"/>
      <c r="N73" s="469" t="s">
        <v>21</v>
      </c>
      <c r="O73" s="469"/>
      <c r="P73" s="469"/>
      <c r="Q73" s="469"/>
      <c r="R73" s="469"/>
      <c r="S73" s="135"/>
    </row>
    <row r="74" spans="1:22" ht="18">
      <c r="B74" s="159"/>
      <c r="C74" s="155"/>
      <c r="D74" s="155"/>
      <c r="E74" s="155"/>
      <c r="F74" s="155"/>
      <c r="G74" s="159"/>
      <c r="H74" s="404"/>
      <c r="I74" s="39"/>
      <c r="J74" s="138"/>
      <c r="K74" s="167"/>
      <c r="L74" s="138"/>
      <c r="M74" s="159"/>
      <c r="N74" s="139"/>
      <c r="O74" s="282"/>
      <c r="P74" s="139"/>
      <c r="Q74" s="139"/>
    </row>
    <row r="75" spans="1:22" ht="18">
      <c r="B75" s="159"/>
      <c r="C75" s="155"/>
      <c r="D75" s="155"/>
      <c r="E75" s="155"/>
      <c r="F75" s="155"/>
      <c r="G75" s="159"/>
      <c r="H75" s="404"/>
      <c r="I75" s="39"/>
      <c r="J75" s="138"/>
      <c r="K75" s="167"/>
      <c r="L75" s="138"/>
      <c r="M75" s="159"/>
      <c r="N75" s="138"/>
      <c r="O75" s="280"/>
      <c r="P75" s="138"/>
      <c r="Q75" s="138"/>
      <c r="R75" s="140"/>
    </row>
    <row r="76" spans="1:22" ht="18">
      <c r="B76" s="159"/>
      <c r="C76" s="155"/>
      <c r="D76" s="155"/>
      <c r="E76" s="155"/>
      <c r="F76" s="155"/>
      <c r="G76" s="159"/>
      <c r="H76" s="404"/>
      <c r="I76" s="39"/>
      <c r="J76" s="138"/>
      <c r="K76" s="167"/>
      <c r="L76" s="138"/>
      <c r="M76" s="159"/>
      <c r="N76" s="138"/>
      <c r="O76" s="280"/>
      <c r="P76" s="138"/>
      <c r="Q76" s="138"/>
      <c r="R76" s="140"/>
    </row>
    <row r="77" spans="1:22" ht="18">
      <c r="B77" s="462" t="s">
        <v>96</v>
      </c>
      <c r="C77" s="462"/>
      <c r="D77" s="155"/>
      <c r="E77" s="155"/>
      <c r="F77" s="155"/>
      <c r="G77" s="159"/>
      <c r="H77" s="404"/>
      <c r="I77" s="39"/>
      <c r="J77" s="138"/>
      <c r="K77" s="167"/>
      <c r="L77" s="138"/>
      <c r="M77" s="159"/>
      <c r="N77" s="469" t="s">
        <v>109</v>
      </c>
      <c r="O77" s="469"/>
      <c r="P77" s="469"/>
      <c r="Q77" s="469"/>
      <c r="R77" s="469"/>
    </row>
    <row r="78" spans="1:22" ht="18">
      <c r="B78" s="159"/>
      <c r="C78" s="155"/>
      <c r="D78" s="155"/>
      <c r="E78" s="155"/>
      <c r="F78" s="155"/>
      <c r="G78" s="159"/>
      <c r="H78" s="404"/>
      <c r="I78" s="39"/>
      <c r="J78" s="138"/>
      <c r="K78" s="167"/>
      <c r="L78" s="138"/>
      <c r="M78" s="159"/>
      <c r="N78" s="138"/>
      <c r="O78" s="280"/>
      <c r="P78" s="138"/>
      <c r="Q78" s="138"/>
      <c r="R78" s="140"/>
    </row>
    <row r="79" spans="1:22" ht="13.8">
      <c r="C79" s="267"/>
      <c r="D79" s="267"/>
      <c r="E79" s="267"/>
      <c r="F79" s="267"/>
    </row>
    <row r="80" spans="1:22" ht="13.8">
      <c r="C80" s="267"/>
      <c r="D80" s="267"/>
      <c r="E80" s="267"/>
      <c r="F80" s="267"/>
    </row>
    <row r="81" spans="3:9" ht="13.8">
      <c r="C81" s="267"/>
      <c r="D81" s="267"/>
      <c r="E81" s="267"/>
      <c r="F81" s="267"/>
    </row>
    <row r="84" spans="3:9">
      <c r="I84" s="399"/>
    </row>
  </sheetData>
  <autoFilter ref="A6:WWO73" xr:uid="{00000000-0009-0000-0000-000000000000}"/>
  <sortState xmlns:xlrd2="http://schemas.microsoft.com/office/spreadsheetml/2017/richdata2" ref="A7:U42">
    <sortCondition ref="G7:G42"/>
  </sortState>
  <mergeCells count="10">
    <mergeCell ref="B77:C77"/>
    <mergeCell ref="B73:C73"/>
    <mergeCell ref="A1:E1"/>
    <mergeCell ref="A2:E2"/>
    <mergeCell ref="A3:R3"/>
    <mergeCell ref="A4:R4"/>
    <mergeCell ref="N72:R72"/>
    <mergeCell ref="N73:R73"/>
    <mergeCell ref="N77:R77"/>
    <mergeCell ref="C71:F71"/>
  </mergeCells>
  <phoneticPr fontId="2" type="noConversion"/>
  <pageMargins left="0.2" right="0.27" top="0.31" bottom="0.4861111111111111" header="0.31496062992126" footer="0.31496062992126"/>
  <pageSetup scale="7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6"/>
  <sheetViews>
    <sheetView view="pageLayout" topLeftCell="A10" zoomScaleNormal="100" workbookViewId="0">
      <selection activeCell="B28" sqref="B28"/>
    </sheetView>
  </sheetViews>
  <sheetFormatPr defaultColWidth="9.109375" defaultRowHeight="13.2"/>
  <cols>
    <col min="1" max="1" width="7.109375" style="37" customWidth="1"/>
    <col min="2" max="2" width="27" style="37" customWidth="1"/>
    <col min="3" max="3" width="18" style="38" customWidth="1"/>
    <col min="4" max="4" width="17.88671875" style="38" customWidth="1"/>
    <col min="5" max="5" width="15.109375" style="37" customWidth="1"/>
    <col min="6" max="6" width="8.44140625" style="37" customWidth="1"/>
    <col min="7" max="7" width="25.5546875" style="37" customWidth="1"/>
    <col min="8" max="8" width="12.44140625" style="37" customWidth="1"/>
    <col min="9" max="9" width="17.109375" style="37" customWidth="1"/>
    <col min="10" max="16384" width="9.109375" style="37"/>
  </cols>
  <sheetData>
    <row r="1" spans="1:7" ht="16.8">
      <c r="A1" s="472" t="s">
        <v>0</v>
      </c>
      <c r="B1" s="472"/>
    </row>
    <row r="2" spans="1:7" ht="16.8">
      <c r="A2" s="471" t="s">
        <v>44</v>
      </c>
      <c r="B2" s="471"/>
    </row>
    <row r="3" spans="1:7" ht="20.399999999999999">
      <c r="B3" s="462" t="s">
        <v>174</v>
      </c>
      <c r="C3" s="462"/>
      <c r="D3" s="462"/>
      <c r="G3" s="2"/>
    </row>
    <row r="4" spans="1:7" ht="20.399999999999999">
      <c r="B4" s="39"/>
      <c r="C4" s="133" t="s">
        <v>24</v>
      </c>
      <c r="G4" s="2"/>
    </row>
    <row r="5" spans="1:7" ht="10.5" customHeight="1">
      <c r="B5" s="39"/>
      <c r="C5" s="40"/>
      <c r="G5" s="2"/>
    </row>
    <row r="6" spans="1:7" ht="16.8">
      <c r="A6" s="50" t="s">
        <v>2</v>
      </c>
      <c r="B6" s="51" t="s">
        <v>13</v>
      </c>
      <c r="C6" s="52" t="s">
        <v>25</v>
      </c>
      <c r="D6" s="52" t="s">
        <v>14</v>
      </c>
      <c r="E6" s="52" t="s">
        <v>15</v>
      </c>
      <c r="F6" s="47"/>
    </row>
    <row r="7" spans="1:7" ht="16.8">
      <c r="A7" s="112">
        <v>1</v>
      </c>
      <c r="B7" s="62" t="s">
        <v>23</v>
      </c>
      <c r="C7" s="55" t="s">
        <v>26</v>
      </c>
      <c r="D7" s="86">
        <f>SUM(SUMIF(phauthuat!$I$7:$I$73,"TRIỀU",phauthuat!$J$7:$J$73),SUMIF(phauthuat!$K$7:$K$73,"TRIỀU",phauthuat!$L$7:$L$73),SUMIF(phauthuat!$M$7:$M$73,"TRIỀU",phauthuat!$N$7:$N$73),SUMIF(phauthuat!$O$7:$O$73,"TRIỀU",phauthuat!$P$7:$P$73))</f>
        <v>357577.5</v>
      </c>
      <c r="E7" s="53"/>
      <c r="G7" s="41"/>
    </row>
    <row r="8" spans="1:7" ht="16.8">
      <c r="A8" s="112">
        <v>2</v>
      </c>
      <c r="B8" s="62" t="s">
        <v>18</v>
      </c>
      <c r="C8" s="55" t="s">
        <v>26</v>
      </c>
      <c r="D8" s="86">
        <f>SUM(SUMIF(phauthuat!$I$7:$I$73,"TẤN",phauthuat!$J$7:$J$73),SUMIF(phauthuat!$K$7:$K$73,"TẤN",phauthuat!$L$7:$L$73),SUMIF(phauthuat!$M$7:$M$73,"TẤN",phauthuat!$N$7:$N$73),SUMIF(phauthuat!$O$7:$O$73,"TẤN",phauthuat!$P$7:$P$73))</f>
        <v>626283</v>
      </c>
      <c r="E8" s="53"/>
      <c r="G8" s="41"/>
    </row>
    <row r="9" spans="1:7" ht="16.8">
      <c r="A9" s="112">
        <v>3</v>
      </c>
      <c r="B9" s="62" t="s">
        <v>17</v>
      </c>
      <c r="C9" s="201" t="s">
        <v>26</v>
      </c>
      <c r="D9" s="231">
        <f>SUM(SUMIF(phauthuat!$I$7:$I$73,"HOAN",phauthuat!$J$7:$J$73),SUMIF(phauthuat!$K$7:$K$73,"HOAN",phauthuat!$L$7:$L$73),SUMIF(phauthuat!$M$7:$M$73,"HOAN",phauthuat!$N$7:$N$73),SUMIF(phauthuat!$O$7:$O$73,"TẤN",phauthuat!$P$7:$P$73))</f>
        <v>5465932.5</v>
      </c>
      <c r="E9" s="202"/>
      <c r="G9" s="41"/>
    </row>
    <row r="10" spans="1:7" ht="16.8">
      <c r="A10" s="112">
        <v>4</v>
      </c>
      <c r="B10" s="62" t="s">
        <v>74</v>
      </c>
      <c r="C10" s="55" t="s">
        <v>26</v>
      </c>
      <c r="D10" s="86">
        <f>SUM(SUMIF(phauthuat!$I$7:$I$73,"NGUYỆN",phauthuat!$J$7:$J$73),SUMIF(phauthuat!$K$7:$K$73,"NGUYỆN",phauthuat!$L$7:$L$73),SUMIF(phauthuat!$M$7:$M$73,"NGUYỆN",phauthuat!$N$7:$N$73),SUMIF(phauthuat!$O$7:$O$73,"NGUYỆN",phauthuat!$P$7:$P$73))</f>
        <v>5855972</v>
      </c>
      <c r="E10" s="53"/>
      <c r="F10" s="41"/>
      <c r="G10" s="41"/>
    </row>
    <row r="11" spans="1:7" ht="16.8">
      <c r="A11" s="112">
        <v>5</v>
      </c>
      <c r="B11" s="62" t="s">
        <v>94</v>
      </c>
      <c r="C11" s="55" t="s">
        <v>66</v>
      </c>
      <c r="D11" s="86">
        <f>SUM(SUMIF(phauthuat!$I$7:$I$73,"GIÀU",phauthuat!$J$7:$J$73),SUMIF(phauthuat!$K$7:$K$73,"GIÀU",phauthuat!$L$7:$L$73),SUMIF(phauthuat!$M$7:$M$73,"GIÀU",phauthuat!$N$7:$N$73),SUMIF(phauthuat!$O$7:$O$73,"GIÀU",phauthuat!$P$7:$P$73))</f>
        <v>3180691.5</v>
      </c>
      <c r="E11" s="53"/>
      <c r="F11" s="41"/>
      <c r="G11" s="41"/>
    </row>
    <row r="12" spans="1:7" ht="16.8">
      <c r="A12" s="112">
        <v>6</v>
      </c>
      <c r="B12" s="62" t="s">
        <v>72</v>
      </c>
      <c r="C12" s="55" t="s">
        <v>77</v>
      </c>
      <c r="D12" s="86">
        <f>SUM(SUMIF(phauthuat!$I$7:$I$73,"ĐIỀN",phauthuat!$J$7:$J$73),SUMIF(phauthuat!$K$7:$K$73,"ĐIỀN",phauthuat!$L$7:$L$73),SUMIF(phauthuat!$M$7:$M$73,"ĐIỀN",phauthuat!$N$7:$N$73),SUMIF(phauthuat!$O$7:$O$73,"ĐIỀN",phauthuat!$P$7:$P$73))</f>
        <v>2660833.5</v>
      </c>
      <c r="E12" s="53"/>
      <c r="F12" s="41"/>
      <c r="G12" s="41"/>
    </row>
    <row r="13" spans="1:7" ht="16.8">
      <c r="A13" s="112">
        <v>7</v>
      </c>
      <c r="B13" s="62" t="s">
        <v>115</v>
      </c>
      <c r="C13" s="55" t="s">
        <v>77</v>
      </c>
      <c r="D13" s="86">
        <f>SUM(SUMIF(phauthuat!$I$7:$I$73,"TOẢN",phauthuat!$J$7:$J$73),SUMIF(phauthuat!$K$7:$K$73,"TOẢN",phauthuat!$L$7:$L$73),SUMIF(phauthuat!$M$7:$M$73,"TOẢN",phauthuat!$N$7:$N$73),SUMIF(phauthuat!$O$7:$O$73,"TOẢN",phauthuat!$P$7:$P$73))</f>
        <v>4653294.25</v>
      </c>
      <c r="E13" s="53"/>
      <c r="F13" s="41"/>
      <c r="G13" s="41"/>
    </row>
    <row r="14" spans="1:7" ht="16.8">
      <c r="A14" s="112">
        <v>8</v>
      </c>
      <c r="B14" s="62" t="s">
        <v>84</v>
      </c>
      <c r="C14" s="55" t="s">
        <v>77</v>
      </c>
      <c r="D14" s="86">
        <f>SUM(SUMIF(phauthuat!$I$7:$I$73,"V.TÂN",phauthuat!$J$7:$J$73),SUMIF(phauthuat!$K$7:$K$73,"V.TÂN",phauthuat!$L$7:$L$73),SUMIF(phauthuat!$M$7:$M$73,"V.TÂN",phauthuat!$N$7:$N$73),SUMIF(phauthuat!$O$7:$O$73,"V.TÂN",phauthuat!$P$7:$P$73))</f>
        <v>1758221.125</v>
      </c>
      <c r="E14" s="53"/>
      <c r="F14" s="41"/>
      <c r="G14" s="41"/>
    </row>
    <row r="15" spans="1:7" ht="16.8">
      <c r="A15" s="112">
        <v>9</v>
      </c>
      <c r="B15" s="62" t="s">
        <v>68</v>
      </c>
      <c r="C15" s="55" t="s">
        <v>77</v>
      </c>
      <c r="D15" s="86">
        <f>SUM(SUMIF(phauthuat!$I$7:$I$73,"MINH",phauthuat!$J$7:$J$73),SUMIF(phauthuat!$K$7:$K$73,"MINH",phauthuat!$L$7:$L$73),SUMIF(phauthuat!$M$7:$M$73,"MINH",phauthuat!$N$7:$N$73),SUMIF(phauthuat!$O$7:$O$73,"MINH",phauthuat!$P$7:$P$73))</f>
        <v>881443.5</v>
      </c>
      <c r="E15" s="53"/>
      <c r="F15" s="41"/>
      <c r="G15" s="41"/>
    </row>
    <row r="16" spans="1:7" ht="16.8">
      <c r="A16" s="112">
        <v>10</v>
      </c>
      <c r="B16" s="62" t="s">
        <v>138</v>
      </c>
      <c r="C16" s="55" t="s">
        <v>77</v>
      </c>
      <c r="D16" s="86">
        <f>SUM(SUMIF(phauthuat!$I$7:$I$73,"TUẤN",phauthuat!$J$7:$J$73),SUMIF(phauthuat!$K$7:$K$73,"Tuấn",phauthuat!$L$7:$L$73),SUMIF(phauthuat!$M$7:$M$73,"TUẤN",phauthuat!$N$7:$N$73),SUMIF(phauthuat!$O$7:$O$73,"TUẤN",phauthuat!$P$7:$P$73))</f>
        <v>3615463</v>
      </c>
      <c r="E16" s="53"/>
      <c r="F16" s="41"/>
      <c r="G16" s="41"/>
    </row>
    <row r="17" spans="1:8" ht="16.8">
      <c r="A17" s="112">
        <v>11</v>
      </c>
      <c r="B17" s="107" t="s">
        <v>157</v>
      </c>
      <c r="C17" s="261" t="s">
        <v>60</v>
      </c>
      <c r="D17" s="86">
        <f>SUM(SUMIF(phauthuat!$I$7:$I$73,"hưng",phauthuat!$J$7:$J$73),SUMIF(phauthuat!$K$7:$K$73,"hưng",phauthuat!$L$7:$L$73),SUMIF(phauthuat!$M$7:$M$73,"hưng",phauthuat!$N$7:$N$73),SUMIF(phauthuat!$O$7:$O$73,"hưng",phauthuat!$P$7:$P$73))</f>
        <v>1126579</v>
      </c>
      <c r="E17" s="53"/>
      <c r="F17" s="41"/>
      <c r="G17" s="41"/>
    </row>
    <row r="18" spans="1:8" ht="16.8">
      <c r="A18" s="112">
        <v>12</v>
      </c>
      <c r="B18" s="107" t="s">
        <v>158</v>
      </c>
      <c r="C18" s="261" t="s">
        <v>60</v>
      </c>
      <c r="D18" s="86">
        <f>SUM(SUMIF(phauthuat!$I$7:$I$73,"toàn",phauthuat!$J$7:$J$73),SUMIF(phauthuat!$K$7:$K$73,"toàn",phauthuat!$L$7:$L$73),SUMIF(phauthuat!$M$7:$M$73,"toàn",phauthuat!$N$7:$N$73),SUMIF(phauthuat!$O$7:$O$73,"toàn",phauthuat!$P$7:$P$73))</f>
        <v>1053571</v>
      </c>
      <c r="E18" s="53"/>
      <c r="F18" s="41"/>
      <c r="G18" s="41"/>
    </row>
    <row r="19" spans="1:8" ht="16.8">
      <c r="A19" s="112">
        <v>13</v>
      </c>
      <c r="B19" s="107" t="s">
        <v>159</v>
      </c>
      <c r="C19" s="261" t="s">
        <v>60</v>
      </c>
      <c r="D19" s="86">
        <f>SUM(SUMIF(phauthuat!$I$7:$I$73,"luận",phauthuat!$J$7:$J$73),SUMIF(phauthuat!$K$7:$K$73,"luận",phauthuat!$L$7:$L$73),SUMIF(phauthuat!$M$7:$M$73,"luận",phauthuat!$N$7:$N$73),SUMIF(phauthuat!$O$7:$O$73,"luận",phauthuat!$P$7:$P$73))</f>
        <v>876779</v>
      </c>
      <c r="E19" s="53"/>
      <c r="F19" s="41"/>
      <c r="G19" s="41"/>
    </row>
    <row r="20" spans="1:8" ht="16.8">
      <c r="A20" s="112">
        <v>14</v>
      </c>
      <c r="B20" s="107" t="s">
        <v>160</v>
      </c>
      <c r="C20" s="261" t="s">
        <v>60</v>
      </c>
      <c r="D20" s="86">
        <f>SUM(SUMIF(phauthuat!$I$7:$I$73,"thái",phauthuat!$J$7:$J$73),SUMIF(phauthuat!$K$7:$K$73,"thái",phauthuat!$L$7:$L$73),SUMIF(phauthuat!$M$7:$M$73,"thái",phauthuat!$N$7:$N$73),SUMIF(phauthuat!$O$7:$O$73,"thái",phauthuat!$P$7:$P$73))</f>
        <v>305383</v>
      </c>
      <c r="E20" s="53"/>
      <c r="F20" s="41"/>
      <c r="G20" s="41"/>
    </row>
    <row r="21" spans="1:8" ht="16.8">
      <c r="A21" s="112">
        <v>15</v>
      </c>
      <c r="B21" s="107" t="s">
        <v>161</v>
      </c>
      <c r="C21" s="261" t="s">
        <v>60</v>
      </c>
      <c r="D21" s="86">
        <f>SUM(SUMIF(phauthuat!$I$7:$I$73,"tùng",phauthuat!$J$7:$J$73),SUMIF(phauthuat!$K$7:$K$73,"tùng",phauthuat!$L$7:$L$73),SUMIF(phauthuat!$M$7:$M$73,"tùng",phauthuat!$N$7:$N$73),SUMIF(phauthuat!$O$7:$O$73,"tùng",phauthuat!$P$7:$P$73))</f>
        <v>1026382</v>
      </c>
      <c r="E21" s="53"/>
      <c r="F21" s="41"/>
      <c r="G21" s="41"/>
    </row>
    <row r="22" spans="1:8" ht="16.8">
      <c r="A22" s="112">
        <v>16</v>
      </c>
      <c r="B22" s="107" t="s">
        <v>162</v>
      </c>
      <c r="C22" s="261" t="s">
        <v>60</v>
      </c>
      <c r="D22" s="86">
        <f>SUM(SUMIF(phauthuat!$I$7:$I$73,"khén",phauthuat!$J$7:$J$73),SUMIF(phauthuat!$K$7:$K$73,"khén",phauthuat!$L$7:$L$73),SUMIF(phauthuat!$M$7:$M$73,"khén",phauthuat!$N$7:$N$73),SUMIF(phauthuat!$O$7:$O$73,"khén",phauthuat!$P$7:$P$73))</f>
        <v>782506</v>
      </c>
      <c r="E22" s="53"/>
      <c r="F22" s="41"/>
      <c r="G22" s="41"/>
    </row>
    <row r="23" spans="1:8" ht="16.8">
      <c r="A23" s="112">
        <v>17</v>
      </c>
      <c r="B23" s="107" t="s">
        <v>163</v>
      </c>
      <c r="C23" s="261" t="s">
        <v>60</v>
      </c>
      <c r="D23" s="86">
        <f>SUM(SUMIF(phauthuat!$I$7:$I$73,"hưởng",phauthuat!$J$7:$J$73),SUMIF(phauthuat!$K$7:$K$73,"hưởng",phauthuat!$L$7:$L$73),SUMIF(phauthuat!$M$7:$M$73,"hưởng",phauthuat!$N$7:$N$73),SUMIF(phauthuat!$O$7:$O$73,"hưởng",phauthuat!$P$7:$P$73))</f>
        <v>212850</v>
      </c>
      <c r="E23" s="53"/>
      <c r="F23" s="41"/>
      <c r="G23" s="41"/>
    </row>
    <row r="24" spans="1:8" ht="16.8">
      <c r="A24" s="112">
        <v>18</v>
      </c>
      <c r="B24" s="107" t="s">
        <v>164</v>
      </c>
      <c r="C24" s="261" t="s">
        <v>60</v>
      </c>
      <c r="D24" s="86">
        <f>SUM(SUMIF(phauthuat!$I$7:$I$73,"khang",phauthuat!$J$7:$J$73),SUMIF(phauthuat!$K$7:$K$73,"khang",phauthuat!$L$7:$L$73),SUMIF(phauthuat!$M$7:$M$73,"khang",phauthuat!$N$7:$N$73),SUMIF(phauthuat!$O$7:$O$73,"khang",phauthuat!$P$7:$P$73))</f>
        <v>651965</v>
      </c>
      <c r="E24" s="53"/>
      <c r="F24" s="41"/>
      <c r="G24" s="41"/>
    </row>
    <row r="25" spans="1:8" ht="16.8">
      <c r="A25" s="112">
        <v>19</v>
      </c>
      <c r="B25" s="107" t="s">
        <v>165</v>
      </c>
      <c r="C25" s="261" t="s">
        <v>60</v>
      </c>
      <c r="D25" s="86">
        <f>SUM(SUMIF(phauthuat!$I$7:$I$73,"luật",phauthuat!$J$7:$J$73),SUMIF(phauthuat!$K$7:$K$73,"luật",phauthuat!$L$7:$L$73),SUMIF(phauthuat!$M$7:$M$73,"luật",phauthuat!$N$7:$N$73),SUMIF(phauthuat!$O$7:$O$73,"luật",phauthuat!$P$7:$P$73))</f>
        <v>341159.5</v>
      </c>
      <c r="E25" s="53"/>
      <c r="F25" s="41"/>
      <c r="G25" s="41"/>
    </row>
    <row r="26" spans="1:8" ht="16.8">
      <c r="A26" s="112">
        <v>20</v>
      </c>
      <c r="B26" s="107" t="s">
        <v>166</v>
      </c>
      <c r="C26" s="261" t="s">
        <v>60</v>
      </c>
      <c r="D26" s="86">
        <f>SUM(SUMIF(phauthuat!$I$7:$I$73,"ẩn",phauthuat!$J$7:$J$73),SUMIF(phauthuat!$K$7:$K$73,"ẩn",phauthuat!$L$7:$L$73),SUMIF(phauthuat!$M$7:$M$73,"ẩn",phauthuat!$N$7:$N$73),SUMIF(phauthuat!$O$7:$O$73,"ẩn",phauthuat!$P$7:$P$73))</f>
        <v>410344</v>
      </c>
      <c r="E26" s="53"/>
      <c r="F26" s="41"/>
      <c r="G26" s="41"/>
    </row>
    <row r="27" spans="1:8" ht="16.8">
      <c r="A27" s="112">
        <v>21</v>
      </c>
      <c r="B27" s="107" t="s">
        <v>167</v>
      </c>
      <c r="C27" s="261" t="s">
        <v>60</v>
      </c>
      <c r="D27" s="86">
        <f>SUM(SUMIF(phauthuat!$I$7:$I$73,"bình",phauthuat!$J$7:$J$73),SUMIF(phauthuat!$K$7:$K$73,"bình",phauthuat!$L$7:$L$73),SUMIF(phauthuat!$M$7:$M$73,"bình",phauthuat!$N$7:$N$73),SUMIF(phauthuat!$O$7:$O$73,"bình",phauthuat!$P$7:$P$73))</f>
        <v>26971</v>
      </c>
      <c r="E27" s="53"/>
      <c r="F27" s="41"/>
      <c r="G27" s="41"/>
    </row>
    <row r="28" spans="1:8" ht="16.8">
      <c r="A28" s="112">
        <v>22</v>
      </c>
      <c r="B28" s="107" t="s">
        <v>642</v>
      </c>
      <c r="C28" s="261" t="s">
        <v>60</v>
      </c>
      <c r="D28" s="86">
        <f>SUM(SUMIF(phauthuat!$I$7:$I$73,"dương",phauthuat!$J$7:$J$73),SUMIF(phauthuat!$K$7:$K$73,"dương",phauthuat!$L$7:$L$73),SUMIF(phauthuat!$M$7:$M$73,"dương",phauthuat!$N$7:$N$73),SUMIF(phauthuat!$O$7:$O$73,"dương",phauthuat!$P$7:$P$73))</f>
        <v>50524</v>
      </c>
      <c r="E28" s="53"/>
      <c r="F28" s="41"/>
      <c r="G28" s="41"/>
    </row>
    <row r="29" spans="1:8" ht="16.8">
      <c r="A29" s="112">
        <v>23</v>
      </c>
      <c r="B29" s="107" t="s">
        <v>169</v>
      </c>
      <c r="C29" s="261" t="s">
        <v>60</v>
      </c>
      <c r="D29" s="86">
        <f>SUM(SUMIF(phauthuat!$I$7:$I$73,"khánh",phauthuat!$J$7:$J$73),SUMIF(phauthuat!$K$7:$K$73,"khánh",phauthuat!$L$7:$L$73),SUMIF(phauthuat!$M$7:$M$73,"khánh",phauthuat!$N$7:$N$73),SUMIF(phauthuat!$O$7:$O$73,"khánh",phauthuat!$P$7:$P$73))</f>
        <v>237968</v>
      </c>
      <c r="E29" s="53"/>
      <c r="F29" s="41"/>
      <c r="G29" s="41"/>
    </row>
    <row r="30" spans="1:8" ht="16.8">
      <c r="A30" s="112">
        <v>24</v>
      </c>
      <c r="B30" s="107" t="s">
        <v>170</v>
      </c>
      <c r="C30" s="261" t="s">
        <v>60</v>
      </c>
      <c r="D30" s="86">
        <f>SUM(SUMIF(phauthuat!$I$7:$I$73,"thạnh",phauthuat!$J$7:$J$73),SUMIF(phauthuat!$K$7:$K$73,"thạnh",phauthuat!$L$7:$L$73),SUMIF(phauthuat!$M$7:$M$73,"thạnh",phauthuat!$N$7:$N$73),SUMIF(phauthuat!$O$7:$O$73,"thạnh",phauthuat!$P$7:$P$73))</f>
        <v>128954</v>
      </c>
      <c r="E30" s="53"/>
      <c r="F30" s="41"/>
      <c r="G30" s="41"/>
    </row>
    <row r="31" spans="1:8" ht="16.8">
      <c r="A31" s="112">
        <v>25</v>
      </c>
      <c r="B31" s="62" t="s">
        <v>45</v>
      </c>
      <c r="C31" s="55" t="s">
        <v>27</v>
      </c>
      <c r="D31" s="86">
        <f>phauthuat!Q71/8</f>
        <v>152918.15625</v>
      </c>
      <c r="E31" s="54"/>
      <c r="F31" s="48"/>
      <c r="G31" s="41"/>
      <c r="H31" s="41"/>
    </row>
    <row r="32" spans="1:8" ht="16.8">
      <c r="A32" s="112">
        <v>26</v>
      </c>
      <c r="B32" s="62" t="s">
        <v>65</v>
      </c>
      <c r="C32" s="55" t="s">
        <v>27</v>
      </c>
      <c r="D32" s="86">
        <f>D31</f>
        <v>152918.15625</v>
      </c>
      <c r="E32" s="54"/>
      <c r="F32" s="48"/>
    </row>
    <row r="33" spans="1:7" ht="16.8">
      <c r="A33" s="112">
        <v>27</v>
      </c>
      <c r="B33" s="62" t="s">
        <v>82</v>
      </c>
      <c r="C33" s="55" t="s">
        <v>27</v>
      </c>
      <c r="D33" s="86">
        <f t="shared" ref="D33:D38" si="0">D32</f>
        <v>152918.15625</v>
      </c>
      <c r="E33" s="54"/>
      <c r="F33" s="48"/>
    </row>
    <row r="34" spans="1:7" ht="16.8">
      <c r="A34" s="112">
        <v>28</v>
      </c>
      <c r="B34" s="62" t="s">
        <v>70</v>
      </c>
      <c r="C34" s="55" t="s">
        <v>27</v>
      </c>
      <c r="D34" s="86">
        <f t="shared" si="0"/>
        <v>152918.15625</v>
      </c>
      <c r="E34" s="54"/>
      <c r="F34" s="48"/>
    </row>
    <row r="35" spans="1:7" ht="16.8">
      <c r="A35" s="112">
        <v>29</v>
      </c>
      <c r="B35" s="62" t="s">
        <v>46</v>
      </c>
      <c r="C35" s="55" t="s">
        <v>27</v>
      </c>
      <c r="D35" s="86">
        <f t="shared" si="0"/>
        <v>152918.15625</v>
      </c>
      <c r="E35" s="54"/>
      <c r="F35" s="48"/>
    </row>
    <row r="36" spans="1:7" ht="16.8">
      <c r="A36" s="112">
        <v>30</v>
      </c>
      <c r="B36" s="62" t="s">
        <v>116</v>
      </c>
      <c r="C36" s="55" t="s">
        <v>27</v>
      </c>
      <c r="D36" s="86">
        <f t="shared" si="0"/>
        <v>152918.15625</v>
      </c>
      <c r="E36" s="54"/>
      <c r="F36" s="48"/>
    </row>
    <row r="37" spans="1:7" ht="16.8">
      <c r="A37" s="112">
        <v>31</v>
      </c>
      <c r="B37" s="62" t="s">
        <v>93</v>
      </c>
      <c r="C37" s="55" t="s">
        <v>27</v>
      </c>
      <c r="D37" s="86">
        <f t="shared" si="0"/>
        <v>152918.15625</v>
      </c>
      <c r="E37" s="54"/>
      <c r="F37" s="48"/>
    </row>
    <row r="38" spans="1:7" ht="16.8">
      <c r="A38" s="112">
        <v>32</v>
      </c>
      <c r="B38" s="62" t="s">
        <v>73</v>
      </c>
      <c r="C38" s="55" t="s">
        <v>27</v>
      </c>
      <c r="D38" s="86">
        <f t="shared" si="0"/>
        <v>152918.15625</v>
      </c>
      <c r="E38" s="54"/>
      <c r="F38" s="48"/>
    </row>
    <row r="39" spans="1:7" ht="16.8">
      <c r="A39" s="66"/>
      <c r="B39" s="67" t="s">
        <v>28</v>
      </c>
      <c r="C39" s="68"/>
      <c r="D39" s="69">
        <f>SUM(D7:D38)</f>
        <v>37510992.625</v>
      </c>
      <c r="E39" s="64"/>
      <c r="F39" s="49"/>
      <c r="G39" s="43"/>
    </row>
    <row r="40" spans="1:7">
      <c r="B40" s="43"/>
      <c r="E40" s="43"/>
    </row>
    <row r="41" spans="1:7">
      <c r="D41" s="475" t="s">
        <v>638</v>
      </c>
      <c r="E41" s="475"/>
    </row>
    <row r="42" spans="1:7" ht="15.6">
      <c r="A42" s="474" t="s">
        <v>20</v>
      </c>
      <c r="B42" s="474"/>
      <c r="D42" s="473" t="s">
        <v>21</v>
      </c>
      <c r="E42" s="473"/>
    </row>
    <row r="45" spans="1:7">
      <c r="E45" s="41"/>
    </row>
    <row r="46" spans="1:7">
      <c r="C46" s="46"/>
    </row>
  </sheetData>
  <mergeCells count="6">
    <mergeCell ref="A2:B2"/>
    <mergeCell ref="B3:D3"/>
    <mergeCell ref="A1:B1"/>
    <mergeCell ref="D42:E42"/>
    <mergeCell ref="A42:B42"/>
    <mergeCell ref="D41:E41"/>
  </mergeCells>
  <phoneticPr fontId="2" type="noConversion"/>
  <pageMargins left="0.89583333333333337" right="0.5" top="0.5" bottom="0.5" header="0" footer="0"/>
  <pageSetup paperSize="9" orientation="portrait" verticalDpi="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workbookViewId="0">
      <selection activeCell="D19" sqref="D19"/>
    </sheetView>
  </sheetViews>
  <sheetFormatPr defaultColWidth="9.109375" defaultRowHeight="13.2"/>
  <cols>
    <col min="1" max="1" width="7.109375" style="37" customWidth="1"/>
    <col min="2" max="2" width="27" style="37" customWidth="1"/>
    <col min="3" max="3" width="18" style="38" customWidth="1"/>
    <col min="4" max="4" width="17.88671875" style="176" customWidth="1"/>
    <col min="5" max="5" width="15" style="37" customWidth="1"/>
    <col min="6" max="6" width="8.44140625" style="37" customWidth="1"/>
    <col min="7" max="7" width="16.5546875" style="37" bestFit="1" customWidth="1"/>
    <col min="8" max="16384" width="9.109375" style="37"/>
  </cols>
  <sheetData>
    <row r="1" spans="1:7" ht="16.8">
      <c r="A1" s="472" t="s">
        <v>0</v>
      </c>
      <c r="B1" s="472"/>
    </row>
    <row r="2" spans="1:7" ht="16.8">
      <c r="A2" s="471" t="s">
        <v>44</v>
      </c>
      <c r="B2" s="471"/>
    </row>
    <row r="3" spans="1:7" ht="20.399999999999999">
      <c r="A3" s="478" t="s">
        <v>174</v>
      </c>
      <c r="B3" s="478"/>
      <c r="C3" s="478"/>
      <c r="D3" s="478"/>
      <c r="E3" s="478"/>
      <c r="G3" s="2"/>
    </row>
    <row r="4" spans="1:7" ht="21" customHeight="1">
      <c r="A4" s="479" t="s">
        <v>76</v>
      </c>
      <c r="B4" s="479"/>
      <c r="C4" s="479"/>
      <c r="D4" s="479"/>
      <c r="E4" s="479"/>
      <c r="G4" s="2"/>
    </row>
    <row r="5" spans="1:7" ht="20.399999999999999">
      <c r="B5" s="39"/>
      <c r="C5" s="40"/>
      <c r="G5" s="2"/>
    </row>
    <row r="6" spans="1:7" ht="16.8">
      <c r="A6" s="50" t="s">
        <v>2</v>
      </c>
      <c r="B6" s="51" t="s">
        <v>13</v>
      </c>
      <c r="C6" s="52" t="s">
        <v>25</v>
      </c>
      <c r="D6" s="125" t="s">
        <v>14</v>
      </c>
      <c r="E6" s="52" t="s">
        <v>15</v>
      </c>
      <c r="F6" s="47"/>
    </row>
    <row r="7" spans="1:7" ht="16.8">
      <c r="A7" s="65">
        <v>1</v>
      </c>
      <c r="B7" s="62" t="s">
        <v>23</v>
      </c>
      <c r="C7" s="55" t="s">
        <v>26</v>
      </c>
      <c r="D7" s="70" t="s">
        <v>56</v>
      </c>
      <c r="E7" s="53"/>
      <c r="G7" s="41"/>
    </row>
    <row r="8" spans="1:7" ht="16.8">
      <c r="A8" s="65">
        <v>2</v>
      </c>
      <c r="B8" s="62" t="s">
        <v>18</v>
      </c>
      <c r="C8" s="55" t="s">
        <v>26</v>
      </c>
      <c r="D8" s="70" t="s">
        <v>56</v>
      </c>
      <c r="E8" s="53"/>
      <c r="G8" s="41"/>
    </row>
    <row r="9" spans="1:7" ht="16.8">
      <c r="A9" s="65">
        <v>3</v>
      </c>
      <c r="B9" s="62" t="s">
        <v>17</v>
      </c>
      <c r="C9" s="55" t="s">
        <v>26</v>
      </c>
      <c r="D9" s="70">
        <f>10800000*0.25</f>
        <v>2700000</v>
      </c>
      <c r="E9" s="53"/>
      <c r="G9" s="41"/>
    </row>
    <row r="10" spans="1:7" ht="16.8">
      <c r="A10" s="65">
        <v>4</v>
      </c>
      <c r="B10" s="62" t="s">
        <v>59</v>
      </c>
      <c r="C10" s="55" t="s">
        <v>77</v>
      </c>
      <c r="D10" s="70" t="s">
        <v>56</v>
      </c>
      <c r="E10" s="53"/>
      <c r="G10" s="41"/>
    </row>
    <row r="11" spans="1:7" ht="16.8">
      <c r="A11" s="65">
        <v>5</v>
      </c>
      <c r="B11" s="62" t="s">
        <v>74</v>
      </c>
      <c r="C11" s="55" t="s">
        <v>78</v>
      </c>
      <c r="D11" s="70" t="s">
        <v>56</v>
      </c>
      <c r="E11" s="53"/>
      <c r="F11" s="41"/>
      <c r="G11" s="41"/>
    </row>
    <row r="12" spans="1:7" ht="16.8">
      <c r="A12" s="65">
        <v>6</v>
      </c>
      <c r="B12" s="62" t="s">
        <v>68</v>
      </c>
      <c r="C12" s="55" t="s">
        <v>78</v>
      </c>
      <c r="D12" s="70" t="s">
        <v>56</v>
      </c>
      <c r="E12" s="53"/>
      <c r="F12" s="41"/>
      <c r="G12" s="41"/>
    </row>
    <row r="13" spans="1:7" ht="16.8">
      <c r="A13" s="65">
        <v>7</v>
      </c>
      <c r="B13" s="62" t="s">
        <v>72</v>
      </c>
      <c r="C13" s="55" t="s">
        <v>78</v>
      </c>
      <c r="D13" s="70">
        <f>10800000*0.25</f>
        <v>2700000</v>
      </c>
      <c r="E13" s="53"/>
      <c r="F13" s="41"/>
      <c r="G13" s="41"/>
    </row>
    <row r="14" spans="1:7" ht="16.8">
      <c r="A14" s="65">
        <v>8</v>
      </c>
      <c r="B14" s="62" t="s">
        <v>84</v>
      </c>
      <c r="C14" s="201" t="s">
        <v>26</v>
      </c>
      <c r="D14" s="70">
        <f>10800000*0.0625</f>
        <v>675000</v>
      </c>
      <c r="E14" s="202"/>
      <c r="F14" s="41"/>
      <c r="G14" s="41"/>
    </row>
    <row r="15" spans="1:7" ht="16.8">
      <c r="A15" s="65">
        <v>9</v>
      </c>
      <c r="B15" s="62" t="s">
        <v>94</v>
      </c>
      <c r="C15" s="55" t="s">
        <v>26</v>
      </c>
      <c r="D15" s="70">
        <f>10800000*0.125</f>
        <v>1350000</v>
      </c>
      <c r="E15" s="53"/>
      <c r="F15" s="41"/>
      <c r="G15" s="41"/>
    </row>
    <row r="16" spans="1:7" ht="16.8">
      <c r="A16" s="65">
        <v>10</v>
      </c>
      <c r="B16" s="62" t="s">
        <v>115</v>
      </c>
      <c r="C16" s="55" t="s">
        <v>26</v>
      </c>
      <c r="D16" s="70">
        <f>10800000*0.0625</f>
        <v>675000</v>
      </c>
      <c r="E16" s="53"/>
      <c r="F16" s="41"/>
      <c r="G16" s="41"/>
    </row>
    <row r="17" spans="1:7" ht="16.8">
      <c r="A17" s="65">
        <v>11</v>
      </c>
      <c r="B17" s="62" t="s">
        <v>139</v>
      </c>
      <c r="C17" s="55" t="s">
        <v>26</v>
      </c>
      <c r="D17" s="70">
        <f>10800000*0.125</f>
        <v>1350000</v>
      </c>
      <c r="E17" s="53"/>
      <c r="F17" s="41"/>
      <c r="G17" s="41"/>
    </row>
    <row r="18" spans="1:7" ht="16.8">
      <c r="A18" s="65">
        <v>12</v>
      </c>
      <c r="B18" s="62" t="s">
        <v>140</v>
      </c>
      <c r="C18" s="55" t="s">
        <v>26</v>
      </c>
      <c r="D18" s="70">
        <f>10800000*0.125</f>
        <v>1350000</v>
      </c>
      <c r="E18" s="53"/>
      <c r="F18" s="41"/>
      <c r="G18" s="41"/>
    </row>
    <row r="19" spans="1:7" ht="16.8">
      <c r="A19" s="66"/>
      <c r="B19" s="67" t="s">
        <v>28</v>
      </c>
      <c r="C19" s="68"/>
      <c r="D19" s="70">
        <f>SUM(D7:D18)</f>
        <v>10800000</v>
      </c>
      <c r="E19" s="64"/>
      <c r="F19" s="49"/>
      <c r="G19" s="43"/>
    </row>
    <row r="20" spans="1:7">
      <c r="B20" s="43"/>
    </row>
    <row r="21" spans="1:7">
      <c r="D21" s="475" t="s">
        <v>128</v>
      </c>
      <c r="E21" s="475"/>
    </row>
    <row r="22" spans="1:7">
      <c r="A22" s="476" t="s">
        <v>20</v>
      </c>
      <c r="B22" s="476"/>
      <c r="D22" s="477" t="s">
        <v>21</v>
      </c>
      <c r="E22" s="477"/>
    </row>
    <row r="25" spans="1:7">
      <c r="E25" s="41"/>
    </row>
    <row r="26" spans="1:7">
      <c r="C26" s="46"/>
    </row>
  </sheetData>
  <mergeCells count="7">
    <mergeCell ref="D21:E21"/>
    <mergeCell ref="A22:B22"/>
    <mergeCell ref="D22:E22"/>
    <mergeCell ref="A1:B1"/>
    <mergeCell ref="A2:B2"/>
    <mergeCell ref="A3:E3"/>
    <mergeCell ref="A4:E4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7"/>
  <sheetViews>
    <sheetView workbookViewId="0">
      <selection activeCell="D29" sqref="D29"/>
    </sheetView>
  </sheetViews>
  <sheetFormatPr defaultColWidth="9.109375" defaultRowHeight="13.2"/>
  <cols>
    <col min="1" max="1" width="7.109375" style="37" customWidth="1"/>
    <col min="2" max="2" width="27" style="37" customWidth="1"/>
    <col min="3" max="3" width="18" style="38" customWidth="1"/>
    <col min="4" max="4" width="17.88671875" style="38" customWidth="1"/>
    <col min="5" max="5" width="15" style="37" customWidth="1"/>
    <col min="6" max="6" width="8.44140625" style="37" customWidth="1"/>
    <col min="7" max="7" width="16.5546875" style="37" bestFit="1" customWidth="1"/>
    <col min="8" max="8" width="9.109375" style="37"/>
    <col min="9" max="9" width="9.88671875" style="37" bestFit="1" customWidth="1"/>
    <col min="10" max="16384" width="9.109375" style="37"/>
  </cols>
  <sheetData>
    <row r="1" spans="1:7" ht="16.8">
      <c r="A1" s="472" t="s">
        <v>0</v>
      </c>
      <c r="B1" s="472"/>
    </row>
    <row r="2" spans="1:7" ht="16.8">
      <c r="A2" s="471" t="s">
        <v>44</v>
      </c>
      <c r="B2" s="471"/>
    </row>
    <row r="3" spans="1:7" ht="20.399999999999999">
      <c r="B3" s="480" t="s">
        <v>174</v>
      </c>
      <c r="C3" s="480"/>
      <c r="D3" s="480"/>
      <c r="G3" s="2"/>
    </row>
    <row r="4" spans="1:7" ht="20.399999999999999">
      <c r="B4" s="39"/>
      <c r="C4" s="40" t="s">
        <v>24</v>
      </c>
      <c r="G4" s="2"/>
    </row>
    <row r="5" spans="1:7" ht="20.399999999999999">
      <c r="B5" s="39"/>
      <c r="C5" s="40"/>
      <c r="G5" s="2"/>
    </row>
    <row r="6" spans="1:7" ht="16.8">
      <c r="A6" s="50" t="s">
        <v>2</v>
      </c>
      <c r="B6" s="51" t="s">
        <v>13</v>
      </c>
      <c r="C6" s="52" t="s">
        <v>25</v>
      </c>
      <c r="D6" s="52" t="s">
        <v>14</v>
      </c>
      <c r="E6" s="52" t="s">
        <v>15</v>
      </c>
      <c r="F6" s="47"/>
    </row>
    <row r="7" spans="1:7" ht="16.8">
      <c r="A7" s="65">
        <v>1</v>
      </c>
      <c r="B7" s="62" t="s">
        <v>23</v>
      </c>
      <c r="C7" s="55" t="s">
        <v>26</v>
      </c>
      <c r="D7" s="56" t="s">
        <v>56</v>
      </c>
      <c r="E7" s="53"/>
      <c r="G7" s="41"/>
    </row>
    <row r="8" spans="1:7" ht="16.8">
      <c r="A8" s="65">
        <v>2</v>
      </c>
      <c r="B8" s="62" t="s">
        <v>18</v>
      </c>
      <c r="C8" s="55" t="s">
        <v>26</v>
      </c>
      <c r="D8" s="56" t="s">
        <v>56</v>
      </c>
      <c r="E8" s="53"/>
      <c r="G8" s="41"/>
    </row>
    <row r="9" spans="1:7" ht="16.8">
      <c r="A9" s="65">
        <v>3</v>
      </c>
      <c r="B9" s="63" t="s">
        <v>16</v>
      </c>
      <c r="C9" s="55" t="s">
        <v>26</v>
      </c>
      <c r="D9" s="56" t="s">
        <v>56</v>
      </c>
      <c r="E9" s="53"/>
      <c r="G9" s="41"/>
    </row>
    <row r="10" spans="1:7" ht="16.8">
      <c r="A10" s="65">
        <v>4</v>
      </c>
      <c r="B10" s="62" t="s">
        <v>17</v>
      </c>
      <c r="C10" s="55" t="s">
        <v>26</v>
      </c>
      <c r="D10" s="56" t="s">
        <v>56</v>
      </c>
      <c r="E10" s="53"/>
      <c r="G10" s="41"/>
    </row>
    <row r="11" spans="1:7" ht="16.8">
      <c r="A11" s="65">
        <v>5</v>
      </c>
      <c r="B11" s="62" t="s">
        <v>22</v>
      </c>
      <c r="C11" s="55" t="s">
        <v>26</v>
      </c>
      <c r="D11" s="56" t="s">
        <v>56</v>
      </c>
      <c r="E11" s="53"/>
    </row>
    <row r="12" spans="1:7" ht="16.8">
      <c r="A12" s="65">
        <v>6</v>
      </c>
      <c r="B12" s="62" t="s">
        <v>19</v>
      </c>
      <c r="C12" s="55" t="s">
        <v>26</v>
      </c>
      <c r="D12" s="56" t="s">
        <v>56</v>
      </c>
      <c r="E12" s="53"/>
    </row>
    <row r="13" spans="1:7" ht="16.8">
      <c r="A13" s="65">
        <v>7</v>
      </c>
      <c r="B13" s="62" t="s">
        <v>39</v>
      </c>
      <c r="C13" s="55" t="s">
        <v>26</v>
      </c>
      <c r="D13" s="56" t="s">
        <v>56</v>
      </c>
      <c r="E13" s="53"/>
      <c r="F13" s="41"/>
      <c r="G13" s="41"/>
    </row>
    <row r="14" spans="1:7" ht="16.8">
      <c r="A14" s="65">
        <v>8</v>
      </c>
      <c r="B14" s="62" t="s">
        <v>40</v>
      </c>
      <c r="C14" s="55" t="s">
        <v>26</v>
      </c>
      <c r="D14" s="56" t="s">
        <v>56</v>
      </c>
      <c r="E14" s="53"/>
      <c r="F14" s="41"/>
      <c r="G14" s="41"/>
    </row>
    <row r="15" spans="1:7" ht="16.8">
      <c r="A15" s="65">
        <v>9</v>
      </c>
      <c r="B15" s="62" t="s">
        <v>64</v>
      </c>
      <c r="C15" s="55" t="s">
        <v>26</v>
      </c>
      <c r="D15" s="56" t="s">
        <v>56</v>
      </c>
      <c r="E15" s="53"/>
      <c r="F15" s="41"/>
      <c r="G15" s="41"/>
    </row>
    <row r="16" spans="1:7" ht="16.8">
      <c r="A16" s="65">
        <v>10</v>
      </c>
      <c r="B16" s="62" t="s">
        <v>59</v>
      </c>
      <c r="C16" s="55" t="s">
        <v>60</v>
      </c>
      <c r="D16" s="56" t="s">
        <v>56</v>
      </c>
      <c r="E16" s="53"/>
      <c r="F16" s="41"/>
      <c r="G16" s="41"/>
    </row>
    <row r="17" spans="1:9" ht="16.8">
      <c r="A17" s="65">
        <v>11</v>
      </c>
      <c r="B17" s="62" t="s">
        <v>57</v>
      </c>
      <c r="C17" s="55" t="s">
        <v>58</v>
      </c>
      <c r="D17" s="56" t="s">
        <v>56</v>
      </c>
      <c r="E17" s="53"/>
      <c r="F17" s="41"/>
      <c r="G17" s="41"/>
    </row>
    <row r="18" spans="1:9" ht="16.8">
      <c r="A18" s="65">
        <v>12</v>
      </c>
      <c r="B18" s="62" t="s">
        <v>62</v>
      </c>
      <c r="C18" s="55" t="s">
        <v>58</v>
      </c>
      <c r="D18" s="56" t="s">
        <v>56</v>
      </c>
      <c r="E18" s="53"/>
      <c r="F18" s="41"/>
    </row>
    <row r="19" spans="1:9" ht="16.8">
      <c r="A19" s="65"/>
      <c r="B19" s="76"/>
      <c r="C19" s="55"/>
      <c r="D19" s="56"/>
      <c r="E19" s="54"/>
      <c r="F19" s="48"/>
      <c r="G19" s="41">
        <f>2630565+152918+296444</f>
        <v>3079927</v>
      </c>
    </row>
    <row r="20" spans="1:9" ht="18" customHeight="1">
      <c r="A20" s="65">
        <v>1</v>
      </c>
      <c r="B20" s="76" t="s">
        <v>45</v>
      </c>
      <c r="C20" s="55" t="s">
        <v>27</v>
      </c>
      <c r="D20" s="56">
        <f>G22</f>
        <v>2898754.8235294116</v>
      </c>
      <c r="E20" s="54"/>
      <c r="G20" s="41">
        <f>G19*8</f>
        <v>24639416</v>
      </c>
    </row>
    <row r="21" spans="1:9" ht="16.8">
      <c r="A21" s="65">
        <v>2</v>
      </c>
      <c r="B21" s="76" t="s">
        <v>65</v>
      </c>
      <c r="C21" s="55" t="s">
        <v>27</v>
      </c>
      <c r="D21" s="56">
        <f>G22</f>
        <v>2898754.8235294116</v>
      </c>
      <c r="E21" s="54"/>
      <c r="F21" s="48"/>
      <c r="G21" s="43">
        <f>G20/17</f>
        <v>1449377.4117647058</v>
      </c>
      <c r="I21" s="41"/>
    </row>
    <row r="22" spans="1:9" ht="16.8">
      <c r="A22" s="65">
        <v>3</v>
      </c>
      <c r="B22" s="76" t="s">
        <v>70</v>
      </c>
      <c r="C22" s="55" t="s">
        <v>27</v>
      </c>
      <c r="D22" s="56">
        <f>G22</f>
        <v>2898754.8235294116</v>
      </c>
      <c r="E22" s="54"/>
      <c r="F22" s="48"/>
      <c r="G22" s="43">
        <f>G21*2</f>
        <v>2898754.8235294116</v>
      </c>
      <c r="H22" s="41"/>
    </row>
    <row r="23" spans="1:9" ht="16.8">
      <c r="A23" s="65">
        <v>4</v>
      </c>
      <c r="B23" s="76" t="s">
        <v>82</v>
      </c>
      <c r="C23" s="55" t="s">
        <v>27</v>
      </c>
      <c r="D23" s="56">
        <f>G22</f>
        <v>2898754.8235294116</v>
      </c>
      <c r="E23" s="54"/>
      <c r="F23" s="48"/>
      <c r="G23" s="43"/>
      <c r="H23" s="41"/>
    </row>
    <row r="24" spans="1:9" ht="16.8">
      <c r="A24" s="65">
        <v>5</v>
      </c>
      <c r="B24" s="76" t="s">
        <v>46</v>
      </c>
      <c r="C24" s="55" t="s">
        <v>27</v>
      </c>
      <c r="D24" s="56">
        <f>D22</f>
        <v>2898754.8235294116</v>
      </c>
      <c r="E24" s="54"/>
      <c r="F24" s="48"/>
      <c r="G24" s="43"/>
      <c r="H24" s="41"/>
    </row>
    <row r="25" spans="1:9" ht="16.8">
      <c r="A25" s="65">
        <v>6</v>
      </c>
      <c r="B25" s="76" t="s">
        <v>116</v>
      </c>
      <c r="C25" s="55" t="s">
        <v>27</v>
      </c>
      <c r="D25" s="56">
        <f>G22</f>
        <v>2898754.8235294116</v>
      </c>
      <c r="E25" s="54"/>
      <c r="F25" s="48"/>
      <c r="G25" s="43"/>
      <c r="H25" s="41"/>
    </row>
    <row r="26" spans="1:9" ht="16.8">
      <c r="A26" s="65">
        <v>7</v>
      </c>
      <c r="B26" s="76" t="s">
        <v>93</v>
      </c>
      <c r="C26" s="55" t="s">
        <v>27</v>
      </c>
      <c r="D26" s="56">
        <f>D25</f>
        <v>2898754.8235294116</v>
      </c>
      <c r="E26" s="54"/>
      <c r="F26" s="48"/>
      <c r="G26" s="43"/>
      <c r="H26" s="41"/>
    </row>
    <row r="27" spans="1:9" ht="16.8">
      <c r="A27" s="65">
        <v>8</v>
      </c>
      <c r="B27" s="76" t="s">
        <v>73</v>
      </c>
      <c r="C27" s="55" t="s">
        <v>27</v>
      </c>
      <c r="D27" s="56">
        <f>D26</f>
        <v>2898754.8235294116</v>
      </c>
      <c r="E27" s="54"/>
      <c r="F27" s="48"/>
      <c r="G27" s="43"/>
      <c r="H27" s="41"/>
    </row>
    <row r="28" spans="1:9" ht="16.8">
      <c r="A28" s="65">
        <v>9</v>
      </c>
      <c r="B28" s="76" t="s">
        <v>55</v>
      </c>
      <c r="C28" s="55" t="s">
        <v>61</v>
      </c>
      <c r="D28" s="56">
        <f>G21+7+98951</f>
        <v>1548335.4117647058</v>
      </c>
      <c r="E28" s="54"/>
      <c r="F28" s="48"/>
      <c r="G28" s="41"/>
      <c r="H28" s="41"/>
    </row>
    <row r="29" spans="1:9" ht="16.8">
      <c r="A29" s="66"/>
      <c r="B29" s="67" t="s">
        <v>28</v>
      </c>
      <c r="C29" s="68"/>
      <c r="D29" s="56">
        <f>SUM(D20:D28)</f>
        <v>24738374</v>
      </c>
      <c r="E29" s="64"/>
      <c r="F29" s="49"/>
      <c r="G29" s="41"/>
    </row>
    <row r="30" spans="1:9" ht="27.75" customHeight="1">
      <c r="A30" s="1"/>
      <c r="B30" s="43"/>
    </row>
    <row r="31" spans="1:9">
      <c r="B31" s="43"/>
    </row>
    <row r="32" spans="1:9">
      <c r="D32" s="475" t="s">
        <v>69</v>
      </c>
      <c r="E32" s="475"/>
    </row>
    <row r="33" spans="1:5">
      <c r="A33" s="476" t="s">
        <v>20</v>
      </c>
      <c r="B33" s="476"/>
      <c r="D33" s="477" t="s">
        <v>21</v>
      </c>
      <c r="E33" s="477"/>
    </row>
    <row r="36" spans="1:5">
      <c r="E36" s="41"/>
    </row>
    <row r="37" spans="1:5">
      <c r="C37" s="46"/>
    </row>
  </sheetData>
  <mergeCells count="6">
    <mergeCell ref="A1:B1"/>
    <mergeCell ref="A2:B2"/>
    <mergeCell ref="B3:D3"/>
    <mergeCell ref="D32:E32"/>
    <mergeCell ref="A33:B33"/>
    <mergeCell ref="D33:E3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10"/>
  </sheetPr>
  <dimension ref="A1:IQ110"/>
  <sheetViews>
    <sheetView zoomScaleNormal="100" zoomScaleSheetLayoutView="100" workbookViewId="0">
      <pane xSplit="7" ySplit="7" topLeftCell="H8" activePane="bottomRight" state="frozen"/>
      <selection pane="topRight" activeCell="H1" sqref="H1"/>
      <selection pane="bottomLeft" activeCell="A8" sqref="A8"/>
      <selection pane="bottomRight" activeCell="S100" sqref="S100"/>
    </sheetView>
  </sheetViews>
  <sheetFormatPr defaultColWidth="3.44140625" defaultRowHeight="13.2"/>
  <cols>
    <col min="1" max="1" width="6" style="37" customWidth="1"/>
    <col min="2" max="2" width="11" style="95" customWidth="1"/>
    <col min="3" max="3" width="20.44140625" style="156" customWidth="1"/>
    <col min="4" max="4" width="5.5546875" style="82" customWidth="1"/>
    <col min="5" max="5" width="4.5546875" style="82" customWidth="1"/>
    <col min="6" max="6" width="40.5546875" style="195" customWidth="1"/>
    <col min="7" max="7" width="7.44140625" style="84" customWidth="1"/>
    <col min="8" max="8" width="10.109375" style="153" customWidth="1"/>
    <col min="9" max="9" width="12.5546875" style="93" customWidth="1"/>
    <col min="10" max="10" width="10.109375" style="216" customWidth="1"/>
    <col min="11" max="11" width="12.33203125" style="93" customWidth="1"/>
    <col min="12" max="12" width="10.109375" style="153" customWidth="1"/>
    <col min="13" max="13" width="12.5546875" style="93" customWidth="1"/>
    <col min="14" max="14" width="13.109375" style="94" customWidth="1"/>
    <col min="15" max="43" width="9.109375" style="37" customWidth="1"/>
    <col min="44" max="251" width="3.44140625" style="37"/>
    <col min="252" max="252" width="3.44140625" style="37" customWidth="1"/>
    <col min="253" max="253" width="5" style="37" customWidth="1"/>
    <col min="254" max="254" width="20.5546875" style="37" customWidth="1"/>
    <col min="255" max="255" width="15.6640625" style="37" customWidth="1"/>
    <col min="256" max="256" width="4.5546875" style="37" customWidth="1"/>
    <col min="257" max="257" width="5" style="37" customWidth="1"/>
    <col min="258" max="258" width="20.109375" style="37" customWidth="1"/>
    <col min="259" max="259" width="7" style="37" customWidth="1"/>
    <col min="260" max="260" width="15.88671875" style="37" customWidth="1"/>
    <col min="261" max="261" width="12.6640625" style="37" customWidth="1"/>
    <col min="262" max="262" width="8.5546875" style="37" customWidth="1"/>
    <col min="263" max="263" width="11" style="37" customWidth="1"/>
    <col min="264" max="264" width="9.5546875" style="37" customWidth="1"/>
    <col min="265" max="265" width="10.88671875" style="37" customWidth="1"/>
    <col min="266" max="266" width="7.6640625" style="37" customWidth="1"/>
    <col min="267" max="267" width="9.6640625" style="37" customWidth="1"/>
    <col min="268" max="268" width="9.33203125" style="37" customWidth="1"/>
    <col min="269" max="269" width="16.33203125" style="37" customWidth="1"/>
    <col min="270" max="299" width="9.109375" style="37" customWidth="1"/>
    <col min="300" max="507" width="3.44140625" style="37"/>
    <col min="508" max="508" width="3.44140625" style="37" customWidth="1"/>
    <col min="509" max="509" width="5" style="37" customWidth="1"/>
    <col min="510" max="510" width="20.5546875" style="37" customWidth="1"/>
    <col min="511" max="511" width="15.6640625" style="37" customWidth="1"/>
    <col min="512" max="512" width="4.5546875" style="37" customWidth="1"/>
    <col min="513" max="513" width="5" style="37" customWidth="1"/>
    <col min="514" max="514" width="20.109375" style="37" customWidth="1"/>
    <col min="515" max="515" width="7" style="37" customWidth="1"/>
    <col min="516" max="516" width="15.88671875" style="37" customWidth="1"/>
    <col min="517" max="517" width="12.6640625" style="37" customWidth="1"/>
    <col min="518" max="518" width="8.5546875" style="37" customWidth="1"/>
    <col min="519" max="519" width="11" style="37" customWidth="1"/>
    <col min="520" max="520" width="9.5546875" style="37" customWidth="1"/>
    <col min="521" max="521" width="10.88671875" style="37" customWidth="1"/>
    <col min="522" max="522" width="7.6640625" style="37" customWidth="1"/>
    <col min="523" max="523" width="9.6640625" style="37" customWidth="1"/>
    <col min="524" max="524" width="9.33203125" style="37" customWidth="1"/>
    <col min="525" max="525" width="16.33203125" style="37" customWidth="1"/>
    <col min="526" max="555" width="9.109375" style="37" customWidth="1"/>
    <col min="556" max="763" width="3.44140625" style="37"/>
    <col min="764" max="764" width="3.44140625" style="37" customWidth="1"/>
    <col min="765" max="765" width="5" style="37" customWidth="1"/>
    <col min="766" max="766" width="20.5546875" style="37" customWidth="1"/>
    <col min="767" max="767" width="15.6640625" style="37" customWidth="1"/>
    <col min="768" max="768" width="4.5546875" style="37" customWidth="1"/>
    <col min="769" max="769" width="5" style="37" customWidth="1"/>
    <col min="770" max="770" width="20.109375" style="37" customWidth="1"/>
    <col min="771" max="771" width="7" style="37" customWidth="1"/>
    <col min="772" max="772" width="15.88671875" style="37" customWidth="1"/>
    <col min="773" max="773" width="12.6640625" style="37" customWidth="1"/>
    <col min="774" max="774" width="8.5546875" style="37" customWidth="1"/>
    <col min="775" max="775" width="11" style="37" customWidth="1"/>
    <col min="776" max="776" width="9.5546875" style="37" customWidth="1"/>
    <col min="777" max="777" width="10.88671875" style="37" customWidth="1"/>
    <col min="778" max="778" width="7.6640625" style="37" customWidth="1"/>
    <col min="779" max="779" width="9.6640625" style="37" customWidth="1"/>
    <col min="780" max="780" width="9.33203125" style="37" customWidth="1"/>
    <col min="781" max="781" width="16.33203125" style="37" customWidth="1"/>
    <col min="782" max="811" width="9.109375" style="37" customWidth="1"/>
    <col min="812" max="1019" width="3.44140625" style="37"/>
    <col min="1020" max="1020" width="3.44140625" style="37" customWidth="1"/>
    <col min="1021" max="1021" width="5" style="37" customWidth="1"/>
    <col min="1022" max="1022" width="20.5546875" style="37" customWidth="1"/>
    <col min="1023" max="1023" width="15.6640625" style="37" customWidth="1"/>
    <col min="1024" max="1024" width="4.5546875" style="37" customWidth="1"/>
    <col min="1025" max="1025" width="5" style="37" customWidth="1"/>
    <col min="1026" max="1026" width="20.109375" style="37" customWidth="1"/>
    <col min="1027" max="1027" width="7" style="37" customWidth="1"/>
    <col min="1028" max="1028" width="15.88671875" style="37" customWidth="1"/>
    <col min="1029" max="1029" width="12.6640625" style="37" customWidth="1"/>
    <col min="1030" max="1030" width="8.5546875" style="37" customWidth="1"/>
    <col min="1031" max="1031" width="11" style="37" customWidth="1"/>
    <col min="1032" max="1032" width="9.5546875" style="37" customWidth="1"/>
    <col min="1033" max="1033" width="10.88671875" style="37" customWidth="1"/>
    <col min="1034" max="1034" width="7.6640625" style="37" customWidth="1"/>
    <col min="1035" max="1035" width="9.6640625" style="37" customWidth="1"/>
    <col min="1036" max="1036" width="9.33203125" style="37" customWidth="1"/>
    <col min="1037" max="1037" width="16.33203125" style="37" customWidth="1"/>
    <col min="1038" max="1067" width="9.109375" style="37" customWidth="1"/>
    <col min="1068" max="1275" width="3.44140625" style="37"/>
    <col min="1276" max="1276" width="3.44140625" style="37" customWidth="1"/>
    <col min="1277" max="1277" width="5" style="37" customWidth="1"/>
    <col min="1278" max="1278" width="20.5546875" style="37" customWidth="1"/>
    <col min="1279" max="1279" width="15.6640625" style="37" customWidth="1"/>
    <col min="1280" max="1280" width="4.5546875" style="37" customWidth="1"/>
    <col min="1281" max="1281" width="5" style="37" customWidth="1"/>
    <col min="1282" max="1282" width="20.109375" style="37" customWidth="1"/>
    <col min="1283" max="1283" width="7" style="37" customWidth="1"/>
    <col min="1284" max="1284" width="15.88671875" style="37" customWidth="1"/>
    <col min="1285" max="1285" width="12.6640625" style="37" customWidth="1"/>
    <col min="1286" max="1286" width="8.5546875" style="37" customWidth="1"/>
    <col min="1287" max="1287" width="11" style="37" customWidth="1"/>
    <col min="1288" max="1288" width="9.5546875" style="37" customWidth="1"/>
    <col min="1289" max="1289" width="10.88671875" style="37" customWidth="1"/>
    <col min="1290" max="1290" width="7.6640625" style="37" customWidth="1"/>
    <col min="1291" max="1291" width="9.6640625" style="37" customWidth="1"/>
    <col min="1292" max="1292" width="9.33203125" style="37" customWidth="1"/>
    <col min="1293" max="1293" width="16.33203125" style="37" customWidth="1"/>
    <col min="1294" max="1323" width="9.109375" style="37" customWidth="1"/>
    <col min="1324" max="1531" width="3.44140625" style="37"/>
    <col min="1532" max="1532" width="3.44140625" style="37" customWidth="1"/>
    <col min="1533" max="1533" width="5" style="37" customWidth="1"/>
    <col min="1534" max="1534" width="20.5546875" style="37" customWidth="1"/>
    <col min="1535" max="1535" width="15.6640625" style="37" customWidth="1"/>
    <col min="1536" max="1536" width="4.5546875" style="37" customWidth="1"/>
    <col min="1537" max="1537" width="5" style="37" customWidth="1"/>
    <col min="1538" max="1538" width="20.109375" style="37" customWidth="1"/>
    <col min="1539" max="1539" width="7" style="37" customWidth="1"/>
    <col min="1540" max="1540" width="15.88671875" style="37" customWidth="1"/>
    <col min="1541" max="1541" width="12.6640625" style="37" customWidth="1"/>
    <col min="1542" max="1542" width="8.5546875" style="37" customWidth="1"/>
    <col min="1543" max="1543" width="11" style="37" customWidth="1"/>
    <col min="1544" max="1544" width="9.5546875" style="37" customWidth="1"/>
    <col min="1545" max="1545" width="10.88671875" style="37" customWidth="1"/>
    <col min="1546" max="1546" width="7.6640625" style="37" customWidth="1"/>
    <col min="1547" max="1547" width="9.6640625" style="37" customWidth="1"/>
    <col min="1548" max="1548" width="9.33203125" style="37" customWidth="1"/>
    <col min="1549" max="1549" width="16.33203125" style="37" customWidth="1"/>
    <col min="1550" max="1579" width="9.109375" style="37" customWidth="1"/>
    <col min="1580" max="1787" width="3.44140625" style="37"/>
    <col min="1788" max="1788" width="3.44140625" style="37" customWidth="1"/>
    <col min="1789" max="1789" width="5" style="37" customWidth="1"/>
    <col min="1790" max="1790" width="20.5546875" style="37" customWidth="1"/>
    <col min="1791" max="1791" width="15.6640625" style="37" customWidth="1"/>
    <col min="1792" max="1792" width="4.5546875" style="37" customWidth="1"/>
    <col min="1793" max="1793" width="5" style="37" customWidth="1"/>
    <col min="1794" max="1794" width="20.109375" style="37" customWidth="1"/>
    <col min="1795" max="1795" width="7" style="37" customWidth="1"/>
    <col min="1796" max="1796" width="15.88671875" style="37" customWidth="1"/>
    <col min="1797" max="1797" width="12.6640625" style="37" customWidth="1"/>
    <col min="1798" max="1798" width="8.5546875" style="37" customWidth="1"/>
    <col min="1799" max="1799" width="11" style="37" customWidth="1"/>
    <col min="1800" max="1800" width="9.5546875" style="37" customWidth="1"/>
    <col min="1801" max="1801" width="10.88671875" style="37" customWidth="1"/>
    <col min="1802" max="1802" width="7.6640625" style="37" customWidth="1"/>
    <col min="1803" max="1803" width="9.6640625" style="37" customWidth="1"/>
    <col min="1804" max="1804" width="9.33203125" style="37" customWidth="1"/>
    <col min="1805" max="1805" width="16.33203125" style="37" customWidth="1"/>
    <col min="1806" max="1835" width="9.109375" style="37" customWidth="1"/>
    <col min="1836" max="2043" width="3.44140625" style="37"/>
    <col min="2044" max="2044" width="3.44140625" style="37" customWidth="1"/>
    <col min="2045" max="2045" width="5" style="37" customWidth="1"/>
    <col min="2046" max="2046" width="20.5546875" style="37" customWidth="1"/>
    <col min="2047" max="2047" width="15.6640625" style="37" customWidth="1"/>
    <col min="2048" max="2048" width="4.5546875" style="37" customWidth="1"/>
    <col min="2049" max="2049" width="5" style="37" customWidth="1"/>
    <col min="2050" max="2050" width="20.109375" style="37" customWidth="1"/>
    <col min="2051" max="2051" width="7" style="37" customWidth="1"/>
    <col min="2052" max="2052" width="15.88671875" style="37" customWidth="1"/>
    <col min="2053" max="2053" width="12.6640625" style="37" customWidth="1"/>
    <col min="2054" max="2054" width="8.5546875" style="37" customWidth="1"/>
    <col min="2055" max="2055" width="11" style="37" customWidth="1"/>
    <col min="2056" max="2056" width="9.5546875" style="37" customWidth="1"/>
    <col min="2057" max="2057" width="10.88671875" style="37" customWidth="1"/>
    <col min="2058" max="2058" width="7.6640625" style="37" customWidth="1"/>
    <col min="2059" max="2059" width="9.6640625" style="37" customWidth="1"/>
    <col min="2060" max="2060" width="9.33203125" style="37" customWidth="1"/>
    <col min="2061" max="2061" width="16.33203125" style="37" customWidth="1"/>
    <col min="2062" max="2091" width="9.109375" style="37" customWidth="1"/>
    <col min="2092" max="2299" width="3.44140625" style="37"/>
    <col min="2300" max="2300" width="3.44140625" style="37" customWidth="1"/>
    <col min="2301" max="2301" width="5" style="37" customWidth="1"/>
    <col min="2302" max="2302" width="20.5546875" style="37" customWidth="1"/>
    <col min="2303" max="2303" width="15.6640625" style="37" customWidth="1"/>
    <col min="2304" max="2304" width="4.5546875" style="37" customWidth="1"/>
    <col min="2305" max="2305" width="5" style="37" customWidth="1"/>
    <col min="2306" max="2306" width="20.109375" style="37" customWidth="1"/>
    <col min="2307" max="2307" width="7" style="37" customWidth="1"/>
    <col min="2308" max="2308" width="15.88671875" style="37" customWidth="1"/>
    <col min="2309" max="2309" width="12.6640625" style="37" customWidth="1"/>
    <col min="2310" max="2310" width="8.5546875" style="37" customWidth="1"/>
    <col min="2311" max="2311" width="11" style="37" customWidth="1"/>
    <col min="2312" max="2312" width="9.5546875" style="37" customWidth="1"/>
    <col min="2313" max="2313" width="10.88671875" style="37" customWidth="1"/>
    <col min="2314" max="2314" width="7.6640625" style="37" customWidth="1"/>
    <col min="2315" max="2315" width="9.6640625" style="37" customWidth="1"/>
    <col min="2316" max="2316" width="9.33203125" style="37" customWidth="1"/>
    <col min="2317" max="2317" width="16.33203125" style="37" customWidth="1"/>
    <col min="2318" max="2347" width="9.109375" style="37" customWidth="1"/>
    <col min="2348" max="2555" width="3.44140625" style="37"/>
    <col min="2556" max="2556" width="3.44140625" style="37" customWidth="1"/>
    <col min="2557" max="2557" width="5" style="37" customWidth="1"/>
    <col min="2558" max="2558" width="20.5546875" style="37" customWidth="1"/>
    <col min="2559" max="2559" width="15.6640625" style="37" customWidth="1"/>
    <col min="2560" max="2560" width="4.5546875" style="37" customWidth="1"/>
    <col min="2561" max="2561" width="5" style="37" customWidth="1"/>
    <col min="2562" max="2562" width="20.109375" style="37" customWidth="1"/>
    <col min="2563" max="2563" width="7" style="37" customWidth="1"/>
    <col min="2564" max="2564" width="15.88671875" style="37" customWidth="1"/>
    <col min="2565" max="2565" width="12.6640625" style="37" customWidth="1"/>
    <col min="2566" max="2566" width="8.5546875" style="37" customWidth="1"/>
    <col min="2567" max="2567" width="11" style="37" customWidth="1"/>
    <col min="2568" max="2568" width="9.5546875" style="37" customWidth="1"/>
    <col min="2569" max="2569" width="10.88671875" style="37" customWidth="1"/>
    <col min="2570" max="2570" width="7.6640625" style="37" customWidth="1"/>
    <col min="2571" max="2571" width="9.6640625" style="37" customWidth="1"/>
    <col min="2572" max="2572" width="9.33203125" style="37" customWidth="1"/>
    <col min="2573" max="2573" width="16.33203125" style="37" customWidth="1"/>
    <col min="2574" max="2603" width="9.109375" style="37" customWidth="1"/>
    <col min="2604" max="2811" width="3.44140625" style="37"/>
    <col min="2812" max="2812" width="3.44140625" style="37" customWidth="1"/>
    <col min="2813" max="2813" width="5" style="37" customWidth="1"/>
    <col min="2814" max="2814" width="20.5546875" style="37" customWidth="1"/>
    <col min="2815" max="2815" width="15.6640625" style="37" customWidth="1"/>
    <col min="2816" max="2816" width="4.5546875" style="37" customWidth="1"/>
    <col min="2817" max="2817" width="5" style="37" customWidth="1"/>
    <col min="2818" max="2818" width="20.109375" style="37" customWidth="1"/>
    <col min="2819" max="2819" width="7" style="37" customWidth="1"/>
    <col min="2820" max="2820" width="15.88671875" style="37" customWidth="1"/>
    <col min="2821" max="2821" width="12.6640625" style="37" customWidth="1"/>
    <col min="2822" max="2822" width="8.5546875" style="37" customWidth="1"/>
    <col min="2823" max="2823" width="11" style="37" customWidth="1"/>
    <col min="2824" max="2824" width="9.5546875" style="37" customWidth="1"/>
    <col min="2825" max="2825" width="10.88671875" style="37" customWidth="1"/>
    <col min="2826" max="2826" width="7.6640625" style="37" customWidth="1"/>
    <col min="2827" max="2827" width="9.6640625" style="37" customWidth="1"/>
    <col min="2828" max="2828" width="9.33203125" style="37" customWidth="1"/>
    <col min="2829" max="2829" width="16.33203125" style="37" customWidth="1"/>
    <col min="2830" max="2859" width="9.109375" style="37" customWidth="1"/>
    <col min="2860" max="3067" width="3.44140625" style="37"/>
    <col min="3068" max="3068" width="3.44140625" style="37" customWidth="1"/>
    <col min="3069" max="3069" width="5" style="37" customWidth="1"/>
    <col min="3070" max="3070" width="20.5546875" style="37" customWidth="1"/>
    <col min="3071" max="3071" width="15.6640625" style="37" customWidth="1"/>
    <col min="3072" max="3072" width="4.5546875" style="37" customWidth="1"/>
    <col min="3073" max="3073" width="5" style="37" customWidth="1"/>
    <col min="3074" max="3074" width="20.109375" style="37" customWidth="1"/>
    <col min="3075" max="3075" width="7" style="37" customWidth="1"/>
    <col min="3076" max="3076" width="15.88671875" style="37" customWidth="1"/>
    <col min="3077" max="3077" width="12.6640625" style="37" customWidth="1"/>
    <col min="3078" max="3078" width="8.5546875" style="37" customWidth="1"/>
    <col min="3079" max="3079" width="11" style="37" customWidth="1"/>
    <col min="3080" max="3080" width="9.5546875" style="37" customWidth="1"/>
    <col min="3081" max="3081" width="10.88671875" style="37" customWidth="1"/>
    <col min="3082" max="3082" width="7.6640625" style="37" customWidth="1"/>
    <col min="3083" max="3083" width="9.6640625" style="37" customWidth="1"/>
    <col min="3084" max="3084" width="9.33203125" style="37" customWidth="1"/>
    <col min="3085" max="3085" width="16.33203125" style="37" customWidth="1"/>
    <col min="3086" max="3115" width="9.109375" style="37" customWidth="1"/>
    <col min="3116" max="3323" width="3.44140625" style="37"/>
    <col min="3324" max="3324" width="3.44140625" style="37" customWidth="1"/>
    <col min="3325" max="3325" width="5" style="37" customWidth="1"/>
    <col min="3326" max="3326" width="20.5546875" style="37" customWidth="1"/>
    <col min="3327" max="3327" width="15.6640625" style="37" customWidth="1"/>
    <col min="3328" max="3328" width="4.5546875" style="37" customWidth="1"/>
    <col min="3329" max="3329" width="5" style="37" customWidth="1"/>
    <col min="3330" max="3330" width="20.109375" style="37" customWidth="1"/>
    <col min="3331" max="3331" width="7" style="37" customWidth="1"/>
    <col min="3332" max="3332" width="15.88671875" style="37" customWidth="1"/>
    <col min="3333" max="3333" width="12.6640625" style="37" customWidth="1"/>
    <col min="3334" max="3334" width="8.5546875" style="37" customWidth="1"/>
    <col min="3335" max="3335" width="11" style="37" customWidth="1"/>
    <col min="3336" max="3336" width="9.5546875" style="37" customWidth="1"/>
    <col min="3337" max="3337" width="10.88671875" style="37" customWidth="1"/>
    <col min="3338" max="3338" width="7.6640625" style="37" customWidth="1"/>
    <col min="3339" max="3339" width="9.6640625" style="37" customWidth="1"/>
    <col min="3340" max="3340" width="9.33203125" style="37" customWidth="1"/>
    <col min="3341" max="3341" width="16.33203125" style="37" customWidth="1"/>
    <col min="3342" max="3371" width="9.109375" style="37" customWidth="1"/>
    <col min="3372" max="3579" width="3.44140625" style="37"/>
    <col min="3580" max="3580" width="3.44140625" style="37" customWidth="1"/>
    <col min="3581" max="3581" width="5" style="37" customWidth="1"/>
    <col min="3582" max="3582" width="20.5546875" style="37" customWidth="1"/>
    <col min="3583" max="3583" width="15.6640625" style="37" customWidth="1"/>
    <col min="3584" max="3584" width="4.5546875" style="37" customWidth="1"/>
    <col min="3585" max="3585" width="5" style="37" customWidth="1"/>
    <col min="3586" max="3586" width="20.109375" style="37" customWidth="1"/>
    <col min="3587" max="3587" width="7" style="37" customWidth="1"/>
    <col min="3588" max="3588" width="15.88671875" style="37" customWidth="1"/>
    <col min="3589" max="3589" width="12.6640625" style="37" customWidth="1"/>
    <col min="3590" max="3590" width="8.5546875" style="37" customWidth="1"/>
    <col min="3591" max="3591" width="11" style="37" customWidth="1"/>
    <col min="3592" max="3592" width="9.5546875" style="37" customWidth="1"/>
    <col min="3593" max="3593" width="10.88671875" style="37" customWidth="1"/>
    <col min="3594" max="3594" width="7.6640625" style="37" customWidth="1"/>
    <col min="3595" max="3595" width="9.6640625" style="37" customWidth="1"/>
    <col min="3596" max="3596" width="9.33203125" style="37" customWidth="1"/>
    <col min="3597" max="3597" width="16.33203125" style="37" customWidth="1"/>
    <col min="3598" max="3627" width="9.109375" style="37" customWidth="1"/>
    <col min="3628" max="3835" width="3.44140625" style="37"/>
    <col min="3836" max="3836" width="3.44140625" style="37" customWidth="1"/>
    <col min="3837" max="3837" width="5" style="37" customWidth="1"/>
    <col min="3838" max="3838" width="20.5546875" style="37" customWidth="1"/>
    <col min="3839" max="3839" width="15.6640625" style="37" customWidth="1"/>
    <col min="3840" max="3840" width="4.5546875" style="37" customWidth="1"/>
    <col min="3841" max="3841" width="5" style="37" customWidth="1"/>
    <col min="3842" max="3842" width="20.109375" style="37" customWidth="1"/>
    <col min="3843" max="3843" width="7" style="37" customWidth="1"/>
    <col min="3844" max="3844" width="15.88671875" style="37" customWidth="1"/>
    <col min="3845" max="3845" width="12.6640625" style="37" customWidth="1"/>
    <col min="3846" max="3846" width="8.5546875" style="37" customWidth="1"/>
    <col min="3847" max="3847" width="11" style="37" customWidth="1"/>
    <col min="3848" max="3848" width="9.5546875" style="37" customWidth="1"/>
    <col min="3849" max="3849" width="10.88671875" style="37" customWidth="1"/>
    <col min="3850" max="3850" width="7.6640625" style="37" customWidth="1"/>
    <col min="3851" max="3851" width="9.6640625" style="37" customWidth="1"/>
    <col min="3852" max="3852" width="9.33203125" style="37" customWidth="1"/>
    <col min="3853" max="3853" width="16.33203125" style="37" customWidth="1"/>
    <col min="3854" max="3883" width="9.109375" style="37" customWidth="1"/>
    <col min="3884" max="4091" width="3.44140625" style="37"/>
    <col min="4092" max="4092" width="3.44140625" style="37" customWidth="1"/>
    <col min="4093" max="4093" width="5" style="37" customWidth="1"/>
    <col min="4094" max="4094" width="20.5546875" style="37" customWidth="1"/>
    <col min="4095" max="4095" width="15.6640625" style="37" customWidth="1"/>
    <col min="4096" max="4096" width="4.5546875" style="37" customWidth="1"/>
    <col min="4097" max="4097" width="5" style="37" customWidth="1"/>
    <col min="4098" max="4098" width="20.109375" style="37" customWidth="1"/>
    <col min="4099" max="4099" width="7" style="37" customWidth="1"/>
    <col min="4100" max="4100" width="15.88671875" style="37" customWidth="1"/>
    <col min="4101" max="4101" width="12.6640625" style="37" customWidth="1"/>
    <col min="4102" max="4102" width="8.5546875" style="37" customWidth="1"/>
    <col min="4103" max="4103" width="11" style="37" customWidth="1"/>
    <col min="4104" max="4104" width="9.5546875" style="37" customWidth="1"/>
    <col min="4105" max="4105" width="10.88671875" style="37" customWidth="1"/>
    <col min="4106" max="4106" width="7.6640625" style="37" customWidth="1"/>
    <col min="4107" max="4107" width="9.6640625" style="37" customWidth="1"/>
    <col min="4108" max="4108" width="9.33203125" style="37" customWidth="1"/>
    <col min="4109" max="4109" width="16.33203125" style="37" customWidth="1"/>
    <col min="4110" max="4139" width="9.109375" style="37" customWidth="1"/>
    <col min="4140" max="4347" width="3.44140625" style="37"/>
    <col min="4348" max="4348" width="3.44140625" style="37" customWidth="1"/>
    <col min="4349" max="4349" width="5" style="37" customWidth="1"/>
    <col min="4350" max="4350" width="20.5546875" style="37" customWidth="1"/>
    <col min="4351" max="4351" width="15.6640625" style="37" customWidth="1"/>
    <col min="4352" max="4352" width="4.5546875" style="37" customWidth="1"/>
    <col min="4353" max="4353" width="5" style="37" customWidth="1"/>
    <col min="4354" max="4354" width="20.109375" style="37" customWidth="1"/>
    <col min="4355" max="4355" width="7" style="37" customWidth="1"/>
    <col min="4356" max="4356" width="15.88671875" style="37" customWidth="1"/>
    <col min="4357" max="4357" width="12.6640625" style="37" customWidth="1"/>
    <col min="4358" max="4358" width="8.5546875" style="37" customWidth="1"/>
    <col min="4359" max="4359" width="11" style="37" customWidth="1"/>
    <col min="4360" max="4360" width="9.5546875" style="37" customWidth="1"/>
    <col min="4361" max="4361" width="10.88671875" style="37" customWidth="1"/>
    <col min="4362" max="4362" width="7.6640625" style="37" customWidth="1"/>
    <col min="4363" max="4363" width="9.6640625" style="37" customWidth="1"/>
    <col min="4364" max="4364" width="9.33203125" style="37" customWidth="1"/>
    <col min="4365" max="4365" width="16.33203125" style="37" customWidth="1"/>
    <col min="4366" max="4395" width="9.109375" style="37" customWidth="1"/>
    <col min="4396" max="4603" width="3.44140625" style="37"/>
    <col min="4604" max="4604" width="3.44140625" style="37" customWidth="1"/>
    <col min="4605" max="4605" width="5" style="37" customWidth="1"/>
    <col min="4606" max="4606" width="20.5546875" style="37" customWidth="1"/>
    <col min="4607" max="4607" width="15.6640625" style="37" customWidth="1"/>
    <col min="4608" max="4608" width="4.5546875" style="37" customWidth="1"/>
    <col min="4609" max="4609" width="5" style="37" customWidth="1"/>
    <col min="4610" max="4610" width="20.109375" style="37" customWidth="1"/>
    <col min="4611" max="4611" width="7" style="37" customWidth="1"/>
    <col min="4612" max="4612" width="15.88671875" style="37" customWidth="1"/>
    <col min="4613" max="4613" width="12.6640625" style="37" customWidth="1"/>
    <col min="4614" max="4614" width="8.5546875" style="37" customWidth="1"/>
    <col min="4615" max="4615" width="11" style="37" customWidth="1"/>
    <col min="4616" max="4616" width="9.5546875" style="37" customWidth="1"/>
    <col min="4617" max="4617" width="10.88671875" style="37" customWidth="1"/>
    <col min="4618" max="4618" width="7.6640625" style="37" customWidth="1"/>
    <col min="4619" max="4619" width="9.6640625" style="37" customWidth="1"/>
    <col min="4620" max="4620" width="9.33203125" style="37" customWidth="1"/>
    <col min="4621" max="4621" width="16.33203125" style="37" customWidth="1"/>
    <col min="4622" max="4651" width="9.109375" style="37" customWidth="1"/>
    <col min="4652" max="4859" width="3.44140625" style="37"/>
    <col min="4860" max="4860" width="3.44140625" style="37" customWidth="1"/>
    <col min="4861" max="4861" width="5" style="37" customWidth="1"/>
    <col min="4862" max="4862" width="20.5546875" style="37" customWidth="1"/>
    <col min="4863" max="4863" width="15.6640625" style="37" customWidth="1"/>
    <col min="4864" max="4864" width="4.5546875" style="37" customWidth="1"/>
    <col min="4865" max="4865" width="5" style="37" customWidth="1"/>
    <col min="4866" max="4866" width="20.109375" style="37" customWidth="1"/>
    <col min="4867" max="4867" width="7" style="37" customWidth="1"/>
    <col min="4868" max="4868" width="15.88671875" style="37" customWidth="1"/>
    <col min="4869" max="4869" width="12.6640625" style="37" customWidth="1"/>
    <col min="4870" max="4870" width="8.5546875" style="37" customWidth="1"/>
    <col min="4871" max="4871" width="11" style="37" customWidth="1"/>
    <col min="4872" max="4872" width="9.5546875" style="37" customWidth="1"/>
    <col min="4873" max="4873" width="10.88671875" style="37" customWidth="1"/>
    <col min="4874" max="4874" width="7.6640625" style="37" customWidth="1"/>
    <col min="4875" max="4875" width="9.6640625" style="37" customWidth="1"/>
    <col min="4876" max="4876" width="9.33203125" style="37" customWidth="1"/>
    <col min="4877" max="4877" width="16.33203125" style="37" customWidth="1"/>
    <col min="4878" max="4907" width="9.109375" style="37" customWidth="1"/>
    <col min="4908" max="5115" width="3.44140625" style="37"/>
    <col min="5116" max="5116" width="3.44140625" style="37" customWidth="1"/>
    <col min="5117" max="5117" width="5" style="37" customWidth="1"/>
    <col min="5118" max="5118" width="20.5546875" style="37" customWidth="1"/>
    <col min="5119" max="5119" width="15.6640625" style="37" customWidth="1"/>
    <col min="5120" max="5120" width="4.5546875" style="37" customWidth="1"/>
    <col min="5121" max="5121" width="5" style="37" customWidth="1"/>
    <col min="5122" max="5122" width="20.109375" style="37" customWidth="1"/>
    <col min="5123" max="5123" width="7" style="37" customWidth="1"/>
    <col min="5124" max="5124" width="15.88671875" style="37" customWidth="1"/>
    <col min="5125" max="5125" width="12.6640625" style="37" customWidth="1"/>
    <col min="5126" max="5126" width="8.5546875" style="37" customWidth="1"/>
    <col min="5127" max="5127" width="11" style="37" customWidth="1"/>
    <col min="5128" max="5128" width="9.5546875" style="37" customWidth="1"/>
    <col min="5129" max="5129" width="10.88671875" style="37" customWidth="1"/>
    <col min="5130" max="5130" width="7.6640625" style="37" customWidth="1"/>
    <col min="5131" max="5131" width="9.6640625" style="37" customWidth="1"/>
    <col min="5132" max="5132" width="9.33203125" style="37" customWidth="1"/>
    <col min="5133" max="5133" width="16.33203125" style="37" customWidth="1"/>
    <col min="5134" max="5163" width="9.109375" style="37" customWidth="1"/>
    <col min="5164" max="5371" width="3.44140625" style="37"/>
    <col min="5372" max="5372" width="3.44140625" style="37" customWidth="1"/>
    <col min="5373" max="5373" width="5" style="37" customWidth="1"/>
    <col min="5374" max="5374" width="20.5546875" style="37" customWidth="1"/>
    <col min="5375" max="5375" width="15.6640625" style="37" customWidth="1"/>
    <col min="5376" max="5376" width="4.5546875" style="37" customWidth="1"/>
    <col min="5377" max="5377" width="5" style="37" customWidth="1"/>
    <col min="5378" max="5378" width="20.109375" style="37" customWidth="1"/>
    <col min="5379" max="5379" width="7" style="37" customWidth="1"/>
    <col min="5380" max="5380" width="15.88671875" style="37" customWidth="1"/>
    <col min="5381" max="5381" width="12.6640625" style="37" customWidth="1"/>
    <col min="5382" max="5382" width="8.5546875" style="37" customWidth="1"/>
    <col min="5383" max="5383" width="11" style="37" customWidth="1"/>
    <col min="5384" max="5384" width="9.5546875" style="37" customWidth="1"/>
    <col min="5385" max="5385" width="10.88671875" style="37" customWidth="1"/>
    <col min="5386" max="5386" width="7.6640625" style="37" customWidth="1"/>
    <col min="5387" max="5387" width="9.6640625" style="37" customWidth="1"/>
    <col min="5388" max="5388" width="9.33203125" style="37" customWidth="1"/>
    <col min="5389" max="5389" width="16.33203125" style="37" customWidth="1"/>
    <col min="5390" max="5419" width="9.109375" style="37" customWidth="1"/>
    <col min="5420" max="5627" width="3.44140625" style="37"/>
    <col min="5628" max="5628" width="3.44140625" style="37" customWidth="1"/>
    <col min="5629" max="5629" width="5" style="37" customWidth="1"/>
    <col min="5630" max="5630" width="20.5546875" style="37" customWidth="1"/>
    <col min="5631" max="5631" width="15.6640625" style="37" customWidth="1"/>
    <col min="5632" max="5632" width="4.5546875" style="37" customWidth="1"/>
    <col min="5633" max="5633" width="5" style="37" customWidth="1"/>
    <col min="5634" max="5634" width="20.109375" style="37" customWidth="1"/>
    <col min="5635" max="5635" width="7" style="37" customWidth="1"/>
    <col min="5636" max="5636" width="15.88671875" style="37" customWidth="1"/>
    <col min="5637" max="5637" width="12.6640625" style="37" customWidth="1"/>
    <col min="5638" max="5638" width="8.5546875" style="37" customWidth="1"/>
    <col min="5639" max="5639" width="11" style="37" customWidth="1"/>
    <col min="5640" max="5640" width="9.5546875" style="37" customWidth="1"/>
    <col min="5641" max="5641" width="10.88671875" style="37" customWidth="1"/>
    <col min="5642" max="5642" width="7.6640625" style="37" customWidth="1"/>
    <col min="5643" max="5643" width="9.6640625" style="37" customWidth="1"/>
    <col min="5644" max="5644" width="9.33203125" style="37" customWidth="1"/>
    <col min="5645" max="5645" width="16.33203125" style="37" customWidth="1"/>
    <col min="5646" max="5675" width="9.109375" style="37" customWidth="1"/>
    <col min="5676" max="5883" width="3.44140625" style="37"/>
    <col min="5884" max="5884" width="3.44140625" style="37" customWidth="1"/>
    <col min="5885" max="5885" width="5" style="37" customWidth="1"/>
    <col min="5886" max="5886" width="20.5546875" style="37" customWidth="1"/>
    <col min="5887" max="5887" width="15.6640625" style="37" customWidth="1"/>
    <col min="5888" max="5888" width="4.5546875" style="37" customWidth="1"/>
    <col min="5889" max="5889" width="5" style="37" customWidth="1"/>
    <col min="5890" max="5890" width="20.109375" style="37" customWidth="1"/>
    <col min="5891" max="5891" width="7" style="37" customWidth="1"/>
    <col min="5892" max="5892" width="15.88671875" style="37" customWidth="1"/>
    <col min="5893" max="5893" width="12.6640625" style="37" customWidth="1"/>
    <col min="5894" max="5894" width="8.5546875" style="37" customWidth="1"/>
    <col min="5895" max="5895" width="11" style="37" customWidth="1"/>
    <col min="5896" max="5896" width="9.5546875" style="37" customWidth="1"/>
    <col min="5897" max="5897" width="10.88671875" style="37" customWidth="1"/>
    <col min="5898" max="5898" width="7.6640625" style="37" customWidth="1"/>
    <col min="5899" max="5899" width="9.6640625" style="37" customWidth="1"/>
    <col min="5900" max="5900" width="9.33203125" style="37" customWidth="1"/>
    <col min="5901" max="5901" width="16.33203125" style="37" customWidth="1"/>
    <col min="5902" max="5931" width="9.109375" style="37" customWidth="1"/>
    <col min="5932" max="6139" width="3.44140625" style="37"/>
    <col min="6140" max="6140" width="3.44140625" style="37" customWidth="1"/>
    <col min="6141" max="6141" width="5" style="37" customWidth="1"/>
    <col min="6142" max="6142" width="20.5546875" style="37" customWidth="1"/>
    <col min="6143" max="6143" width="15.6640625" style="37" customWidth="1"/>
    <col min="6144" max="6144" width="4.5546875" style="37" customWidth="1"/>
    <col min="6145" max="6145" width="5" style="37" customWidth="1"/>
    <col min="6146" max="6146" width="20.109375" style="37" customWidth="1"/>
    <col min="6147" max="6147" width="7" style="37" customWidth="1"/>
    <col min="6148" max="6148" width="15.88671875" style="37" customWidth="1"/>
    <col min="6149" max="6149" width="12.6640625" style="37" customWidth="1"/>
    <col min="6150" max="6150" width="8.5546875" style="37" customWidth="1"/>
    <col min="6151" max="6151" width="11" style="37" customWidth="1"/>
    <col min="6152" max="6152" width="9.5546875" style="37" customWidth="1"/>
    <col min="6153" max="6153" width="10.88671875" style="37" customWidth="1"/>
    <col min="6154" max="6154" width="7.6640625" style="37" customWidth="1"/>
    <col min="6155" max="6155" width="9.6640625" style="37" customWidth="1"/>
    <col min="6156" max="6156" width="9.33203125" style="37" customWidth="1"/>
    <col min="6157" max="6157" width="16.33203125" style="37" customWidth="1"/>
    <col min="6158" max="6187" width="9.109375" style="37" customWidth="1"/>
    <col min="6188" max="6395" width="3.44140625" style="37"/>
    <col min="6396" max="6396" width="3.44140625" style="37" customWidth="1"/>
    <col min="6397" max="6397" width="5" style="37" customWidth="1"/>
    <col min="6398" max="6398" width="20.5546875" style="37" customWidth="1"/>
    <col min="6399" max="6399" width="15.6640625" style="37" customWidth="1"/>
    <col min="6400" max="6400" width="4.5546875" style="37" customWidth="1"/>
    <col min="6401" max="6401" width="5" style="37" customWidth="1"/>
    <col min="6402" max="6402" width="20.109375" style="37" customWidth="1"/>
    <col min="6403" max="6403" width="7" style="37" customWidth="1"/>
    <col min="6404" max="6404" width="15.88671875" style="37" customWidth="1"/>
    <col min="6405" max="6405" width="12.6640625" style="37" customWidth="1"/>
    <col min="6406" max="6406" width="8.5546875" style="37" customWidth="1"/>
    <col min="6407" max="6407" width="11" style="37" customWidth="1"/>
    <col min="6408" max="6408" width="9.5546875" style="37" customWidth="1"/>
    <col min="6409" max="6409" width="10.88671875" style="37" customWidth="1"/>
    <col min="6410" max="6410" width="7.6640625" style="37" customWidth="1"/>
    <col min="6411" max="6411" width="9.6640625" style="37" customWidth="1"/>
    <col min="6412" max="6412" width="9.33203125" style="37" customWidth="1"/>
    <col min="6413" max="6413" width="16.33203125" style="37" customWidth="1"/>
    <col min="6414" max="6443" width="9.109375" style="37" customWidth="1"/>
    <col min="6444" max="6651" width="3.44140625" style="37"/>
    <col min="6652" max="6652" width="3.44140625" style="37" customWidth="1"/>
    <col min="6653" max="6653" width="5" style="37" customWidth="1"/>
    <col min="6654" max="6654" width="20.5546875" style="37" customWidth="1"/>
    <col min="6655" max="6655" width="15.6640625" style="37" customWidth="1"/>
    <col min="6656" max="6656" width="4.5546875" style="37" customWidth="1"/>
    <col min="6657" max="6657" width="5" style="37" customWidth="1"/>
    <col min="6658" max="6658" width="20.109375" style="37" customWidth="1"/>
    <col min="6659" max="6659" width="7" style="37" customWidth="1"/>
    <col min="6660" max="6660" width="15.88671875" style="37" customWidth="1"/>
    <col min="6661" max="6661" width="12.6640625" style="37" customWidth="1"/>
    <col min="6662" max="6662" width="8.5546875" style="37" customWidth="1"/>
    <col min="6663" max="6663" width="11" style="37" customWidth="1"/>
    <col min="6664" max="6664" width="9.5546875" style="37" customWidth="1"/>
    <col min="6665" max="6665" width="10.88671875" style="37" customWidth="1"/>
    <col min="6666" max="6666" width="7.6640625" style="37" customWidth="1"/>
    <col min="6667" max="6667" width="9.6640625" style="37" customWidth="1"/>
    <col min="6668" max="6668" width="9.33203125" style="37" customWidth="1"/>
    <col min="6669" max="6669" width="16.33203125" style="37" customWidth="1"/>
    <col min="6670" max="6699" width="9.109375" style="37" customWidth="1"/>
    <col min="6700" max="6907" width="3.44140625" style="37"/>
    <col min="6908" max="6908" width="3.44140625" style="37" customWidth="1"/>
    <col min="6909" max="6909" width="5" style="37" customWidth="1"/>
    <col min="6910" max="6910" width="20.5546875" style="37" customWidth="1"/>
    <col min="6911" max="6911" width="15.6640625" style="37" customWidth="1"/>
    <col min="6912" max="6912" width="4.5546875" style="37" customWidth="1"/>
    <col min="6913" max="6913" width="5" style="37" customWidth="1"/>
    <col min="6914" max="6914" width="20.109375" style="37" customWidth="1"/>
    <col min="6915" max="6915" width="7" style="37" customWidth="1"/>
    <col min="6916" max="6916" width="15.88671875" style="37" customWidth="1"/>
    <col min="6917" max="6917" width="12.6640625" style="37" customWidth="1"/>
    <col min="6918" max="6918" width="8.5546875" style="37" customWidth="1"/>
    <col min="6919" max="6919" width="11" style="37" customWidth="1"/>
    <col min="6920" max="6920" width="9.5546875" style="37" customWidth="1"/>
    <col min="6921" max="6921" width="10.88671875" style="37" customWidth="1"/>
    <col min="6922" max="6922" width="7.6640625" style="37" customWidth="1"/>
    <col min="6923" max="6923" width="9.6640625" style="37" customWidth="1"/>
    <col min="6924" max="6924" width="9.33203125" style="37" customWidth="1"/>
    <col min="6925" max="6925" width="16.33203125" style="37" customWidth="1"/>
    <col min="6926" max="6955" width="9.109375" style="37" customWidth="1"/>
    <col min="6956" max="7163" width="3.44140625" style="37"/>
    <col min="7164" max="7164" width="3.44140625" style="37" customWidth="1"/>
    <col min="7165" max="7165" width="5" style="37" customWidth="1"/>
    <col min="7166" max="7166" width="20.5546875" style="37" customWidth="1"/>
    <col min="7167" max="7167" width="15.6640625" style="37" customWidth="1"/>
    <col min="7168" max="7168" width="4.5546875" style="37" customWidth="1"/>
    <col min="7169" max="7169" width="5" style="37" customWidth="1"/>
    <col min="7170" max="7170" width="20.109375" style="37" customWidth="1"/>
    <col min="7171" max="7171" width="7" style="37" customWidth="1"/>
    <col min="7172" max="7172" width="15.88671875" style="37" customWidth="1"/>
    <col min="7173" max="7173" width="12.6640625" style="37" customWidth="1"/>
    <col min="7174" max="7174" width="8.5546875" style="37" customWidth="1"/>
    <col min="7175" max="7175" width="11" style="37" customWidth="1"/>
    <col min="7176" max="7176" width="9.5546875" style="37" customWidth="1"/>
    <col min="7177" max="7177" width="10.88671875" style="37" customWidth="1"/>
    <col min="7178" max="7178" width="7.6640625" style="37" customWidth="1"/>
    <col min="7179" max="7179" width="9.6640625" style="37" customWidth="1"/>
    <col min="7180" max="7180" width="9.33203125" style="37" customWidth="1"/>
    <col min="7181" max="7181" width="16.33203125" style="37" customWidth="1"/>
    <col min="7182" max="7211" width="9.109375" style="37" customWidth="1"/>
    <col min="7212" max="7419" width="3.44140625" style="37"/>
    <col min="7420" max="7420" width="3.44140625" style="37" customWidth="1"/>
    <col min="7421" max="7421" width="5" style="37" customWidth="1"/>
    <col min="7422" max="7422" width="20.5546875" style="37" customWidth="1"/>
    <col min="7423" max="7423" width="15.6640625" style="37" customWidth="1"/>
    <col min="7424" max="7424" width="4.5546875" style="37" customWidth="1"/>
    <col min="7425" max="7425" width="5" style="37" customWidth="1"/>
    <col min="7426" max="7426" width="20.109375" style="37" customWidth="1"/>
    <col min="7427" max="7427" width="7" style="37" customWidth="1"/>
    <col min="7428" max="7428" width="15.88671875" style="37" customWidth="1"/>
    <col min="7429" max="7429" width="12.6640625" style="37" customWidth="1"/>
    <col min="7430" max="7430" width="8.5546875" style="37" customWidth="1"/>
    <col min="7431" max="7431" width="11" style="37" customWidth="1"/>
    <col min="7432" max="7432" width="9.5546875" style="37" customWidth="1"/>
    <col min="7433" max="7433" width="10.88671875" style="37" customWidth="1"/>
    <col min="7434" max="7434" width="7.6640625" style="37" customWidth="1"/>
    <col min="7435" max="7435" width="9.6640625" style="37" customWidth="1"/>
    <col min="7436" max="7436" width="9.33203125" style="37" customWidth="1"/>
    <col min="7437" max="7437" width="16.33203125" style="37" customWidth="1"/>
    <col min="7438" max="7467" width="9.109375" style="37" customWidth="1"/>
    <col min="7468" max="7675" width="3.44140625" style="37"/>
    <col min="7676" max="7676" width="3.44140625" style="37" customWidth="1"/>
    <col min="7677" max="7677" width="5" style="37" customWidth="1"/>
    <col min="7678" max="7678" width="20.5546875" style="37" customWidth="1"/>
    <col min="7679" max="7679" width="15.6640625" style="37" customWidth="1"/>
    <col min="7680" max="7680" width="4.5546875" style="37" customWidth="1"/>
    <col min="7681" max="7681" width="5" style="37" customWidth="1"/>
    <col min="7682" max="7682" width="20.109375" style="37" customWidth="1"/>
    <col min="7683" max="7683" width="7" style="37" customWidth="1"/>
    <col min="7684" max="7684" width="15.88671875" style="37" customWidth="1"/>
    <col min="7685" max="7685" width="12.6640625" style="37" customWidth="1"/>
    <col min="7686" max="7686" width="8.5546875" style="37" customWidth="1"/>
    <col min="7687" max="7687" width="11" style="37" customWidth="1"/>
    <col min="7688" max="7688" width="9.5546875" style="37" customWidth="1"/>
    <col min="7689" max="7689" width="10.88671875" style="37" customWidth="1"/>
    <col min="7690" max="7690" width="7.6640625" style="37" customWidth="1"/>
    <col min="7691" max="7691" width="9.6640625" style="37" customWidth="1"/>
    <col min="7692" max="7692" width="9.33203125" style="37" customWidth="1"/>
    <col min="7693" max="7693" width="16.33203125" style="37" customWidth="1"/>
    <col min="7694" max="7723" width="9.109375" style="37" customWidth="1"/>
    <col min="7724" max="7931" width="3.44140625" style="37"/>
    <col min="7932" max="7932" width="3.44140625" style="37" customWidth="1"/>
    <col min="7933" max="7933" width="5" style="37" customWidth="1"/>
    <col min="7934" max="7934" width="20.5546875" style="37" customWidth="1"/>
    <col min="7935" max="7935" width="15.6640625" style="37" customWidth="1"/>
    <col min="7936" max="7936" width="4.5546875" style="37" customWidth="1"/>
    <col min="7937" max="7937" width="5" style="37" customWidth="1"/>
    <col min="7938" max="7938" width="20.109375" style="37" customWidth="1"/>
    <col min="7939" max="7939" width="7" style="37" customWidth="1"/>
    <col min="7940" max="7940" width="15.88671875" style="37" customWidth="1"/>
    <col min="7941" max="7941" width="12.6640625" style="37" customWidth="1"/>
    <col min="7942" max="7942" width="8.5546875" style="37" customWidth="1"/>
    <col min="7943" max="7943" width="11" style="37" customWidth="1"/>
    <col min="7944" max="7944" width="9.5546875" style="37" customWidth="1"/>
    <col min="7945" max="7945" width="10.88671875" style="37" customWidth="1"/>
    <col min="7946" max="7946" width="7.6640625" style="37" customWidth="1"/>
    <col min="7947" max="7947" width="9.6640625" style="37" customWidth="1"/>
    <col min="7948" max="7948" width="9.33203125" style="37" customWidth="1"/>
    <col min="7949" max="7949" width="16.33203125" style="37" customWidth="1"/>
    <col min="7950" max="7979" width="9.109375" style="37" customWidth="1"/>
    <col min="7980" max="8187" width="3.44140625" style="37"/>
    <col min="8188" max="8188" width="3.44140625" style="37" customWidth="1"/>
    <col min="8189" max="8189" width="5" style="37" customWidth="1"/>
    <col min="8190" max="8190" width="20.5546875" style="37" customWidth="1"/>
    <col min="8191" max="8191" width="15.6640625" style="37" customWidth="1"/>
    <col min="8192" max="8192" width="4.5546875" style="37" customWidth="1"/>
    <col min="8193" max="8193" width="5" style="37" customWidth="1"/>
    <col min="8194" max="8194" width="20.109375" style="37" customWidth="1"/>
    <col min="8195" max="8195" width="7" style="37" customWidth="1"/>
    <col min="8196" max="8196" width="15.88671875" style="37" customWidth="1"/>
    <col min="8197" max="8197" width="12.6640625" style="37" customWidth="1"/>
    <col min="8198" max="8198" width="8.5546875" style="37" customWidth="1"/>
    <col min="8199" max="8199" width="11" style="37" customWidth="1"/>
    <col min="8200" max="8200" width="9.5546875" style="37" customWidth="1"/>
    <col min="8201" max="8201" width="10.88671875" style="37" customWidth="1"/>
    <col min="8202" max="8202" width="7.6640625" style="37" customWidth="1"/>
    <col min="8203" max="8203" width="9.6640625" style="37" customWidth="1"/>
    <col min="8204" max="8204" width="9.33203125" style="37" customWidth="1"/>
    <col min="8205" max="8205" width="16.33203125" style="37" customWidth="1"/>
    <col min="8206" max="8235" width="9.109375" style="37" customWidth="1"/>
    <col min="8236" max="8443" width="3.44140625" style="37"/>
    <col min="8444" max="8444" width="3.44140625" style="37" customWidth="1"/>
    <col min="8445" max="8445" width="5" style="37" customWidth="1"/>
    <col min="8446" max="8446" width="20.5546875" style="37" customWidth="1"/>
    <col min="8447" max="8447" width="15.6640625" style="37" customWidth="1"/>
    <col min="8448" max="8448" width="4.5546875" style="37" customWidth="1"/>
    <col min="8449" max="8449" width="5" style="37" customWidth="1"/>
    <col min="8450" max="8450" width="20.109375" style="37" customWidth="1"/>
    <col min="8451" max="8451" width="7" style="37" customWidth="1"/>
    <col min="8452" max="8452" width="15.88671875" style="37" customWidth="1"/>
    <col min="8453" max="8453" width="12.6640625" style="37" customWidth="1"/>
    <col min="8454" max="8454" width="8.5546875" style="37" customWidth="1"/>
    <col min="8455" max="8455" width="11" style="37" customWidth="1"/>
    <col min="8456" max="8456" width="9.5546875" style="37" customWidth="1"/>
    <col min="8457" max="8457" width="10.88671875" style="37" customWidth="1"/>
    <col min="8458" max="8458" width="7.6640625" style="37" customWidth="1"/>
    <col min="8459" max="8459" width="9.6640625" style="37" customWidth="1"/>
    <col min="8460" max="8460" width="9.33203125" style="37" customWidth="1"/>
    <col min="8461" max="8461" width="16.33203125" style="37" customWidth="1"/>
    <col min="8462" max="8491" width="9.109375" style="37" customWidth="1"/>
    <col min="8492" max="8699" width="3.44140625" style="37"/>
    <col min="8700" max="8700" width="3.44140625" style="37" customWidth="1"/>
    <col min="8701" max="8701" width="5" style="37" customWidth="1"/>
    <col min="8702" max="8702" width="20.5546875" style="37" customWidth="1"/>
    <col min="8703" max="8703" width="15.6640625" style="37" customWidth="1"/>
    <col min="8704" max="8704" width="4.5546875" style="37" customWidth="1"/>
    <col min="8705" max="8705" width="5" style="37" customWidth="1"/>
    <col min="8706" max="8706" width="20.109375" style="37" customWidth="1"/>
    <col min="8707" max="8707" width="7" style="37" customWidth="1"/>
    <col min="8708" max="8708" width="15.88671875" style="37" customWidth="1"/>
    <col min="8709" max="8709" width="12.6640625" style="37" customWidth="1"/>
    <col min="8710" max="8710" width="8.5546875" style="37" customWidth="1"/>
    <col min="8711" max="8711" width="11" style="37" customWidth="1"/>
    <col min="8712" max="8712" width="9.5546875" style="37" customWidth="1"/>
    <col min="8713" max="8713" width="10.88671875" style="37" customWidth="1"/>
    <col min="8714" max="8714" width="7.6640625" style="37" customWidth="1"/>
    <col min="8715" max="8715" width="9.6640625" style="37" customWidth="1"/>
    <col min="8716" max="8716" width="9.33203125" style="37" customWidth="1"/>
    <col min="8717" max="8717" width="16.33203125" style="37" customWidth="1"/>
    <col min="8718" max="8747" width="9.109375" style="37" customWidth="1"/>
    <col min="8748" max="8955" width="3.44140625" style="37"/>
    <col min="8956" max="8956" width="3.44140625" style="37" customWidth="1"/>
    <col min="8957" max="8957" width="5" style="37" customWidth="1"/>
    <col min="8958" max="8958" width="20.5546875" style="37" customWidth="1"/>
    <col min="8959" max="8959" width="15.6640625" style="37" customWidth="1"/>
    <col min="8960" max="8960" width="4.5546875" style="37" customWidth="1"/>
    <col min="8961" max="8961" width="5" style="37" customWidth="1"/>
    <col min="8962" max="8962" width="20.109375" style="37" customWidth="1"/>
    <col min="8963" max="8963" width="7" style="37" customWidth="1"/>
    <col min="8964" max="8964" width="15.88671875" style="37" customWidth="1"/>
    <col min="8965" max="8965" width="12.6640625" style="37" customWidth="1"/>
    <col min="8966" max="8966" width="8.5546875" style="37" customWidth="1"/>
    <col min="8967" max="8967" width="11" style="37" customWidth="1"/>
    <col min="8968" max="8968" width="9.5546875" style="37" customWidth="1"/>
    <col min="8969" max="8969" width="10.88671875" style="37" customWidth="1"/>
    <col min="8970" max="8970" width="7.6640625" style="37" customWidth="1"/>
    <col min="8971" max="8971" width="9.6640625" style="37" customWidth="1"/>
    <col min="8972" max="8972" width="9.33203125" style="37" customWidth="1"/>
    <col min="8973" max="8973" width="16.33203125" style="37" customWidth="1"/>
    <col min="8974" max="9003" width="9.109375" style="37" customWidth="1"/>
    <col min="9004" max="9211" width="3.44140625" style="37"/>
    <col min="9212" max="9212" width="3.44140625" style="37" customWidth="1"/>
    <col min="9213" max="9213" width="5" style="37" customWidth="1"/>
    <col min="9214" max="9214" width="20.5546875" style="37" customWidth="1"/>
    <col min="9215" max="9215" width="15.6640625" style="37" customWidth="1"/>
    <col min="9216" max="9216" width="4.5546875" style="37" customWidth="1"/>
    <col min="9217" max="9217" width="5" style="37" customWidth="1"/>
    <col min="9218" max="9218" width="20.109375" style="37" customWidth="1"/>
    <col min="9219" max="9219" width="7" style="37" customWidth="1"/>
    <col min="9220" max="9220" width="15.88671875" style="37" customWidth="1"/>
    <col min="9221" max="9221" width="12.6640625" style="37" customWidth="1"/>
    <col min="9222" max="9222" width="8.5546875" style="37" customWidth="1"/>
    <col min="9223" max="9223" width="11" style="37" customWidth="1"/>
    <col min="9224" max="9224" width="9.5546875" style="37" customWidth="1"/>
    <col min="9225" max="9225" width="10.88671875" style="37" customWidth="1"/>
    <col min="9226" max="9226" width="7.6640625" style="37" customWidth="1"/>
    <col min="9227" max="9227" width="9.6640625" style="37" customWidth="1"/>
    <col min="9228" max="9228" width="9.33203125" style="37" customWidth="1"/>
    <col min="9229" max="9229" width="16.33203125" style="37" customWidth="1"/>
    <col min="9230" max="9259" width="9.109375" style="37" customWidth="1"/>
    <col min="9260" max="9467" width="3.44140625" style="37"/>
    <col min="9468" max="9468" width="3.44140625" style="37" customWidth="1"/>
    <col min="9469" max="9469" width="5" style="37" customWidth="1"/>
    <col min="9470" max="9470" width="20.5546875" style="37" customWidth="1"/>
    <col min="9471" max="9471" width="15.6640625" style="37" customWidth="1"/>
    <col min="9472" max="9472" width="4.5546875" style="37" customWidth="1"/>
    <col min="9473" max="9473" width="5" style="37" customWidth="1"/>
    <col min="9474" max="9474" width="20.109375" style="37" customWidth="1"/>
    <col min="9475" max="9475" width="7" style="37" customWidth="1"/>
    <col min="9476" max="9476" width="15.88671875" style="37" customWidth="1"/>
    <col min="9477" max="9477" width="12.6640625" style="37" customWidth="1"/>
    <col min="9478" max="9478" width="8.5546875" style="37" customWidth="1"/>
    <col min="9479" max="9479" width="11" style="37" customWidth="1"/>
    <col min="9480" max="9480" width="9.5546875" style="37" customWidth="1"/>
    <col min="9481" max="9481" width="10.88671875" style="37" customWidth="1"/>
    <col min="9482" max="9482" width="7.6640625" style="37" customWidth="1"/>
    <col min="9483" max="9483" width="9.6640625" style="37" customWidth="1"/>
    <col min="9484" max="9484" width="9.33203125" style="37" customWidth="1"/>
    <col min="9485" max="9485" width="16.33203125" style="37" customWidth="1"/>
    <col min="9486" max="9515" width="9.109375" style="37" customWidth="1"/>
    <col min="9516" max="9723" width="3.44140625" style="37"/>
    <col min="9724" max="9724" width="3.44140625" style="37" customWidth="1"/>
    <col min="9725" max="9725" width="5" style="37" customWidth="1"/>
    <col min="9726" max="9726" width="20.5546875" style="37" customWidth="1"/>
    <col min="9727" max="9727" width="15.6640625" style="37" customWidth="1"/>
    <col min="9728" max="9728" width="4.5546875" style="37" customWidth="1"/>
    <col min="9729" max="9729" width="5" style="37" customWidth="1"/>
    <col min="9730" max="9730" width="20.109375" style="37" customWidth="1"/>
    <col min="9731" max="9731" width="7" style="37" customWidth="1"/>
    <col min="9732" max="9732" width="15.88671875" style="37" customWidth="1"/>
    <col min="9733" max="9733" width="12.6640625" style="37" customWidth="1"/>
    <col min="9734" max="9734" width="8.5546875" style="37" customWidth="1"/>
    <col min="9735" max="9735" width="11" style="37" customWidth="1"/>
    <col min="9736" max="9736" width="9.5546875" style="37" customWidth="1"/>
    <col min="9737" max="9737" width="10.88671875" style="37" customWidth="1"/>
    <col min="9738" max="9738" width="7.6640625" style="37" customWidth="1"/>
    <col min="9739" max="9739" width="9.6640625" style="37" customWidth="1"/>
    <col min="9740" max="9740" width="9.33203125" style="37" customWidth="1"/>
    <col min="9741" max="9741" width="16.33203125" style="37" customWidth="1"/>
    <col min="9742" max="9771" width="9.109375" style="37" customWidth="1"/>
    <col min="9772" max="9979" width="3.44140625" style="37"/>
    <col min="9980" max="9980" width="3.44140625" style="37" customWidth="1"/>
    <col min="9981" max="9981" width="5" style="37" customWidth="1"/>
    <col min="9982" max="9982" width="20.5546875" style="37" customWidth="1"/>
    <col min="9983" max="9983" width="15.6640625" style="37" customWidth="1"/>
    <col min="9984" max="9984" width="4.5546875" style="37" customWidth="1"/>
    <col min="9985" max="9985" width="5" style="37" customWidth="1"/>
    <col min="9986" max="9986" width="20.109375" style="37" customWidth="1"/>
    <col min="9987" max="9987" width="7" style="37" customWidth="1"/>
    <col min="9988" max="9988" width="15.88671875" style="37" customWidth="1"/>
    <col min="9989" max="9989" width="12.6640625" style="37" customWidth="1"/>
    <col min="9990" max="9990" width="8.5546875" style="37" customWidth="1"/>
    <col min="9991" max="9991" width="11" style="37" customWidth="1"/>
    <col min="9992" max="9992" width="9.5546875" style="37" customWidth="1"/>
    <col min="9993" max="9993" width="10.88671875" style="37" customWidth="1"/>
    <col min="9994" max="9994" width="7.6640625" style="37" customWidth="1"/>
    <col min="9995" max="9995" width="9.6640625" style="37" customWidth="1"/>
    <col min="9996" max="9996" width="9.33203125" style="37" customWidth="1"/>
    <col min="9997" max="9997" width="16.33203125" style="37" customWidth="1"/>
    <col min="9998" max="10027" width="9.109375" style="37" customWidth="1"/>
    <col min="10028" max="10235" width="3.44140625" style="37"/>
    <col min="10236" max="10236" width="3.44140625" style="37" customWidth="1"/>
    <col min="10237" max="10237" width="5" style="37" customWidth="1"/>
    <col min="10238" max="10238" width="20.5546875" style="37" customWidth="1"/>
    <col min="10239" max="10239" width="15.6640625" style="37" customWidth="1"/>
    <col min="10240" max="10240" width="4.5546875" style="37" customWidth="1"/>
    <col min="10241" max="10241" width="5" style="37" customWidth="1"/>
    <col min="10242" max="10242" width="20.109375" style="37" customWidth="1"/>
    <col min="10243" max="10243" width="7" style="37" customWidth="1"/>
    <col min="10244" max="10244" width="15.88671875" style="37" customWidth="1"/>
    <col min="10245" max="10245" width="12.6640625" style="37" customWidth="1"/>
    <col min="10246" max="10246" width="8.5546875" style="37" customWidth="1"/>
    <col min="10247" max="10247" width="11" style="37" customWidth="1"/>
    <col min="10248" max="10248" width="9.5546875" style="37" customWidth="1"/>
    <col min="10249" max="10249" width="10.88671875" style="37" customWidth="1"/>
    <col min="10250" max="10250" width="7.6640625" style="37" customWidth="1"/>
    <col min="10251" max="10251" width="9.6640625" style="37" customWidth="1"/>
    <col min="10252" max="10252" width="9.33203125" style="37" customWidth="1"/>
    <col min="10253" max="10253" width="16.33203125" style="37" customWidth="1"/>
    <col min="10254" max="10283" width="9.109375" style="37" customWidth="1"/>
    <col min="10284" max="10491" width="3.44140625" style="37"/>
    <col min="10492" max="10492" width="3.44140625" style="37" customWidth="1"/>
    <col min="10493" max="10493" width="5" style="37" customWidth="1"/>
    <col min="10494" max="10494" width="20.5546875" style="37" customWidth="1"/>
    <col min="10495" max="10495" width="15.6640625" style="37" customWidth="1"/>
    <col min="10496" max="10496" width="4.5546875" style="37" customWidth="1"/>
    <col min="10497" max="10497" width="5" style="37" customWidth="1"/>
    <col min="10498" max="10498" width="20.109375" style="37" customWidth="1"/>
    <col min="10499" max="10499" width="7" style="37" customWidth="1"/>
    <col min="10500" max="10500" width="15.88671875" style="37" customWidth="1"/>
    <col min="10501" max="10501" width="12.6640625" style="37" customWidth="1"/>
    <col min="10502" max="10502" width="8.5546875" style="37" customWidth="1"/>
    <col min="10503" max="10503" width="11" style="37" customWidth="1"/>
    <col min="10504" max="10504" width="9.5546875" style="37" customWidth="1"/>
    <col min="10505" max="10505" width="10.88671875" style="37" customWidth="1"/>
    <col min="10506" max="10506" width="7.6640625" style="37" customWidth="1"/>
    <col min="10507" max="10507" width="9.6640625" style="37" customWidth="1"/>
    <col min="10508" max="10508" width="9.33203125" style="37" customWidth="1"/>
    <col min="10509" max="10509" width="16.33203125" style="37" customWidth="1"/>
    <col min="10510" max="10539" width="9.109375" style="37" customWidth="1"/>
    <col min="10540" max="10747" width="3.44140625" style="37"/>
    <col min="10748" max="10748" width="3.44140625" style="37" customWidth="1"/>
    <col min="10749" max="10749" width="5" style="37" customWidth="1"/>
    <col min="10750" max="10750" width="20.5546875" style="37" customWidth="1"/>
    <col min="10751" max="10751" width="15.6640625" style="37" customWidth="1"/>
    <col min="10752" max="10752" width="4.5546875" style="37" customWidth="1"/>
    <col min="10753" max="10753" width="5" style="37" customWidth="1"/>
    <col min="10754" max="10754" width="20.109375" style="37" customWidth="1"/>
    <col min="10755" max="10755" width="7" style="37" customWidth="1"/>
    <col min="10756" max="10756" width="15.88671875" style="37" customWidth="1"/>
    <col min="10757" max="10757" width="12.6640625" style="37" customWidth="1"/>
    <col min="10758" max="10758" width="8.5546875" style="37" customWidth="1"/>
    <col min="10759" max="10759" width="11" style="37" customWidth="1"/>
    <col min="10760" max="10760" width="9.5546875" style="37" customWidth="1"/>
    <col min="10761" max="10761" width="10.88671875" style="37" customWidth="1"/>
    <col min="10762" max="10762" width="7.6640625" style="37" customWidth="1"/>
    <col min="10763" max="10763" width="9.6640625" style="37" customWidth="1"/>
    <col min="10764" max="10764" width="9.33203125" style="37" customWidth="1"/>
    <col min="10765" max="10765" width="16.33203125" style="37" customWidth="1"/>
    <col min="10766" max="10795" width="9.109375" style="37" customWidth="1"/>
    <col min="10796" max="11003" width="3.44140625" style="37"/>
    <col min="11004" max="11004" width="3.44140625" style="37" customWidth="1"/>
    <col min="11005" max="11005" width="5" style="37" customWidth="1"/>
    <col min="11006" max="11006" width="20.5546875" style="37" customWidth="1"/>
    <col min="11007" max="11007" width="15.6640625" style="37" customWidth="1"/>
    <col min="11008" max="11008" width="4.5546875" style="37" customWidth="1"/>
    <col min="11009" max="11009" width="5" style="37" customWidth="1"/>
    <col min="11010" max="11010" width="20.109375" style="37" customWidth="1"/>
    <col min="11011" max="11011" width="7" style="37" customWidth="1"/>
    <col min="11012" max="11012" width="15.88671875" style="37" customWidth="1"/>
    <col min="11013" max="11013" width="12.6640625" style="37" customWidth="1"/>
    <col min="11014" max="11014" width="8.5546875" style="37" customWidth="1"/>
    <col min="11015" max="11015" width="11" style="37" customWidth="1"/>
    <col min="11016" max="11016" width="9.5546875" style="37" customWidth="1"/>
    <col min="11017" max="11017" width="10.88671875" style="37" customWidth="1"/>
    <col min="11018" max="11018" width="7.6640625" style="37" customWidth="1"/>
    <col min="11019" max="11019" width="9.6640625" style="37" customWidth="1"/>
    <col min="11020" max="11020" width="9.33203125" style="37" customWidth="1"/>
    <col min="11021" max="11021" width="16.33203125" style="37" customWidth="1"/>
    <col min="11022" max="11051" width="9.109375" style="37" customWidth="1"/>
    <col min="11052" max="11259" width="3.44140625" style="37"/>
    <col min="11260" max="11260" width="3.44140625" style="37" customWidth="1"/>
    <col min="11261" max="11261" width="5" style="37" customWidth="1"/>
    <col min="11262" max="11262" width="20.5546875" style="37" customWidth="1"/>
    <col min="11263" max="11263" width="15.6640625" style="37" customWidth="1"/>
    <col min="11264" max="11264" width="4.5546875" style="37" customWidth="1"/>
    <col min="11265" max="11265" width="5" style="37" customWidth="1"/>
    <col min="11266" max="11266" width="20.109375" style="37" customWidth="1"/>
    <col min="11267" max="11267" width="7" style="37" customWidth="1"/>
    <col min="11268" max="11268" width="15.88671875" style="37" customWidth="1"/>
    <col min="11269" max="11269" width="12.6640625" style="37" customWidth="1"/>
    <col min="11270" max="11270" width="8.5546875" style="37" customWidth="1"/>
    <col min="11271" max="11271" width="11" style="37" customWidth="1"/>
    <col min="11272" max="11272" width="9.5546875" style="37" customWidth="1"/>
    <col min="11273" max="11273" width="10.88671875" style="37" customWidth="1"/>
    <col min="11274" max="11274" width="7.6640625" style="37" customWidth="1"/>
    <col min="11275" max="11275" width="9.6640625" style="37" customWidth="1"/>
    <col min="11276" max="11276" width="9.33203125" style="37" customWidth="1"/>
    <col min="11277" max="11277" width="16.33203125" style="37" customWidth="1"/>
    <col min="11278" max="11307" width="9.109375" style="37" customWidth="1"/>
    <col min="11308" max="11515" width="3.44140625" style="37"/>
    <col min="11516" max="11516" width="3.44140625" style="37" customWidth="1"/>
    <col min="11517" max="11517" width="5" style="37" customWidth="1"/>
    <col min="11518" max="11518" width="20.5546875" style="37" customWidth="1"/>
    <col min="11519" max="11519" width="15.6640625" style="37" customWidth="1"/>
    <col min="11520" max="11520" width="4.5546875" style="37" customWidth="1"/>
    <col min="11521" max="11521" width="5" style="37" customWidth="1"/>
    <col min="11522" max="11522" width="20.109375" style="37" customWidth="1"/>
    <col min="11523" max="11523" width="7" style="37" customWidth="1"/>
    <col min="11524" max="11524" width="15.88671875" style="37" customWidth="1"/>
    <col min="11525" max="11525" width="12.6640625" style="37" customWidth="1"/>
    <col min="11526" max="11526" width="8.5546875" style="37" customWidth="1"/>
    <col min="11527" max="11527" width="11" style="37" customWidth="1"/>
    <col min="11528" max="11528" width="9.5546875" style="37" customWidth="1"/>
    <col min="11529" max="11529" width="10.88671875" style="37" customWidth="1"/>
    <col min="11530" max="11530" width="7.6640625" style="37" customWidth="1"/>
    <col min="11531" max="11531" width="9.6640625" style="37" customWidth="1"/>
    <col min="11532" max="11532" width="9.33203125" style="37" customWidth="1"/>
    <col min="11533" max="11533" width="16.33203125" style="37" customWidth="1"/>
    <col min="11534" max="11563" width="9.109375" style="37" customWidth="1"/>
    <col min="11564" max="11771" width="3.44140625" style="37"/>
    <col min="11772" max="11772" width="3.44140625" style="37" customWidth="1"/>
    <col min="11773" max="11773" width="5" style="37" customWidth="1"/>
    <col min="11774" max="11774" width="20.5546875" style="37" customWidth="1"/>
    <col min="11775" max="11775" width="15.6640625" style="37" customWidth="1"/>
    <col min="11776" max="11776" width="4.5546875" style="37" customWidth="1"/>
    <col min="11777" max="11777" width="5" style="37" customWidth="1"/>
    <col min="11778" max="11778" width="20.109375" style="37" customWidth="1"/>
    <col min="11779" max="11779" width="7" style="37" customWidth="1"/>
    <col min="11780" max="11780" width="15.88671875" style="37" customWidth="1"/>
    <col min="11781" max="11781" width="12.6640625" style="37" customWidth="1"/>
    <col min="11782" max="11782" width="8.5546875" style="37" customWidth="1"/>
    <col min="11783" max="11783" width="11" style="37" customWidth="1"/>
    <col min="11784" max="11784" width="9.5546875" style="37" customWidth="1"/>
    <col min="11785" max="11785" width="10.88671875" style="37" customWidth="1"/>
    <col min="11786" max="11786" width="7.6640625" style="37" customWidth="1"/>
    <col min="11787" max="11787" width="9.6640625" style="37" customWidth="1"/>
    <col min="11788" max="11788" width="9.33203125" style="37" customWidth="1"/>
    <col min="11789" max="11789" width="16.33203125" style="37" customWidth="1"/>
    <col min="11790" max="11819" width="9.109375" style="37" customWidth="1"/>
    <col min="11820" max="12027" width="3.44140625" style="37"/>
    <col min="12028" max="12028" width="3.44140625" style="37" customWidth="1"/>
    <col min="12029" max="12029" width="5" style="37" customWidth="1"/>
    <col min="12030" max="12030" width="20.5546875" style="37" customWidth="1"/>
    <col min="12031" max="12031" width="15.6640625" style="37" customWidth="1"/>
    <col min="12032" max="12032" width="4.5546875" style="37" customWidth="1"/>
    <col min="12033" max="12033" width="5" style="37" customWidth="1"/>
    <col min="12034" max="12034" width="20.109375" style="37" customWidth="1"/>
    <col min="12035" max="12035" width="7" style="37" customWidth="1"/>
    <col min="12036" max="12036" width="15.88671875" style="37" customWidth="1"/>
    <col min="12037" max="12037" width="12.6640625" style="37" customWidth="1"/>
    <col min="12038" max="12038" width="8.5546875" style="37" customWidth="1"/>
    <col min="12039" max="12039" width="11" style="37" customWidth="1"/>
    <col min="12040" max="12040" width="9.5546875" style="37" customWidth="1"/>
    <col min="12041" max="12041" width="10.88671875" style="37" customWidth="1"/>
    <col min="12042" max="12042" width="7.6640625" style="37" customWidth="1"/>
    <col min="12043" max="12043" width="9.6640625" style="37" customWidth="1"/>
    <col min="12044" max="12044" width="9.33203125" style="37" customWidth="1"/>
    <col min="12045" max="12045" width="16.33203125" style="37" customWidth="1"/>
    <col min="12046" max="12075" width="9.109375" style="37" customWidth="1"/>
    <col min="12076" max="12283" width="3.44140625" style="37"/>
    <col min="12284" max="12284" width="3.44140625" style="37" customWidth="1"/>
    <col min="12285" max="12285" width="5" style="37" customWidth="1"/>
    <col min="12286" max="12286" width="20.5546875" style="37" customWidth="1"/>
    <col min="12287" max="12287" width="15.6640625" style="37" customWidth="1"/>
    <col min="12288" max="12288" width="4.5546875" style="37" customWidth="1"/>
    <col min="12289" max="12289" width="5" style="37" customWidth="1"/>
    <col min="12290" max="12290" width="20.109375" style="37" customWidth="1"/>
    <col min="12291" max="12291" width="7" style="37" customWidth="1"/>
    <col min="12292" max="12292" width="15.88671875" style="37" customWidth="1"/>
    <col min="12293" max="12293" width="12.6640625" style="37" customWidth="1"/>
    <col min="12294" max="12294" width="8.5546875" style="37" customWidth="1"/>
    <col min="12295" max="12295" width="11" style="37" customWidth="1"/>
    <col min="12296" max="12296" width="9.5546875" style="37" customWidth="1"/>
    <col min="12297" max="12297" width="10.88671875" style="37" customWidth="1"/>
    <col min="12298" max="12298" width="7.6640625" style="37" customWidth="1"/>
    <col min="12299" max="12299" width="9.6640625" style="37" customWidth="1"/>
    <col min="12300" max="12300" width="9.33203125" style="37" customWidth="1"/>
    <col min="12301" max="12301" width="16.33203125" style="37" customWidth="1"/>
    <col min="12302" max="12331" width="9.109375" style="37" customWidth="1"/>
    <col min="12332" max="12539" width="3.44140625" style="37"/>
    <col min="12540" max="12540" width="3.44140625" style="37" customWidth="1"/>
    <col min="12541" max="12541" width="5" style="37" customWidth="1"/>
    <col min="12542" max="12542" width="20.5546875" style="37" customWidth="1"/>
    <col min="12543" max="12543" width="15.6640625" style="37" customWidth="1"/>
    <col min="12544" max="12544" width="4.5546875" style="37" customWidth="1"/>
    <col min="12545" max="12545" width="5" style="37" customWidth="1"/>
    <col min="12546" max="12546" width="20.109375" style="37" customWidth="1"/>
    <col min="12547" max="12547" width="7" style="37" customWidth="1"/>
    <col min="12548" max="12548" width="15.88671875" style="37" customWidth="1"/>
    <col min="12549" max="12549" width="12.6640625" style="37" customWidth="1"/>
    <col min="12550" max="12550" width="8.5546875" style="37" customWidth="1"/>
    <col min="12551" max="12551" width="11" style="37" customWidth="1"/>
    <col min="12552" max="12552" width="9.5546875" style="37" customWidth="1"/>
    <col min="12553" max="12553" width="10.88671875" style="37" customWidth="1"/>
    <col min="12554" max="12554" width="7.6640625" style="37" customWidth="1"/>
    <col min="12555" max="12555" width="9.6640625" style="37" customWidth="1"/>
    <col min="12556" max="12556" width="9.33203125" style="37" customWidth="1"/>
    <col min="12557" max="12557" width="16.33203125" style="37" customWidth="1"/>
    <col min="12558" max="12587" width="9.109375" style="37" customWidth="1"/>
    <col min="12588" max="12795" width="3.44140625" style="37"/>
    <col min="12796" max="12796" width="3.44140625" style="37" customWidth="1"/>
    <col min="12797" max="12797" width="5" style="37" customWidth="1"/>
    <col min="12798" max="12798" width="20.5546875" style="37" customWidth="1"/>
    <col min="12799" max="12799" width="15.6640625" style="37" customWidth="1"/>
    <col min="12800" max="12800" width="4.5546875" style="37" customWidth="1"/>
    <col min="12801" max="12801" width="5" style="37" customWidth="1"/>
    <col min="12802" max="12802" width="20.109375" style="37" customWidth="1"/>
    <col min="12803" max="12803" width="7" style="37" customWidth="1"/>
    <col min="12804" max="12804" width="15.88671875" style="37" customWidth="1"/>
    <col min="12805" max="12805" width="12.6640625" style="37" customWidth="1"/>
    <col min="12806" max="12806" width="8.5546875" style="37" customWidth="1"/>
    <col min="12807" max="12807" width="11" style="37" customWidth="1"/>
    <col min="12808" max="12808" width="9.5546875" style="37" customWidth="1"/>
    <col min="12809" max="12809" width="10.88671875" style="37" customWidth="1"/>
    <col min="12810" max="12810" width="7.6640625" style="37" customWidth="1"/>
    <col min="12811" max="12811" width="9.6640625" style="37" customWidth="1"/>
    <col min="12812" max="12812" width="9.33203125" style="37" customWidth="1"/>
    <col min="12813" max="12813" width="16.33203125" style="37" customWidth="1"/>
    <col min="12814" max="12843" width="9.109375" style="37" customWidth="1"/>
    <col min="12844" max="13051" width="3.44140625" style="37"/>
    <col min="13052" max="13052" width="3.44140625" style="37" customWidth="1"/>
    <col min="13053" max="13053" width="5" style="37" customWidth="1"/>
    <col min="13054" max="13054" width="20.5546875" style="37" customWidth="1"/>
    <col min="13055" max="13055" width="15.6640625" style="37" customWidth="1"/>
    <col min="13056" max="13056" width="4.5546875" style="37" customWidth="1"/>
    <col min="13057" max="13057" width="5" style="37" customWidth="1"/>
    <col min="13058" max="13058" width="20.109375" style="37" customWidth="1"/>
    <col min="13059" max="13059" width="7" style="37" customWidth="1"/>
    <col min="13060" max="13060" width="15.88671875" style="37" customWidth="1"/>
    <col min="13061" max="13061" width="12.6640625" style="37" customWidth="1"/>
    <col min="13062" max="13062" width="8.5546875" style="37" customWidth="1"/>
    <col min="13063" max="13063" width="11" style="37" customWidth="1"/>
    <col min="13064" max="13064" width="9.5546875" style="37" customWidth="1"/>
    <col min="13065" max="13065" width="10.88671875" style="37" customWidth="1"/>
    <col min="13066" max="13066" width="7.6640625" style="37" customWidth="1"/>
    <col min="13067" max="13067" width="9.6640625" style="37" customWidth="1"/>
    <col min="13068" max="13068" width="9.33203125" style="37" customWidth="1"/>
    <col min="13069" max="13069" width="16.33203125" style="37" customWidth="1"/>
    <col min="13070" max="13099" width="9.109375" style="37" customWidth="1"/>
    <col min="13100" max="13307" width="3.44140625" style="37"/>
    <col min="13308" max="13308" width="3.44140625" style="37" customWidth="1"/>
    <col min="13309" max="13309" width="5" style="37" customWidth="1"/>
    <col min="13310" max="13310" width="20.5546875" style="37" customWidth="1"/>
    <col min="13311" max="13311" width="15.6640625" style="37" customWidth="1"/>
    <col min="13312" max="13312" width="4.5546875" style="37" customWidth="1"/>
    <col min="13313" max="13313" width="5" style="37" customWidth="1"/>
    <col min="13314" max="13314" width="20.109375" style="37" customWidth="1"/>
    <col min="13315" max="13315" width="7" style="37" customWidth="1"/>
    <col min="13316" max="13316" width="15.88671875" style="37" customWidth="1"/>
    <col min="13317" max="13317" width="12.6640625" style="37" customWidth="1"/>
    <col min="13318" max="13318" width="8.5546875" style="37" customWidth="1"/>
    <col min="13319" max="13319" width="11" style="37" customWidth="1"/>
    <col min="13320" max="13320" width="9.5546875" style="37" customWidth="1"/>
    <col min="13321" max="13321" width="10.88671875" style="37" customWidth="1"/>
    <col min="13322" max="13322" width="7.6640625" style="37" customWidth="1"/>
    <col min="13323" max="13323" width="9.6640625" style="37" customWidth="1"/>
    <col min="13324" max="13324" width="9.33203125" style="37" customWidth="1"/>
    <col min="13325" max="13325" width="16.33203125" style="37" customWidth="1"/>
    <col min="13326" max="13355" width="9.109375" style="37" customWidth="1"/>
    <col min="13356" max="13563" width="3.44140625" style="37"/>
    <col min="13564" max="13564" width="3.44140625" style="37" customWidth="1"/>
    <col min="13565" max="13565" width="5" style="37" customWidth="1"/>
    <col min="13566" max="13566" width="20.5546875" style="37" customWidth="1"/>
    <col min="13567" max="13567" width="15.6640625" style="37" customWidth="1"/>
    <col min="13568" max="13568" width="4.5546875" style="37" customWidth="1"/>
    <col min="13569" max="13569" width="5" style="37" customWidth="1"/>
    <col min="13570" max="13570" width="20.109375" style="37" customWidth="1"/>
    <col min="13571" max="13571" width="7" style="37" customWidth="1"/>
    <col min="13572" max="13572" width="15.88671875" style="37" customWidth="1"/>
    <col min="13573" max="13573" width="12.6640625" style="37" customWidth="1"/>
    <col min="13574" max="13574" width="8.5546875" style="37" customWidth="1"/>
    <col min="13575" max="13575" width="11" style="37" customWidth="1"/>
    <col min="13576" max="13576" width="9.5546875" style="37" customWidth="1"/>
    <col min="13577" max="13577" width="10.88671875" style="37" customWidth="1"/>
    <col min="13578" max="13578" width="7.6640625" style="37" customWidth="1"/>
    <col min="13579" max="13579" width="9.6640625" style="37" customWidth="1"/>
    <col min="13580" max="13580" width="9.33203125" style="37" customWidth="1"/>
    <col min="13581" max="13581" width="16.33203125" style="37" customWidth="1"/>
    <col min="13582" max="13611" width="9.109375" style="37" customWidth="1"/>
    <col min="13612" max="13819" width="3.44140625" style="37"/>
    <col min="13820" max="13820" width="3.44140625" style="37" customWidth="1"/>
    <col min="13821" max="13821" width="5" style="37" customWidth="1"/>
    <col min="13822" max="13822" width="20.5546875" style="37" customWidth="1"/>
    <col min="13823" max="13823" width="15.6640625" style="37" customWidth="1"/>
    <col min="13824" max="13824" width="4.5546875" style="37" customWidth="1"/>
    <col min="13825" max="13825" width="5" style="37" customWidth="1"/>
    <col min="13826" max="13826" width="20.109375" style="37" customWidth="1"/>
    <col min="13827" max="13827" width="7" style="37" customWidth="1"/>
    <col min="13828" max="13828" width="15.88671875" style="37" customWidth="1"/>
    <col min="13829" max="13829" width="12.6640625" style="37" customWidth="1"/>
    <col min="13830" max="13830" width="8.5546875" style="37" customWidth="1"/>
    <col min="13831" max="13831" width="11" style="37" customWidth="1"/>
    <col min="13832" max="13832" width="9.5546875" style="37" customWidth="1"/>
    <col min="13833" max="13833" width="10.88671875" style="37" customWidth="1"/>
    <col min="13834" max="13834" width="7.6640625" style="37" customWidth="1"/>
    <col min="13835" max="13835" width="9.6640625" style="37" customWidth="1"/>
    <col min="13836" max="13836" width="9.33203125" style="37" customWidth="1"/>
    <col min="13837" max="13837" width="16.33203125" style="37" customWidth="1"/>
    <col min="13838" max="13867" width="9.109375" style="37" customWidth="1"/>
    <col min="13868" max="14075" width="3.44140625" style="37"/>
    <col min="14076" max="14076" width="3.44140625" style="37" customWidth="1"/>
    <col min="14077" max="14077" width="5" style="37" customWidth="1"/>
    <col min="14078" max="14078" width="20.5546875" style="37" customWidth="1"/>
    <col min="14079" max="14079" width="15.6640625" style="37" customWidth="1"/>
    <col min="14080" max="14080" width="4.5546875" style="37" customWidth="1"/>
    <col min="14081" max="14081" width="5" style="37" customWidth="1"/>
    <col min="14082" max="14082" width="20.109375" style="37" customWidth="1"/>
    <col min="14083" max="14083" width="7" style="37" customWidth="1"/>
    <col min="14084" max="14084" width="15.88671875" style="37" customWidth="1"/>
    <col min="14085" max="14085" width="12.6640625" style="37" customWidth="1"/>
    <col min="14086" max="14086" width="8.5546875" style="37" customWidth="1"/>
    <col min="14087" max="14087" width="11" style="37" customWidth="1"/>
    <col min="14088" max="14088" width="9.5546875" style="37" customWidth="1"/>
    <col min="14089" max="14089" width="10.88671875" style="37" customWidth="1"/>
    <col min="14090" max="14090" width="7.6640625" style="37" customWidth="1"/>
    <col min="14091" max="14091" width="9.6640625" style="37" customWidth="1"/>
    <col min="14092" max="14092" width="9.33203125" style="37" customWidth="1"/>
    <col min="14093" max="14093" width="16.33203125" style="37" customWidth="1"/>
    <col min="14094" max="14123" width="9.109375" style="37" customWidth="1"/>
    <col min="14124" max="14331" width="3.44140625" style="37"/>
    <col min="14332" max="14332" width="3.44140625" style="37" customWidth="1"/>
    <col min="14333" max="14333" width="5" style="37" customWidth="1"/>
    <col min="14334" max="14334" width="20.5546875" style="37" customWidth="1"/>
    <col min="14335" max="14335" width="15.6640625" style="37" customWidth="1"/>
    <col min="14336" max="14336" width="4.5546875" style="37" customWidth="1"/>
    <col min="14337" max="14337" width="5" style="37" customWidth="1"/>
    <col min="14338" max="14338" width="20.109375" style="37" customWidth="1"/>
    <col min="14339" max="14339" width="7" style="37" customWidth="1"/>
    <col min="14340" max="14340" width="15.88671875" style="37" customWidth="1"/>
    <col min="14341" max="14341" width="12.6640625" style="37" customWidth="1"/>
    <col min="14342" max="14342" width="8.5546875" style="37" customWidth="1"/>
    <col min="14343" max="14343" width="11" style="37" customWidth="1"/>
    <col min="14344" max="14344" width="9.5546875" style="37" customWidth="1"/>
    <col min="14345" max="14345" width="10.88671875" style="37" customWidth="1"/>
    <col min="14346" max="14346" width="7.6640625" style="37" customWidth="1"/>
    <col min="14347" max="14347" width="9.6640625" style="37" customWidth="1"/>
    <col min="14348" max="14348" width="9.33203125" style="37" customWidth="1"/>
    <col min="14349" max="14349" width="16.33203125" style="37" customWidth="1"/>
    <col min="14350" max="14379" width="9.109375" style="37" customWidth="1"/>
    <col min="14380" max="14587" width="3.44140625" style="37"/>
    <col min="14588" max="14588" width="3.44140625" style="37" customWidth="1"/>
    <col min="14589" max="14589" width="5" style="37" customWidth="1"/>
    <col min="14590" max="14590" width="20.5546875" style="37" customWidth="1"/>
    <col min="14591" max="14591" width="15.6640625" style="37" customWidth="1"/>
    <col min="14592" max="14592" width="4.5546875" style="37" customWidth="1"/>
    <col min="14593" max="14593" width="5" style="37" customWidth="1"/>
    <col min="14594" max="14594" width="20.109375" style="37" customWidth="1"/>
    <col min="14595" max="14595" width="7" style="37" customWidth="1"/>
    <col min="14596" max="14596" width="15.88671875" style="37" customWidth="1"/>
    <col min="14597" max="14597" width="12.6640625" style="37" customWidth="1"/>
    <col min="14598" max="14598" width="8.5546875" style="37" customWidth="1"/>
    <col min="14599" max="14599" width="11" style="37" customWidth="1"/>
    <col min="14600" max="14600" width="9.5546875" style="37" customWidth="1"/>
    <col min="14601" max="14601" width="10.88671875" style="37" customWidth="1"/>
    <col min="14602" max="14602" width="7.6640625" style="37" customWidth="1"/>
    <col min="14603" max="14603" width="9.6640625" style="37" customWidth="1"/>
    <col min="14604" max="14604" width="9.33203125" style="37" customWidth="1"/>
    <col min="14605" max="14605" width="16.33203125" style="37" customWidth="1"/>
    <col min="14606" max="14635" width="9.109375" style="37" customWidth="1"/>
    <col min="14636" max="14843" width="3.44140625" style="37"/>
    <col min="14844" max="14844" width="3.44140625" style="37" customWidth="1"/>
    <col min="14845" max="14845" width="5" style="37" customWidth="1"/>
    <col min="14846" max="14846" width="20.5546875" style="37" customWidth="1"/>
    <col min="14847" max="14847" width="15.6640625" style="37" customWidth="1"/>
    <col min="14848" max="14848" width="4.5546875" style="37" customWidth="1"/>
    <col min="14849" max="14849" width="5" style="37" customWidth="1"/>
    <col min="14850" max="14850" width="20.109375" style="37" customWidth="1"/>
    <col min="14851" max="14851" width="7" style="37" customWidth="1"/>
    <col min="14852" max="14852" width="15.88671875" style="37" customWidth="1"/>
    <col min="14853" max="14853" width="12.6640625" style="37" customWidth="1"/>
    <col min="14854" max="14854" width="8.5546875" style="37" customWidth="1"/>
    <col min="14855" max="14855" width="11" style="37" customWidth="1"/>
    <col min="14856" max="14856" width="9.5546875" style="37" customWidth="1"/>
    <col min="14857" max="14857" width="10.88671875" style="37" customWidth="1"/>
    <col min="14858" max="14858" width="7.6640625" style="37" customWidth="1"/>
    <col min="14859" max="14859" width="9.6640625" style="37" customWidth="1"/>
    <col min="14860" max="14860" width="9.33203125" style="37" customWidth="1"/>
    <col min="14861" max="14861" width="16.33203125" style="37" customWidth="1"/>
    <col min="14862" max="14891" width="9.109375" style="37" customWidth="1"/>
    <col min="14892" max="15099" width="3.44140625" style="37"/>
    <col min="15100" max="15100" width="3.44140625" style="37" customWidth="1"/>
    <col min="15101" max="15101" width="5" style="37" customWidth="1"/>
    <col min="15102" max="15102" width="20.5546875" style="37" customWidth="1"/>
    <col min="15103" max="15103" width="15.6640625" style="37" customWidth="1"/>
    <col min="15104" max="15104" width="4.5546875" style="37" customWidth="1"/>
    <col min="15105" max="15105" width="5" style="37" customWidth="1"/>
    <col min="15106" max="15106" width="20.109375" style="37" customWidth="1"/>
    <col min="15107" max="15107" width="7" style="37" customWidth="1"/>
    <col min="15108" max="15108" width="15.88671875" style="37" customWidth="1"/>
    <col min="15109" max="15109" width="12.6640625" style="37" customWidth="1"/>
    <col min="15110" max="15110" width="8.5546875" style="37" customWidth="1"/>
    <col min="15111" max="15111" width="11" style="37" customWidth="1"/>
    <col min="15112" max="15112" width="9.5546875" style="37" customWidth="1"/>
    <col min="15113" max="15113" width="10.88671875" style="37" customWidth="1"/>
    <col min="15114" max="15114" width="7.6640625" style="37" customWidth="1"/>
    <col min="15115" max="15115" width="9.6640625" style="37" customWidth="1"/>
    <col min="15116" max="15116" width="9.33203125" style="37" customWidth="1"/>
    <col min="15117" max="15117" width="16.33203125" style="37" customWidth="1"/>
    <col min="15118" max="15147" width="9.109375" style="37" customWidth="1"/>
    <col min="15148" max="15355" width="3.44140625" style="37"/>
    <col min="15356" max="15356" width="3.44140625" style="37" customWidth="1"/>
    <col min="15357" max="15357" width="5" style="37" customWidth="1"/>
    <col min="15358" max="15358" width="20.5546875" style="37" customWidth="1"/>
    <col min="15359" max="15359" width="15.6640625" style="37" customWidth="1"/>
    <col min="15360" max="15360" width="4.5546875" style="37" customWidth="1"/>
    <col min="15361" max="15361" width="5" style="37" customWidth="1"/>
    <col min="15362" max="15362" width="20.109375" style="37" customWidth="1"/>
    <col min="15363" max="15363" width="7" style="37" customWidth="1"/>
    <col min="15364" max="15364" width="15.88671875" style="37" customWidth="1"/>
    <col min="15365" max="15365" width="12.6640625" style="37" customWidth="1"/>
    <col min="15366" max="15366" width="8.5546875" style="37" customWidth="1"/>
    <col min="15367" max="15367" width="11" style="37" customWidth="1"/>
    <col min="15368" max="15368" width="9.5546875" style="37" customWidth="1"/>
    <col min="15369" max="15369" width="10.88671875" style="37" customWidth="1"/>
    <col min="15370" max="15370" width="7.6640625" style="37" customWidth="1"/>
    <col min="15371" max="15371" width="9.6640625" style="37" customWidth="1"/>
    <col min="15372" max="15372" width="9.33203125" style="37" customWidth="1"/>
    <col min="15373" max="15373" width="16.33203125" style="37" customWidth="1"/>
    <col min="15374" max="15403" width="9.109375" style="37" customWidth="1"/>
    <col min="15404" max="15611" width="3.44140625" style="37"/>
    <col min="15612" max="15612" width="3.44140625" style="37" customWidth="1"/>
    <col min="15613" max="15613" width="5" style="37" customWidth="1"/>
    <col min="15614" max="15614" width="20.5546875" style="37" customWidth="1"/>
    <col min="15615" max="15615" width="15.6640625" style="37" customWidth="1"/>
    <col min="15616" max="15616" width="4.5546875" style="37" customWidth="1"/>
    <col min="15617" max="15617" width="5" style="37" customWidth="1"/>
    <col min="15618" max="15618" width="20.109375" style="37" customWidth="1"/>
    <col min="15619" max="15619" width="7" style="37" customWidth="1"/>
    <col min="15620" max="15620" width="15.88671875" style="37" customWidth="1"/>
    <col min="15621" max="15621" width="12.6640625" style="37" customWidth="1"/>
    <col min="15622" max="15622" width="8.5546875" style="37" customWidth="1"/>
    <col min="15623" max="15623" width="11" style="37" customWidth="1"/>
    <col min="15624" max="15624" width="9.5546875" style="37" customWidth="1"/>
    <col min="15625" max="15625" width="10.88671875" style="37" customWidth="1"/>
    <col min="15626" max="15626" width="7.6640625" style="37" customWidth="1"/>
    <col min="15627" max="15627" width="9.6640625" style="37" customWidth="1"/>
    <col min="15628" max="15628" width="9.33203125" style="37" customWidth="1"/>
    <col min="15629" max="15629" width="16.33203125" style="37" customWidth="1"/>
    <col min="15630" max="15659" width="9.109375" style="37" customWidth="1"/>
    <col min="15660" max="15867" width="3.44140625" style="37"/>
    <col min="15868" max="15868" width="3.44140625" style="37" customWidth="1"/>
    <col min="15869" max="15869" width="5" style="37" customWidth="1"/>
    <col min="15870" max="15870" width="20.5546875" style="37" customWidth="1"/>
    <col min="15871" max="15871" width="15.6640625" style="37" customWidth="1"/>
    <col min="15872" max="15872" width="4.5546875" style="37" customWidth="1"/>
    <col min="15873" max="15873" width="5" style="37" customWidth="1"/>
    <col min="15874" max="15874" width="20.109375" style="37" customWidth="1"/>
    <col min="15875" max="15875" width="7" style="37" customWidth="1"/>
    <col min="15876" max="15876" width="15.88671875" style="37" customWidth="1"/>
    <col min="15877" max="15877" width="12.6640625" style="37" customWidth="1"/>
    <col min="15878" max="15878" width="8.5546875" style="37" customWidth="1"/>
    <col min="15879" max="15879" width="11" style="37" customWidth="1"/>
    <col min="15880" max="15880" width="9.5546875" style="37" customWidth="1"/>
    <col min="15881" max="15881" width="10.88671875" style="37" customWidth="1"/>
    <col min="15882" max="15882" width="7.6640625" style="37" customWidth="1"/>
    <col min="15883" max="15883" width="9.6640625" style="37" customWidth="1"/>
    <col min="15884" max="15884" width="9.33203125" style="37" customWidth="1"/>
    <col min="15885" max="15885" width="16.33203125" style="37" customWidth="1"/>
    <col min="15886" max="15915" width="9.109375" style="37" customWidth="1"/>
    <col min="15916" max="16123" width="3.44140625" style="37"/>
    <col min="16124" max="16124" width="3.44140625" style="37" customWidth="1"/>
    <col min="16125" max="16125" width="5" style="37" customWidth="1"/>
    <col min="16126" max="16126" width="20.5546875" style="37" customWidth="1"/>
    <col min="16127" max="16127" width="15.6640625" style="37" customWidth="1"/>
    <col min="16128" max="16128" width="4.5546875" style="37" customWidth="1"/>
    <col min="16129" max="16129" width="5" style="37" customWidth="1"/>
    <col min="16130" max="16130" width="20.109375" style="37" customWidth="1"/>
    <col min="16131" max="16131" width="7" style="37" customWidth="1"/>
    <col min="16132" max="16132" width="15.88671875" style="37" customWidth="1"/>
    <col min="16133" max="16133" width="12.6640625" style="37" customWidth="1"/>
    <col min="16134" max="16134" width="8.5546875" style="37" customWidth="1"/>
    <col min="16135" max="16135" width="11" style="37" customWidth="1"/>
    <col min="16136" max="16136" width="9.5546875" style="37" customWidth="1"/>
    <col min="16137" max="16137" width="10.88671875" style="37" customWidth="1"/>
    <col min="16138" max="16138" width="7.6640625" style="37" customWidth="1"/>
    <col min="16139" max="16139" width="9.6640625" style="37" customWidth="1"/>
    <col min="16140" max="16140" width="9.33203125" style="37" customWidth="1"/>
    <col min="16141" max="16141" width="16.33203125" style="37" customWidth="1"/>
    <col min="16142" max="16171" width="9.109375" style="37" customWidth="1"/>
    <col min="16172" max="16384" width="3.44140625" style="37"/>
  </cols>
  <sheetData>
    <row r="1" spans="1:251" ht="15.6">
      <c r="A1" s="481" t="s">
        <v>0</v>
      </c>
      <c r="B1" s="481"/>
      <c r="C1" s="481"/>
      <c r="D1" s="481"/>
      <c r="E1" s="481"/>
      <c r="F1" s="88"/>
      <c r="G1" s="88"/>
      <c r="H1" s="96"/>
      <c r="I1" s="89"/>
      <c r="J1" s="214"/>
      <c r="K1" s="89"/>
      <c r="L1" s="96"/>
      <c r="M1" s="96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  <c r="BI1" s="89"/>
      <c r="BJ1" s="89"/>
      <c r="BK1" s="89"/>
      <c r="BL1" s="89"/>
      <c r="BM1" s="89"/>
      <c r="BN1" s="89"/>
      <c r="BO1" s="89"/>
      <c r="BP1" s="89"/>
      <c r="BQ1" s="89"/>
      <c r="BR1" s="89"/>
      <c r="BS1" s="89"/>
      <c r="BT1" s="89"/>
      <c r="BU1" s="89"/>
      <c r="BV1" s="89"/>
      <c r="BW1" s="89"/>
      <c r="BX1" s="89"/>
      <c r="BY1" s="89"/>
      <c r="BZ1" s="89"/>
      <c r="CA1" s="89"/>
      <c r="CB1" s="89"/>
      <c r="CC1" s="89"/>
      <c r="CD1" s="89"/>
      <c r="CE1" s="89"/>
      <c r="CF1" s="89"/>
      <c r="CG1" s="89"/>
      <c r="CH1" s="89"/>
      <c r="CI1" s="89"/>
      <c r="CJ1" s="89"/>
      <c r="CK1" s="89"/>
      <c r="CL1" s="89"/>
      <c r="CM1" s="89"/>
      <c r="CN1" s="89"/>
      <c r="CO1" s="89"/>
      <c r="CP1" s="89"/>
      <c r="CQ1" s="89"/>
      <c r="CR1" s="89"/>
      <c r="CS1" s="89"/>
      <c r="CT1" s="89"/>
      <c r="CU1" s="89"/>
      <c r="CV1" s="89"/>
      <c r="CW1" s="89"/>
      <c r="CX1" s="89"/>
      <c r="CY1" s="89"/>
      <c r="CZ1" s="89"/>
      <c r="DA1" s="89"/>
      <c r="DB1" s="89"/>
      <c r="DC1" s="89"/>
      <c r="DD1" s="89"/>
      <c r="DE1" s="89"/>
      <c r="DF1" s="89"/>
      <c r="DG1" s="89"/>
      <c r="DH1" s="89"/>
      <c r="DI1" s="89"/>
      <c r="DJ1" s="89"/>
      <c r="DK1" s="89"/>
      <c r="DL1" s="89"/>
      <c r="DM1" s="89"/>
      <c r="DN1" s="89"/>
      <c r="DO1" s="89"/>
      <c r="DP1" s="89"/>
      <c r="DQ1" s="89"/>
      <c r="DR1" s="89"/>
      <c r="DS1" s="89"/>
      <c r="DT1" s="89"/>
      <c r="DU1" s="89"/>
      <c r="DV1" s="89"/>
      <c r="DW1" s="89"/>
      <c r="DX1" s="89"/>
      <c r="DY1" s="89"/>
      <c r="DZ1" s="89"/>
      <c r="EA1" s="89"/>
      <c r="EB1" s="89"/>
      <c r="EC1" s="89"/>
      <c r="ED1" s="89"/>
      <c r="EE1" s="89"/>
      <c r="EF1" s="89"/>
      <c r="EG1" s="89"/>
      <c r="EH1" s="89"/>
      <c r="EI1" s="89"/>
      <c r="EJ1" s="89"/>
      <c r="EK1" s="89"/>
      <c r="EL1" s="89"/>
      <c r="EM1" s="89"/>
      <c r="EN1" s="89"/>
      <c r="EO1" s="89"/>
      <c r="EP1" s="89"/>
      <c r="EQ1" s="89"/>
      <c r="ER1" s="89"/>
      <c r="ES1" s="89"/>
      <c r="ET1" s="89"/>
      <c r="EU1" s="89"/>
      <c r="EV1" s="89"/>
      <c r="EW1" s="89"/>
      <c r="EX1" s="89"/>
      <c r="EY1" s="89"/>
      <c r="EZ1" s="89"/>
      <c r="FA1" s="89"/>
      <c r="FB1" s="89"/>
      <c r="FC1" s="89"/>
      <c r="FD1" s="89"/>
      <c r="FE1" s="89"/>
      <c r="FF1" s="89"/>
      <c r="FG1" s="89"/>
      <c r="FH1" s="89"/>
      <c r="FI1" s="89"/>
      <c r="FJ1" s="89"/>
      <c r="FK1" s="89"/>
      <c r="FL1" s="89"/>
      <c r="FM1" s="89"/>
      <c r="FN1" s="89"/>
      <c r="FO1" s="89"/>
      <c r="FP1" s="89"/>
      <c r="FQ1" s="89"/>
      <c r="FR1" s="89"/>
      <c r="FS1" s="89"/>
      <c r="FT1" s="89"/>
      <c r="FU1" s="89"/>
      <c r="FV1" s="89"/>
      <c r="FW1" s="89"/>
      <c r="FX1" s="89"/>
      <c r="FY1" s="89"/>
      <c r="FZ1" s="89"/>
      <c r="GA1" s="89"/>
      <c r="GB1" s="89"/>
      <c r="GC1" s="89"/>
      <c r="GD1" s="89"/>
      <c r="GE1" s="89"/>
      <c r="GF1" s="89"/>
      <c r="GG1" s="89"/>
      <c r="GH1" s="89"/>
      <c r="GI1" s="89"/>
      <c r="GJ1" s="89"/>
      <c r="GK1" s="89"/>
      <c r="GL1" s="89"/>
      <c r="GM1" s="89"/>
      <c r="GN1" s="89"/>
      <c r="GO1" s="89"/>
      <c r="GP1" s="89"/>
      <c r="GQ1" s="89"/>
      <c r="GR1" s="89"/>
      <c r="GS1" s="89"/>
      <c r="GT1" s="89"/>
      <c r="GU1" s="89"/>
      <c r="GV1" s="89"/>
      <c r="GW1" s="89"/>
      <c r="GX1" s="89"/>
      <c r="GY1" s="89"/>
      <c r="GZ1" s="89"/>
      <c r="HA1" s="89"/>
      <c r="HB1" s="89"/>
      <c r="HC1" s="89"/>
      <c r="HD1" s="89"/>
      <c r="HE1" s="89"/>
      <c r="HF1" s="89"/>
      <c r="HG1" s="89"/>
      <c r="HH1" s="89"/>
      <c r="HI1" s="89"/>
      <c r="HJ1" s="89"/>
      <c r="HK1" s="89"/>
      <c r="HL1" s="89"/>
      <c r="HM1" s="89"/>
      <c r="HN1" s="89"/>
      <c r="HO1" s="89"/>
      <c r="HP1" s="89"/>
      <c r="HQ1" s="89"/>
      <c r="HR1" s="89"/>
      <c r="HS1" s="89"/>
      <c r="HT1" s="89"/>
      <c r="HU1" s="89"/>
      <c r="HV1" s="89"/>
      <c r="HW1" s="89"/>
      <c r="HX1" s="89"/>
      <c r="HY1" s="89"/>
      <c r="HZ1" s="89"/>
      <c r="IA1" s="89"/>
      <c r="IB1" s="89"/>
      <c r="IC1" s="89"/>
      <c r="ID1" s="89"/>
      <c r="IE1" s="89"/>
      <c r="IF1" s="89"/>
      <c r="IG1" s="89"/>
      <c r="IH1" s="89"/>
      <c r="II1" s="89"/>
      <c r="IJ1" s="89"/>
      <c r="IK1" s="89"/>
      <c r="IL1" s="89"/>
      <c r="IM1" s="89"/>
      <c r="IN1" s="89"/>
      <c r="IO1" s="89"/>
      <c r="IP1" s="89"/>
      <c r="IQ1" s="89"/>
    </row>
    <row r="2" spans="1:251" ht="15.6">
      <c r="A2" s="482" t="s">
        <v>86</v>
      </c>
      <c r="B2" s="482"/>
      <c r="C2" s="482"/>
      <c r="D2" s="482"/>
      <c r="E2" s="482"/>
      <c r="F2" s="92"/>
      <c r="G2" s="89"/>
      <c r="H2" s="96"/>
      <c r="I2" s="89"/>
      <c r="J2" s="214"/>
      <c r="K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  <c r="BV2" s="89"/>
      <c r="BW2" s="89"/>
      <c r="BX2" s="89"/>
      <c r="BY2" s="89"/>
      <c r="BZ2" s="89"/>
      <c r="CA2" s="89"/>
      <c r="CB2" s="89"/>
      <c r="CC2" s="89"/>
      <c r="CD2" s="89"/>
      <c r="CE2" s="89"/>
      <c r="CF2" s="89"/>
      <c r="CG2" s="89"/>
      <c r="CH2" s="89"/>
      <c r="CI2" s="89"/>
      <c r="CJ2" s="89"/>
      <c r="CK2" s="89"/>
      <c r="CL2" s="89"/>
      <c r="CM2" s="89"/>
      <c r="CN2" s="89"/>
      <c r="CO2" s="89"/>
      <c r="CP2" s="89"/>
      <c r="CQ2" s="89"/>
      <c r="CR2" s="89"/>
      <c r="CS2" s="89"/>
      <c r="CT2" s="89"/>
      <c r="CU2" s="89"/>
      <c r="CV2" s="89"/>
      <c r="CW2" s="89"/>
      <c r="CX2" s="89"/>
      <c r="CY2" s="89"/>
      <c r="CZ2" s="89"/>
      <c r="DA2" s="89"/>
      <c r="DB2" s="89"/>
      <c r="DC2" s="89"/>
      <c r="DD2" s="89"/>
      <c r="DE2" s="89"/>
      <c r="DF2" s="89"/>
      <c r="DG2" s="89"/>
      <c r="DH2" s="89"/>
      <c r="DI2" s="89"/>
      <c r="DJ2" s="89"/>
      <c r="DK2" s="89"/>
      <c r="DL2" s="89"/>
      <c r="DM2" s="89"/>
      <c r="DN2" s="89"/>
      <c r="DO2" s="89"/>
      <c r="DP2" s="89"/>
      <c r="DQ2" s="89"/>
      <c r="DR2" s="89"/>
      <c r="DS2" s="89"/>
      <c r="DT2" s="89"/>
      <c r="DU2" s="89"/>
      <c r="DV2" s="89"/>
      <c r="DW2" s="89"/>
      <c r="DX2" s="89"/>
      <c r="DY2" s="89"/>
      <c r="DZ2" s="89"/>
      <c r="EA2" s="89"/>
      <c r="EB2" s="89"/>
      <c r="EC2" s="89"/>
      <c r="ED2" s="89"/>
      <c r="EE2" s="89"/>
      <c r="EF2" s="89"/>
      <c r="EG2" s="89"/>
      <c r="EH2" s="89"/>
      <c r="EI2" s="89"/>
      <c r="EJ2" s="89"/>
      <c r="EK2" s="89"/>
      <c r="EL2" s="89"/>
      <c r="EM2" s="89"/>
      <c r="EN2" s="89"/>
      <c r="EO2" s="89"/>
      <c r="EP2" s="89"/>
      <c r="EQ2" s="89"/>
      <c r="ER2" s="89"/>
      <c r="ES2" s="89"/>
      <c r="ET2" s="89"/>
      <c r="EU2" s="89"/>
      <c r="EV2" s="89"/>
      <c r="EW2" s="89"/>
      <c r="EX2" s="89"/>
      <c r="EY2" s="89"/>
      <c r="EZ2" s="89"/>
      <c r="FA2" s="89"/>
      <c r="FB2" s="89"/>
      <c r="FC2" s="89"/>
      <c r="FD2" s="89"/>
      <c r="FE2" s="89"/>
      <c r="FF2" s="89"/>
      <c r="FG2" s="89"/>
      <c r="FH2" s="89"/>
      <c r="FI2" s="89"/>
      <c r="FJ2" s="89"/>
      <c r="FK2" s="89"/>
      <c r="FL2" s="89"/>
      <c r="FM2" s="89"/>
      <c r="FN2" s="89"/>
      <c r="FO2" s="89"/>
      <c r="FP2" s="89"/>
      <c r="FQ2" s="89"/>
      <c r="FR2" s="89"/>
      <c r="FS2" s="89"/>
      <c r="FT2" s="89"/>
      <c r="FU2" s="89"/>
      <c r="FV2" s="89"/>
      <c r="FW2" s="89"/>
      <c r="FX2" s="89"/>
      <c r="FY2" s="89"/>
      <c r="FZ2" s="89"/>
      <c r="GA2" s="89"/>
      <c r="GB2" s="89"/>
      <c r="GC2" s="89"/>
      <c r="GD2" s="89"/>
      <c r="GE2" s="89"/>
      <c r="GF2" s="89"/>
      <c r="GG2" s="89"/>
      <c r="GH2" s="89"/>
      <c r="GI2" s="89"/>
      <c r="GJ2" s="89"/>
      <c r="GK2" s="89"/>
      <c r="GL2" s="89"/>
      <c r="GM2" s="89"/>
      <c r="GN2" s="89"/>
      <c r="GO2" s="89"/>
      <c r="GP2" s="89"/>
      <c r="GQ2" s="89"/>
      <c r="GR2" s="89"/>
      <c r="GS2" s="89"/>
      <c r="GT2" s="89"/>
      <c r="GU2" s="89"/>
      <c r="GV2" s="89"/>
      <c r="GW2" s="89"/>
      <c r="GX2" s="89"/>
      <c r="GY2" s="89"/>
      <c r="GZ2" s="89"/>
      <c r="HA2" s="89"/>
      <c r="HB2" s="89"/>
      <c r="HC2" s="89"/>
      <c r="HD2" s="89"/>
      <c r="HE2" s="89"/>
      <c r="HF2" s="89"/>
      <c r="HG2" s="89"/>
      <c r="HH2" s="89"/>
      <c r="HI2" s="89"/>
      <c r="HJ2" s="89"/>
      <c r="HK2" s="89"/>
      <c r="HL2" s="89"/>
      <c r="HM2" s="89"/>
      <c r="HN2" s="89"/>
      <c r="HO2" s="89"/>
      <c r="HP2" s="89"/>
      <c r="HQ2" s="89"/>
      <c r="HR2" s="89"/>
      <c r="HS2" s="89"/>
      <c r="HT2" s="89"/>
      <c r="HU2" s="89"/>
      <c r="HV2" s="89"/>
      <c r="HW2" s="89"/>
      <c r="HX2" s="89"/>
      <c r="HY2" s="89"/>
      <c r="HZ2" s="89"/>
      <c r="IA2" s="89"/>
      <c r="IB2" s="89"/>
      <c r="IC2" s="89"/>
      <c r="ID2" s="89"/>
      <c r="IE2" s="89"/>
      <c r="IF2" s="89"/>
      <c r="IG2" s="89"/>
      <c r="IH2" s="89"/>
      <c r="II2" s="89"/>
      <c r="IJ2" s="89"/>
      <c r="IK2" s="89"/>
      <c r="IL2" s="89"/>
      <c r="IM2" s="89"/>
      <c r="IN2" s="89"/>
      <c r="IO2" s="89"/>
      <c r="IP2" s="89"/>
      <c r="IQ2" s="89"/>
    </row>
    <row r="3" spans="1:251" ht="20.399999999999999">
      <c r="A3" s="89"/>
      <c r="B3" s="483" t="s">
        <v>63</v>
      </c>
      <c r="C3" s="483"/>
      <c r="D3" s="483"/>
      <c r="E3" s="483"/>
      <c r="F3" s="483"/>
      <c r="G3" s="483"/>
      <c r="H3" s="483"/>
      <c r="I3" s="483"/>
      <c r="J3" s="483"/>
      <c r="K3" s="483"/>
      <c r="L3" s="483"/>
      <c r="M3" s="483"/>
      <c r="N3" s="483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 s="89"/>
      <c r="BH3" s="89"/>
      <c r="BI3" s="89"/>
      <c r="BJ3" s="89"/>
      <c r="BK3" s="89"/>
      <c r="BL3" s="89"/>
      <c r="BM3" s="89"/>
      <c r="BN3" s="89"/>
      <c r="BO3" s="89"/>
      <c r="BP3" s="89"/>
      <c r="BQ3" s="89"/>
      <c r="BR3" s="89"/>
      <c r="BS3" s="89"/>
      <c r="BT3" s="89"/>
      <c r="BU3" s="89"/>
      <c r="BV3" s="89"/>
      <c r="BW3" s="89"/>
      <c r="BX3" s="89"/>
      <c r="BY3" s="89"/>
      <c r="BZ3" s="89"/>
      <c r="CA3" s="89"/>
      <c r="CB3" s="89"/>
      <c r="CC3" s="89"/>
      <c r="CD3" s="89"/>
      <c r="CE3" s="89"/>
      <c r="CF3" s="89"/>
      <c r="CG3" s="89"/>
      <c r="CH3" s="89"/>
      <c r="CI3" s="89"/>
      <c r="CJ3" s="89"/>
      <c r="CK3" s="89"/>
      <c r="CL3" s="89"/>
      <c r="CM3" s="89"/>
      <c r="CN3" s="89"/>
      <c r="CO3" s="89"/>
      <c r="CP3" s="89"/>
      <c r="CQ3" s="89"/>
      <c r="CR3" s="89"/>
      <c r="CS3" s="89"/>
      <c r="CT3" s="89"/>
      <c r="CU3" s="89"/>
      <c r="CV3" s="89"/>
      <c r="CW3" s="89"/>
      <c r="CX3" s="89"/>
      <c r="CY3" s="89"/>
      <c r="CZ3" s="89"/>
      <c r="DA3" s="89"/>
      <c r="DB3" s="89"/>
      <c r="DC3" s="89"/>
      <c r="DD3" s="89"/>
      <c r="DE3" s="89"/>
      <c r="DF3" s="89"/>
      <c r="DG3" s="89"/>
      <c r="DH3" s="89"/>
      <c r="DI3" s="89"/>
      <c r="DJ3" s="89"/>
      <c r="DK3" s="89"/>
      <c r="DL3" s="89"/>
      <c r="DM3" s="89"/>
      <c r="DN3" s="89"/>
      <c r="DO3" s="89"/>
      <c r="DP3" s="89"/>
      <c r="DQ3" s="89"/>
      <c r="DR3" s="89"/>
      <c r="DS3" s="89"/>
      <c r="DT3" s="89"/>
      <c r="DU3" s="89"/>
      <c r="DV3" s="89"/>
      <c r="DW3" s="89"/>
      <c r="DX3" s="89"/>
      <c r="DY3" s="89"/>
      <c r="DZ3" s="89"/>
      <c r="EA3" s="89"/>
      <c r="EB3" s="89"/>
      <c r="EC3" s="89"/>
      <c r="ED3" s="89"/>
      <c r="EE3" s="89"/>
      <c r="EF3" s="89"/>
      <c r="EG3" s="89"/>
      <c r="EH3" s="89"/>
      <c r="EI3" s="89"/>
      <c r="EJ3" s="89"/>
      <c r="EK3" s="89"/>
      <c r="EL3" s="89"/>
      <c r="EM3" s="89"/>
      <c r="EN3" s="89"/>
      <c r="EO3" s="89"/>
      <c r="EP3" s="89"/>
      <c r="EQ3" s="89"/>
      <c r="ER3" s="89"/>
      <c r="ES3" s="89"/>
      <c r="ET3" s="89"/>
      <c r="EU3" s="89"/>
      <c r="EV3" s="89"/>
      <c r="EW3" s="89"/>
      <c r="EX3" s="89"/>
      <c r="EY3" s="89"/>
      <c r="EZ3" s="89"/>
      <c r="FA3" s="89"/>
      <c r="FB3" s="89"/>
      <c r="FC3" s="89"/>
      <c r="FD3" s="89"/>
      <c r="FE3" s="89"/>
      <c r="FF3" s="89"/>
      <c r="FG3" s="89"/>
      <c r="FH3" s="89"/>
      <c r="FI3" s="89"/>
      <c r="FJ3" s="89"/>
      <c r="FK3" s="89"/>
      <c r="FL3" s="89"/>
      <c r="FM3" s="89"/>
      <c r="FN3" s="89"/>
      <c r="FO3" s="89"/>
      <c r="FP3" s="89"/>
      <c r="FQ3" s="89"/>
      <c r="FR3" s="89"/>
      <c r="FS3" s="89"/>
      <c r="FT3" s="89"/>
      <c r="FU3" s="89"/>
      <c r="FV3" s="89"/>
      <c r="FW3" s="89"/>
      <c r="FX3" s="89"/>
      <c r="FY3" s="89"/>
      <c r="FZ3" s="89"/>
      <c r="GA3" s="89"/>
      <c r="GB3" s="89"/>
      <c r="GC3" s="89"/>
      <c r="GD3" s="89"/>
      <c r="GE3" s="89"/>
      <c r="GF3" s="89"/>
      <c r="GG3" s="89"/>
      <c r="GH3" s="89"/>
      <c r="GI3" s="89"/>
      <c r="GJ3" s="89"/>
      <c r="GK3" s="89"/>
      <c r="GL3" s="89"/>
      <c r="GM3" s="89"/>
      <c r="GN3" s="89"/>
      <c r="GO3" s="89"/>
      <c r="GP3" s="89"/>
      <c r="GQ3" s="89"/>
      <c r="GR3" s="89"/>
      <c r="GS3" s="89"/>
      <c r="GT3" s="89"/>
      <c r="GU3" s="89"/>
      <c r="GV3" s="89"/>
      <c r="GW3" s="89"/>
      <c r="GX3" s="89"/>
      <c r="GY3" s="89"/>
      <c r="GZ3" s="89"/>
      <c r="HA3" s="89"/>
      <c r="HB3" s="89"/>
      <c r="HC3" s="89"/>
      <c r="HD3" s="89"/>
      <c r="HE3" s="89"/>
      <c r="HF3" s="89"/>
      <c r="HG3" s="89"/>
      <c r="HH3" s="89"/>
      <c r="HI3" s="89"/>
      <c r="HJ3" s="89"/>
      <c r="HK3" s="89"/>
      <c r="HL3" s="89"/>
      <c r="HM3" s="89"/>
      <c r="HN3" s="89"/>
      <c r="HO3" s="89"/>
      <c r="HP3" s="89"/>
      <c r="HQ3" s="89"/>
      <c r="HR3" s="89"/>
      <c r="HS3" s="89"/>
      <c r="HT3" s="89"/>
      <c r="HU3" s="89"/>
      <c r="HV3" s="89"/>
      <c r="HW3" s="89"/>
      <c r="HX3" s="89"/>
      <c r="HY3" s="89"/>
      <c r="HZ3" s="89"/>
      <c r="IA3" s="89"/>
      <c r="IB3" s="89"/>
      <c r="IC3" s="89"/>
      <c r="ID3" s="89"/>
      <c r="IE3" s="89"/>
      <c r="IF3" s="89"/>
      <c r="IG3" s="89"/>
      <c r="IH3" s="89"/>
      <c r="II3" s="89"/>
      <c r="IJ3" s="89"/>
      <c r="IK3" s="89"/>
      <c r="IL3" s="89"/>
      <c r="IM3" s="89"/>
      <c r="IN3" s="89"/>
      <c r="IO3" s="89"/>
      <c r="IP3" s="89"/>
      <c r="IQ3" s="89"/>
    </row>
    <row r="4" spans="1:251" ht="17.399999999999999">
      <c r="A4" s="484" t="s">
        <v>173</v>
      </c>
      <c r="B4" s="484"/>
      <c r="C4" s="484"/>
      <c r="D4" s="484"/>
      <c r="E4" s="484"/>
      <c r="F4" s="484"/>
      <c r="G4" s="484"/>
      <c r="H4" s="484"/>
      <c r="I4" s="484"/>
      <c r="J4" s="484"/>
      <c r="K4" s="484"/>
      <c r="L4" s="484"/>
      <c r="M4" s="484"/>
      <c r="N4" s="484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89"/>
      <c r="BF4" s="89"/>
      <c r="BG4" s="89"/>
      <c r="BH4" s="89"/>
      <c r="BI4" s="89"/>
      <c r="BJ4" s="89"/>
      <c r="BK4" s="89"/>
      <c r="BL4" s="89"/>
      <c r="BM4" s="89"/>
      <c r="BN4" s="89"/>
      <c r="BO4" s="89"/>
      <c r="BP4" s="89"/>
      <c r="BQ4" s="89"/>
      <c r="BR4" s="89"/>
      <c r="BS4" s="89"/>
      <c r="BT4" s="89"/>
      <c r="BU4" s="89"/>
      <c r="BV4" s="89"/>
      <c r="BW4" s="89"/>
      <c r="BX4" s="89"/>
      <c r="BY4" s="89"/>
      <c r="BZ4" s="89"/>
      <c r="CA4" s="89"/>
      <c r="CB4" s="89"/>
      <c r="CC4" s="89"/>
      <c r="CD4" s="89"/>
      <c r="CE4" s="89"/>
      <c r="CF4" s="89"/>
      <c r="CG4" s="89"/>
      <c r="CH4" s="89"/>
      <c r="CI4" s="89"/>
      <c r="CJ4" s="89"/>
      <c r="CK4" s="89"/>
      <c r="CL4" s="89"/>
      <c r="CM4" s="89"/>
      <c r="CN4" s="89"/>
      <c r="CO4" s="89"/>
      <c r="CP4" s="89"/>
      <c r="CQ4" s="89"/>
      <c r="CR4" s="89"/>
      <c r="CS4" s="89"/>
      <c r="CT4" s="89"/>
      <c r="CU4" s="89"/>
      <c r="CV4" s="89"/>
      <c r="CW4" s="89"/>
      <c r="CX4" s="89"/>
      <c r="CY4" s="89"/>
      <c r="CZ4" s="89"/>
      <c r="DA4" s="89"/>
      <c r="DB4" s="89"/>
      <c r="DC4" s="89"/>
      <c r="DD4" s="89"/>
      <c r="DE4" s="89"/>
      <c r="DF4" s="89"/>
      <c r="DG4" s="89"/>
      <c r="DH4" s="89"/>
      <c r="DI4" s="89"/>
      <c r="DJ4" s="89"/>
      <c r="DK4" s="89"/>
      <c r="DL4" s="89"/>
      <c r="DM4" s="89"/>
      <c r="DN4" s="89"/>
      <c r="DO4" s="89"/>
      <c r="DP4" s="89"/>
      <c r="DQ4" s="89"/>
      <c r="DR4" s="89"/>
      <c r="DS4" s="89"/>
      <c r="DT4" s="89"/>
      <c r="DU4" s="89"/>
      <c r="DV4" s="89"/>
      <c r="DW4" s="89"/>
      <c r="DX4" s="89"/>
      <c r="DY4" s="89"/>
      <c r="DZ4" s="89"/>
      <c r="EA4" s="89"/>
      <c r="EB4" s="89"/>
      <c r="EC4" s="89"/>
      <c r="ED4" s="89"/>
      <c r="EE4" s="89"/>
      <c r="EF4" s="89"/>
      <c r="EG4" s="89"/>
      <c r="EH4" s="89"/>
      <c r="EI4" s="89"/>
      <c r="EJ4" s="89"/>
      <c r="EK4" s="89"/>
      <c r="EL4" s="89"/>
      <c r="EM4" s="89"/>
      <c r="EN4" s="89"/>
      <c r="EO4" s="89"/>
      <c r="EP4" s="89"/>
      <c r="EQ4" s="89"/>
      <c r="ER4" s="89"/>
      <c r="ES4" s="89"/>
      <c r="ET4" s="89"/>
      <c r="EU4" s="89"/>
      <c r="EV4" s="89"/>
      <c r="EW4" s="89"/>
      <c r="EX4" s="89"/>
      <c r="EY4" s="89"/>
      <c r="EZ4" s="89"/>
      <c r="FA4" s="89"/>
      <c r="FB4" s="89"/>
      <c r="FC4" s="89"/>
      <c r="FD4" s="89"/>
      <c r="FE4" s="89"/>
      <c r="FF4" s="89"/>
      <c r="FG4" s="89"/>
      <c r="FH4" s="89"/>
      <c r="FI4" s="89"/>
      <c r="FJ4" s="89"/>
      <c r="FK4" s="89"/>
      <c r="FL4" s="89"/>
      <c r="FM4" s="89"/>
      <c r="FN4" s="89"/>
      <c r="FO4" s="89"/>
      <c r="FP4" s="89"/>
      <c r="FQ4" s="89"/>
      <c r="FR4" s="89"/>
      <c r="FS4" s="89"/>
      <c r="FT4" s="89"/>
      <c r="FU4" s="89"/>
      <c r="FV4" s="89"/>
      <c r="FW4" s="89"/>
      <c r="FX4" s="89"/>
      <c r="FY4" s="89"/>
      <c r="FZ4" s="89"/>
      <c r="GA4" s="89"/>
      <c r="GB4" s="89"/>
      <c r="GC4" s="89"/>
      <c r="GD4" s="89"/>
      <c r="GE4" s="89"/>
      <c r="GF4" s="89"/>
      <c r="GG4" s="89"/>
      <c r="GH4" s="89"/>
      <c r="GI4" s="89"/>
      <c r="GJ4" s="89"/>
      <c r="GK4" s="89"/>
      <c r="GL4" s="89"/>
      <c r="GM4" s="89"/>
      <c r="GN4" s="89"/>
      <c r="GO4" s="89"/>
      <c r="GP4" s="89"/>
      <c r="GQ4" s="89"/>
      <c r="GR4" s="89"/>
      <c r="GS4" s="89"/>
      <c r="GT4" s="89"/>
      <c r="GU4" s="89"/>
      <c r="GV4" s="89"/>
      <c r="GW4" s="89"/>
      <c r="GX4" s="89"/>
      <c r="GY4" s="89"/>
      <c r="GZ4" s="89"/>
      <c r="HA4" s="89"/>
      <c r="HB4" s="89"/>
      <c r="HC4" s="89"/>
      <c r="HD4" s="89"/>
      <c r="HE4" s="89"/>
      <c r="HF4" s="89"/>
      <c r="HG4" s="89"/>
      <c r="HH4" s="89"/>
      <c r="HI4" s="89"/>
      <c r="HJ4" s="89"/>
      <c r="HK4" s="89"/>
      <c r="HL4" s="89"/>
      <c r="HM4" s="89"/>
      <c r="HN4" s="89"/>
      <c r="HO4" s="89"/>
      <c r="HP4" s="89"/>
      <c r="HQ4" s="89"/>
      <c r="HR4" s="89"/>
      <c r="HS4" s="89"/>
      <c r="HT4" s="89"/>
      <c r="HU4" s="89"/>
      <c r="HV4" s="89"/>
      <c r="HW4" s="89"/>
      <c r="HX4" s="89"/>
      <c r="HY4" s="89"/>
      <c r="HZ4" s="89"/>
      <c r="IA4" s="89"/>
      <c r="IB4" s="89"/>
      <c r="IC4" s="89"/>
      <c r="ID4" s="89"/>
      <c r="IE4" s="89"/>
      <c r="IF4" s="89"/>
      <c r="IG4" s="89"/>
      <c r="IH4" s="89"/>
      <c r="II4" s="89"/>
      <c r="IJ4" s="89"/>
      <c r="IK4" s="89"/>
      <c r="IL4" s="89"/>
      <c r="IM4" s="89"/>
      <c r="IN4" s="89"/>
      <c r="IO4" s="89"/>
      <c r="IP4" s="89"/>
      <c r="IQ4" s="89"/>
    </row>
    <row r="5" spans="1:251" ht="15.6">
      <c r="A5" s="89"/>
      <c r="B5" s="89"/>
      <c r="C5" s="192"/>
      <c r="D5" s="91"/>
      <c r="E5" s="91"/>
      <c r="F5" s="194"/>
      <c r="G5" s="91"/>
      <c r="H5" s="310"/>
      <c r="I5" s="91"/>
      <c r="J5" s="215"/>
      <c r="K5" s="91"/>
      <c r="L5" s="96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89"/>
      <c r="BL5" s="89"/>
      <c r="BM5" s="89"/>
      <c r="BN5" s="89"/>
      <c r="BO5" s="89"/>
      <c r="BP5" s="89"/>
      <c r="BQ5" s="89"/>
      <c r="BR5" s="89"/>
      <c r="BS5" s="89"/>
      <c r="BT5" s="89"/>
      <c r="BU5" s="89"/>
      <c r="BV5" s="89"/>
      <c r="BW5" s="89"/>
      <c r="BX5" s="89"/>
      <c r="BY5" s="89"/>
      <c r="BZ5" s="89"/>
      <c r="CA5" s="89"/>
      <c r="CB5" s="89"/>
      <c r="CC5" s="89"/>
      <c r="CD5" s="89"/>
      <c r="CE5" s="89"/>
      <c r="CF5" s="89"/>
      <c r="CG5" s="89"/>
      <c r="CH5" s="89"/>
      <c r="CI5" s="89"/>
      <c r="CJ5" s="89"/>
      <c r="CK5" s="89"/>
      <c r="CL5" s="89"/>
      <c r="CM5" s="89"/>
      <c r="CN5" s="89"/>
      <c r="CO5" s="89"/>
      <c r="CP5" s="89"/>
      <c r="CQ5" s="89"/>
      <c r="CR5" s="89"/>
      <c r="CS5" s="89"/>
      <c r="CT5" s="89"/>
      <c r="CU5" s="89"/>
      <c r="CV5" s="89"/>
      <c r="CW5" s="89"/>
      <c r="CX5" s="89"/>
      <c r="CY5" s="89"/>
      <c r="CZ5" s="89"/>
      <c r="DA5" s="89"/>
      <c r="DB5" s="89"/>
      <c r="DC5" s="89"/>
      <c r="DD5" s="89"/>
      <c r="DE5" s="89"/>
      <c r="DF5" s="89"/>
      <c r="DG5" s="89"/>
      <c r="DH5" s="89"/>
      <c r="DI5" s="89"/>
      <c r="DJ5" s="89"/>
      <c r="DK5" s="89"/>
      <c r="DL5" s="89"/>
      <c r="DM5" s="89"/>
      <c r="DN5" s="89"/>
      <c r="DO5" s="89"/>
      <c r="DP5" s="89"/>
      <c r="DQ5" s="89"/>
      <c r="DR5" s="89"/>
      <c r="DS5" s="89"/>
      <c r="DT5" s="89"/>
      <c r="DU5" s="89"/>
      <c r="DV5" s="89"/>
      <c r="DW5" s="89"/>
      <c r="DX5" s="89"/>
      <c r="DY5" s="89"/>
      <c r="DZ5" s="89"/>
      <c r="EA5" s="89"/>
      <c r="EB5" s="89"/>
      <c r="EC5" s="89"/>
      <c r="ED5" s="89"/>
      <c r="EE5" s="89"/>
      <c r="EF5" s="89"/>
      <c r="EG5" s="89"/>
      <c r="EH5" s="89"/>
      <c r="EI5" s="89"/>
      <c r="EJ5" s="89"/>
      <c r="EK5" s="89"/>
      <c r="EL5" s="89"/>
      <c r="EM5" s="89"/>
      <c r="EN5" s="89"/>
      <c r="EO5" s="89"/>
      <c r="EP5" s="89"/>
      <c r="EQ5" s="89"/>
      <c r="ER5" s="89"/>
      <c r="ES5" s="89"/>
      <c r="ET5" s="89"/>
      <c r="EU5" s="89"/>
      <c r="EV5" s="89"/>
      <c r="EW5" s="89"/>
      <c r="EX5" s="89"/>
      <c r="EY5" s="89"/>
      <c r="EZ5" s="89"/>
      <c r="FA5" s="89"/>
      <c r="FB5" s="89"/>
      <c r="FC5" s="89"/>
      <c r="FD5" s="89"/>
      <c r="FE5" s="89"/>
      <c r="FF5" s="89"/>
      <c r="FG5" s="89"/>
      <c r="FH5" s="89"/>
      <c r="FI5" s="89"/>
      <c r="FJ5" s="89"/>
      <c r="FK5" s="89"/>
      <c r="FL5" s="89"/>
      <c r="FM5" s="89"/>
      <c r="FN5" s="89"/>
      <c r="FO5" s="89"/>
      <c r="FP5" s="89"/>
      <c r="FQ5" s="89"/>
      <c r="FR5" s="89"/>
      <c r="FS5" s="89"/>
      <c r="FT5" s="89"/>
      <c r="FU5" s="89"/>
      <c r="FV5" s="89"/>
      <c r="FW5" s="89"/>
      <c r="FX5" s="89"/>
      <c r="FY5" s="89"/>
      <c r="FZ5" s="89"/>
      <c r="GA5" s="89"/>
      <c r="GB5" s="89"/>
      <c r="GC5" s="89"/>
      <c r="GD5" s="89"/>
      <c r="GE5" s="89"/>
      <c r="GF5" s="89"/>
      <c r="GG5" s="89"/>
      <c r="GH5" s="89"/>
      <c r="GI5" s="89"/>
      <c r="GJ5" s="89"/>
      <c r="GK5" s="89"/>
      <c r="GL5" s="89"/>
      <c r="GM5" s="89"/>
      <c r="GN5" s="89"/>
      <c r="GO5" s="89"/>
      <c r="GP5" s="89"/>
      <c r="GQ5" s="89"/>
      <c r="GR5" s="89"/>
      <c r="GS5" s="89"/>
      <c r="GT5" s="89"/>
      <c r="GU5" s="89"/>
      <c r="GV5" s="89"/>
      <c r="GW5" s="89"/>
      <c r="GX5" s="89"/>
      <c r="GY5" s="89"/>
      <c r="GZ5" s="89"/>
      <c r="HA5" s="89"/>
      <c r="HB5" s="89"/>
      <c r="HC5" s="89"/>
      <c r="HD5" s="89"/>
      <c r="HE5" s="89"/>
      <c r="HF5" s="89"/>
      <c r="HG5" s="89"/>
      <c r="HH5" s="89"/>
      <c r="HI5" s="89"/>
      <c r="HJ5" s="89"/>
      <c r="HK5" s="89"/>
      <c r="HL5" s="89"/>
      <c r="HM5" s="89"/>
      <c r="HN5" s="89"/>
      <c r="HO5" s="89"/>
      <c r="HP5" s="89"/>
      <c r="HQ5" s="89"/>
      <c r="HR5" s="89"/>
      <c r="HS5" s="89"/>
      <c r="HT5" s="89"/>
      <c r="HU5" s="89"/>
      <c r="HV5" s="89"/>
      <c r="HW5" s="89"/>
      <c r="HX5" s="89"/>
      <c r="HY5" s="89"/>
      <c r="HZ5" s="89"/>
      <c r="IA5" s="89"/>
      <c r="IB5" s="89"/>
      <c r="IC5" s="89"/>
      <c r="ID5" s="89"/>
      <c r="IE5" s="89"/>
      <c r="IF5" s="89"/>
      <c r="IG5" s="89"/>
      <c r="IH5" s="89"/>
      <c r="II5" s="89"/>
      <c r="IJ5" s="89"/>
      <c r="IK5" s="89"/>
      <c r="IL5" s="89"/>
      <c r="IM5" s="89"/>
      <c r="IN5" s="89"/>
      <c r="IO5" s="89"/>
      <c r="IP5" s="89"/>
      <c r="IQ5" s="89"/>
    </row>
    <row r="6" spans="1:251" ht="4.5" customHeight="1">
      <c r="A6" s="89"/>
      <c r="B6" s="89"/>
      <c r="C6" s="192"/>
      <c r="D6" s="89"/>
      <c r="E6" s="89"/>
      <c r="F6" s="92"/>
      <c r="G6" s="89"/>
      <c r="H6" s="96"/>
      <c r="I6" s="89"/>
      <c r="J6" s="214"/>
      <c r="K6" s="89"/>
      <c r="L6" s="96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89"/>
      <c r="BF6" s="89"/>
      <c r="BG6" s="89"/>
      <c r="BH6" s="89"/>
      <c r="BI6" s="89"/>
      <c r="BJ6" s="89"/>
      <c r="BK6" s="89"/>
      <c r="BL6" s="89"/>
      <c r="BM6" s="89"/>
      <c r="BN6" s="89"/>
      <c r="BO6" s="89"/>
      <c r="BP6" s="89"/>
      <c r="BQ6" s="89"/>
      <c r="BR6" s="89"/>
      <c r="BS6" s="89"/>
      <c r="BT6" s="89"/>
      <c r="BU6" s="89"/>
      <c r="BV6" s="89"/>
      <c r="BW6" s="89"/>
      <c r="BX6" s="89"/>
      <c r="BY6" s="89"/>
      <c r="BZ6" s="89"/>
      <c r="CA6" s="89"/>
      <c r="CB6" s="89"/>
      <c r="CC6" s="89"/>
      <c r="CD6" s="89"/>
      <c r="CE6" s="89"/>
      <c r="CF6" s="89"/>
      <c r="CG6" s="89"/>
      <c r="CH6" s="89"/>
      <c r="CI6" s="89"/>
      <c r="CJ6" s="89"/>
      <c r="CK6" s="89"/>
      <c r="CL6" s="89"/>
      <c r="CM6" s="89"/>
      <c r="CN6" s="89"/>
      <c r="CO6" s="89"/>
      <c r="CP6" s="89"/>
      <c r="CQ6" s="89"/>
      <c r="CR6" s="89"/>
      <c r="CS6" s="89"/>
      <c r="CT6" s="89"/>
      <c r="CU6" s="89"/>
      <c r="CV6" s="89"/>
      <c r="CW6" s="89"/>
      <c r="CX6" s="89"/>
      <c r="CY6" s="89"/>
      <c r="CZ6" s="89"/>
      <c r="DA6" s="89"/>
      <c r="DB6" s="89"/>
      <c r="DC6" s="89"/>
      <c r="DD6" s="89"/>
      <c r="DE6" s="89"/>
      <c r="DF6" s="89"/>
      <c r="DG6" s="89"/>
      <c r="DH6" s="89"/>
      <c r="DI6" s="89"/>
      <c r="DJ6" s="89"/>
      <c r="DK6" s="89"/>
      <c r="DL6" s="89"/>
      <c r="DM6" s="89"/>
      <c r="DN6" s="89"/>
      <c r="DO6" s="89"/>
      <c r="DP6" s="89"/>
      <c r="DQ6" s="89"/>
      <c r="DR6" s="89"/>
      <c r="DS6" s="89"/>
      <c r="DT6" s="89"/>
      <c r="DU6" s="89"/>
      <c r="DV6" s="89"/>
      <c r="DW6" s="89"/>
      <c r="DX6" s="89"/>
      <c r="DY6" s="89"/>
      <c r="DZ6" s="89"/>
      <c r="EA6" s="89"/>
      <c r="EB6" s="89"/>
      <c r="EC6" s="89"/>
      <c r="ED6" s="89"/>
      <c r="EE6" s="89"/>
      <c r="EF6" s="89"/>
      <c r="EG6" s="89"/>
      <c r="EH6" s="89"/>
      <c r="EI6" s="89"/>
      <c r="EJ6" s="89"/>
      <c r="EK6" s="89"/>
      <c r="EL6" s="89"/>
      <c r="EM6" s="89"/>
      <c r="EN6" s="89"/>
      <c r="EO6" s="89"/>
      <c r="EP6" s="89"/>
      <c r="EQ6" s="89"/>
      <c r="ER6" s="89"/>
      <c r="ES6" s="89"/>
      <c r="ET6" s="89"/>
      <c r="EU6" s="89"/>
      <c r="EV6" s="89"/>
      <c r="EW6" s="89"/>
      <c r="EX6" s="89"/>
      <c r="EY6" s="89"/>
      <c r="EZ6" s="89"/>
      <c r="FA6" s="89"/>
      <c r="FB6" s="89"/>
      <c r="FC6" s="89"/>
      <c r="FD6" s="89"/>
      <c r="FE6" s="89"/>
      <c r="FF6" s="89"/>
      <c r="FG6" s="89"/>
      <c r="FH6" s="89"/>
      <c r="FI6" s="89"/>
      <c r="FJ6" s="89"/>
      <c r="FK6" s="89"/>
      <c r="FL6" s="89"/>
      <c r="FM6" s="89"/>
      <c r="FN6" s="89"/>
      <c r="FO6" s="89"/>
      <c r="FP6" s="89"/>
      <c r="FQ6" s="89"/>
      <c r="FR6" s="89"/>
      <c r="FS6" s="89"/>
      <c r="FT6" s="89"/>
      <c r="FU6" s="89"/>
      <c r="FV6" s="89"/>
      <c r="FW6" s="89"/>
      <c r="FX6" s="89"/>
      <c r="FY6" s="89"/>
      <c r="FZ6" s="89"/>
      <c r="GA6" s="89"/>
      <c r="GB6" s="89"/>
      <c r="GC6" s="89"/>
      <c r="GD6" s="89"/>
      <c r="GE6" s="89"/>
      <c r="GF6" s="89"/>
      <c r="GG6" s="89"/>
      <c r="GH6" s="89"/>
      <c r="GI6" s="89"/>
      <c r="GJ6" s="89"/>
      <c r="GK6" s="89"/>
      <c r="GL6" s="89"/>
      <c r="GM6" s="89"/>
      <c r="GN6" s="89"/>
      <c r="GO6" s="89"/>
      <c r="GP6" s="89"/>
      <c r="GQ6" s="89"/>
      <c r="GR6" s="89"/>
      <c r="GS6" s="89"/>
      <c r="GT6" s="89"/>
      <c r="GU6" s="89"/>
      <c r="GV6" s="89"/>
      <c r="GW6" s="89"/>
      <c r="GX6" s="89"/>
      <c r="GY6" s="89"/>
      <c r="GZ6" s="89"/>
      <c r="HA6" s="89"/>
      <c r="HB6" s="89"/>
      <c r="HC6" s="89"/>
      <c r="HD6" s="89"/>
      <c r="HE6" s="89"/>
      <c r="HF6" s="89"/>
      <c r="HG6" s="89"/>
      <c r="HH6" s="89"/>
      <c r="HI6" s="89"/>
      <c r="HJ6" s="89"/>
      <c r="HK6" s="89"/>
      <c r="HL6" s="89"/>
      <c r="HM6" s="89"/>
      <c r="HN6" s="89"/>
      <c r="HO6" s="89"/>
      <c r="HP6" s="89"/>
      <c r="HQ6" s="89"/>
      <c r="HR6" s="89"/>
      <c r="HS6" s="89"/>
      <c r="HT6" s="89"/>
      <c r="HU6" s="89"/>
      <c r="HV6" s="89"/>
      <c r="HW6" s="89"/>
      <c r="HX6" s="89"/>
      <c r="HY6" s="89"/>
      <c r="HZ6" s="89"/>
      <c r="IA6" s="89"/>
      <c r="IB6" s="89"/>
      <c r="IC6" s="89"/>
      <c r="ID6" s="89"/>
      <c r="IE6" s="89"/>
      <c r="IF6" s="89"/>
      <c r="IG6" s="89"/>
      <c r="IH6" s="89"/>
      <c r="II6" s="89"/>
      <c r="IJ6" s="89"/>
      <c r="IK6" s="89"/>
      <c r="IL6" s="89"/>
      <c r="IM6" s="89"/>
      <c r="IN6" s="89"/>
      <c r="IO6" s="89"/>
      <c r="IP6" s="89"/>
      <c r="IQ6" s="89"/>
    </row>
    <row r="7" spans="1:251" ht="61.5" customHeight="1">
      <c r="A7" s="132" t="s">
        <v>2</v>
      </c>
      <c r="B7" s="132" t="s">
        <v>12</v>
      </c>
      <c r="C7" s="132" t="s">
        <v>3</v>
      </c>
      <c r="D7" s="132" t="s">
        <v>42</v>
      </c>
      <c r="E7" s="132" t="s">
        <v>43</v>
      </c>
      <c r="F7" s="132" t="s">
        <v>5</v>
      </c>
      <c r="G7" s="213" t="s">
        <v>38</v>
      </c>
      <c r="H7" s="132" t="s">
        <v>6</v>
      </c>
      <c r="I7" s="217" t="s">
        <v>7</v>
      </c>
      <c r="J7" s="311" t="s">
        <v>8</v>
      </c>
      <c r="K7" s="217" t="s">
        <v>7</v>
      </c>
      <c r="L7" s="213" t="s">
        <v>9</v>
      </c>
      <c r="M7" s="217" t="s">
        <v>7</v>
      </c>
      <c r="N7" s="218" t="s">
        <v>11</v>
      </c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89"/>
      <c r="BF7" s="89"/>
      <c r="BG7" s="89"/>
      <c r="BH7" s="89"/>
      <c r="BI7" s="89"/>
      <c r="BJ7" s="89"/>
      <c r="BK7" s="89"/>
      <c r="BL7" s="89"/>
      <c r="BM7" s="89"/>
      <c r="BN7" s="89"/>
      <c r="BO7" s="89"/>
      <c r="BP7" s="89"/>
      <c r="BQ7" s="89"/>
      <c r="BR7" s="89"/>
      <c r="BS7" s="89"/>
      <c r="BT7" s="89"/>
      <c r="BU7" s="89"/>
      <c r="BV7" s="89"/>
      <c r="BW7" s="89"/>
      <c r="BX7" s="89"/>
      <c r="BY7" s="89"/>
      <c r="BZ7" s="89"/>
      <c r="CA7" s="89"/>
      <c r="CB7" s="89"/>
      <c r="CC7" s="89"/>
      <c r="CD7" s="89"/>
      <c r="CE7" s="89"/>
      <c r="CF7" s="89"/>
      <c r="CG7" s="89"/>
      <c r="CH7" s="89"/>
      <c r="CI7" s="89"/>
      <c r="CJ7" s="89"/>
      <c r="CK7" s="89"/>
      <c r="CL7" s="89"/>
      <c r="CM7" s="89"/>
      <c r="CN7" s="89"/>
      <c r="CO7" s="89"/>
      <c r="CP7" s="89"/>
      <c r="CQ7" s="89"/>
      <c r="CR7" s="89"/>
      <c r="CS7" s="89"/>
      <c r="CT7" s="89"/>
      <c r="CU7" s="89"/>
      <c r="CV7" s="89"/>
      <c r="CW7" s="89"/>
      <c r="CX7" s="89"/>
      <c r="CY7" s="89"/>
      <c r="CZ7" s="89"/>
      <c r="DA7" s="89"/>
      <c r="DB7" s="89"/>
      <c r="DC7" s="89"/>
      <c r="DD7" s="89"/>
      <c r="DE7" s="89"/>
      <c r="DF7" s="89"/>
      <c r="DG7" s="89"/>
      <c r="DH7" s="89"/>
      <c r="DI7" s="89"/>
      <c r="DJ7" s="89"/>
      <c r="DK7" s="89"/>
      <c r="DL7" s="89"/>
      <c r="DM7" s="89"/>
      <c r="DN7" s="89"/>
      <c r="DO7" s="89"/>
      <c r="DP7" s="89"/>
      <c r="DQ7" s="89"/>
      <c r="DR7" s="89"/>
      <c r="DS7" s="89"/>
      <c r="DT7" s="89"/>
      <c r="DU7" s="89"/>
      <c r="DV7" s="89"/>
      <c r="DW7" s="89"/>
      <c r="DX7" s="89"/>
      <c r="DY7" s="89"/>
      <c r="DZ7" s="89"/>
      <c r="EA7" s="89"/>
      <c r="EB7" s="89"/>
      <c r="EC7" s="89"/>
      <c r="ED7" s="89"/>
      <c r="EE7" s="89"/>
      <c r="EF7" s="89"/>
      <c r="EG7" s="89"/>
      <c r="EH7" s="89"/>
      <c r="EI7" s="89"/>
      <c r="EJ7" s="89"/>
      <c r="EK7" s="89"/>
      <c r="EL7" s="89"/>
      <c r="EM7" s="89"/>
      <c r="EN7" s="89"/>
      <c r="EO7" s="89"/>
      <c r="EP7" s="89"/>
      <c r="EQ7" s="89"/>
      <c r="ER7" s="89"/>
      <c r="ES7" s="89"/>
      <c r="ET7" s="89"/>
      <c r="EU7" s="89"/>
      <c r="EV7" s="89"/>
      <c r="EW7" s="89"/>
      <c r="EX7" s="89"/>
      <c r="EY7" s="89"/>
      <c r="EZ7" s="89"/>
      <c r="FA7" s="89"/>
      <c r="FB7" s="89"/>
      <c r="FC7" s="89"/>
      <c r="FD7" s="89"/>
      <c r="FE7" s="89"/>
      <c r="FF7" s="89"/>
      <c r="FG7" s="89"/>
      <c r="FH7" s="89"/>
      <c r="FI7" s="89"/>
      <c r="FJ7" s="89"/>
      <c r="FK7" s="89"/>
      <c r="FL7" s="89"/>
      <c r="FM7" s="89"/>
      <c r="FN7" s="89"/>
      <c r="FO7" s="89"/>
      <c r="FP7" s="89"/>
      <c r="FQ7" s="89"/>
      <c r="FR7" s="89"/>
      <c r="FS7" s="89"/>
      <c r="FT7" s="89"/>
      <c r="FU7" s="89"/>
      <c r="FV7" s="89"/>
      <c r="FW7" s="89"/>
      <c r="FX7" s="89"/>
      <c r="FY7" s="89"/>
      <c r="FZ7" s="89"/>
      <c r="GA7" s="89"/>
      <c r="GB7" s="89"/>
      <c r="GC7" s="89"/>
      <c r="GD7" s="89"/>
      <c r="GE7" s="89"/>
      <c r="GF7" s="89"/>
      <c r="GG7" s="89"/>
      <c r="GH7" s="89"/>
      <c r="GI7" s="89"/>
      <c r="GJ7" s="89"/>
      <c r="GK7" s="89"/>
      <c r="GL7" s="89"/>
      <c r="GM7" s="89"/>
      <c r="GN7" s="89"/>
      <c r="GO7" s="89"/>
      <c r="GP7" s="89"/>
      <c r="GQ7" s="89"/>
      <c r="GR7" s="89"/>
      <c r="GS7" s="89"/>
      <c r="GT7" s="89"/>
      <c r="GU7" s="89"/>
      <c r="GV7" s="89"/>
      <c r="GW7" s="89"/>
      <c r="GX7" s="89"/>
      <c r="GY7" s="89"/>
      <c r="GZ7" s="89"/>
      <c r="HA7" s="89"/>
      <c r="HB7" s="89"/>
      <c r="HC7" s="89"/>
      <c r="HD7" s="89"/>
      <c r="HE7" s="89"/>
      <c r="HF7" s="89"/>
      <c r="HG7" s="89"/>
      <c r="HH7" s="89"/>
      <c r="HI7" s="89"/>
      <c r="HJ7" s="89"/>
      <c r="HK7" s="89"/>
      <c r="HL7" s="89"/>
      <c r="HM7" s="89"/>
      <c r="HN7" s="89"/>
      <c r="HO7" s="89"/>
      <c r="HP7" s="89"/>
      <c r="HQ7" s="89"/>
      <c r="HR7" s="89"/>
      <c r="HS7" s="89"/>
      <c r="HT7" s="89"/>
      <c r="HU7" s="89"/>
      <c r="HV7" s="89"/>
      <c r="HW7" s="89"/>
      <c r="HX7" s="89"/>
      <c r="HY7" s="89"/>
      <c r="HZ7" s="89"/>
      <c r="IA7" s="89"/>
      <c r="IB7" s="89"/>
      <c r="IC7" s="89"/>
      <c r="ID7" s="89"/>
      <c r="IE7" s="89"/>
      <c r="IF7" s="89"/>
      <c r="IG7" s="89"/>
      <c r="IH7" s="89"/>
      <c r="II7" s="89"/>
      <c r="IJ7" s="89"/>
      <c r="IK7" s="89"/>
      <c r="IL7" s="89"/>
      <c r="IM7" s="89"/>
      <c r="IN7" s="89"/>
      <c r="IO7" s="89"/>
      <c r="IP7" s="89"/>
      <c r="IQ7" s="89"/>
    </row>
    <row r="8" spans="1:251" s="157" customFormat="1" ht="21.75" customHeight="1">
      <c r="A8" s="196">
        <v>1</v>
      </c>
      <c r="B8" s="277" t="s">
        <v>145</v>
      </c>
      <c r="C8" s="278" t="s">
        <v>177</v>
      </c>
      <c r="D8" s="271">
        <v>43</v>
      </c>
      <c r="E8" s="271"/>
      <c r="F8" s="278" t="s">
        <v>178</v>
      </c>
      <c r="G8" s="271" t="s">
        <v>179</v>
      </c>
      <c r="H8" s="285" t="s">
        <v>263</v>
      </c>
      <c r="I8" s="197">
        <f t="shared" ref="I8:I39" si="0">IF(G8="DTDB",420000,IF(G8="TTDB",420000,IF(G8="DT1",187500,IF(G8="TT1",187500,IF(G8="DT2",97500,IF(G8="TT2",97500,IF(G8="DT3",75000,75000)))))))</f>
        <v>420000</v>
      </c>
      <c r="J8" s="286" t="s">
        <v>268</v>
      </c>
      <c r="K8" s="200">
        <f t="shared" ref="K8:K39" si="1">IF(G8="DTDB",300000,IF(G8="TTDB",300000,IF(G8="DT1",135000,IF(G8="TT1",135000,IF(G8="DT2",75000,IF(G8="TT2",75000,IF(G8="DT3",45000,45000)))))))</f>
        <v>300000</v>
      </c>
      <c r="L8" s="286" t="s">
        <v>274</v>
      </c>
      <c r="M8" s="198">
        <f t="shared" ref="M8:M39" si="2">IF(L8="-",0,IF(G8="DTDB",300000,IF(G8="TTDB",300000,IF(G8="DT1",135000,IF(G8="TT1",135000,IF(G8="DT2",75000,IF(G8="TT2",75000,IF(G8="DT3",45000,45000))))))))</f>
        <v>300000</v>
      </c>
      <c r="N8" s="198">
        <f t="shared" ref="N8:N39" si="3">I8+K8+M8</f>
        <v>1020000</v>
      </c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2"/>
      <c r="AS8" s="192"/>
      <c r="AT8" s="192"/>
      <c r="AU8" s="192"/>
      <c r="AV8" s="192"/>
      <c r="AW8" s="192"/>
      <c r="AX8" s="192"/>
      <c r="AY8" s="192"/>
      <c r="AZ8" s="192"/>
      <c r="BA8" s="192"/>
      <c r="BB8" s="192"/>
      <c r="BC8" s="192"/>
      <c r="BD8" s="192"/>
      <c r="BE8" s="192"/>
      <c r="BF8" s="192"/>
      <c r="BG8" s="192"/>
      <c r="BH8" s="192"/>
      <c r="BI8" s="192"/>
      <c r="BJ8" s="192"/>
      <c r="BK8" s="192"/>
      <c r="BL8" s="192"/>
      <c r="BM8" s="192"/>
      <c r="BN8" s="192"/>
      <c r="BO8" s="192"/>
      <c r="BP8" s="192"/>
      <c r="BQ8" s="192"/>
      <c r="BR8" s="192"/>
      <c r="BS8" s="192"/>
      <c r="BT8" s="192"/>
      <c r="BU8" s="192"/>
      <c r="BV8" s="192"/>
      <c r="BW8" s="192"/>
      <c r="BX8" s="192"/>
      <c r="BY8" s="192"/>
      <c r="BZ8" s="192"/>
      <c r="CA8" s="192"/>
      <c r="CB8" s="192"/>
      <c r="CC8" s="192"/>
      <c r="CD8" s="192"/>
      <c r="CE8" s="192"/>
      <c r="CF8" s="192"/>
      <c r="CG8" s="192"/>
      <c r="CH8" s="192"/>
      <c r="CI8" s="192"/>
      <c r="CJ8" s="192"/>
      <c r="CK8" s="192"/>
      <c r="CL8" s="192"/>
      <c r="CM8" s="192"/>
      <c r="CN8" s="192"/>
      <c r="CO8" s="192"/>
      <c r="CP8" s="192"/>
      <c r="CQ8" s="192"/>
      <c r="CR8" s="192"/>
      <c r="CS8" s="192"/>
      <c r="CT8" s="192"/>
      <c r="CU8" s="192"/>
      <c r="CV8" s="192"/>
      <c r="CW8" s="192"/>
      <c r="CX8" s="192"/>
      <c r="CY8" s="192"/>
      <c r="CZ8" s="192"/>
      <c r="DA8" s="192"/>
      <c r="DB8" s="192"/>
      <c r="DC8" s="192"/>
      <c r="DD8" s="192"/>
      <c r="DE8" s="192"/>
      <c r="DF8" s="192"/>
      <c r="DG8" s="192"/>
      <c r="DH8" s="192"/>
      <c r="DI8" s="192"/>
      <c r="DJ8" s="192"/>
      <c r="DK8" s="192"/>
      <c r="DL8" s="192"/>
      <c r="DM8" s="192"/>
      <c r="DN8" s="192"/>
      <c r="DO8" s="192"/>
      <c r="DP8" s="192"/>
      <c r="DQ8" s="192"/>
      <c r="DR8" s="192"/>
      <c r="DS8" s="192"/>
      <c r="DT8" s="192"/>
      <c r="DU8" s="192"/>
      <c r="DV8" s="192"/>
      <c r="DW8" s="192"/>
      <c r="DX8" s="192"/>
      <c r="DY8" s="192"/>
      <c r="DZ8" s="192"/>
      <c r="EA8" s="192"/>
      <c r="EB8" s="192"/>
      <c r="EC8" s="192"/>
      <c r="ED8" s="192"/>
      <c r="EE8" s="192"/>
      <c r="EF8" s="192"/>
      <c r="EG8" s="192"/>
      <c r="EH8" s="192"/>
      <c r="EI8" s="192"/>
      <c r="EJ8" s="192"/>
      <c r="EK8" s="192"/>
      <c r="EL8" s="192"/>
      <c r="EM8" s="192"/>
      <c r="EN8" s="192"/>
      <c r="EO8" s="192"/>
      <c r="EP8" s="192"/>
      <c r="EQ8" s="192"/>
      <c r="ER8" s="192"/>
      <c r="ES8" s="192"/>
      <c r="ET8" s="192"/>
      <c r="EU8" s="192"/>
      <c r="EV8" s="192"/>
      <c r="EW8" s="192"/>
      <c r="EX8" s="192"/>
      <c r="EY8" s="192"/>
      <c r="EZ8" s="192"/>
      <c r="FA8" s="192"/>
      <c r="FB8" s="192"/>
      <c r="FC8" s="192"/>
      <c r="FD8" s="192"/>
      <c r="FE8" s="192"/>
      <c r="FF8" s="192"/>
      <c r="FG8" s="192"/>
      <c r="FH8" s="192"/>
      <c r="FI8" s="192"/>
      <c r="FJ8" s="192"/>
      <c r="FK8" s="192"/>
      <c r="FL8" s="192"/>
      <c r="FM8" s="192"/>
      <c r="FN8" s="192"/>
      <c r="FO8" s="192"/>
      <c r="FP8" s="192"/>
      <c r="FQ8" s="192"/>
      <c r="FR8" s="192"/>
      <c r="FS8" s="192"/>
      <c r="FT8" s="192"/>
      <c r="FU8" s="192"/>
      <c r="FV8" s="192"/>
      <c r="FW8" s="192"/>
      <c r="FX8" s="192"/>
      <c r="FY8" s="192"/>
      <c r="FZ8" s="192"/>
      <c r="GA8" s="192"/>
      <c r="GB8" s="192"/>
      <c r="GC8" s="192"/>
      <c r="GD8" s="192"/>
      <c r="GE8" s="192"/>
      <c r="GF8" s="192"/>
      <c r="GG8" s="192"/>
      <c r="GH8" s="192"/>
      <c r="GI8" s="192"/>
      <c r="GJ8" s="192"/>
      <c r="GK8" s="192"/>
      <c r="GL8" s="192"/>
      <c r="GM8" s="192"/>
      <c r="GN8" s="192"/>
      <c r="GO8" s="192"/>
      <c r="GP8" s="192"/>
      <c r="GQ8" s="192"/>
      <c r="GR8" s="192"/>
      <c r="GS8" s="192"/>
      <c r="GT8" s="192"/>
      <c r="GU8" s="192"/>
      <c r="GV8" s="192"/>
      <c r="GW8" s="192"/>
      <c r="GX8" s="192"/>
      <c r="GY8" s="192"/>
      <c r="GZ8" s="192"/>
      <c r="HA8" s="192"/>
      <c r="HB8" s="192"/>
      <c r="HC8" s="192"/>
      <c r="HD8" s="192"/>
      <c r="HE8" s="192"/>
      <c r="HF8" s="192"/>
      <c r="HG8" s="192"/>
      <c r="HH8" s="192"/>
      <c r="HI8" s="192"/>
      <c r="HJ8" s="192"/>
      <c r="HK8" s="192"/>
      <c r="HL8" s="192"/>
      <c r="HM8" s="192"/>
      <c r="HN8" s="192"/>
      <c r="HO8" s="192"/>
      <c r="HP8" s="192"/>
      <c r="HQ8" s="192"/>
      <c r="HR8" s="192"/>
      <c r="HS8" s="192"/>
      <c r="HT8" s="192"/>
      <c r="HU8" s="192"/>
      <c r="HV8" s="192"/>
      <c r="HW8" s="192"/>
      <c r="HX8" s="192"/>
      <c r="HY8" s="192"/>
      <c r="HZ8" s="192"/>
      <c r="IA8" s="192"/>
      <c r="IB8" s="192"/>
      <c r="IC8" s="192"/>
      <c r="ID8" s="192"/>
      <c r="IE8" s="192"/>
      <c r="IF8" s="192"/>
      <c r="IG8" s="192"/>
      <c r="IH8" s="192"/>
      <c r="II8" s="192"/>
      <c r="IJ8" s="192"/>
      <c r="IK8" s="192"/>
      <c r="IL8" s="192"/>
      <c r="IM8" s="192"/>
      <c r="IN8" s="192"/>
      <c r="IO8" s="192"/>
      <c r="IP8" s="192"/>
      <c r="IQ8" s="192"/>
    </row>
    <row r="9" spans="1:251" s="157" customFormat="1" ht="21.75" customHeight="1">
      <c r="A9" s="196">
        <v>2</v>
      </c>
      <c r="B9" s="277" t="s">
        <v>180</v>
      </c>
      <c r="C9" s="278" t="s">
        <v>181</v>
      </c>
      <c r="D9" s="271">
        <v>54</v>
      </c>
      <c r="E9" s="271"/>
      <c r="F9" s="278" t="s">
        <v>182</v>
      </c>
      <c r="G9" s="271" t="s">
        <v>179</v>
      </c>
      <c r="H9" s="285" t="s">
        <v>264</v>
      </c>
      <c r="I9" s="197">
        <f t="shared" si="0"/>
        <v>420000</v>
      </c>
      <c r="J9" s="286" t="s">
        <v>265</v>
      </c>
      <c r="K9" s="200">
        <f t="shared" si="1"/>
        <v>300000</v>
      </c>
      <c r="L9" s="286" t="s">
        <v>272</v>
      </c>
      <c r="M9" s="198">
        <f t="shared" si="2"/>
        <v>300000</v>
      </c>
      <c r="N9" s="198">
        <f t="shared" si="3"/>
        <v>1020000</v>
      </c>
      <c r="O9" s="192"/>
      <c r="P9" s="192"/>
      <c r="Q9" s="192"/>
      <c r="R9" s="192"/>
      <c r="S9" s="192"/>
      <c r="T9" s="192"/>
      <c r="U9" s="192"/>
      <c r="V9" s="192"/>
      <c r="W9" s="192"/>
      <c r="X9" s="192"/>
      <c r="Y9" s="192"/>
      <c r="Z9" s="192"/>
      <c r="AA9" s="192"/>
      <c r="AB9" s="192"/>
      <c r="AC9" s="192"/>
      <c r="AD9" s="192"/>
      <c r="AE9" s="192"/>
      <c r="AF9" s="192"/>
      <c r="AG9" s="192"/>
      <c r="AH9" s="192"/>
      <c r="AI9" s="192"/>
      <c r="AJ9" s="192"/>
      <c r="AK9" s="192"/>
      <c r="AL9" s="192"/>
      <c r="AM9" s="192"/>
      <c r="AN9" s="192"/>
      <c r="AO9" s="192"/>
      <c r="AP9" s="192"/>
      <c r="AQ9" s="192"/>
      <c r="AR9" s="192"/>
      <c r="AS9" s="192"/>
      <c r="AT9" s="192"/>
      <c r="AU9" s="192"/>
      <c r="AV9" s="192"/>
      <c r="AW9" s="192"/>
      <c r="AX9" s="192"/>
      <c r="AY9" s="192"/>
      <c r="AZ9" s="192"/>
      <c r="BA9" s="192"/>
      <c r="BB9" s="192"/>
      <c r="BC9" s="192"/>
      <c r="BD9" s="192"/>
      <c r="BE9" s="192"/>
      <c r="BF9" s="192"/>
      <c r="BG9" s="192"/>
      <c r="BH9" s="192"/>
      <c r="BI9" s="192"/>
      <c r="BJ9" s="192"/>
      <c r="BK9" s="192"/>
      <c r="BL9" s="192"/>
      <c r="BM9" s="192"/>
      <c r="BN9" s="192"/>
      <c r="BO9" s="192"/>
      <c r="BP9" s="192"/>
      <c r="BQ9" s="192"/>
      <c r="BR9" s="192"/>
      <c r="BS9" s="192"/>
      <c r="BT9" s="192"/>
      <c r="BU9" s="192"/>
      <c r="BV9" s="192"/>
      <c r="BW9" s="192"/>
      <c r="BX9" s="192"/>
      <c r="BY9" s="192"/>
      <c r="BZ9" s="192"/>
      <c r="CA9" s="192"/>
      <c r="CB9" s="192"/>
      <c r="CC9" s="192"/>
      <c r="CD9" s="192"/>
      <c r="CE9" s="192"/>
      <c r="CF9" s="192"/>
      <c r="CG9" s="192"/>
      <c r="CH9" s="192"/>
      <c r="CI9" s="192"/>
      <c r="CJ9" s="192"/>
      <c r="CK9" s="192"/>
      <c r="CL9" s="192"/>
      <c r="CM9" s="192"/>
      <c r="CN9" s="192"/>
      <c r="CO9" s="192"/>
      <c r="CP9" s="192"/>
      <c r="CQ9" s="192"/>
      <c r="CR9" s="192"/>
      <c r="CS9" s="192"/>
      <c r="CT9" s="192"/>
      <c r="CU9" s="192"/>
      <c r="CV9" s="192"/>
      <c r="CW9" s="192"/>
      <c r="CX9" s="192"/>
      <c r="CY9" s="192"/>
      <c r="CZ9" s="192"/>
      <c r="DA9" s="192"/>
      <c r="DB9" s="192"/>
      <c r="DC9" s="192"/>
      <c r="DD9" s="192"/>
      <c r="DE9" s="192"/>
      <c r="DF9" s="192"/>
      <c r="DG9" s="192"/>
      <c r="DH9" s="192"/>
      <c r="DI9" s="192"/>
      <c r="DJ9" s="192"/>
      <c r="DK9" s="192"/>
      <c r="DL9" s="192"/>
      <c r="DM9" s="192"/>
      <c r="DN9" s="192"/>
      <c r="DO9" s="192"/>
      <c r="DP9" s="192"/>
      <c r="DQ9" s="192"/>
      <c r="DR9" s="192"/>
      <c r="DS9" s="192"/>
      <c r="DT9" s="192"/>
      <c r="DU9" s="192"/>
      <c r="DV9" s="192"/>
      <c r="DW9" s="192"/>
      <c r="DX9" s="192"/>
      <c r="DY9" s="192"/>
      <c r="DZ9" s="192"/>
      <c r="EA9" s="192"/>
      <c r="EB9" s="192"/>
      <c r="EC9" s="192"/>
      <c r="ED9" s="192"/>
      <c r="EE9" s="192"/>
      <c r="EF9" s="192"/>
      <c r="EG9" s="192"/>
      <c r="EH9" s="192"/>
      <c r="EI9" s="192"/>
      <c r="EJ9" s="192"/>
      <c r="EK9" s="192"/>
      <c r="EL9" s="192"/>
      <c r="EM9" s="192"/>
      <c r="EN9" s="192"/>
      <c r="EO9" s="192"/>
      <c r="EP9" s="192"/>
      <c r="EQ9" s="192"/>
      <c r="ER9" s="192"/>
      <c r="ES9" s="192"/>
      <c r="ET9" s="192"/>
      <c r="EU9" s="192"/>
      <c r="EV9" s="192"/>
      <c r="EW9" s="192"/>
      <c r="EX9" s="192"/>
      <c r="EY9" s="192"/>
      <c r="EZ9" s="192"/>
      <c r="FA9" s="192"/>
      <c r="FB9" s="192"/>
      <c r="FC9" s="192"/>
      <c r="FD9" s="192"/>
      <c r="FE9" s="192"/>
      <c r="FF9" s="192"/>
      <c r="FG9" s="192"/>
      <c r="FH9" s="192"/>
      <c r="FI9" s="192"/>
      <c r="FJ9" s="192"/>
      <c r="FK9" s="192"/>
      <c r="FL9" s="192"/>
      <c r="FM9" s="192"/>
      <c r="FN9" s="192"/>
      <c r="FO9" s="192"/>
      <c r="FP9" s="192"/>
      <c r="FQ9" s="192"/>
      <c r="FR9" s="192"/>
      <c r="FS9" s="192"/>
      <c r="FT9" s="192"/>
      <c r="FU9" s="192"/>
      <c r="FV9" s="192"/>
      <c r="FW9" s="192"/>
      <c r="FX9" s="192"/>
      <c r="FY9" s="192"/>
      <c r="FZ9" s="192"/>
      <c r="GA9" s="192"/>
      <c r="GB9" s="192"/>
      <c r="GC9" s="192"/>
      <c r="GD9" s="192"/>
      <c r="GE9" s="192"/>
      <c r="GF9" s="192"/>
      <c r="GG9" s="192"/>
      <c r="GH9" s="192"/>
      <c r="GI9" s="192"/>
      <c r="GJ9" s="192"/>
      <c r="GK9" s="192"/>
      <c r="GL9" s="192"/>
      <c r="GM9" s="192"/>
      <c r="GN9" s="192"/>
      <c r="GO9" s="192"/>
      <c r="GP9" s="192"/>
      <c r="GQ9" s="192"/>
      <c r="GR9" s="192"/>
      <c r="GS9" s="192"/>
      <c r="GT9" s="192"/>
      <c r="GU9" s="192"/>
      <c r="GV9" s="192"/>
      <c r="GW9" s="192"/>
      <c r="GX9" s="192"/>
      <c r="GY9" s="192"/>
      <c r="GZ9" s="192"/>
      <c r="HA9" s="192"/>
      <c r="HB9" s="192"/>
      <c r="HC9" s="192"/>
      <c r="HD9" s="192"/>
      <c r="HE9" s="192"/>
      <c r="HF9" s="192"/>
      <c r="HG9" s="192"/>
      <c r="HH9" s="192"/>
      <c r="HI9" s="192"/>
      <c r="HJ9" s="192"/>
      <c r="HK9" s="192"/>
      <c r="HL9" s="192"/>
      <c r="HM9" s="192"/>
      <c r="HN9" s="192"/>
      <c r="HO9" s="192"/>
      <c r="HP9" s="192"/>
      <c r="HQ9" s="192"/>
      <c r="HR9" s="192"/>
      <c r="HS9" s="192"/>
      <c r="HT9" s="192"/>
      <c r="HU9" s="192"/>
      <c r="HV9" s="192"/>
      <c r="HW9" s="192"/>
      <c r="HX9" s="192"/>
      <c r="HY9" s="192"/>
      <c r="HZ9" s="192"/>
      <c r="IA9" s="192"/>
      <c r="IB9" s="192"/>
      <c r="IC9" s="192"/>
      <c r="ID9" s="192"/>
      <c r="IE9" s="192"/>
      <c r="IF9" s="192"/>
      <c r="IG9" s="192"/>
      <c r="IH9" s="192"/>
      <c r="II9" s="192"/>
      <c r="IJ9" s="192"/>
      <c r="IK9" s="192"/>
      <c r="IL9" s="192"/>
      <c r="IM9" s="192"/>
      <c r="IN9" s="192"/>
      <c r="IO9" s="192"/>
      <c r="IP9" s="192"/>
      <c r="IQ9" s="192"/>
    </row>
    <row r="10" spans="1:251" s="157" customFormat="1" ht="21.75" customHeight="1">
      <c r="A10" s="196">
        <v>3</v>
      </c>
      <c r="B10" s="277" t="s">
        <v>180</v>
      </c>
      <c r="C10" s="278" t="s">
        <v>183</v>
      </c>
      <c r="D10" s="271">
        <v>55</v>
      </c>
      <c r="E10" s="271"/>
      <c r="F10" s="278" t="s">
        <v>182</v>
      </c>
      <c r="G10" s="271" t="s">
        <v>179</v>
      </c>
      <c r="H10" s="285" t="s">
        <v>264</v>
      </c>
      <c r="I10" s="197">
        <f t="shared" si="0"/>
        <v>420000</v>
      </c>
      <c r="J10" s="286" t="s">
        <v>265</v>
      </c>
      <c r="K10" s="200">
        <f t="shared" si="1"/>
        <v>300000</v>
      </c>
      <c r="L10" s="286" t="s">
        <v>272</v>
      </c>
      <c r="M10" s="198">
        <f t="shared" si="2"/>
        <v>300000</v>
      </c>
      <c r="N10" s="198">
        <f t="shared" si="3"/>
        <v>1020000</v>
      </c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2"/>
      <c r="AI10" s="192"/>
      <c r="AJ10" s="192"/>
      <c r="AK10" s="192"/>
      <c r="AL10" s="192"/>
      <c r="AM10" s="192"/>
      <c r="AN10" s="192"/>
      <c r="AO10" s="192"/>
      <c r="AP10" s="192"/>
      <c r="AQ10" s="192"/>
      <c r="AR10" s="192"/>
      <c r="AS10" s="192"/>
      <c r="AT10" s="192"/>
      <c r="AU10" s="192"/>
      <c r="AV10" s="192"/>
      <c r="AW10" s="192"/>
      <c r="AX10" s="192"/>
      <c r="AY10" s="192"/>
      <c r="AZ10" s="192"/>
      <c r="BA10" s="192"/>
      <c r="BB10" s="192"/>
      <c r="BC10" s="192"/>
      <c r="BD10" s="192"/>
      <c r="BE10" s="192"/>
      <c r="BF10" s="192"/>
      <c r="BG10" s="192"/>
      <c r="BH10" s="192"/>
      <c r="BI10" s="192"/>
      <c r="BJ10" s="192"/>
      <c r="BK10" s="192"/>
      <c r="BL10" s="192"/>
      <c r="BM10" s="192"/>
      <c r="BN10" s="192"/>
      <c r="BO10" s="192"/>
      <c r="BP10" s="192"/>
      <c r="BQ10" s="192"/>
      <c r="BR10" s="192"/>
      <c r="BS10" s="192"/>
      <c r="BT10" s="192"/>
      <c r="BU10" s="192"/>
      <c r="BV10" s="192"/>
      <c r="BW10" s="192"/>
      <c r="BX10" s="192"/>
      <c r="BY10" s="192"/>
      <c r="BZ10" s="192"/>
      <c r="CA10" s="192"/>
      <c r="CB10" s="192"/>
      <c r="CC10" s="192"/>
      <c r="CD10" s="192"/>
      <c r="CE10" s="192"/>
      <c r="CF10" s="192"/>
      <c r="CG10" s="192"/>
      <c r="CH10" s="192"/>
      <c r="CI10" s="192"/>
      <c r="CJ10" s="192"/>
      <c r="CK10" s="192"/>
      <c r="CL10" s="192"/>
      <c r="CM10" s="192"/>
      <c r="CN10" s="192"/>
      <c r="CO10" s="192"/>
      <c r="CP10" s="192"/>
      <c r="CQ10" s="192"/>
      <c r="CR10" s="192"/>
      <c r="CS10" s="192"/>
      <c r="CT10" s="192"/>
      <c r="CU10" s="192"/>
      <c r="CV10" s="192"/>
      <c r="CW10" s="192"/>
      <c r="CX10" s="192"/>
      <c r="CY10" s="192"/>
      <c r="CZ10" s="192"/>
      <c r="DA10" s="192"/>
      <c r="DB10" s="192"/>
      <c r="DC10" s="192"/>
      <c r="DD10" s="192"/>
      <c r="DE10" s="192"/>
      <c r="DF10" s="192"/>
      <c r="DG10" s="192"/>
      <c r="DH10" s="192"/>
      <c r="DI10" s="192"/>
      <c r="DJ10" s="192"/>
      <c r="DK10" s="192"/>
      <c r="DL10" s="192"/>
      <c r="DM10" s="192"/>
      <c r="DN10" s="192"/>
      <c r="DO10" s="192"/>
      <c r="DP10" s="192"/>
      <c r="DQ10" s="192"/>
      <c r="DR10" s="192"/>
      <c r="DS10" s="192"/>
      <c r="DT10" s="192"/>
      <c r="DU10" s="192"/>
      <c r="DV10" s="192"/>
      <c r="DW10" s="192"/>
      <c r="DX10" s="192"/>
      <c r="DY10" s="192"/>
      <c r="DZ10" s="192"/>
      <c r="EA10" s="192"/>
      <c r="EB10" s="192"/>
      <c r="EC10" s="192"/>
      <c r="ED10" s="192"/>
      <c r="EE10" s="192"/>
      <c r="EF10" s="192"/>
      <c r="EG10" s="192"/>
      <c r="EH10" s="192"/>
      <c r="EI10" s="192"/>
      <c r="EJ10" s="192"/>
      <c r="EK10" s="192"/>
      <c r="EL10" s="192"/>
      <c r="EM10" s="192"/>
      <c r="EN10" s="192"/>
      <c r="EO10" s="192"/>
      <c r="EP10" s="192"/>
      <c r="EQ10" s="192"/>
      <c r="ER10" s="192"/>
      <c r="ES10" s="192"/>
      <c r="ET10" s="192"/>
      <c r="EU10" s="192"/>
      <c r="EV10" s="192"/>
      <c r="EW10" s="192"/>
      <c r="EX10" s="192"/>
      <c r="EY10" s="192"/>
      <c r="EZ10" s="192"/>
      <c r="FA10" s="192"/>
      <c r="FB10" s="192"/>
      <c r="FC10" s="192"/>
      <c r="FD10" s="192"/>
      <c r="FE10" s="192"/>
      <c r="FF10" s="192"/>
      <c r="FG10" s="192"/>
      <c r="FH10" s="192"/>
      <c r="FI10" s="192"/>
      <c r="FJ10" s="192"/>
      <c r="FK10" s="192"/>
      <c r="FL10" s="192"/>
      <c r="FM10" s="192"/>
      <c r="FN10" s="192"/>
      <c r="FO10" s="192"/>
      <c r="FP10" s="192"/>
      <c r="FQ10" s="192"/>
      <c r="FR10" s="192"/>
      <c r="FS10" s="192"/>
      <c r="FT10" s="192"/>
      <c r="FU10" s="192"/>
      <c r="FV10" s="192"/>
      <c r="FW10" s="192"/>
      <c r="FX10" s="192"/>
      <c r="FY10" s="192"/>
      <c r="FZ10" s="192"/>
      <c r="GA10" s="192"/>
      <c r="GB10" s="192"/>
      <c r="GC10" s="192"/>
      <c r="GD10" s="192"/>
      <c r="GE10" s="192"/>
      <c r="GF10" s="192"/>
      <c r="GG10" s="192"/>
      <c r="GH10" s="192"/>
      <c r="GI10" s="192"/>
      <c r="GJ10" s="192"/>
      <c r="GK10" s="192"/>
      <c r="GL10" s="192"/>
      <c r="GM10" s="192"/>
      <c r="GN10" s="192"/>
      <c r="GO10" s="192"/>
      <c r="GP10" s="192"/>
      <c r="GQ10" s="192"/>
      <c r="GR10" s="192"/>
      <c r="GS10" s="192"/>
      <c r="GT10" s="192"/>
      <c r="GU10" s="192"/>
      <c r="GV10" s="192"/>
      <c r="GW10" s="192"/>
      <c r="GX10" s="192"/>
      <c r="GY10" s="192"/>
      <c r="GZ10" s="192"/>
      <c r="HA10" s="192"/>
      <c r="HB10" s="192"/>
      <c r="HC10" s="192"/>
      <c r="HD10" s="192"/>
      <c r="HE10" s="192"/>
      <c r="HF10" s="192"/>
      <c r="HG10" s="192"/>
      <c r="HH10" s="192"/>
      <c r="HI10" s="192"/>
      <c r="HJ10" s="192"/>
      <c r="HK10" s="192"/>
      <c r="HL10" s="192"/>
      <c r="HM10" s="192"/>
      <c r="HN10" s="192"/>
      <c r="HO10" s="192"/>
      <c r="HP10" s="192"/>
      <c r="HQ10" s="192"/>
      <c r="HR10" s="192"/>
      <c r="HS10" s="192"/>
      <c r="HT10" s="192"/>
      <c r="HU10" s="192"/>
      <c r="HV10" s="192"/>
      <c r="HW10" s="192"/>
      <c r="HX10" s="192"/>
      <c r="HY10" s="192"/>
      <c r="HZ10" s="192"/>
      <c r="IA10" s="192"/>
      <c r="IB10" s="192"/>
      <c r="IC10" s="192"/>
      <c r="ID10" s="192"/>
      <c r="IE10" s="192"/>
      <c r="IF10" s="192"/>
      <c r="IG10" s="192"/>
      <c r="IH10" s="192"/>
      <c r="II10" s="192"/>
      <c r="IJ10" s="192"/>
      <c r="IK10" s="192"/>
      <c r="IL10" s="192"/>
      <c r="IM10" s="192"/>
      <c r="IN10" s="192"/>
      <c r="IO10" s="192"/>
      <c r="IP10" s="192"/>
      <c r="IQ10" s="192"/>
    </row>
    <row r="11" spans="1:251" s="157" customFormat="1" ht="21.75" customHeight="1">
      <c r="A11" s="196">
        <v>4</v>
      </c>
      <c r="B11" s="277" t="s">
        <v>180</v>
      </c>
      <c r="C11" s="278" t="s">
        <v>184</v>
      </c>
      <c r="D11" s="271">
        <v>54</v>
      </c>
      <c r="E11" s="271"/>
      <c r="F11" s="278" t="s">
        <v>182</v>
      </c>
      <c r="G11" s="271" t="s">
        <v>179</v>
      </c>
      <c r="H11" s="285" t="s">
        <v>264</v>
      </c>
      <c r="I11" s="197">
        <f t="shared" si="0"/>
        <v>420000</v>
      </c>
      <c r="J11" s="286" t="s">
        <v>265</v>
      </c>
      <c r="K11" s="200">
        <f t="shared" si="1"/>
        <v>300000</v>
      </c>
      <c r="L11" s="286" t="s">
        <v>272</v>
      </c>
      <c r="M11" s="198">
        <f t="shared" si="2"/>
        <v>300000</v>
      </c>
      <c r="N11" s="198">
        <f t="shared" si="3"/>
        <v>1020000</v>
      </c>
      <c r="O11" s="192"/>
      <c r="P11" s="192"/>
      <c r="Q11" s="192"/>
      <c r="R11" s="192"/>
      <c r="S11" s="192"/>
      <c r="T11" s="192"/>
      <c r="U11" s="192"/>
      <c r="V11" s="192"/>
      <c r="W11" s="192"/>
      <c r="X11" s="192"/>
      <c r="Y11" s="192"/>
      <c r="Z11" s="192"/>
      <c r="AA11" s="192"/>
      <c r="AB11" s="192"/>
      <c r="AC11" s="192"/>
      <c r="AD11" s="192"/>
      <c r="AE11" s="192"/>
      <c r="AF11" s="192"/>
      <c r="AG11" s="192"/>
      <c r="AH11" s="192"/>
      <c r="AI11" s="192"/>
      <c r="AJ11" s="192"/>
      <c r="AK11" s="192"/>
      <c r="AL11" s="192"/>
      <c r="AM11" s="192"/>
      <c r="AN11" s="192"/>
      <c r="AO11" s="192"/>
      <c r="AP11" s="192"/>
      <c r="AQ11" s="192"/>
      <c r="AR11" s="192"/>
      <c r="AS11" s="192"/>
      <c r="AT11" s="192"/>
      <c r="AU11" s="192"/>
      <c r="AV11" s="192"/>
      <c r="AW11" s="192"/>
      <c r="AX11" s="192"/>
      <c r="AY11" s="192"/>
      <c r="AZ11" s="192"/>
      <c r="BA11" s="192"/>
      <c r="BB11" s="192"/>
      <c r="BC11" s="192"/>
      <c r="BD11" s="192"/>
      <c r="BE11" s="192"/>
      <c r="BF11" s="192"/>
      <c r="BG11" s="192"/>
      <c r="BH11" s="192"/>
      <c r="BI11" s="192"/>
      <c r="BJ11" s="192"/>
      <c r="BK11" s="192"/>
      <c r="BL11" s="192"/>
      <c r="BM11" s="192"/>
      <c r="BN11" s="192"/>
      <c r="BO11" s="192"/>
      <c r="BP11" s="192"/>
      <c r="BQ11" s="192"/>
      <c r="BR11" s="192"/>
      <c r="BS11" s="192"/>
      <c r="BT11" s="192"/>
      <c r="BU11" s="192"/>
      <c r="BV11" s="192"/>
      <c r="BW11" s="192"/>
      <c r="BX11" s="192"/>
      <c r="BY11" s="192"/>
      <c r="BZ11" s="192"/>
      <c r="CA11" s="192"/>
      <c r="CB11" s="192"/>
      <c r="CC11" s="192"/>
      <c r="CD11" s="192"/>
      <c r="CE11" s="192"/>
      <c r="CF11" s="192"/>
      <c r="CG11" s="192"/>
      <c r="CH11" s="192"/>
      <c r="CI11" s="192"/>
      <c r="CJ11" s="192"/>
      <c r="CK11" s="192"/>
      <c r="CL11" s="192"/>
      <c r="CM11" s="192"/>
      <c r="CN11" s="192"/>
      <c r="CO11" s="192"/>
      <c r="CP11" s="192"/>
      <c r="CQ11" s="192"/>
      <c r="CR11" s="192"/>
      <c r="CS11" s="192"/>
      <c r="CT11" s="192"/>
      <c r="CU11" s="192"/>
      <c r="CV11" s="192"/>
      <c r="CW11" s="192"/>
      <c r="CX11" s="192"/>
      <c r="CY11" s="192"/>
      <c r="CZ11" s="192"/>
      <c r="DA11" s="192"/>
      <c r="DB11" s="192"/>
      <c r="DC11" s="192"/>
      <c r="DD11" s="192"/>
      <c r="DE11" s="192"/>
      <c r="DF11" s="192"/>
      <c r="DG11" s="192"/>
      <c r="DH11" s="192"/>
      <c r="DI11" s="192"/>
      <c r="DJ11" s="192"/>
      <c r="DK11" s="192"/>
      <c r="DL11" s="192"/>
      <c r="DM11" s="192"/>
      <c r="DN11" s="192"/>
      <c r="DO11" s="192"/>
      <c r="DP11" s="192"/>
      <c r="DQ11" s="192"/>
      <c r="DR11" s="192"/>
      <c r="DS11" s="192"/>
      <c r="DT11" s="192"/>
      <c r="DU11" s="192"/>
      <c r="DV11" s="192"/>
      <c r="DW11" s="192"/>
      <c r="DX11" s="192"/>
      <c r="DY11" s="192"/>
      <c r="DZ11" s="192"/>
      <c r="EA11" s="192"/>
      <c r="EB11" s="192"/>
      <c r="EC11" s="192"/>
      <c r="ED11" s="192"/>
      <c r="EE11" s="192"/>
      <c r="EF11" s="192"/>
      <c r="EG11" s="192"/>
      <c r="EH11" s="192"/>
      <c r="EI11" s="192"/>
      <c r="EJ11" s="192"/>
      <c r="EK11" s="192"/>
      <c r="EL11" s="192"/>
      <c r="EM11" s="192"/>
      <c r="EN11" s="192"/>
      <c r="EO11" s="192"/>
      <c r="EP11" s="192"/>
      <c r="EQ11" s="192"/>
      <c r="ER11" s="192"/>
      <c r="ES11" s="192"/>
      <c r="ET11" s="192"/>
      <c r="EU11" s="192"/>
      <c r="EV11" s="192"/>
      <c r="EW11" s="192"/>
      <c r="EX11" s="192"/>
      <c r="EY11" s="192"/>
      <c r="EZ11" s="192"/>
      <c r="FA11" s="192"/>
      <c r="FB11" s="192"/>
      <c r="FC11" s="192"/>
      <c r="FD11" s="192"/>
      <c r="FE11" s="192"/>
      <c r="FF11" s="192"/>
      <c r="FG11" s="192"/>
      <c r="FH11" s="192"/>
      <c r="FI11" s="192"/>
      <c r="FJ11" s="192"/>
      <c r="FK11" s="192"/>
      <c r="FL11" s="192"/>
      <c r="FM11" s="192"/>
      <c r="FN11" s="192"/>
      <c r="FO11" s="192"/>
      <c r="FP11" s="192"/>
      <c r="FQ11" s="192"/>
      <c r="FR11" s="192"/>
      <c r="FS11" s="192"/>
      <c r="FT11" s="192"/>
      <c r="FU11" s="192"/>
      <c r="FV11" s="192"/>
      <c r="FW11" s="192"/>
      <c r="FX11" s="192"/>
      <c r="FY11" s="192"/>
      <c r="FZ11" s="192"/>
      <c r="GA11" s="192"/>
      <c r="GB11" s="192"/>
      <c r="GC11" s="192"/>
      <c r="GD11" s="192"/>
      <c r="GE11" s="192"/>
      <c r="GF11" s="192"/>
      <c r="GG11" s="192"/>
      <c r="GH11" s="192"/>
      <c r="GI11" s="192"/>
      <c r="GJ11" s="192"/>
      <c r="GK11" s="192"/>
      <c r="GL11" s="192"/>
      <c r="GM11" s="192"/>
      <c r="GN11" s="192"/>
      <c r="GO11" s="192"/>
      <c r="GP11" s="192"/>
      <c r="GQ11" s="192"/>
      <c r="GR11" s="192"/>
      <c r="GS11" s="192"/>
      <c r="GT11" s="192"/>
      <c r="GU11" s="192"/>
      <c r="GV11" s="192"/>
      <c r="GW11" s="192"/>
      <c r="GX11" s="192"/>
      <c r="GY11" s="192"/>
      <c r="GZ11" s="192"/>
      <c r="HA11" s="192"/>
      <c r="HB11" s="192"/>
      <c r="HC11" s="192"/>
      <c r="HD11" s="192"/>
      <c r="HE11" s="192"/>
      <c r="HF11" s="192"/>
      <c r="HG11" s="192"/>
      <c r="HH11" s="192"/>
      <c r="HI11" s="192"/>
      <c r="HJ11" s="192"/>
      <c r="HK11" s="192"/>
      <c r="HL11" s="192"/>
      <c r="HM11" s="192"/>
      <c r="HN11" s="192"/>
      <c r="HO11" s="192"/>
      <c r="HP11" s="192"/>
      <c r="HQ11" s="192"/>
      <c r="HR11" s="192"/>
      <c r="HS11" s="192"/>
      <c r="HT11" s="192"/>
      <c r="HU11" s="192"/>
      <c r="HV11" s="192"/>
      <c r="HW11" s="192"/>
      <c r="HX11" s="192"/>
      <c r="HY11" s="192"/>
      <c r="HZ11" s="192"/>
      <c r="IA11" s="192"/>
      <c r="IB11" s="192"/>
      <c r="IC11" s="192"/>
      <c r="ID11" s="192"/>
      <c r="IE11" s="192"/>
      <c r="IF11" s="192"/>
      <c r="IG11" s="192"/>
      <c r="IH11" s="192"/>
      <c r="II11" s="192"/>
      <c r="IJ11" s="192"/>
      <c r="IK11" s="192"/>
      <c r="IL11" s="192"/>
      <c r="IM11" s="192"/>
      <c r="IN11" s="192"/>
      <c r="IO11" s="192"/>
      <c r="IP11" s="192"/>
      <c r="IQ11" s="192"/>
    </row>
    <row r="12" spans="1:251" s="157" customFormat="1" ht="21.75" customHeight="1">
      <c r="A12" s="196">
        <v>5</v>
      </c>
      <c r="B12" s="277" t="s">
        <v>185</v>
      </c>
      <c r="C12" s="278" t="s">
        <v>186</v>
      </c>
      <c r="D12" s="271">
        <v>20</v>
      </c>
      <c r="E12" s="271"/>
      <c r="F12" s="278" t="s">
        <v>187</v>
      </c>
      <c r="G12" s="271" t="s">
        <v>188</v>
      </c>
      <c r="H12" s="285" t="s">
        <v>265</v>
      </c>
      <c r="I12" s="197">
        <f t="shared" si="0"/>
        <v>187500</v>
      </c>
      <c r="J12" s="286" t="s">
        <v>272</v>
      </c>
      <c r="K12" s="200">
        <f t="shared" si="1"/>
        <v>135000</v>
      </c>
      <c r="L12" s="286" t="s">
        <v>278</v>
      </c>
      <c r="M12" s="198">
        <f t="shared" si="2"/>
        <v>135000</v>
      </c>
      <c r="N12" s="198">
        <f t="shared" si="3"/>
        <v>457500</v>
      </c>
      <c r="O12" s="192"/>
      <c r="P12" s="192"/>
      <c r="Q12" s="192"/>
      <c r="R12" s="192"/>
      <c r="S12" s="192"/>
      <c r="T12" s="192"/>
      <c r="U12" s="192"/>
      <c r="V12" s="192"/>
      <c r="W12" s="192"/>
      <c r="X12" s="192"/>
      <c r="Y12" s="192"/>
      <c r="Z12" s="192"/>
      <c r="AA12" s="192"/>
      <c r="AB12" s="192"/>
      <c r="AC12" s="192"/>
      <c r="AD12" s="192"/>
      <c r="AE12" s="192"/>
      <c r="AF12" s="192"/>
      <c r="AG12" s="192"/>
      <c r="AH12" s="192"/>
      <c r="AI12" s="192"/>
      <c r="AJ12" s="192"/>
      <c r="AK12" s="192"/>
      <c r="AL12" s="192"/>
      <c r="AM12" s="192"/>
      <c r="AN12" s="192"/>
      <c r="AO12" s="192"/>
      <c r="AP12" s="192"/>
      <c r="AQ12" s="192"/>
      <c r="AR12" s="192"/>
      <c r="AS12" s="192"/>
      <c r="AT12" s="192"/>
      <c r="AU12" s="192"/>
      <c r="AV12" s="192"/>
      <c r="AW12" s="192"/>
      <c r="AX12" s="192"/>
      <c r="AY12" s="192"/>
      <c r="AZ12" s="192"/>
      <c r="BA12" s="192"/>
      <c r="BB12" s="192"/>
      <c r="BC12" s="192"/>
      <c r="BD12" s="192"/>
      <c r="BE12" s="192"/>
      <c r="BF12" s="192"/>
      <c r="BG12" s="192"/>
      <c r="BH12" s="192"/>
      <c r="BI12" s="192"/>
      <c r="BJ12" s="192"/>
      <c r="BK12" s="192"/>
      <c r="BL12" s="192"/>
      <c r="BM12" s="192"/>
      <c r="BN12" s="192"/>
      <c r="BO12" s="192"/>
      <c r="BP12" s="192"/>
      <c r="BQ12" s="192"/>
      <c r="BR12" s="192"/>
      <c r="BS12" s="192"/>
      <c r="BT12" s="192"/>
      <c r="BU12" s="192"/>
      <c r="BV12" s="192"/>
      <c r="BW12" s="192"/>
      <c r="BX12" s="192"/>
      <c r="BY12" s="192"/>
      <c r="BZ12" s="192"/>
      <c r="CA12" s="192"/>
      <c r="CB12" s="192"/>
      <c r="CC12" s="192"/>
      <c r="CD12" s="192"/>
      <c r="CE12" s="192"/>
      <c r="CF12" s="192"/>
      <c r="CG12" s="192"/>
      <c r="CH12" s="192"/>
      <c r="CI12" s="192"/>
      <c r="CJ12" s="192"/>
      <c r="CK12" s="192"/>
      <c r="CL12" s="192"/>
      <c r="CM12" s="192"/>
      <c r="CN12" s="192"/>
      <c r="CO12" s="192"/>
      <c r="CP12" s="192"/>
      <c r="CQ12" s="192"/>
      <c r="CR12" s="192"/>
      <c r="CS12" s="192"/>
      <c r="CT12" s="192"/>
      <c r="CU12" s="192"/>
      <c r="CV12" s="192"/>
      <c r="CW12" s="192"/>
      <c r="CX12" s="192"/>
      <c r="CY12" s="192"/>
      <c r="CZ12" s="192"/>
      <c r="DA12" s="192"/>
      <c r="DB12" s="192"/>
      <c r="DC12" s="192"/>
      <c r="DD12" s="192"/>
      <c r="DE12" s="192"/>
      <c r="DF12" s="192"/>
      <c r="DG12" s="192"/>
      <c r="DH12" s="192"/>
      <c r="DI12" s="192"/>
      <c r="DJ12" s="192"/>
      <c r="DK12" s="192"/>
      <c r="DL12" s="192"/>
      <c r="DM12" s="192"/>
      <c r="DN12" s="192"/>
      <c r="DO12" s="192"/>
      <c r="DP12" s="192"/>
      <c r="DQ12" s="192"/>
      <c r="DR12" s="192"/>
      <c r="DS12" s="192"/>
      <c r="DT12" s="192"/>
      <c r="DU12" s="192"/>
      <c r="DV12" s="192"/>
      <c r="DW12" s="192"/>
      <c r="DX12" s="192"/>
      <c r="DY12" s="192"/>
      <c r="DZ12" s="192"/>
      <c r="EA12" s="192"/>
      <c r="EB12" s="192"/>
      <c r="EC12" s="192"/>
      <c r="ED12" s="192"/>
      <c r="EE12" s="192"/>
      <c r="EF12" s="192"/>
      <c r="EG12" s="192"/>
      <c r="EH12" s="192"/>
      <c r="EI12" s="192"/>
      <c r="EJ12" s="192"/>
      <c r="EK12" s="192"/>
      <c r="EL12" s="192"/>
      <c r="EM12" s="192"/>
      <c r="EN12" s="192"/>
      <c r="EO12" s="192"/>
      <c r="EP12" s="192"/>
      <c r="EQ12" s="192"/>
      <c r="ER12" s="192"/>
      <c r="ES12" s="192"/>
      <c r="ET12" s="192"/>
      <c r="EU12" s="192"/>
      <c r="EV12" s="192"/>
      <c r="EW12" s="192"/>
      <c r="EX12" s="192"/>
      <c r="EY12" s="192"/>
      <c r="EZ12" s="192"/>
      <c r="FA12" s="192"/>
      <c r="FB12" s="192"/>
      <c r="FC12" s="192"/>
      <c r="FD12" s="192"/>
      <c r="FE12" s="192"/>
      <c r="FF12" s="192"/>
      <c r="FG12" s="192"/>
      <c r="FH12" s="192"/>
      <c r="FI12" s="192"/>
      <c r="FJ12" s="192"/>
      <c r="FK12" s="192"/>
      <c r="FL12" s="192"/>
      <c r="FM12" s="192"/>
      <c r="FN12" s="192"/>
      <c r="FO12" s="192"/>
      <c r="FP12" s="192"/>
      <c r="FQ12" s="192"/>
      <c r="FR12" s="192"/>
      <c r="FS12" s="192"/>
      <c r="FT12" s="192"/>
      <c r="FU12" s="192"/>
      <c r="FV12" s="192"/>
      <c r="FW12" s="192"/>
      <c r="FX12" s="192"/>
      <c r="FY12" s="192"/>
      <c r="FZ12" s="192"/>
      <c r="GA12" s="192"/>
      <c r="GB12" s="192"/>
      <c r="GC12" s="192"/>
      <c r="GD12" s="192"/>
      <c r="GE12" s="192"/>
      <c r="GF12" s="192"/>
      <c r="GG12" s="192"/>
      <c r="GH12" s="192"/>
      <c r="GI12" s="192"/>
      <c r="GJ12" s="192"/>
      <c r="GK12" s="192"/>
      <c r="GL12" s="192"/>
      <c r="GM12" s="192"/>
      <c r="GN12" s="192"/>
      <c r="GO12" s="192"/>
      <c r="GP12" s="192"/>
      <c r="GQ12" s="192"/>
      <c r="GR12" s="192"/>
      <c r="GS12" s="192"/>
      <c r="GT12" s="192"/>
      <c r="GU12" s="192"/>
      <c r="GV12" s="192"/>
      <c r="GW12" s="192"/>
      <c r="GX12" s="192"/>
      <c r="GY12" s="192"/>
      <c r="GZ12" s="192"/>
      <c r="HA12" s="192"/>
      <c r="HB12" s="192"/>
      <c r="HC12" s="192"/>
      <c r="HD12" s="192"/>
      <c r="HE12" s="192"/>
      <c r="HF12" s="192"/>
      <c r="HG12" s="192"/>
      <c r="HH12" s="192"/>
      <c r="HI12" s="192"/>
      <c r="HJ12" s="192"/>
      <c r="HK12" s="192"/>
      <c r="HL12" s="192"/>
      <c r="HM12" s="192"/>
      <c r="HN12" s="192"/>
      <c r="HO12" s="192"/>
      <c r="HP12" s="192"/>
      <c r="HQ12" s="192"/>
      <c r="HR12" s="192"/>
      <c r="HS12" s="192"/>
      <c r="HT12" s="192"/>
      <c r="HU12" s="192"/>
      <c r="HV12" s="192"/>
      <c r="HW12" s="192"/>
      <c r="HX12" s="192"/>
      <c r="HY12" s="192"/>
      <c r="HZ12" s="192"/>
      <c r="IA12" s="192"/>
      <c r="IB12" s="192"/>
      <c r="IC12" s="192"/>
      <c r="ID12" s="192"/>
      <c r="IE12" s="192"/>
      <c r="IF12" s="192"/>
      <c r="IG12" s="192"/>
      <c r="IH12" s="192"/>
      <c r="II12" s="192"/>
      <c r="IJ12" s="192"/>
      <c r="IK12" s="192"/>
      <c r="IL12" s="192"/>
      <c r="IM12" s="192"/>
      <c r="IN12" s="192"/>
      <c r="IO12" s="192"/>
      <c r="IP12" s="192"/>
      <c r="IQ12" s="192"/>
    </row>
    <row r="13" spans="1:251" s="157" customFormat="1" ht="21.75" customHeight="1">
      <c r="A13" s="196">
        <v>6</v>
      </c>
      <c r="B13" s="277" t="s">
        <v>189</v>
      </c>
      <c r="C13" s="278" t="s">
        <v>190</v>
      </c>
      <c r="D13" s="271">
        <v>77</v>
      </c>
      <c r="E13" s="271"/>
      <c r="F13" s="278" t="s">
        <v>191</v>
      </c>
      <c r="G13" s="271" t="s">
        <v>192</v>
      </c>
      <c r="H13" s="285" t="s">
        <v>265</v>
      </c>
      <c r="I13" s="197">
        <f t="shared" si="0"/>
        <v>187500</v>
      </c>
      <c r="J13" s="286" t="s">
        <v>267</v>
      </c>
      <c r="K13" s="200">
        <f t="shared" si="1"/>
        <v>135000</v>
      </c>
      <c r="L13" s="286" t="s">
        <v>268</v>
      </c>
      <c r="M13" s="198">
        <f t="shared" si="2"/>
        <v>135000</v>
      </c>
      <c r="N13" s="198">
        <f t="shared" si="3"/>
        <v>457500</v>
      </c>
      <c r="O13" s="192"/>
      <c r="P13" s="192"/>
      <c r="Q13" s="192"/>
      <c r="R13" s="192"/>
      <c r="S13" s="192"/>
      <c r="T13" s="192"/>
      <c r="U13" s="192"/>
      <c r="V13" s="192"/>
      <c r="W13" s="192"/>
      <c r="X13" s="192"/>
      <c r="Y13" s="192"/>
      <c r="Z13" s="192"/>
      <c r="AA13" s="192"/>
      <c r="AB13" s="192"/>
      <c r="AC13" s="192"/>
      <c r="AD13" s="192"/>
      <c r="AE13" s="192"/>
      <c r="AF13" s="192"/>
      <c r="AG13" s="192"/>
      <c r="AH13" s="192"/>
      <c r="AI13" s="192"/>
      <c r="AJ13" s="192"/>
      <c r="AK13" s="192"/>
      <c r="AL13" s="192"/>
      <c r="AM13" s="192"/>
      <c r="AN13" s="192"/>
      <c r="AO13" s="192"/>
      <c r="AP13" s="192"/>
      <c r="AQ13" s="192"/>
      <c r="AR13" s="192"/>
      <c r="AS13" s="192"/>
      <c r="AT13" s="192"/>
      <c r="AU13" s="192"/>
      <c r="AV13" s="192"/>
      <c r="AW13" s="192"/>
      <c r="AX13" s="192"/>
      <c r="AY13" s="192"/>
      <c r="AZ13" s="192"/>
      <c r="BA13" s="192"/>
      <c r="BB13" s="192"/>
      <c r="BC13" s="192"/>
      <c r="BD13" s="192"/>
      <c r="BE13" s="192"/>
      <c r="BF13" s="192"/>
      <c r="BG13" s="192"/>
      <c r="BH13" s="192"/>
      <c r="BI13" s="192"/>
      <c r="BJ13" s="192"/>
      <c r="BK13" s="192"/>
      <c r="BL13" s="192"/>
      <c r="BM13" s="192"/>
      <c r="BN13" s="192"/>
      <c r="BO13" s="192"/>
      <c r="BP13" s="192"/>
      <c r="BQ13" s="192"/>
      <c r="BR13" s="192"/>
      <c r="BS13" s="192"/>
      <c r="BT13" s="192"/>
      <c r="BU13" s="192"/>
      <c r="BV13" s="192"/>
      <c r="BW13" s="192"/>
      <c r="BX13" s="192"/>
      <c r="BY13" s="192"/>
      <c r="BZ13" s="192"/>
      <c r="CA13" s="192"/>
      <c r="CB13" s="192"/>
      <c r="CC13" s="192"/>
      <c r="CD13" s="192"/>
      <c r="CE13" s="192"/>
      <c r="CF13" s="192"/>
      <c r="CG13" s="192"/>
      <c r="CH13" s="192"/>
      <c r="CI13" s="192"/>
      <c r="CJ13" s="192"/>
      <c r="CK13" s="192"/>
      <c r="CL13" s="192"/>
      <c r="CM13" s="192"/>
      <c r="CN13" s="192"/>
      <c r="CO13" s="192"/>
      <c r="CP13" s="192"/>
      <c r="CQ13" s="192"/>
      <c r="CR13" s="192"/>
      <c r="CS13" s="192"/>
      <c r="CT13" s="192"/>
      <c r="CU13" s="192"/>
      <c r="CV13" s="192"/>
      <c r="CW13" s="192"/>
      <c r="CX13" s="192"/>
      <c r="CY13" s="192"/>
      <c r="CZ13" s="192"/>
      <c r="DA13" s="192"/>
      <c r="DB13" s="192"/>
      <c r="DC13" s="192"/>
      <c r="DD13" s="192"/>
      <c r="DE13" s="192"/>
      <c r="DF13" s="192"/>
      <c r="DG13" s="192"/>
      <c r="DH13" s="192"/>
      <c r="DI13" s="192"/>
      <c r="DJ13" s="192"/>
      <c r="DK13" s="192"/>
      <c r="DL13" s="192"/>
      <c r="DM13" s="192"/>
      <c r="DN13" s="192"/>
      <c r="DO13" s="192"/>
      <c r="DP13" s="192"/>
      <c r="DQ13" s="192"/>
      <c r="DR13" s="192"/>
      <c r="DS13" s="192"/>
      <c r="DT13" s="192"/>
      <c r="DU13" s="192"/>
      <c r="DV13" s="192"/>
      <c r="DW13" s="192"/>
      <c r="DX13" s="192"/>
      <c r="DY13" s="192"/>
      <c r="DZ13" s="192"/>
      <c r="EA13" s="192"/>
      <c r="EB13" s="192"/>
      <c r="EC13" s="192"/>
      <c r="ED13" s="192"/>
      <c r="EE13" s="192"/>
      <c r="EF13" s="192"/>
      <c r="EG13" s="192"/>
      <c r="EH13" s="192"/>
      <c r="EI13" s="192"/>
      <c r="EJ13" s="192"/>
      <c r="EK13" s="192"/>
      <c r="EL13" s="192"/>
      <c r="EM13" s="192"/>
      <c r="EN13" s="192"/>
      <c r="EO13" s="192"/>
      <c r="EP13" s="192"/>
      <c r="EQ13" s="192"/>
      <c r="ER13" s="192"/>
      <c r="ES13" s="192"/>
      <c r="ET13" s="192"/>
      <c r="EU13" s="192"/>
      <c r="EV13" s="192"/>
      <c r="EW13" s="192"/>
      <c r="EX13" s="192"/>
      <c r="EY13" s="192"/>
      <c r="EZ13" s="192"/>
      <c r="FA13" s="192"/>
      <c r="FB13" s="192"/>
      <c r="FC13" s="192"/>
      <c r="FD13" s="192"/>
      <c r="FE13" s="192"/>
      <c r="FF13" s="192"/>
      <c r="FG13" s="192"/>
      <c r="FH13" s="192"/>
      <c r="FI13" s="192"/>
      <c r="FJ13" s="192"/>
      <c r="FK13" s="192"/>
      <c r="FL13" s="192"/>
      <c r="FM13" s="192"/>
      <c r="FN13" s="192"/>
      <c r="FO13" s="192"/>
      <c r="FP13" s="192"/>
      <c r="FQ13" s="192"/>
      <c r="FR13" s="192"/>
      <c r="FS13" s="192"/>
      <c r="FT13" s="192"/>
      <c r="FU13" s="192"/>
      <c r="FV13" s="192"/>
      <c r="FW13" s="192"/>
      <c r="FX13" s="192"/>
      <c r="FY13" s="192"/>
      <c r="FZ13" s="192"/>
      <c r="GA13" s="192"/>
      <c r="GB13" s="192"/>
      <c r="GC13" s="192"/>
      <c r="GD13" s="192"/>
      <c r="GE13" s="192"/>
      <c r="GF13" s="192"/>
      <c r="GG13" s="192"/>
      <c r="GH13" s="192"/>
      <c r="GI13" s="192"/>
      <c r="GJ13" s="192"/>
      <c r="GK13" s="192"/>
      <c r="GL13" s="192"/>
      <c r="GM13" s="192"/>
      <c r="GN13" s="192"/>
      <c r="GO13" s="192"/>
      <c r="GP13" s="192"/>
      <c r="GQ13" s="192"/>
      <c r="GR13" s="192"/>
      <c r="GS13" s="192"/>
      <c r="GT13" s="192"/>
      <c r="GU13" s="192"/>
      <c r="GV13" s="192"/>
      <c r="GW13" s="192"/>
      <c r="GX13" s="192"/>
      <c r="GY13" s="192"/>
      <c r="GZ13" s="192"/>
      <c r="HA13" s="192"/>
      <c r="HB13" s="192"/>
      <c r="HC13" s="192"/>
      <c r="HD13" s="192"/>
      <c r="HE13" s="192"/>
      <c r="HF13" s="192"/>
      <c r="HG13" s="192"/>
      <c r="HH13" s="192"/>
      <c r="HI13" s="192"/>
      <c r="HJ13" s="192"/>
      <c r="HK13" s="192"/>
      <c r="HL13" s="192"/>
      <c r="HM13" s="192"/>
      <c r="HN13" s="192"/>
      <c r="HO13" s="192"/>
      <c r="HP13" s="192"/>
      <c r="HQ13" s="192"/>
      <c r="HR13" s="192"/>
      <c r="HS13" s="192"/>
      <c r="HT13" s="192"/>
      <c r="HU13" s="192"/>
      <c r="HV13" s="192"/>
      <c r="HW13" s="192"/>
      <c r="HX13" s="192"/>
      <c r="HY13" s="192"/>
      <c r="HZ13" s="192"/>
      <c r="IA13" s="192"/>
      <c r="IB13" s="192"/>
      <c r="IC13" s="192"/>
      <c r="ID13" s="192"/>
      <c r="IE13" s="192"/>
      <c r="IF13" s="192"/>
      <c r="IG13" s="192"/>
      <c r="IH13" s="192"/>
      <c r="II13" s="192"/>
      <c r="IJ13" s="192"/>
      <c r="IK13" s="192"/>
      <c r="IL13" s="192"/>
      <c r="IM13" s="192"/>
      <c r="IN13" s="192"/>
      <c r="IO13" s="192"/>
      <c r="IP13" s="192"/>
      <c r="IQ13" s="192"/>
    </row>
    <row r="14" spans="1:251" s="157" customFormat="1" ht="21.75" customHeight="1">
      <c r="A14" s="196">
        <v>7</v>
      </c>
      <c r="B14" s="277" t="s">
        <v>189</v>
      </c>
      <c r="C14" s="278" t="s">
        <v>193</v>
      </c>
      <c r="D14" s="271">
        <v>63</v>
      </c>
      <c r="E14" s="271"/>
      <c r="F14" s="278" t="s">
        <v>194</v>
      </c>
      <c r="G14" s="271" t="s">
        <v>188</v>
      </c>
      <c r="H14" s="285" t="s">
        <v>266</v>
      </c>
      <c r="I14" s="197">
        <f t="shared" si="0"/>
        <v>187500</v>
      </c>
      <c r="J14" s="286" t="s">
        <v>273</v>
      </c>
      <c r="K14" s="200">
        <f t="shared" si="1"/>
        <v>135000</v>
      </c>
      <c r="L14" s="286" t="s">
        <v>276</v>
      </c>
      <c r="M14" s="198">
        <f t="shared" si="2"/>
        <v>135000</v>
      </c>
      <c r="N14" s="198">
        <f t="shared" si="3"/>
        <v>457500</v>
      </c>
      <c r="O14" s="192"/>
      <c r="P14" s="192"/>
      <c r="Q14" s="192"/>
      <c r="R14" s="192"/>
      <c r="S14" s="192"/>
      <c r="T14" s="192"/>
      <c r="U14" s="192"/>
      <c r="V14" s="192"/>
      <c r="W14" s="192"/>
      <c r="X14" s="192"/>
      <c r="Y14" s="192"/>
      <c r="Z14" s="192"/>
      <c r="AA14" s="192"/>
      <c r="AB14" s="192"/>
      <c r="AC14" s="192"/>
      <c r="AD14" s="192"/>
      <c r="AE14" s="192"/>
      <c r="AF14" s="192"/>
      <c r="AG14" s="192"/>
      <c r="AH14" s="192"/>
      <c r="AI14" s="192"/>
      <c r="AJ14" s="192"/>
      <c r="AK14" s="192"/>
      <c r="AL14" s="192"/>
      <c r="AM14" s="192"/>
      <c r="AN14" s="192"/>
      <c r="AO14" s="192"/>
      <c r="AP14" s="192"/>
      <c r="AQ14" s="192"/>
      <c r="AR14" s="192"/>
      <c r="AS14" s="192"/>
      <c r="AT14" s="192"/>
      <c r="AU14" s="192"/>
      <c r="AV14" s="192"/>
      <c r="AW14" s="192"/>
      <c r="AX14" s="192"/>
      <c r="AY14" s="192"/>
      <c r="AZ14" s="192"/>
      <c r="BA14" s="192"/>
      <c r="BB14" s="192"/>
      <c r="BC14" s="192"/>
      <c r="BD14" s="192"/>
      <c r="BE14" s="192"/>
      <c r="BF14" s="192"/>
      <c r="BG14" s="192"/>
      <c r="BH14" s="192"/>
      <c r="BI14" s="192"/>
      <c r="BJ14" s="192"/>
      <c r="BK14" s="192"/>
      <c r="BL14" s="192"/>
      <c r="BM14" s="192"/>
      <c r="BN14" s="192"/>
      <c r="BO14" s="192"/>
      <c r="BP14" s="192"/>
      <c r="BQ14" s="192"/>
      <c r="BR14" s="192"/>
      <c r="BS14" s="192"/>
      <c r="BT14" s="192"/>
      <c r="BU14" s="192"/>
      <c r="BV14" s="192"/>
      <c r="BW14" s="192"/>
      <c r="BX14" s="192"/>
      <c r="BY14" s="192"/>
      <c r="BZ14" s="192"/>
      <c r="CA14" s="192"/>
      <c r="CB14" s="192"/>
      <c r="CC14" s="192"/>
      <c r="CD14" s="192"/>
      <c r="CE14" s="192"/>
      <c r="CF14" s="192"/>
      <c r="CG14" s="192"/>
      <c r="CH14" s="192"/>
      <c r="CI14" s="192"/>
      <c r="CJ14" s="192"/>
      <c r="CK14" s="192"/>
      <c r="CL14" s="192"/>
      <c r="CM14" s="192"/>
      <c r="CN14" s="192"/>
      <c r="CO14" s="192"/>
      <c r="CP14" s="192"/>
      <c r="CQ14" s="192"/>
      <c r="CR14" s="192"/>
      <c r="CS14" s="192"/>
      <c r="CT14" s="192"/>
      <c r="CU14" s="192"/>
      <c r="CV14" s="192"/>
      <c r="CW14" s="192"/>
      <c r="CX14" s="192"/>
      <c r="CY14" s="192"/>
      <c r="CZ14" s="192"/>
      <c r="DA14" s="192"/>
      <c r="DB14" s="192"/>
      <c r="DC14" s="192"/>
      <c r="DD14" s="192"/>
      <c r="DE14" s="192"/>
      <c r="DF14" s="192"/>
      <c r="DG14" s="192"/>
      <c r="DH14" s="192"/>
      <c r="DI14" s="192"/>
      <c r="DJ14" s="192"/>
      <c r="DK14" s="192"/>
      <c r="DL14" s="192"/>
      <c r="DM14" s="192"/>
      <c r="DN14" s="192"/>
      <c r="DO14" s="192"/>
      <c r="DP14" s="192"/>
      <c r="DQ14" s="192"/>
      <c r="DR14" s="192"/>
      <c r="DS14" s="192"/>
      <c r="DT14" s="192"/>
      <c r="DU14" s="192"/>
      <c r="DV14" s="192"/>
      <c r="DW14" s="192"/>
      <c r="DX14" s="192"/>
      <c r="DY14" s="192"/>
      <c r="DZ14" s="192"/>
      <c r="EA14" s="192"/>
      <c r="EB14" s="192"/>
      <c r="EC14" s="192"/>
      <c r="ED14" s="192"/>
      <c r="EE14" s="192"/>
      <c r="EF14" s="192"/>
      <c r="EG14" s="192"/>
      <c r="EH14" s="192"/>
      <c r="EI14" s="192"/>
      <c r="EJ14" s="192"/>
      <c r="EK14" s="192"/>
      <c r="EL14" s="192"/>
      <c r="EM14" s="192"/>
      <c r="EN14" s="192"/>
      <c r="EO14" s="192"/>
      <c r="EP14" s="192"/>
      <c r="EQ14" s="192"/>
      <c r="ER14" s="192"/>
      <c r="ES14" s="192"/>
      <c r="ET14" s="192"/>
      <c r="EU14" s="192"/>
      <c r="EV14" s="192"/>
      <c r="EW14" s="192"/>
      <c r="EX14" s="192"/>
      <c r="EY14" s="192"/>
      <c r="EZ14" s="192"/>
      <c r="FA14" s="192"/>
      <c r="FB14" s="192"/>
      <c r="FC14" s="192"/>
      <c r="FD14" s="192"/>
      <c r="FE14" s="192"/>
      <c r="FF14" s="192"/>
      <c r="FG14" s="192"/>
      <c r="FH14" s="192"/>
      <c r="FI14" s="192"/>
      <c r="FJ14" s="192"/>
      <c r="FK14" s="192"/>
      <c r="FL14" s="192"/>
      <c r="FM14" s="192"/>
      <c r="FN14" s="192"/>
      <c r="FO14" s="192"/>
      <c r="FP14" s="192"/>
      <c r="FQ14" s="192"/>
      <c r="FR14" s="192"/>
      <c r="FS14" s="192"/>
      <c r="FT14" s="192"/>
      <c r="FU14" s="192"/>
      <c r="FV14" s="192"/>
      <c r="FW14" s="192"/>
      <c r="FX14" s="192"/>
      <c r="FY14" s="192"/>
      <c r="FZ14" s="192"/>
      <c r="GA14" s="192"/>
      <c r="GB14" s="192"/>
      <c r="GC14" s="192"/>
      <c r="GD14" s="192"/>
      <c r="GE14" s="192"/>
      <c r="GF14" s="192"/>
      <c r="GG14" s="192"/>
      <c r="GH14" s="192"/>
      <c r="GI14" s="192"/>
      <c r="GJ14" s="192"/>
      <c r="GK14" s="192"/>
      <c r="GL14" s="192"/>
      <c r="GM14" s="192"/>
      <c r="GN14" s="192"/>
      <c r="GO14" s="192"/>
      <c r="GP14" s="192"/>
      <c r="GQ14" s="192"/>
      <c r="GR14" s="192"/>
      <c r="GS14" s="192"/>
      <c r="GT14" s="192"/>
      <c r="GU14" s="192"/>
      <c r="GV14" s="192"/>
      <c r="GW14" s="192"/>
      <c r="GX14" s="192"/>
      <c r="GY14" s="192"/>
      <c r="GZ14" s="192"/>
      <c r="HA14" s="192"/>
      <c r="HB14" s="192"/>
      <c r="HC14" s="192"/>
      <c r="HD14" s="192"/>
      <c r="HE14" s="192"/>
      <c r="HF14" s="192"/>
      <c r="HG14" s="192"/>
      <c r="HH14" s="192"/>
      <c r="HI14" s="192"/>
      <c r="HJ14" s="192"/>
      <c r="HK14" s="192"/>
      <c r="HL14" s="192"/>
      <c r="HM14" s="192"/>
      <c r="HN14" s="192"/>
      <c r="HO14" s="192"/>
      <c r="HP14" s="192"/>
      <c r="HQ14" s="192"/>
      <c r="HR14" s="192"/>
      <c r="HS14" s="192"/>
      <c r="HT14" s="192"/>
      <c r="HU14" s="192"/>
      <c r="HV14" s="192"/>
      <c r="HW14" s="192"/>
      <c r="HX14" s="192"/>
      <c r="HY14" s="192"/>
      <c r="HZ14" s="192"/>
      <c r="IA14" s="192"/>
      <c r="IB14" s="192"/>
      <c r="IC14" s="192"/>
      <c r="ID14" s="192"/>
      <c r="IE14" s="192"/>
      <c r="IF14" s="192"/>
      <c r="IG14" s="192"/>
      <c r="IH14" s="192"/>
      <c r="II14" s="192"/>
      <c r="IJ14" s="192"/>
      <c r="IK14" s="192"/>
      <c r="IL14" s="192"/>
      <c r="IM14" s="192"/>
      <c r="IN14" s="192"/>
      <c r="IO14" s="192"/>
      <c r="IP14" s="192"/>
      <c r="IQ14" s="192"/>
    </row>
    <row r="15" spans="1:251" s="157" customFormat="1" ht="21.75" customHeight="1">
      <c r="A15" s="196">
        <v>8</v>
      </c>
      <c r="B15" s="277" t="s">
        <v>195</v>
      </c>
      <c r="C15" s="278" t="s">
        <v>177</v>
      </c>
      <c r="D15" s="271">
        <v>43</v>
      </c>
      <c r="E15" s="271"/>
      <c r="F15" s="278" t="s">
        <v>196</v>
      </c>
      <c r="G15" s="271" t="s">
        <v>188</v>
      </c>
      <c r="H15" s="285" t="s">
        <v>264</v>
      </c>
      <c r="I15" s="197">
        <f t="shared" si="0"/>
        <v>187500</v>
      </c>
      <c r="J15" s="286" t="s">
        <v>268</v>
      </c>
      <c r="K15" s="200">
        <f t="shared" si="1"/>
        <v>135000</v>
      </c>
      <c r="L15" s="286" t="s">
        <v>274</v>
      </c>
      <c r="M15" s="198">
        <f t="shared" si="2"/>
        <v>135000</v>
      </c>
      <c r="N15" s="198">
        <f t="shared" si="3"/>
        <v>457500</v>
      </c>
      <c r="O15" s="192"/>
      <c r="P15" s="192"/>
      <c r="Q15" s="192"/>
      <c r="R15" s="192"/>
      <c r="S15" s="192"/>
      <c r="T15" s="192"/>
      <c r="U15" s="192"/>
      <c r="V15" s="192"/>
      <c r="W15" s="192"/>
      <c r="X15" s="192"/>
      <c r="Y15" s="192"/>
      <c r="Z15" s="192"/>
      <c r="AA15" s="192"/>
      <c r="AB15" s="192"/>
      <c r="AC15" s="192"/>
      <c r="AD15" s="192"/>
      <c r="AE15" s="192"/>
      <c r="AF15" s="192"/>
      <c r="AG15" s="192"/>
      <c r="AH15" s="192"/>
      <c r="AI15" s="192"/>
      <c r="AJ15" s="192"/>
      <c r="AK15" s="192"/>
      <c r="AL15" s="192"/>
      <c r="AM15" s="192"/>
      <c r="AN15" s="192"/>
      <c r="AO15" s="192"/>
      <c r="AP15" s="192"/>
      <c r="AQ15" s="192"/>
      <c r="AR15" s="192"/>
      <c r="AS15" s="192"/>
      <c r="AT15" s="192"/>
      <c r="AU15" s="192"/>
      <c r="AV15" s="192"/>
      <c r="AW15" s="192"/>
      <c r="AX15" s="192"/>
      <c r="AY15" s="192"/>
      <c r="AZ15" s="192"/>
      <c r="BA15" s="192"/>
      <c r="BB15" s="192"/>
      <c r="BC15" s="192"/>
      <c r="BD15" s="192"/>
      <c r="BE15" s="192"/>
      <c r="BF15" s="192"/>
      <c r="BG15" s="192"/>
      <c r="BH15" s="192"/>
      <c r="BI15" s="192"/>
      <c r="BJ15" s="192"/>
      <c r="BK15" s="192"/>
      <c r="BL15" s="192"/>
      <c r="BM15" s="192"/>
      <c r="BN15" s="192"/>
      <c r="BO15" s="192"/>
      <c r="BP15" s="192"/>
      <c r="BQ15" s="192"/>
      <c r="BR15" s="192"/>
      <c r="BS15" s="192"/>
      <c r="BT15" s="192"/>
      <c r="BU15" s="192"/>
      <c r="BV15" s="192"/>
      <c r="BW15" s="192"/>
      <c r="BX15" s="192"/>
      <c r="BY15" s="192"/>
      <c r="BZ15" s="192"/>
      <c r="CA15" s="192"/>
      <c r="CB15" s="192"/>
      <c r="CC15" s="192"/>
      <c r="CD15" s="192"/>
      <c r="CE15" s="192"/>
      <c r="CF15" s="192"/>
      <c r="CG15" s="192"/>
      <c r="CH15" s="192"/>
      <c r="CI15" s="192"/>
      <c r="CJ15" s="192"/>
      <c r="CK15" s="192"/>
      <c r="CL15" s="192"/>
      <c r="CM15" s="192"/>
      <c r="CN15" s="192"/>
      <c r="CO15" s="192"/>
      <c r="CP15" s="192"/>
      <c r="CQ15" s="192"/>
      <c r="CR15" s="192"/>
      <c r="CS15" s="192"/>
      <c r="CT15" s="192"/>
      <c r="CU15" s="192"/>
      <c r="CV15" s="192"/>
      <c r="CW15" s="192"/>
      <c r="CX15" s="192"/>
      <c r="CY15" s="192"/>
      <c r="CZ15" s="192"/>
      <c r="DA15" s="192"/>
      <c r="DB15" s="192"/>
      <c r="DC15" s="192"/>
      <c r="DD15" s="192"/>
      <c r="DE15" s="192"/>
      <c r="DF15" s="192"/>
      <c r="DG15" s="192"/>
      <c r="DH15" s="192"/>
      <c r="DI15" s="192"/>
      <c r="DJ15" s="192"/>
      <c r="DK15" s="192"/>
      <c r="DL15" s="192"/>
      <c r="DM15" s="192"/>
      <c r="DN15" s="192"/>
      <c r="DO15" s="192"/>
      <c r="DP15" s="192"/>
      <c r="DQ15" s="192"/>
      <c r="DR15" s="192"/>
      <c r="DS15" s="192"/>
      <c r="DT15" s="192"/>
      <c r="DU15" s="192"/>
      <c r="DV15" s="192"/>
      <c r="DW15" s="192"/>
      <c r="DX15" s="192"/>
      <c r="DY15" s="192"/>
      <c r="DZ15" s="192"/>
      <c r="EA15" s="192"/>
      <c r="EB15" s="192"/>
      <c r="EC15" s="192"/>
      <c r="ED15" s="192"/>
      <c r="EE15" s="192"/>
      <c r="EF15" s="192"/>
      <c r="EG15" s="192"/>
      <c r="EH15" s="192"/>
      <c r="EI15" s="192"/>
      <c r="EJ15" s="192"/>
      <c r="EK15" s="192"/>
      <c r="EL15" s="192"/>
      <c r="EM15" s="192"/>
      <c r="EN15" s="192"/>
      <c r="EO15" s="192"/>
      <c r="EP15" s="192"/>
      <c r="EQ15" s="192"/>
      <c r="ER15" s="192"/>
      <c r="ES15" s="192"/>
      <c r="ET15" s="192"/>
      <c r="EU15" s="192"/>
      <c r="EV15" s="192"/>
      <c r="EW15" s="192"/>
      <c r="EX15" s="192"/>
      <c r="EY15" s="192"/>
      <c r="EZ15" s="192"/>
      <c r="FA15" s="192"/>
      <c r="FB15" s="192"/>
      <c r="FC15" s="192"/>
      <c r="FD15" s="192"/>
      <c r="FE15" s="192"/>
      <c r="FF15" s="192"/>
      <c r="FG15" s="192"/>
      <c r="FH15" s="192"/>
      <c r="FI15" s="192"/>
      <c r="FJ15" s="192"/>
      <c r="FK15" s="192"/>
      <c r="FL15" s="192"/>
      <c r="FM15" s="192"/>
      <c r="FN15" s="192"/>
      <c r="FO15" s="192"/>
      <c r="FP15" s="192"/>
      <c r="FQ15" s="192"/>
      <c r="FR15" s="192"/>
      <c r="FS15" s="192"/>
      <c r="FT15" s="192"/>
      <c r="FU15" s="192"/>
      <c r="FV15" s="192"/>
      <c r="FW15" s="192"/>
      <c r="FX15" s="192"/>
      <c r="FY15" s="192"/>
      <c r="FZ15" s="192"/>
      <c r="GA15" s="192"/>
      <c r="GB15" s="192"/>
      <c r="GC15" s="192"/>
      <c r="GD15" s="192"/>
      <c r="GE15" s="192"/>
      <c r="GF15" s="192"/>
      <c r="GG15" s="192"/>
      <c r="GH15" s="192"/>
      <c r="GI15" s="192"/>
      <c r="GJ15" s="192"/>
      <c r="GK15" s="192"/>
      <c r="GL15" s="192"/>
      <c r="GM15" s="192"/>
      <c r="GN15" s="192"/>
      <c r="GO15" s="192"/>
      <c r="GP15" s="192"/>
      <c r="GQ15" s="192"/>
      <c r="GR15" s="192"/>
      <c r="GS15" s="192"/>
      <c r="GT15" s="192"/>
      <c r="GU15" s="192"/>
      <c r="GV15" s="192"/>
      <c r="GW15" s="192"/>
      <c r="GX15" s="192"/>
      <c r="GY15" s="192"/>
      <c r="GZ15" s="192"/>
      <c r="HA15" s="192"/>
      <c r="HB15" s="192"/>
      <c r="HC15" s="192"/>
      <c r="HD15" s="192"/>
      <c r="HE15" s="192"/>
      <c r="HF15" s="192"/>
      <c r="HG15" s="192"/>
      <c r="HH15" s="192"/>
      <c r="HI15" s="192"/>
      <c r="HJ15" s="192"/>
      <c r="HK15" s="192"/>
      <c r="HL15" s="192"/>
      <c r="HM15" s="192"/>
      <c r="HN15" s="192"/>
      <c r="HO15" s="192"/>
      <c r="HP15" s="192"/>
      <c r="HQ15" s="192"/>
      <c r="HR15" s="192"/>
      <c r="HS15" s="192"/>
      <c r="HT15" s="192"/>
      <c r="HU15" s="192"/>
      <c r="HV15" s="192"/>
      <c r="HW15" s="192"/>
      <c r="HX15" s="192"/>
      <c r="HY15" s="192"/>
      <c r="HZ15" s="192"/>
      <c r="IA15" s="192"/>
      <c r="IB15" s="192"/>
      <c r="IC15" s="192"/>
      <c r="ID15" s="192"/>
      <c r="IE15" s="192"/>
      <c r="IF15" s="192"/>
      <c r="IG15" s="192"/>
      <c r="IH15" s="192"/>
      <c r="II15" s="192"/>
      <c r="IJ15" s="192"/>
      <c r="IK15" s="192"/>
      <c r="IL15" s="192"/>
      <c r="IM15" s="192"/>
      <c r="IN15" s="192"/>
      <c r="IO15" s="192"/>
      <c r="IP15" s="192"/>
      <c r="IQ15" s="192"/>
    </row>
    <row r="16" spans="1:251" s="157" customFormat="1" ht="21.75" customHeight="1">
      <c r="A16" s="196">
        <v>9</v>
      </c>
      <c r="B16" s="277" t="s">
        <v>197</v>
      </c>
      <c r="C16" s="278" t="s">
        <v>198</v>
      </c>
      <c r="D16" s="271"/>
      <c r="E16" s="271">
        <v>69</v>
      </c>
      <c r="F16" s="278" t="s">
        <v>199</v>
      </c>
      <c r="G16" s="271" t="s">
        <v>179</v>
      </c>
      <c r="H16" s="285" t="s">
        <v>265</v>
      </c>
      <c r="I16" s="197">
        <f t="shared" si="0"/>
        <v>420000</v>
      </c>
      <c r="J16" s="286" t="s">
        <v>268</v>
      </c>
      <c r="K16" s="200">
        <f t="shared" si="1"/>
        <v>300000</v>
      </c>
      <c r="L16" s="286" t="s">
        <v>272</v>
      </c>
      <c r="M16" s="198">
        <f t="shared" si="2"/>
        <v>300000</v>
      </c>
      <c r="N16" s="198">
        <f t="shared" si="3"/>
        <v>1020000</v>
      </c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2"/>
      <c r="AE16" s="192"/>
      <c r="AF16" s="192"/>
      <c r="AG16" s="192"/>
      <c r="AH16" s="192"/>
      <c r="AI16" s="192"/>
      <c r="AJ16" s="192"/>
      <c r="AK16" s="192"/>
      <c r="AL16" s="192"/>
      <c r="AM16" s="192"/>
      <c r="AN16" s="192"/>
      <c r="AO16" s="192"/>
      <c r="AP16" s="192"/>
      <c r="AQ16" s="192"/>
      <c r="AR16" s="192"/>
      <c r="AS16" s="192"/>
      <c r="AT16" s="192"/>
      <c r="AU16" s="192"/>
      <c r="AV16" s="192"/>
      <c r="AW16" s="192"/>
      <c r="AX16" s="192"/>
      <c r="AY16" s="192"/>
      <c r="AZ16" s="192"/>
      <c r="BA16" s="192"/>
      <c r="BB16" s="192"/>
      <c r="BC16" s="192"/>
      <c r="BD16" s="192"/>
      <c r="BE16" s="192"/>
      <c r="BF16" s="192"/>
      <c r="BG16" s="192"/>
      <c r="BH16" s="192"/>
      <c r="BI16" s="192"/>
      <c r="BJ16" s="192"/>
      <c r="BK16" s="192"/>
      <c r="BL16" s="192"/>
      <c r="BM16" s="192"/>
      <c r="BN16" s="192"/>
      <c r="BO16" s="192"/>
      <c r="BP16" s="192"/>
      <c r="BQ16" s="192"/>
      <c r="BR16" s="192"/>
      <c r="BS16" s="192"/>
      <c r="BT16" s="192"/>
      <c r="BU16" s="192"/>
      <c r="BV16" s="192"/>
      <c r="BW16" s="192"/>
      <c r="BX16" s="192"/>
      <c r="BY16" s="192"/>
      <c r="BZ16" s="192"/>
      <c r="CA16" s="192"/>
      <c r="CB16" s="192"/>
      <c r="CC16" s="192"/>
      <c r="CD16" s="192"/>
      <c r="CE16" s="192"/>
      <c r="CF16" s="192"/>
      <c r="CG16" s="192"/>
      <c r="CH16" s="192"/>
      <c r="CI16" s="192"/>
      <c r="CJ16" s="192"/>
      <c r="CK16" s="192"/>
      <c r="CL16" s="192"/>
      <c r="CM16" s="192"/>
      <c r="CN16" s="192"/>
      <c r="CO16" s="192"/>
      <c r="CP16" s="192"/>
      <c r="CQ16" s="192"/>
      <c r="CR16" s="192"/>
      <c r="CS16" s="192"/>
      <c r="CT16" s="192"/>
      <c r="CU16" s="192"/>
      <c r="CV16" s="192"/>
      <c r="CW16" s="192"/>
      <c r="CX16" s="192"/>
      <c r="CY16" s="192"/>
      <c r="CZ16" s="192"/>
      <c r="DA16" s="192"/>
      <c r="DB16" s="192"/>
      <c r="DC16" s="192"/>
      <c r="DD16" s="192"/>
      <c r="DE16" s="192"/>
      <c r="DF16" s="192"/>
      <c r="DG16" s="192"/>
      <c r="DH16" s="192"/>
      <c r="DI16" s="192"/>
      <c r="DJ16" s="192"/>
      <c r="DK16" s="192"/>
      <c r="DL16" s="192"/>
      <c r="DM16" s="192"/>
      <c r="DN16" s="192"/>
      <c r="DO16" s="192"/>
      <c r="DP16" s="192"/>
      <c r="DQ16" s="192"/>
      <c r="DR16" s="192"/>
      <c r="DS16" s="192"/>
      <c r="DT16" s="192"/>
      <c r="DU16" s="192"/>
      <c r="DV16" s="192"/>
      <c r="DW16" s="192"/>
      <c r="DX16" s="192"/>
      <c r="DY16" s="192"/>
      <c r="DZ16" s="192"/>
      <c r="EA16" s="192"/>
      <c r="EB16" s="192"/>
      <c r="EC16" s="192"/>
      <c r="ED16" s="192"/>
      <c r="EE16" s="192"/>
      <c r="EF16" s="192"/>
      <c r="EG16" s="192"/>
      <c r="EH16" s="192"/>
      <c r="EI16" s="192"/>
      <c r="EJ16" s="192"/>
      <c r="EK16" s="192"/>
      <c r="EL16" s="192"/>
      <c r="EM16" s="192"/>
      <c r="EN16" s="192"/>
      <c r="EO16" s="192"/>
      <c r="EP16" s="192"/>
      <c r="EQ16" s="192"/>
      <c r="ER16" s="192"/>
      <c r="ES16" s="192"/>
      <c r="ET16" s="192"/>
      <c r="EU16" s="192"/>
      <c r="EV16" s="192"/>
      <c r="EW16" s="192"/>
      <c r="EX16" s="192"/>
      <c r="EY16" s="192"/>
      <c r="EZ16" s="192"/>
      <c r="FA16" s="192"/>
      <c r="FB16" s="192"/>
      <c r="FC16" s="192"/>
      <c r="FD16" s="192"/>
      <c r="FE16" s="192"/>
      <c r="FF16" s="192"/>
      <c r="FG16" s="192"/>
      <c r="FH16" s="192"/>
      <c r="FI16" s="192"/>
      <c r="FJ16" s="192"/>
      <c r="FK16" s="192"/>
      <c r="FL16" s="192"/>
      <c r="FM16" s="192"/>
      <c r="FN16" s="192"/>
      <c r="FO16" s="192"/>
      <c r="FP16" s="192"/>
      <c r="FQ16" s="192"/>
      <c r="FR16" s="192"/>
      <c r="FS16" s="192"/>
      <c r="FT16" s="192"/>
      <c r="FU16" s="192"/>
      <c r="FV16" s="192"/>
      <c r="FW16" s="192"/>
      <c r="FX16" s="192"/>
      <c r="FY16" s="192"/>
      <c r="FZ16" s="192"/>
      <c r="GA16" s="192"/>
      <c r="GB16" s="192"/>
      <c r="GC16" s="192"/>
      <c r="GD16" s="192"/>
      <c r="GE16" s="192"/>
      <c r="GF16" s="192"/>
      <c r="GG16" s="192"/>
      <c r="GH16" s="192"/>
      <c r="GI16" s="192"/>
      <c r="GJ16" s="192"/>
      <c r="GK16" s="192"/>
      <c r="GL16" s="192"/>
      <c r="GM16" s="192"/>
      <c r="GN16" s="192"/>
      <c r="GO16" s="192"/>
      <c r="GP16" s="192"/>
      <c r="GQ16" s="192"/>
      <c r="GR16" s="192"/>
      <c r="GS16" s="192"/>
      <c r="GT16" s="192"/>
      <c r="GU16" s="192"/>
      <c r="GV16" s="192"/>
      <c r="GW16" s="192"/>
      <c r="GX16" s="192"/>
      <c r="GY16" s="192"/>
      <c r="GZ16" s="192"/>
      <c r="HA16" s="192"/>
      <c r="HB16" s="192"/>
      <c r="HC16" s="192"/>
      <c r="HD16" s="192"/>
      <c r="HE16" s="192"/>
      <c r="HF16" s="192"/>
      <c r="HG16" s="192"/>
      <c r="HH16" s="192"/>
      <c r="HI16" s="192"/>
      <c r="HJ16" s="192"/>
      <c r="HK16" s="192"/>
      <c r="HL16" s="192"/>
      <c r="HM16" s="192"/>
      <c r="HN16" s="192"/>
      <c r="HO16" s="192"/>
      <c r="HP16" s="192"/>
      <c r="HQ16" s="192"/>
      <c r="HR16" s="192"/>
      <c r="HS16" s="192"/>
      <c r="HT16" s="192"/>
      <c r="HU16" s="192"/>
      <c r="HV16" s="192"/>
      <c r="HW16" s="192"/>
      <c r="HX16" s="192"/>
      <c r="HY16" s="192"/>
      <c r="HZ16" s="192"/>
      <c r="IA16" s="192"/>
      <c r="IB16" s="192"/>
      <c r="IC16" s="192"/>
      <c r="ID16" s="192"/>
      <c r="IE16" s="192"/>
      <c r="IF16" s="192"/>
      <c r="IG16" s="192"/>
      <c r="IH16" s="192"/>
      <c r="II16" s="192"/>
      <c r="IJ16" s="192"/>
      <c r="IK16" s="192"/>
      <c r="IL16" s="192"/>
      <c r="IM16" s="192"/>
      <c r="IN16" s="192"/>
      <c r="IO16" s="192"/>
      <c r="IP16" s="192"/>
      <c r="IQ16" s="192"/>
    </row>
    <row r="17" spans="1:251" s="157" customFormat="1" ht="21.75" customHeight="1">
      <c r="A17" s="196">
        <v>10</v>
      </c>
      <c r="B17" s="277" t="s">
        <v>200</v>
      </c>
      <c r="C17" s="278" t="s">
        <v>201</v>
      </c>
      <c r="D17" s="271">
        <v>63</v>
      </c>
      <c r="E17" s="271"/>
      <c r="F17" s="278" t="s">
        <v>202</v>
      </c>
      <c r="G17" s="271" t="s">
        <v>179</v>
      </c>
      <c r="H17" s="285" t="s">
        <v>266</v>
      </c>
      <c r="I17" s="197">
        <f t="shared" si="0"/>
        <v>420000</v>
      </c>
      <c r="J17" s="286" t="s">
        <v>272</v>
      </c>
      <c r="K17" s="200">
        <f t="shared" si="1"/>
        <v>300000</v>
      </c>
      <c r="L17" s="286" t="s">
        <v>275</v>
      </c>
      <c r="M17" s="198">
        <f t="shared" si="2"/>
        <v>300000</v>
      </c>
      <c r="N17" s="198">
        <f t="shared" si="3"/>
        <v>1020000</v>
      </c>
      <c r="O17" s="192"/>
      <c r="P17" s="192"/>
      <c r="Q17" s="192"/>
      <c r="R17" s="192"/>
      <c r="S17" s="192"/>
      <c r="T17" s="192"/>
      <c r="U17" s="192"/>
      <c r="V17" s="192"/>
      <c r="W17" s="192"/>
      <c r="X17" s="192"/>
      <c r="Y17" s="192"/>
      <c r="Z17" s="192"/>
      <c r="AA17" s="192"/>
      <c r="AB17" s="192"/>
      <c r="AC17" s="192"/>
      <c r="AD17" s="192"/>
      <c r="AE17" s="192"/>
      <c r="AF17" s="192"/>
      <c r="AG17" s="192"/>
      <c r="AH17" s="192"/>
      <c r="AI17" s="192"/>
      <c r="AJ17" s="192"/>
      <c r="AK17" s="192"/>
      <c r="AL17" s="192"/>
      <c r="AM17" s="192"/>
      <c r="AN17" s="192"/>
      <c r="AO17" s="192"/>
      <c r="AP17" s="192"/>
      <c r="AQ17" s="192"/>
      <c r="AR17" s="192"/>
      <c r="AS17" s="192"/>
      <c r="AT17" s="192"/>
      <c r="AU17" s="192"/>
      <c r="AV17" s="192"/>
      <c r="AW17" s="192"/>
      <c r="AX17" s="192"/>
      <c r="AY17" s="192"/>
      <c r="AZ17" s="192"/>
      <c r="BA17" s="192"/>
      <c r="BB17" s="192"/>
      <c r="BC17" s="192"/>
      <c r="BD17" s="192"/>
      <c r="BE17" s="192"/>
      <c r="BF17" s="192"/>
      <c r="BG17" s="192"/>
      <c r="BH17" s="192"/>
      <c r="BI17" s="192"/>
      <c r="BJ17" s="192"/>
      <c r="BK17" s="192"/>
      <c r="BL17" s="192"/>
      <c r="BM17" s="192"/>
      <c r="BN17" s="192"/>
      <c r="BO17" s="192"/>
      <c r="BP17" s="192"/>
      <c r="BQ17" s="192"/>
      <c r="BR17" s="192"/>
      <c r="BS17" s="192"/>
      <c r="BT17" s="192"/>
      <c r="BU17" s="192"/>
      <c r="BV17" s="192"/>
      <c r="BW17" s="192"/>
      <c r="BX17" s="192"/>
      <c r="BY17" s="192"/>
      <c r="BZ17" s="192"/>
      <c r="CA17" s="192"/>
      <c r="CB17" s="192"/>
      <c r="CC17" s="192"/>
      <c r="CD17" s="192"/>
      <c r="CE17" s="192"/>
      <c r="CF17" s="192"/>
      <c r="CG17" s="192"/>
      <c r="CH17" s="192"/>
      <c r="CI17" s="192"/>
      <c r="CJ17" s="192"/>
      <c r="CK17" s="192"/>
      <c r="CL17" s="192"/>
      <c r="CM17" s="192"/>
      <c r="CN17" s="192"/>
      <c r="CO17" s="192"/>
      <c r="CP17" s="192"/>
      <c r="CQ17" s="192"/>
      <c r="CR17" s="192"/>
      <c r="CS17" s="192"/>
      <c r="CT17" s="192"/>
      <c r="CU17" s="192"/>
      <c r="CV17" s="192"/>
      <c r="CW17" s="192"/>
      <c r="CX17" s="192"/>
      <c r="CY17" s="192"/>
      <c r="CZ17" s="192"/>
      <c r="DA17" s="192"/>
      <c r="DB17" s="192"/>
      <c r="DC17" s="192"/>
      <c r="DD17" s="192"/>
      <c r="DE17" s="192"/>
      <c r="DF17" s="192"/>
      <c r="DG17" s="192"/>
      <c r="DH17" s="192"/>
      <c r="DI17" s="192"/>
      <c r="DJ17" s="192"/>
      <c r="DK17" s="192"/>
      <c r="DL17" s="192"/>
      <c r="DM17" s="192"/>
      <c r="DN17" s="192"/>
      <c r="DO17" s="192"/>
      <c r="DP17" s="192"/>
      <c r="DQ17" s="192"/>
      <c r="DR17" s="192"/>
      <c r="DS17" s="192"/>
      <c r="DT17" s="192"/>
      <c r="DU17" s="192"/>
      <c r="DV17" s="192"/>
      <c r="DW17" s="192"/>
      <c r="DX17" s="192"/>
      <c r="DY17" s="192"/>
      <c r="DZ17" s="192"/>
      <c r="EA17" s="192"/>
      <c r="EB17" s="192"/>
      <c r="EC17" s="192"/>
      <c r="ED17" s="192"/>
      <c r="EE17" s="192"/>
      <c r="EF17" s="192"/>
      <c r="EG17" s="192"/>
      <c r="EH17" s="192"/>
      <c r="EI17" s="192"/>
      <c r="EJ17" s="192"/>
      <c r="EK17" s="192"/>
      <c r="EL17" s="192"/>
      <c r="EM17" s="192"/>
      <c r="EN17" s="192"/>
      <c r="EO17" s="192"/>
      <c r="EP17" s="192"/>
      <c r="EQ17" s="192"/>
      <c r="ER17" s="192"/>
      <c r="ES17" s="192"/>
      <c r="ET17" s="192"/>
      <c r="EU17" s="192"/>
      <c r="EV17" s="192"/>
      <c r="EW17" s="192"/>
      <c r="EX17" s="192"/>
      <c r="EY17" s="192"/>
      <c r="EZ17" s="192"/>
      <c r="FA17" s="192"/>
      <c r="FB17" s="192"/>
      <c r="FC17" s="192"/>
      <c r="FD17" s="192"/>
      <c r="FE17" s="192"/>
      <c r="FF17" s="192"/>
      <c r="FG17" s="192"/>
      <c r="FH17" s="192"/>
      <c r="FI17" s="192"/>
      <c r="FJ17" s="192"/>
      <c r="FK17" s="192"/>
      <c r="FL17" s="192"/>
      <c r="FM17" s="192"/>
      <c r="FN17" s="192"/>
      <c r="FO17" s="192"/>
      <c r="FP17" s="192"/>
      <c r="FQ17" s="192"/>
      <c r="FR17" s="192"/>
      <c r="FS17" s="192"/>
      <c r="FT17" s="192"/>
      <c r="FU17" s="192"/>
      <c r="FV17" s="192"/>
      <c r="FW17" s="192"/>
      <c r="FX17" s="192"/>
      <c r="FY17" s="192"/>
      <c r="FZ17" s="192"/>
      <c r="GA17" s="192"/>
      <c r="GB17" s="192"/>
      <c r="GC17" s="192"/>
      <c r="GD17" s="192"/>
      <c r="GE17" s="192"/>
      <c r="GF17" s="192"/>
      <c r="GG17" s="192"/>
      <c r="GH17" s="192"/>
      <c r="GI17" s="192"/>
      <c r="GJ17" s="192"/>
      <c r="GK17" s="192"/>
      <c r="GL17" s="192"/>
      <c r="GM17" s="192"/>
      <c r="GN17" s="192"/>
      <c r="GO17" s="192"/>
      <c r="GP17" s="192"/>
      <c r="GQ17" s="192"/>
      <c r="GR17" s="192"/>
      <c r="GS17" s="192"/>
      <c r="GT17" s="192"/>
      <c r="GU17" s="192"/>
      <c r="GV17" s="192"/>
      <c r="GW17" s="192"/>
      <c r="GX17" s="192"/>
      <c r="GY17" s="192"/>
      <c r="GZ17" s="192"/>
      <c r="HA17" s="192"/>
      <c r="HB17" s="192"/>
      <c r="HC17" s="192"/>
      <c r="HD17" s="192"/>
      <c r="HE17" s="192"/>
      <c r="HF17" s="192"/>
      <c r="HG17" s="192"/>
      <c r="HH17" s="192"/>
      <c r="HI17" s="192"/>
      <c r="HJ17" s="192"/>
      <c r="HK17" s="192"/>
      <c r="HL17" s="192"/>
      <c r="HM17" s="192"/>
      <c r="HN17" s="192"/>
      <c r="HO17" s="192"/>
      <c r="HP17" s="192"/>
      <c r="HQ17" s="192"/>
      <c r="HR17" s="192"/>
      <c r="HS17" s="192"/>
      <c r="HT17" s="192"/>
      <c r="HU17" s="192"/>
      <c r="HV17" s="192"/>
      <c r="HW17" s="192"/>
      <c r="HX17" s="192"/>
      <c r="HY17" s="192"/>
      <c r="HZ17" s="192"/>
      <c r="IA17" s="192"/>
      <c r="IB17" s="192"/>
      <c r="IC17" s="192"/>
      <c r="ID17" s="192"/>
      <c r="IE17" s="192"/>
      <c r="IF17" s="192"/>
      <c r="IG17" s="192"/>
      <c r="IH17" s="192"/>
      <c r="II17" s="192"/>
      <c r="IJ17" s="192"/>
      <c r="IK17" s="192"/>
      <c r="IL17" s="192"/>
      <c r="IM17" s="192"/>
      <c r="IN17" s="192"/>
      <c r="IO17" s="192"/>
      <c r="IP17" s="192"/>
      <c r="IQ17" s="192"/>
    </row>
    <row r="18" spans="1:251" s="157" customFormat="1" ht="21.75" customHeight="1">
      <c r="A18" s="196">
        <v>11</v>
      </c>
      <c r="B18" s="277" t="s">
        <v>200</v>
      </c>
      <c r="C18" s="278" t="s">
        <v>203</v>
      </c>
      <c r="D18" s="271">
        <v>61</v>
      </c>
      <c r="E18" s="271"/>
      <c r="F18" s="278" t="s">
        <v>199</v>
      </c>
      <c r="G18" s="271" t="s">
        <v>179</v>
      </c>
      <c r="H18" s="285" t="s">
        <v>264</v>
      </c>
      <c r="I18" s="197">
        <f t="shared" si="0"/>
        <v>420000</v>
      </c>
      <c r="J18" s="286" t="s">
        <v>268</v>
      </c>
      <c r="K18" s="200">
        <f t="shared" si="1"/>
        <v>300000</v>
      </c>
      <c r="L18" s="286" t="s">
        <v>272</v>
      </c>
      <c r="M18" s="198">
        <f t="shared" si="2"/>
        <v>300000</v>
      </c>
      <c r="N18" s="198">
        <f t="shared" si="3"/>
        <v>1020000</v>
      </c>
      <c r="O18" s="192"/>
      <c r="P18" s="192"/>
      <c r="Q18" s="192"/>
      <c r="R18" s="192"/>
      <c r="S18" s="192"/>
      <c r="T18" s="192"/>
      <c r="U18" s="192"/>
      <c r="V18" s="192"/>
      <c r="W18" s="192"/>
      <c r="X18" s="192"/>
      <c r="Y18" s="192"/>
      <c r="Z18" s="192"/>
      <c r="AA18" s="192"/>
      <c r="AB18" s="192"/>
      <c r="AC18" s="192"/>
      <c r="AD18" s="192"/>
      <c r="AE18" s="192"/>
      <c r="AF18" s="192"/>
      <c r="AG18" s="192"/>
      <c r="AH18" s="192"/>
      <c r="AI18" s="192"/>
      <c r="AJ18" s="192"/>
      <c r="AK18" s="192"/>
      <c r="AL18" s="192"/>
      <c r="AM18" s="192"/>
      <c r="AN18" s="192"/>
      <c r="AO18" s="192"/>
      <c r="AP18" s="192"/>
      <c r="AQ18" s="192"/>
      <c r="AR18" s="192"/>
      <c r="AS18" s="192"/>
      <c r="AT18" s="192"/>
      <c r="AU18" s="192"/>
      <c r="AV18" s="192"/>
      <c r="AW18" s="192"/>
      <c r="AX18" s="192"/>
      <c r="AY18" s="192"/>
      <c r="AZ18" s="192"/>
      <c r="BA18" s="192"/>
      <c r="BB18" s="192"/>
      <c r="BC18" s="192"/>
      <c r="BD18" s="192"/>
      <c r="BE18" s="192"/>
      <c r="BF18" s="192"/>
      <c r="BG18" s="192"/>
      <c r="BH18" s="192"/>
      <c r="BI18" s="192"/>
      <c r="BJ18" s="192"/>
      <c r="BK18" s="192"/>
      <c r="BL18" s="192"/>
      <c r="BM18" s="192"/>
      <c r="BN18" s="192"/>
      <c r="BO18" s="192"/>
      <c r="BP18" s="192"/>
      <c r="BQ18" s="192"/>
      <c r="BR18" s="192"/>
      <c r="BS18" s="192"/>
      <c r="BT18" s="192"/>
      <c r="BU18" s="192"/>
      <c r="BV18" s="192"/>
      <c r="BW18" s="192"/>
      <c r="BX18" s="192"/>
      <c r="BY18" s="192"/>
      <c r="BZ18" s="192"/>
      <c r="CA18" s="192"/>
      <c r="CB18" s="192"/>
      <c r="CC18" s="192"/>
      <c r="CD18" s="192"/>
      <c r="CE18" s="192"/>
      <c r="CF18" s="192"/>
      <c r="CG18" s="192"/>
      <c r="CH18" s="192"/>
      <c r="CI18" s="192"/>
      <c r="CJ18" s="192"/>
      <c r="CK18" s="192"/>
      <c r="CL18" s="192"/>
      <c r="CM18" s="192"/>
      <c r="CN18" s="192"/>
      <c r="CO18" s="192"/>
      <c r="CP18" s="192"/>
      <c r="CQ18" s="192"/>
      <c r="CR18" s="192"/>
      <c r="CS18" s="192"/>
      <c r="CT18" s="192"/>
      <c r="CU18" s="192"/>
      <c r="CV18" s="192"/>
      <c r="CW18" s="192"/>
      <c r="CX18" s="192"/>
      <c r="CY18" s="192"/>
      <c r="CZ18" s="192"/>
      <c r="DA18" s="192"/>
      <c r="DB18" s="192"/>
      <c r="DC18" s="192"/>
      <c r="DD18" s="192"/>
      <c r="DE18" s="192"/>
      <c r="DF18" s="192"/>
      <c r="DG18" s="192"/>
      <c r="DH18" s="192"/>
      <c r="DI18" s="192"/>
      <c r="DJ18" s="192"/>
      <c r="DK18" s="192"/>
      <c r="DL18" s="192"/>
      <c r="DM18" s="192"/>
      <c r="DN18" s="192"/>
      <c r="DO18" s="192"/>
      <c r="DP18" s="192"/>
      <c r="DQ18" s="192"/>
      <c r="DR18" s="192"/>
      <c r="DS18" s="192"/>
      <c r="DT18" s="192"/>
      <c r="DU18" s="192"/>
      <c r="DV18" s="192"/>
      <c r="DW18" s="192"/>
      <c r="DX18" s="192"/>
      <c r="DY18" s="192"/>
      <c r="DZ18" s="192"/>
      <c r="EA18" s="192"/>
      <c r="EB18" s="192"/>
      <c r="EC18" s="192"/>
      <c r="ED18" s="192"/>
      <c r="EE18" s="192"/>
      <c r="EF18" s="192"/>
      <c r="EG18" s="192"/>
      <c r="EH18" s="192"/>
      <c r="EI18" s="192"/>
      <c r="EJ18" s="192"/>
      <c r="EK18" s="192"/>
      <c r="EL18" s="192"/>
      <c r="EM18" s="192"/>
      <c r="EN18" s="192"/>
      <c r="EO18" s="192"/>
      <c r="EP18" s="192"/>
      <c r="EQ18" s="192"/>
      <c r="ER18" s="192"/>
      <c r="ES18" s="192"/>
      <c r="ET18" s="192"/>
      <c r="EU18" s="192"/>
      <c r="EV18" s="192"/>
      <c r="EW18" s="192"/>
      <c r="EX18" s="192"/>
      <c r="EY18" s="192"/>
      <c r="EZ18" s="192"/>
      <c r="FA18" s="192"/>
      <c r="FB18" s="192"/>
      <c r="FC18" s="192"/>
      <c r="FD18" s="192"/>
      <c r="FE18" s="192"/>
      <c r="FF18" s="192"/>
      <c r="FG18" s="192"/>
      <c r="FH18" s="192"/>
      <c r="FI18" s="192"/>
      <c r="FJ18" s="192"/>
      <c r="FK18" s="192"/>
      <c r="FL18" s="192"/>
      <c r="FM18" s="192"/>
      <c r="FN18" s="192"/>
      <c r="FO18" s="192"/>
      <c r="FP18" s="192"/>
      <c r="FQ18" s="192"/>
      <c r="FR18" s="192"/>
      <c r="FS18" s="192"/>
      <c r="FT18" s="192"/>
      <c r="FU18" s="192"/>
      <c r="FV18" s="192"/>
      <c r="FW18" s="192"/>
      <c r="FX18" s="192"/>
      <c r="FY18" s="192"/>
      <c r="FZ18" s="192"/>
      <c r="GA18" s="192"/>
      <c r="GB18" s="192"/>
      <c r="GC18" s="192"/>
      <c r="GD18" s="192"/>
      <c r="GE18" s="192"/>
      <c r="GF18" s="192"/>
      <c r="GG18" s="192"/>
      <c r="GH18" s="192"/>
      <c r="GI18" s="192"/>
      <c r="GJ18" s="192"/>
      <c r="GK18" s="192"/>
      <c r="GL18" s="192"/>
      <c r="GM18" s="192"/>
      <c r="GN18" s="192"/>
      <c r="GO18" s="192"/>
      <c r="GP18" s="192"/>
      <c r="GQ18" s="192"/>
      <c r="GR18" s="192"/>
      <c r="GS18" s="192"/>
      <c r="GT18" s="192"/>
      <c r="GU18" s="192"/>
      <c r="GV18" s="192"/>
      <c r="GW18" s="192"/>
      <c r="GX18" s="192"/>
      <c r="GY18" s="192"/>
      <c r="GZ18" s="192"/>
      <c r="HA18" s="192"/>
      <c r="HB18" s="192"/>
      <c r="HC18" s="192"/>
      <c r="HD18" s="192"/>
      <c r="HE18" s="192"/>
      <c r="HF18" s="192"/>
      <c r="HG18" s="192"/>
      <c r="HH18" s="192"/>
      <c r="HI18" s="192"/>
      <c r="HJ18" s="192"/>
      <c r="HK18" s="192"/>
      <c r="HL18" s="192"/>
      <c r="HM18" s="192"/>
      <c r="HN18" s="192"/>
      <c r="HO18" s="192"/>
      <c r="HP18" s="192"/>
      <c r="HQ18" s="192"/>
      <c r="HR18" s="192"/>
      <c r="HS18" s="192"/>
      <c r="HT18" s="192"/>
      <c r="HU18" s="192"/>
      <c r="HV18" s="192"/>
      <c r="HW18" s="192"/>
      <c r="HX18" s="192"/>
      <c r="HY18" s="192"/>
      <c r="HZ18" s="192"/>
      <c r="IA18" s="192"/>
      <c r="IB18" s="192"/>
      <c r="IC18" s="192"/>
      <c r="ID18" s="192"/>
      <c r="IE18" s="192"/>
      <c r="IF18" s="192"/>
      <c r="IG18" s="192"/>
      <c r="IH18" s="192"/>
      <c r="II18" s="192"/>
      <c r="IJ18" s="192"/>
      <c r="IK18" s="192"/>
      <c r="IL18" s="192"/>
      <c r="IM18" s="192"/>
      <c r="IN18" s="192"/>
      <c r="IO18" s="192"/>
      <c r="IP18" s="192"/>
      <c r="IQ18" s="192"/>
    </row>
    <row r="19" spans="1:251" s="157" customFormat="1" ht="21.75" customHeight="1">
      <c r="A19" s="196">
        <v>12</v>
      </c>
      <c r="B19" s="277" t="s">
        <v>200</v>
      </c>
      <c r="C19" s="278" t="s">
        <v>204</v>
      </c>
      <c r="D19" s="271">
        <v>25</v>
      </c>
      <c r="E19" s="271"/>
      <c r="F19" s="278" t="s">
        <v>187</v>
      </c>
      <c r="G19" s="271" t="s">
        <v>188</v>
      </c>
      <c r="H19" s="285" t="s">
        <v>267</v>
      </c>
      <c r="I19" s="197">
        <f t="shared" si="0"/>
        <v>187500</v>
      </c>
      <c r="J19" s="286" t="s">
        <v>274</v>
      </c>
      <c r="K19" s="200">
        <f t="shared" si="1"/>
        <v>135000</v>
      </c>
      <c r="L19" s="286" t="s">
        <v>273</v>
      </c>
      <c r="M19" s="198">
        <f t="shared" si="2"/>
        <v>135000</v>
      </c>
      <c r="N19" s="198">
        <f t="shared" si="3"/>
        <v>457500</v>
      </c>
      <c r="O19" s="192"/>
      <c r="P19" s="192"/>
      <c r="Q19" s="192"/>
      <c r="R19" s="192"/>
      <c r="S19" s="192"/>
      <c r="T19" s="192"/>
      <c r="U19" s="192"/>
      <c r="V19" s="192"/>
      <c r="W19" s="192"/>
      <c r="X19" s="192"/>
      <c r="Y19" s="192"/>
      <c r="Z19" s="192"/>
      <c r="AA19" s="192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92"/>
      <c r="AN19" s="192"/>
      <c r="AO19" s="192"/>
      <c r="AP19" s="192"/>
      <c r="AQ19" s="192"/>
      <c r="AR19" s="192"/>
      <c r="AS19" s="192"/>
      <c r="AT19" s="192"/>
      <c r="AU19" s="192"/>
      <c r="AV19" s="192"/>
      <c r="AW19" s="192"/>
      <c r="AX19" s="192"/>
      <c r="AY19" s="192"/>
      <c r="AZ19" s="192"/>
      <c r="BA19" s="192"/>
      <c r="BB19" s="192"/>
      <c r="BC19" s="192"/>
      <c r="BD19" s="192"/>
      <c r="BE19" s="192"/>
      <c r="BF19" s="192"/>
      <c r="BG19" s="192"/>
      <c r="BH19" s="192"/>
      <c r="BI19" s="192"/>
      <c r="BJ19" s="192"/>
      <c r="BK19" s="192"/>
      <c r="BL19" s="192"/>
      <c r="BM19" s="192"/>
      <c r="BN19" s="192"/>
      <c r="BO19" s="192"/>
      <c r="BP19" s="192"/>
      <c r="BQ19" s="192"/>
      <c r="BR19" s="192"/>
      <c r="BS19" s="192"/>
      <c r="BT19" s="192"/>
      <c r="BU19" s="192"/>
      <c r="BV19" s="192"/>
      <c r="BW19" s="192"/>
      <c r="BX19" s="192"/>
      <c r="BY19" s="192"/>
      <c r="BZ19" s="192"/>
      <c r="CA19" s="192"/>
      <c r="CB19" s="192"/>
      <c r="CC19" s="192"/>
      <c r="CD19" s="192"/>
      <c r="CE19" s="192"/>
      <c r="CF19" s="192"/>
      <c r="CG19" s="192"/>
      <c r="CH19" s="192"/>
      <c r="CI19" s="192"/>
      <c r="CJ19" s="192"/>
      <c r="CK19" s="192"/>
      <c r="CL19" s="192"/>
      <c r="CM19" s="192"/>
      <c r="CN19" s="192"/>
      <c r="CO19" s="192"/>
      <c r="CP19" s="192"/>
      <c r="CQ19" s="192"/>
      <c r="CR19" s="192"/>
      <c r="CS19" s="192"/>
      <c r="CT19" s="192"/>
      <c r="CU19" s="192"/>
      <c r="CV19" s="192"/>
      <c r="CW19" s="192"/>
      <c r="CX19" s="192"/>
      <c r="CY19" s="192"/>
      <c r="CZ19" s="192"/>
      <c r="DA19" s="192"/>
      <c r="DB19" s="192"/>
      <c r="DC19" s="192"/>
      <c r="DD19" s="192"/>
      <c r="DE19" s="192"/>
      <c r="DF19" s="192"/>
      <c r="DG19" s="192"/>
      <c r="DH19" s="192"/>
      <c r="DI19" s="192"/>
      <c r="DJ19" s="192"/>
      <c r="DK19" s="192"/>
      <c r="DL19" s="192"/>
      <c r="DM19" s="192"/>
      <c r="DN19" s="192"/>
      <c r="DO19" s="192"/>
      <c r="DP19" s="192"/>
      <c r="DQ19" s="192"/>
      <c r="DR19" s="192"/>
      <c r="DS19" s="192"/>
      <c r="DT19" s="192"/>
      <c r="DU19" s="192"/>
      <c r="DV19" s="192"/>
      <c r="DW19" s="192"/>
      <c r="DX19" s="192"/>
      <c r="DY19" s="192"/>
      <c r="DZ19" s="192"/>
      <c r="EA19" s="192"/>
      <c r="EB19" s="192"/>
      <c r="EC19" s="192"/>
      <c r="ED19" s="192"/>
      <c r="EE19" s="192"/>
      <c r="EF19" s="192"/>
      <c r="EG19" s="192"/>
      <c r="EH19" s="192"/>
      <c r="EI19" s="192"/>
      <c r="EJ19" s="192"/>
      <c r="EK19" s="192"/>
      <c r="EL19" s="192"/>
      <c r="EM19" s="192"/>
      <c r="EN19" s="192"/>
      <c r="EO19" s="192"/>
      <c r="EP19" s="192"/>
      <c r="EQ19" s="192"/>
      <c r="ER19" s="192"/>
      <c r="ES19" s="192"/>
      <c r="ET19" s="192"/>
      <c r="EU19" s="192"/>
      <c r="EV19" s="192"/>
      <c r="EW19" s="192"/>
      <c r="EX19" s="192"/>
      <c r="EY19" s="192"/>
      <c r="EZ19" s="192"/>
      <c r="FA19" s="192"/>
      <c r="FB19" s="192"/>
      <c r="FC19" s="192"/>
      <c r="FD19" s="192"/>
      <c r="FE19" s="192"/>
      <c r="FF19" s="192"/>
      <c r="FG19" s="192"/>
      <c r="FH19" s="192"/>
      <c r="FI19" s="192"/>
      <c r="FJ19" s="192"/>
      <c r="FK19" s="192"/>
      <c r="FL19" s="192"/>
      <c r="FM19" s="192"/>
      <c r="FN19" s="192"/>
      <c r="FO19" s="192"/>
      <c r="FP19" s="192"/>
      <c r="FQ19" s="192"/>
      <c r="FR19" s="192"/>
      <c r="FS19" s="192"/>
      <c r="FT19" s="192"/>
      <c r="FU19" s="192"/>
      <c r="FV19" s="192"/>
      <c r="FW19" s="192"/>
      <c r="FX19" s="192"/>
      <c r="FY19" s="192"/>
      <c r="FZ19" s="192"/>
      <c r="GA19" s="192"/>
      <c r="GB19" s="192"/>
      <c r="GC19" s="192"/>
      <c r="GD19" s="192"/>
      <c r="GE19" s="192"/>
      <c r="GF19" s="192"/>
      <c r="GG19" s="192"/>
      <c r="GH19" s="192"/>
      <c r="GI19" s="192"/>
      <c r="GJ19" s="192"/>
      <c r="GK19" s="192"/>
      <c r="GL19" s="192"/>
      <c r="GM19" s="192"/>
      <c r="GN19" s="192"/>
      <c r="GO19" s="192"/>
      <c r="GP19" s="192"/>
      <c r="GQ19" s="192"/>
      <c r="GR19" s="192"/>
      <c r="GS19" s="192"/>
      <c r="GT19" s="192"/>
      <c r="GU19" s="192"/>
      <c r="GV19" s="192"/>
      <c r="GW19" s="192"/>
      <c r="GX19" s="192"/>
      <c r="GY19" s="192"/>
      <c r="GZ19" s="192"/>
      <c r="HA19" s="192"/>
      <c r="HB19" s="192"/>
      <c r="HC19" s="192"/>
      <c r="HD19" s="192"/>
      <c r="HE19" s="192"/>
      <c r="HF19" s="192"/>
      <c r="HG19" s="192"/>
      <c r="HH19" s="192"/>
      <c r="HI19" s="192"/>
      <c r="HJ19" s="192"/>
      <c r="HK19" s="192"/>
      <c r="HL19" s="192"/>
      <c r="HM19" s="192"/>
      <c r="HN19" s="192"/>
      <c r="HO19" s="192"/>
      <c r="HP19" s="192"/>
      <c r="HQ19" s="192"/>
      <c r="HR19" s="192"/>
      <c r="HS19" s="192"/>
      <c r="HT19" s="192"/>
      <c r="HU19" s="192"/>
      <c r="HV19" s="192"/>
      <c r="HW19" s="192"/>
      <c r="HX19" s="192"/>
      <c r="HY19" s="192"/>
      <c r="HZ19" s="192"/>
      <c r="IA19" s="192"/>
      <c r="IB19" s="192"/>
      <c r="IC19" s="192"/>
      <c r="ID19" s="192"/>
      <c r="IE19" s="192"/>
      <c r="IF19" s="192"/>
      <c r="IG19" s="192"/>
      <c r="IH19" s="192"/>
      <c r="II19" s="192"/>
      <c r="IJ19" s="192"/>
      <c r="IK19" s="192"/>
      <c r="IL19" s="192"/>
      <c r="IM19" s="192"/>
      <c r="IN19" s="192"/>
      <c r="IO19" s="192"/>
      <c r="IP19" s="192"/>
      <c r="IQ19" s="192"/>
    </row>
    <row r="20" spans="1:251" s="157" customFormat="1" ht="21.75" customHeight="1">
      <c r="A20" s="196">
        <v>13</v>
      </c>
      <c r="B20" s="277" t="s">
        <v>200</v>
      </c>
      <c r="C20" s="278" t="s">
        <v>205</v>
      </c>
      <c r="D20" s="271"/>
      <c r="E20" s="271">
        <v>40</v>
      </c>
      <c r="F20" s="278" t="s">
        <v>196</v>
      </c>
      <c r="G20" s="271" t="s">
        <v>192</v>
      </c>
      <c r="H20" s="285" t="s">
        <v>264</v>
      </c>
      <c r="I20" s="197">
        <f t="shared" si="0"/>
        <v>187500</v>
      </c>
      <c r="J20" s="286" t="s">
        <v>268</v>
      </c>
      <c r="K20" s="200">
        <f t="shared" si="1"/>
        <v>135000</v>
      </c>
      <c r="L20" s="286" t="s">
        <v>272</v>
      </c>
      <c r="M20" s="198">
        <f t="shared" si="2"/>
        <v>135000</v>
      </c>
      <c r="N20" s="198">
        <f t="shared" si="3"/>
        <v>457500</v>
      </c>
      <c r="O20" s="192"/>
      <c r="P20" s="192"/>
      <c r="Q20" s="192"/>
      <c r="R20" s="192"/>
      <c r="S20" s="192"/>
      <c r="T20" s="192"/>
      <c r="U20" s="192"/>
      <c r="V20" s="192"/>
      <c r="W20" s="192"/>
      <c r="X20" s="192"/>
      <c r="Y20" s="192"/>
      <c r="Z20" s="192"/>
      <c r="AA20" s="192"/>
      <c r="AB20" s="192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2"/>
      <c r="AO20" s="192"/>
      <c r="AP20" s="192"/>
      <c r="AQ20" s="192"/>
      <c r="AR20" s="192"/>
      <c r="AS20" s="192"/>
      <c r="AT20" s="192"/>
      <c r="AU20" s="192"/>
      <c r="AV20" s="192"/>
      <c r="AW20" s="192"/>
      <c r="AX20" s="192"/>
      <c r="AY20" s="192"/>
      <c r="AZ20" s="192"/>
      <c r="BA20" s="192"/>
      <c r="BB20" s="192"/>
      <c r="BC20" s="192"/>
      <c r="BD20" s="192"/>
      <c r="BE20" s="192"/>
      <c r="BF20" s="192"/>
      <c r="BG20" s="192"/>
      <c r="BH20" s="192"/>
      <c r="BI20" s="192"/>
      <c r="BJ20" s="192"/>
      <c r="BK20" s="192"/>
      <c r="BL20" s="192"/>
      <c r="BM20" s="192"/>
      <c r="BN20" s="192"/>
      <c r="BO20" s="192"/>
      <c r="BP20" s="192"/>
      <c r="BQ20" s="192"/>
      <c r="BR20" s="192"/>
      <c r="BS20" s="192"/>
      <c r="BT20" s="192"/>
      <c r="BU20" s="192"/>
      <c r="BV20" s="192"/>
      <c r="BW20" s="192"/>
      <c r="BX20" s="192"/>
      <c r="BY20" s="192"/>
      <c r="BZ20" s="192"/>
      <c r="CA20" s="192"/>
      <c r="CB20" s="192"/>
      <c r="CC20" s="192"/>
      <c r="CD20" s="192"/>
      <c r="CE20" s="192"/>
      <c r="CF20" s="192"/>
      <c r="CG20" s="192"/>
      <c r="CH20" s="192"/>
      <c r="CI20" s="192"/>
      <c r="CJ20" s="192"/>
      <c r="CK20" s="192"/>
      <c r="CL20" s="192"/>
      <c r="CM20" s="192"/>
      <c r="CN20" s="192"/>
      <c r="CO20" s="192"/>
      <c r="CP20" s="192"/>
      <c r="CQ20" s="192"/>
      <c r="CR20" s="192"/>
      <c r="CS20" s="192"/>
      <c r="CT20" s="192"/>
      <c r="CU20" s="192"/>
      <c r="CV20" s="192"/>
      <c r="CW20" s="192"/>
      <c r="CX20" s="192"/>
      <c r="CY20" s="192"/>
      <c r="CZ20" s="192"/>
      <c r="DA20" s="192"/>
      <c r="DB20" s="192"/>
      <c r="DC20" s="192"/>
      <c r="DD20" s="192"/>
      <c r="DE20" s="192"/>
      <c r="DF20" s="192"/>
      <c r="DG20" s="192"/>
      <c r="DH20" s="192"/>
      <c r="DI20" s="192"/>
      <c r="DJ20" s="192"/>
      <c r="DK20" s="192"/>
      <c r="DL20" s="192"/>
      <c r="DM20" s="192"/>
      <c r="DN20" s="192"/>
      <c r="DO20" s="192"/>
      <c r="DP20" s="192"/>
      <c r="DQ20" s="192"/>
      <c r="DR20" s="192"/>
      <c r="DS20" s="192"/>
      <c r="DT20" s="192"/>
      <c r="DU20" s="192"/>
      <c r="DV20" s="192"/>
      <c r="DW20" s="192"/>
      <c r="DX20" s="192"/>
      <c r="DY20" s="192"/>
      <c r="DZ20" s="192"/>
      <c r="EA20" s="192"/>
      <c r="EB20" s="192"/>
      <c r="EC20" s="192"/>
      <c r="ED20" s="192"/>
      <c r="EE20" s="192"/>
      <c r="EF20" s="192"/>
      <c r="EG20" s="192"/>
      <c r="EH20" s="192"/>
      <c r="EI20" s="192"/>
      <c r="EJ20" s="192"/>
      <c r="EK20" s="192"/>
      <c r="EL20" s="192"/>
      <c r="EM20" s="192"/>
      <c r="EN20" s="192"/>
      <c r="EO20" s="192"/>
      <c r="EP20" s="192"/>
      <c r="EQ20" s="192"/>
      <c r="ER20" s="192"/>
      <c r="ES20" s="192"/>
      <c r="ET20" s="192"/>
      <c r="EU20" s="192"/>
      <c r="EV20" s="192"/>
      <c r="EW20" s="192"/>
      <c r="EX20" s="192"/>
      <c r="EY20" s="192"/>
      <c r="EZ20" s="192"/>
      <c r="FA20" s="192"/>
      <c r="FB20" s="192"/>
      <c r="FC20" s="192"/>
      <c r="FD20" s="192"/>
      <c r="FE20" s="192"/>
      <c r="FF20" s="192"/>
      <c r="FG20" s="192"/>
      <c r="FH20" s="192"/>
      <c r="FI20" s="192"/>
      <c r="FJ20" s="192"/>
      <c r="FK20" s="192"/>
      <c r="FL20" s="192"/>
      <c r="FM20" s="192"/>
      <c r="FN20" s="192"/>
      <c r="FO20" s="192"/>
      <c r="FP20" s="192"/>
      <c r="FQ20" s="192"/>
      <c r="FR20" s="192"/>
      <c r="FS20" s="192"/>
      <c r="FT20" s="192"/>
      <c r="FU20" s="192"/>
      <c r="FV20" s="192"/>
      <c r="FW20" s="192"/>
      <c r="FX20" s="192"/>
      <c r="FY20" s="192"/>
      <c r="FZ20" s="192"/>
      <c r="GA20" s="192"/>
      <c r="GB20" s="192"/>
      <c r="GC20" s="192"/>
      <c r="GD20" s="192"/>
      <c r="GE20" s="192"/>
      <c r="GF20" s="192"/>
      <c r="GG20" s="192"/>
      <c r="GH20" s="192"/>
      <c r="GI20" s="192"/>
      <c r="GJ20" s="192"/>
      <c r="GK20" s="192"/>
      <c r="GL20" s="192"/>
      <c r="GM20" s="192"/>
      <c r="GN20" s="192"/>
      <c r="GO20" s="192"/>
      <c r="GP20" s="192"/>
      <c r="GQ20" s="192"/>
      <c r="GR20" s="192"/>
      <c r="GS20" s="192"/>
      <c r="GT20" s="192"/>
      <c r="GU20" s="192"/>
      <c r="GV20" s="192"/>
      <c r="GW20" s="192"/>
      <c r="GX20" s="192"/>
      <c r="GY20" s="192"/>
      <c r="GZ20" s="192"/>
      <c r="HA20" s="192"/>
      <c r="HB20" s="192"/>
      <c r="HC20" s="192"/>
      <c r="HD20" s="192"/>
      <c r="HE20" s="192"/>
      <c r="HF20" s="192"/>
      <c r="HG20" s="192"/>
      <c r="HH20" s="192"/>
      <c r="HI20" s="192"/>
      <c r="HJ20" s="192"/>
      <c r="HK20" s="192"/>
      <c r="HL20" s="192"/>
      <c r="HM20" s="192"/>
      <c r="HN20" s="192"/>
      <c r="HO20" s="192"/>
      <c r="HP20" s="192"/>
      <c r="HQ20" s="192"/>
      <c r="HR20" s="192"/>
      <c r="HS20" s="192"/>
      <c r="HT20" s="192"/>
      <c r="HU20" s="192"/>
      <c r="HV20" s="192"/>
      <c r="HW20" s="192"/>
      <c r="HX20" s="192"/>
      <c r="HY20" s="192"/>
      <c r="HZ20" s="192"/>
      <c r="IA20" s="192"/>
      <c r="IB20" s="192"/>
      <c r="IC20" s="192"/>
      <c r="ID20" s="192"/>
      <c r="IE20" s="192"/>
      <c r="IF20" s="192"/>
      <c r="IG20" s="192"/>
      <c r="IH20" s="192"/>
      <c r="II20" s="192"/>
      <c r="IJ20" s="192"/>
      <c r="IK20" s="192"/>
      <c r="IL20" s="192"/>
      <c r="IM20" s="192"/>
      <c r="IN20" s="192"/>
      <c r="IO20" s="192"/>
      <c r="IP20" s="192"/>
      <c r="IQ20" s="192"/>
    </row>
    <row r="21" spans="1:251" s="157" customFormat="1" ht="21.75" customHeight="1">
      <c r="A21" s="196">
        <v>14</v>
      </c>
      <c r="B21" s="277" t="s">
        <v>206</v>
      </c>
      <c r="C21" s="278" t="s">
        <v>207</v>
      </c>
      <c r="D21" s="271"/>
      <c r="E21" s="271">
        <v>88</v>
      </c>
      <c r="F21" s="278" t="s">
        <v>191</v>
      </c>
      <c r="G21" s="271" t="s">
        <v>192</v>
      </c>
      <c r="H21" s="285" t="s">
        <v>264</v>
      </c>
      <c r="I21" s="197">
        <f t="shared" si="0"/>
        <v>187500</v>
      </c>
      <c r="J21" s="286" t="s">
        <v>265</v>
      </c>
      <c r="K21" s="200">
        <f t="shared" si="1"/>
        <v>135000</v>
      </c>
      <c r="L21" s="286" t="s">
        <v>267</v>
      </c>
      <c r="M21" s="198">
        <f t="shared" si="2"/>
        <v>135000</v>
      </c>
      <c r="N21" s="198">
        <f t="shared" si="3"/>
        <v>457500</v>
      </c>
      <c r="O21" s="192"/>
      <c r="P21" s="192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192"/>
      <c r="AP21" s="192"/>
      <c r="AQ21" s="192"/>
      <c r="AR21" s="192"/>
      <c r="AS21" s="192"/>
      <c r="AT21" s="192"/>
      <c r="AU21" s="192"/>
      <c r="AV21" s="192"/>
      <c r="AW21" s="192"/>
      <c r="AX21" s="192"/>
      <c r="AY21" s="192"/>
      <c r="AZ21" s="192"/>
      <c r="BA21" s="192"/>
      <c r="BB21" s="192"/>
      <c r="BC21" s="192"/>
      <c r="BD21" s="192"/>
      <c r="BE21" s="192"/>
      <c r="BF21" s="192"/>
      <c r="BG21" s="192"/>
      <c r="BH21" s="192"/>
      <c r="BI21" s="192"/>
      <c r="BJ21" s="192"/>
      <c r="BK21" s="192"/>
      <c r="BL21" s="192"/>
      <c r="BM21" s="192"/>
      <c r="BN21" s="192"/>
      <c r="BO21" s="192"/>
      <c r="BP21" s="192"/>
      <c r="BQ21" s="192"/>
      <c r="BR21" s="192"/>
      <c r="BS21" s="192"/>
      <c r="BT21" s="192"/>
      <c r="BU21" s="192"/>
      <c r="BV21" s="192"/>
      <c r="BW21" s="192"/>
      <c r="BX21" s="192"/>
      <c r="BY21" s="192"/>
      <c r="BZ21" s="192"/>
      <c r="CA21" s="192"/>
      <c r="CB21" s="192"/>
      <c r="CC21" s="192"/>
      <c r="CD21" s="192"/>
      <c r="CE21" s="192"/>
      <c r="CF21" s="192"/>
      <c r="CG21" s="192"/>
      <c r="CH21" s="192"/>
      <c r="CI21" s="192"/>
      <c r="CJ21" s="192"/>
      <c r="CK21" s="192"/>
      <c r="CL21" s="192"/>
      <c r="CM21" s="192"/>
      <c r="CN21" s="192"/>
      <c r="CO21" s="192"/>
      <c r="CP21" s="192"/>
      <c r="CQ21" s="192"/>
      <c r="CR21" s="192"/>
      <c r="CS21" s="192"/>
      <c r="CT21" s="192"/>
      <c r="CU21" s="192"/>
      <c r="CV21" s="192"/>
      <c r="CW21" s="192"/>
      <c r="CX21" s="192"/>
      <c r="CY21" s="192"/>
      <c r="CZ21" s="192"/>
      <c r="DA21" s="192"/>
      <c r="DB21" s="192"/>
      <c r="DC21" s="192"/>
      <c r="DD21" s="192"/>
      <c r="DE21" s="192"/>
      <c r="DF21" s="192"/>
      <c r="DG21" s="192"/>
      <c r="DH21" s="192"/>
      <c r="DI21" s="192"/>
      <c r="DJ21" s="192"/>
      <c r="DK21" s="192"/>
      <c r="DL21" s="192"/>
      <c r="DM21" s="192"/>
      <c r="DN21" s="192"/>
      <c r="DO21" s="192"/>
      <c r="DP21" s="192"/>
      <c r="DQ21" s="192"/>
      <c r="DR21" s="192"/>
      <c r="DS21" s="192"/>
      <c r="DT21" s="192"/>
      <c r="DU21" s="192"/>
      <c r="DV21" s="192"/>
      <c r="DW21" s="192"/>
      <c r="DX21" s="192"/>
      <c r="DY21" s="192"/>
      <c r="DZ21" s="192"/>
      <c r="EA21" s="192"/>
      <c r="EB21" s="192"/>
      <c r="EC21" s="192"/>
      <c r="ED21" s="192"/>
      <c r="EE21" s="192"/>
      <c r="EF21" s="192"/>
      <c r="EG21" s="192"/>
      <c r="EH21" s="192"/>
      <c r="EI21" s="192"/>
      <c r="EJ21" s="192"/>
      <c r="EK21" s="192"/>
      <c r="EL21" s="192"/>
      <c r="EM21" s="192"/>
      <c r="EN21" s="192"/>
      <c r="EO21" s="192"/>
      <c r="EP21" s="192"/>
      <c r="EQ21" s="192"/>
      <c r="ER21" s="192"/>
      <c r="ES21" s="192"/>
      <c r="ET21" s="192"/>
      <c r="EU21" s="192"/>
      <c r="EV21" s="192"/>
      <c r="EW21" s="192"/>
      <c r="EX21" s="192"/>
      <c r="EY21" s="192"/>
      <c r="EZ21" s="192"/>
      <c r="FA21" s="192"/>
      <c r="FB21" s="192"/>
      <c r="FC21" s="192"/>
      <c r="FD21" s="192"/>
      <c r="FE21" s="192"/>
      <c r="FF21" s="192"/>
      <c r="FG21" s="192"/>
      <c r="FH21" s="192"/>
      <c r="FI21" s="192"/>
      <c r="FJ21" s="192"/>
      <c r="FK21" s="192"/>
      <c r="FL21" s="192"/>
      <c r="FM21" s="192"/>
      <c r="FN21" s="192"/>
      <c r="FO21" s="192"/>
      <c r="FP21" s="192"/>
      <c r="FQ21" s="192"/>
      <c r="FR21" s="192"/>
      <c r="FS21" s="192"/>
      <c r="FT21" s="192"/>
      <c r="FU21" s="192"/>
      <c r="FV21" s="192"/>
      <c r="FW21" s="192"/>
      <c r="FX21" s="192"/>
      <c r="FY21" s="192"/>
      <c r="FZ21" s="192"/>
      <c r="GA21" s="192"/>
      <c r="GB21" s="192"/>
      <c r="GC21" s="192"/>
      <c r="GD21" s="192"/>
      <c r="GE21" s="192"/>
      <c r="GF21" s="192"/>
      <c r="GG21" s="192"/>
      <c r="GH21" s="192"/>
      <c r="GI21" s="192"/>
      <c r="GJ21" s="192"/>
      <c r="GK21" s="192"/>
      <c r="GL21" s="192"/>
      <c r="GM21" s="192"/>
      <c r="GN21" s="192"/>
      <c r="GO21" s="192"/>
      <c r="GP21" s="192"/>
      <c r="GQ21" s="192"/>
      <c r="GR21" s="192"/>
      <c r="GS21" s="192"/>
      <c r="GT21" s="192"/>
      <c r="GU21" s="192"/>
      <c r="GV21" s="192"/>
      <c r="GW21" s="192"/>
      <c r="GX21" s="192"/>
      <c r="GY21" s="192"/>
      <c r="GZ21" s="192"/>
      <c r="HA21" s="192"/>
      <c r="HB21" s="192"/>
      <c r="HC21" s="192"/>
      <c r="HD21" s="192"/>
      <c r="HE21" s="192"/>
      <c r="HF21" s="192"/>
      <c r="HG21" s="192"/>
      <c r="HH21" s="192"/>
      <c r="HI21" s="192"/>
      <c r="HJ21" s="192"/>
      <c r="HK21" s="192"/>
      <c r="HL21" s="192"/>
      <c r="HM21" s="192"/>
      <c r="HN21" s="192"/>
      <c r="HO21" s="192"/>
      <c r="HP21" s="192"/>
      <c r="HQ21" s="192"/>
      <c r="HR21" s="192"/>
      <c r="HS21" s="192"/>
      <c r="HT21" s="192"/>
      <c r="HU21" s="192"/>
      <c r="HV21" s="192"/>
      <c r="HW21" s="192"/>
      <c r="HX21" s="192"/>
      <c r="HY21" s="192"/>
      <c r="HZ21" s="192"/>
      <c r="IA21" s="192"/>
      <c r="IB21" s="192"/>
      <c r="IC21" s="192"/>
      <c r="ID21" s="192"/>
      <c r="IE21" s="192"/>
      <c r="IF21" s="192"/>
      <c r="IG21" s="192"/>
      <c r="IH21" s="192"/>
      <c r="II21" s="192"/>
      <c r="IJ21" s="192"/>
      <c r="IK21" s="192"/>
      <c r="IL21" s="192"/>
      <c r="IM21" s="192"/>
      <c r="IN21" s="192"/>
      <c r="IO21" s="192"/>
      <c r="IP21" s="192"/>
      <c r="IQ21" s="192"/>
    </row>
    <row r="22" spans="1:251" s="157" customFormat="1" ht="21.75" customHeight="1">
      <c r="A22" s="196">
        <v>15</v>
      </c>
      <c r="B22" s="277" t="s">
        <v>206</v>
      </c>
      <c r="C22" s="278" t="s">
        <v>208</v>
      </c>
      <c r="D22" s="271">
        <v>84</v>
      </c>
      <c r="E22" s="271"/>
      <c r="F22" s="278" t="s">
        <v>187</v>
      </c>
      <c r="G22" s="271" t="s">
        <v>192</v>
      </c>
      <c r="H22" s="285" t="s">
        <v>267</v>
      </c>
      <c r="I22" s="197">
        <f t="shared" si="0"/>
        <v>187500</v>
      </c>
      <c r="J22" s="286" t="s">
        <v>272</v>
      </c>
      <c r="K22" s="200">
        <f t="shared" si="1"/>
        <v>135000</v>
      </c>
      <c r="L22" s="286" t="s">
        <v>279</v>
      </c>
      <c r="M22" s="198">
        <f t="shared" si="2"/>
        <v>135000</v>
      </c>
      <c r="N22" s="198">
        <f t="shared" si="3"/>
        <v>457500</v>
      </c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  <c r="AL22" s="192"/>
      <c r="AM22" s="192"/>
      <c r="AN22" s="192"/>
      <c r="AO22" s="192"/>
      <c r="AP22" s="192"/>
      <c r="AQ22" s="192"/>
      <c r="AR22" s="192"/>
      <c r="AS22" s="192"/>
      <c r="AT22" s="192"/>
      <c r="AU22" s="192"/>
      <c r="AV22" s="192"/>
      <c r="AW22" s="192"/>
      <c r="AX22" s="192"/>
      <c r="AY22" s="192"/>
      <c r="AZ22" s="192"/>
      <c r="BA22" s="192"/>
      <c r="BB22" s="192"/>
      <c r="BC22" s="192"/>
      <c r="BD22" s="192"/>
      <c r="BE22" s="192"/>
      <c r="BF22" s="192"/>
      <c r="BG22" s="192"/>
      <c r="BH22" s="192"/>
      <c r="BI22" s="192"/>
      <c r="BJ22" s="192"/>
      <c r="BK22" s="192"/>
      <c r="BL22" s="192"/>
      <c r="BM22" s="192"/>
      <c r="BN22" s="192"/>
      <c r="BO22" s="192"/>
      <c r="BP22" s="192"/>
      <c r="BQ22" s="192"/>
      <c r="BR22" s="192"/>
      <c r="BS22" s="192"/>
      <c r="BT22" s="192"/>
      <c r="BU22" s="192"/>
      <c r="BV22" s="192"/>
      <c r="BW22" s="192"/>
      <c r="BX22" s="192"/>
      <c r="BY22" s="192"/>
      <c r="BZ22" s="192"/>
      <c r="CA22" s="192"/>
      <c r="CB22" s="192"/>
      <c r="CC22" s="192"/>
      <c r="CD22" s="192"/>
      <c r="CE22" s="192"/>
      <c r="CF22" s="192"/>
      <c r="CG22" s="192"/>
      <c r="CH22" s="192"/>
      <c r="CI22" s="192"/>
      <c r="CJ22" s="192"/>
      <c r="CK22" s="192"/>
      <c r="CL22" s="192"/>
      <c r="CM22" s="192"/>
      <c r="CN22" s="192"/>
      <c r="CO22" s="192"/>
      <c r="CP22" s="192"/>
      <c r="CQ22" s="192"/>
      <c r="CR22" s="192"/>
      <c r="CS22" s="192"/>
      <c r="CT22" s="192"/>
      <c r="CU22" s="192"/>
      <c r="CV22" s="192"/>
      <c r="CW22" s="192"/>
      <c r="CX22" s="192"/>
      <c r="CY22" s="192"/>
      <c r="CZ22" s="192"/>
      <c r="DA22" s="192"/>
      <c r="DB22" s="192"/>
      <c r="DC22" s="192"/>
      <c r="DD22" s="192"/>
      <c r="DE22" s="192"/>
      <c r="DF22" s="192"/>
      <c r="DG22" s="192"/>
      <c r="DH22" s="192"/>
      <c r="DI22" s="192"/>
      <c r="DJ22" s="192"/>
      <c r="DK22" s="192"/>
      <c r="DL22" s="192"/>
      <c r="DM22" s="192"/>
      <c r="DN22" s="192"/>
      <c r="DO22" s="192"/>
      <c r="DP22" s="192"/>
      <c r="DQ22" s="192"/>
      <c r="DR22" s="192"/>
      <c r="DS22" s="192"/>
      <c r="DT22" s="192"/>
      <c r="DU22" s="192"/>
      <c r="DV22" s="192"/>
      <c r="DW22" s="192"/>
      <c r="DX22" s="192"/>
      <c r="DY22" s="192"/>
      <c r="DZ22" s="192"/>
      <c r="EA22" s="192"/>
      <c r="EB22" s="192"/>
      <c r="EC22" s="192"/>
      <c r="ED22" s="192"/>
      <c r="EE22" s="192"/>
      <c r="EF22" s="192"/>
      <c r="EG22" s="192"/>
      <c r="EH22" s="192"/>
      <c r="EI22" s="192"/>
      <c r="EJ22" s="192"/>
      <c r="EK22" s="192"/>
      <c r="EL22" s="192"/>
      <c r="EM22" s="192"/>
      <c r="EN22" s="192"/>
      <c r="EO22" s="192"/>
      <c r="EP22" s="192"/>
      <c r="EQ22" s="192"/>
      <c r="ER22" s="192"/>
      <c r="ES22" s="192"/>
      <c r="ET22" s="192"/>
      <c r="EU22" s="192"/>
      <c r="EV22" s="192"/>
      <c r="EW22" s="192"/>
      <c r="EX22" s="192"/>
      <c r="EY22" s="192"/>
      <c r="EZ22" s="192"/>
      <c r="FA22" s="192"/>
      <c r="FB22" s="192"/>
      <c r="FC22" s="192"/>
      <c r="FD22" s="192"/>
      <c r="FE22" s="192"/>
      <c r="FF22" s="192"/>
      <c r="FG22" s="192"/>
      <c r="FH22" s="192"/>
      <c r="FI22" s="192"/>
      <c r="FJ22" s="192"/>
      <c r="FK22" s="192"/>
      <c r="FL22" s="192"/>
      <c r="FM22" s="192"/>
      <c r="FN22" s="192"/>
      <c r="FO22" s="192"/>
      <c r="FP22" s="192"/>
      <c r="FQ22" s="192"/>
      <c r="FR22" s="192"/>
      <c r="FS22" s="192"/>
      <c r="FT22" s="192"/>
      <c r="FU22" s="192"/>
      <c r="FV22" s="192"/>
      <c r="FW22" s="192"/>
      <c r="FX22" s="192"/>
      <c r="FY22" s="192"/>
      <c r="FZ22" s="192"/>
      <c r="GA22" s="192"/>
      <c r="GB22" s="192"/>
      <c r="GC22" s="192"/>
      <c r="GD22" s="192"/>
      <c r="GE22" s="192"/>
      <c r="GF22" s="192"/>
      <c r="GG22" s="192"/>
      <c r="GH22" s="192"/>
      <c r="GI22" s="192"/>
      <c r="GJ22" s="192"/>
      <c r="GK22" s="192"/>
      <c r="GL22" s="192"/>
      <c r="GM22" s="192"/>
      <c r="GN22" s="192"/>
      <c r="GO22" s="192"/>
      <c r="GP22" s="192"/>
      <c r="GQ22" s="192"/>
      <c r="GR22" s="192"/>
      <c r="GS22" s="192"/>
      <c r="GT22" s="192"/>
      <c r="GU22" s="192"/>
      <c r="GV22" s="192"/>
      <c r="GW22" s="192"/>
      <c r="GX22" s="192"/>
      <c r="GY22" s="192"/>
      <c r="GZ22" s="192"/>
      <c r="HA22" s="192"/>
      <c r="HB22" s="192"/>
      <c r="HC22" s="192"/>
      <c r="HD22" s="192"/>
      <c r="HE22" s="192"/>
      <c r="HF22" s="192"/>
      <c r="HG22" s="192"/>
      <c r="HH22" s="192"/>
      <c r="HI22" s="192"/>
      <c r="HJ22" s="192"/>
      <c r="HK22" s="192"/>
      <c r="HL22" s="192"/>
      <c r="HM22" s="192"/>
      <c r="HN22" s="192"/>
      <c r="HO22" s="192"/>
      <c r="HP22" s="192"/>
      <c r="HQ22" s="192"/>
      <c r="HR22" s="192"/>
      <c r="HS22" s="192"/>
      <c r="HT22" s="192"/>
      <c r="HU22" s="192"/>
      <c r="HV22" s="192"/>
      <c r="HW22" s="192"/>
      <c r="HX22" s="192"/>
      <c r="HY22" s="192"/>
      <c r="HZ22" s="192"/>
      <c r="IA22" s="192"/>
      <c r="IB22" s="192"/>
      <c r="IC22" s="192"/>
      <c r="ID22" s="192"/>
      <c r="IE22" s="192"/>
      <c r="IF22" s="192"/>
      <c r="IG22" s="192"/>
      <c r="IH22" s="192"/>
      <c r="II22" s="192"/>
      <c r="IJ22" s="192"/>
      <c r="IK22" s="192"/>
      <c r="IL22" s="192"/>
      <c r="IM22" s="192"/>
      <c r="IN22" s="192"/>
      <c r="IO22" s="192"/>
      <c r="IP22" s="192"/>
      <c r="IQ22" s="192"/>
    </row>
    <row r="23" spans="1:251" s="157" customFormat="1" ht="21.75" customHeight="1">
      <c r="A23" s="196">
        <v>16</v>
      </c>
      <c r="B23" s="277" t="s">
        <v>209</v>
      </c>
      <c r="C23" s="278" t="s">
        <v>210</v>
      </c>
      <c r="D23" s="271"/>
      <c r="E23" s="271">
        <v>68</v>
      </c>
      <c r="F23" s="278" t="s">
        <v>199</v>
      </c>
      <c r="G23" s="271" t="s">
        <v>211</v>
      </c>
      <c r="H23" s="285" t="s">
        <v>268</v>
      </c>
      <c r="I23" s="197">
        <f t="shared" si="0"/>
        <v>420000</v>
      </c>
      <c r="J23" s="286" t="s">
        <v>272</v>
      </c>
      <c r="K23" s="200">
        <f t="shared" si="1"/>
        <v>300000</v>
      </c>
      <c r="L23" s="286" t="s">
        <v>274</v>
      </c>
      <c r="M23" s="198">
        <f t="shared" si="2"/>
        <v>300000</v>
      </c>
      <c r="N23" s="198">
        <f t="shared" si="3"/>
        <v>1020000</v>
      </c>
      <c r="O23" s="192"/>
      <c r="P23" s="192"/>
      <c r="Q23" s="192"/>
      <c r="R23" s="192"/>
      <c r="S23" s="192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192"/>
      <c r="AE23" s="192"/>
      <c r="AF23" s="192"/>
      <c r="AG23" s="192"/>
      <c r="AH23" s="192"/>
      <c r="AI23" s="192"/>
      <c r="AJ23" s="192"/>
      <c r="AK23" s="192"/>
      <c r="AL23" s="192"/>
      <c r="AM23" s="192"/>
      <c r="AN23" s="192"/>
      <c r="AO23" s="192"/>
      <c r="AP23" s="192"/>
      <c r="AQ23" s="192"/>
      <c r="AR23" s="192"/>
      <c r="AS23" s="192"/>
      <c r="AT23" s="192"/>
      <c r="AU23" s="192"/>
      <c r="AV23" s="192"/>
      <c r="AW23" s="192"/>
      <c r="AX23" s="192"/>
      <c r="AY23" s="192"/>
      <c r="AZ23" s="192"/>
      <c r="BA23" s="192"/>
      <c r="BB23" s="192"/>
      <c r="BC23" s="192"/>
      <c r="BD23" s="192"/>
      <c r="BE23" s="192"/>
      <c r="BF23" s="192"/>
      <c r="BG23" s="192"/>
      <c r="BH23" s="192"/>
      <c r="BI23" s="192"/>
      <c r="BJ23" s="192"/>
      <c r="BK23" s="192"/>
      <c r="BL23" s="192"/>
      <c r="BM23" s="192"/>
      <c r="BN23" s="192"/>
      <c r="BO23" s="192"/>
      <c r="BP23" s="192"/>
      <c r="BQ23" s="192"/>
      <c r="BR23" s="192"/>
      <c r="BS23" s="192"/>
      <c r="BT23" s="192"/>
      <c r="BU23" s="192"/>
      <c r="BV23" s="192"/>
      <c r="BW23" s="192"/>
      <c r="BX23" s="192"/>
      <c r="BY23" s="192"/>
      <c r="BZ23" s="192"/>
      <c r="CA23" s="192"/>
      <c r="CB23" s="192"/>
      <c r="CC23" s="192"/>
      <c r="CD23" s="192"/>
      <c r="CE23" s="192"/>
      <c r="CF23" s="192"/>
      <c r="CG23" s="192"/>
      <c r="CH23" s="192"/>
      <c r="CI23" s="192"/>
      <c r="CJ23" s="192"/>
      <c r="CK23" s="192"/>
      <c r="CL23" s="192"/>
      <c r="CM23" s="192"/>
      <c r="CN23" s="192"/>
      <c r="CO23" s="192"/>
      <c r="CP23" s="192"/>
      <c r="CQ23" s="192"/>
      <c r="CR23" s="192"/>
      <c r="CS23" s="192"/>
      <c r="CT23" s="192"/>
      <c r="CU23" s="192"/>
      <c r="CV23" s="192"/>
      <c r="CW23" s="192"/>
      <c r="CX23" s="192"/>
      <c r="CY23" s="192"/>
      <c r="CZ23" s="192"/>
      <c r="DA23" s="192"/>
      <c r="DB23" s="192"/>
      <c r="DC23" s="192"/>
      <c r="DD23" s="192"/>
      <c r="DE23" s="192"/>
      <c r="DF23" s="192"/>
      <c r="DG23" s="192"/>
      <c r="DH23" s="192"/>
      <c r="DI23" s="192"/>
      <c r="DJ23" s="192"/>
      <c r="DK23" s="192"/>
      <c r="DL23" s="192"/>
      <c r="DM23" s="192"/>
      <c r="DN23" s="192"/>
      <c r="DO23" s="192"/>
      <c r="DP23" s="192"/>
      <c r="DQ23" s="192"/>
      <c r="DR23" s="192"/>
      <c r="DS23" s="192"/>
      <c r="DT23" s="192"/>
      <c r="DU23" s="192"/>
      <c r="DV23" s="192"/>
      <c r="DW23" s="192"/>
      <c r="DX23" s="192"/>
      <c r="DY23" s="192"/>
      <c r="DZ23" s="192"/>
      <c r="EA23" s="192"/>
      <c r="EB23" s="192"/>
      <c r="EC23" s="192"/>
      <c r="ED23" s="192"/>
      <c r="EE23" s="192"/>
      <c r="EF23" s="192"/>
      <c r="EG23" s="192"/>
      <c r="EH23" s="192"/>
      <c r="EI23" s="192"/>
      <c r="EJ23" s="192"/>
      <c r="EK23" s="192"/>
      <c r="EL23" s="192"/>
      <c r="EM23" s="192"/>
      <c r="EN23" s="192"/>
      <c r="EO23" s="192"/>
      <c r="EP23" s="192"/>
      <c r="EQ23" s="192"/>
      <c r="ER23" s="192"/>
      <c r="ES23" s="192"/>
      <c r="ET23" s="192"/>
      <c r="EU23" s="192"/>
      <c r="EV23" s="192"/>
      <c r="EW23" s="192"/>
      <c r="EX23" s="192"/>
      <c r="EY23" s="192"/>
      <c r="EZ23" s="192"/>
      <c r="FA23" s="192"/>
      <c r="FB23" s="192"/>
      <c r="FC23" s="192"/>
      <c r="FD23" s="192"/>
      <c r="FE23" s="192"/>
      <c r="FF23" s="192"/>
      <c r="FG23" s="192"/>
      <c r="FH23" s="192"/>
      <c r="FI23" s="192"/>
      <c r="FJ23" s="192"/>
      <c r="FK23" s="192"/>
      <c r="FL23" s="192"/>
      <c r="FM23" s="192"/>
      <c r="FN23" s="192"/>
      <c r="FO23" s="192"/>
      <c r="FP23" s="192"/>
      <c r="FQ23" s="192"/>
      <c r="FR23" s="192"/>
      <c r="FS23" s="192"/>
      <c r="FT23" s="192"/>
      <c r="FU23" s="192"/>
      <c r="FV23" s="192"/>
      <c r="FW23" s="192"/>
      <c r="FX23" s="192"/>
      <c r="FY23" s="192"/>
      <c r="FZ23" s="192"/>
      <c r="GA23" s="192"/>
      <c r="GB23" s="192"/>
      <c r="GC23" s="192"/>
      <c r="GD23" s="192"/>
      <c r="GE23" s="192"/>
      <c r="GF23" s="192"/>
      <c r="GG23" s="192"/>
      <c r="GH23" s="192"/>
      <c r="GI23" s="192"/>
      <c r="GJ23" s="192"/>
      <c r="GK23" s="192"/>
      <c r="GL23" s="192"/>
      <c r="GM23" s="192"/>
      <c r="GN23" s="192"/>
      <c r="GO23" s="192"/>
      <c r="GP23" s="192"/>
      <c r="GQ23" s="192"/>
      <c r="GR23" s="192"/>
      <c r="GS23" s="192"/>
      <c r="GT23" s="192"/>
      <c r="GU23" s="192"/>
      <c r="GV23" s="192"/>
      <c r="GW23" s="192"/>
      <c r="GX23" s="192"/>
      <c r="GY23" s="192"/>
      <c r="GZ23" s="192"/>
      <c r="HA23" s="192"/>
      <c r="HB23" s="192"/>
      <c r="HC23" s="192"/>
      <c r="HD23" s="192"/>
      <c r="HE23" s="192"/>
      <c r="HF23" s="192"/>
      <c r="HG23" s="192"/>
      <c r="HH23" s="192"/>
      <c r="HI23" s="192"/>
      <c r="HJ23" s="192"/>
      <c r="HK23" s="192"/>
      <c r="HL23" s="192"/>
      <c r="HM23" s="192"/>
      <c r="HN23" s="192"/>
      <c r="HO23" s="192"/>
      <c r="HP23" s="192"/>
      <c r="HQ23" s="192"/>
      <c r="HR23" s="192"/>
      <c r="HS23" s="192"/>
      <c r="HT23" s="192"/>
      <c r="HU23" s="192"/>
      <c r="HV23" s="192"/>
      <c r="HW23" s="192"/>
      <c r="HX23" s="192"/>
      <c r="HY23" s="192"/>
      <c r="HZ23" s="192"/>
      <c r="IA23" s="192"/>
      <c r="IB23" s="192"/>
      <c r="IC23" s="192"/>
      <c r="ID23" s="192"/>
      <c r="IE23" s="192"/>
      <c r="IF23" s="192"/>
      <c r="IG23" s="192"/>
      <c r="IH23" s="192"/>
      <c r="II23" s="192"/>
      <c r="IJ23" s="192"/>
      <c r="IK23" s="192"/>
      <c r="IL23" s="192"/>
      <c r="IM23" s="192"/>
      <c r="IN23" s="192"/>
      <c r="IO23" s="192"/>
      <c r="IP23" s="192"/>
      <c r="IQ23" s="192"/>
    </row>
    <row r="24" spans="1:251" s="157" customFormat="1" ht="21.75" customHeight="1">
      <c r="A24" s="196">
        <v>17</v>
      </c>
      <c r="B24" s="277" t="s">
        <v>212</v>
      </c>
      <c r="C24" s="278" t="s">
        <v>213</v>
      </c>
      <c r="D24" s="271">
        <v>61</v>
      </c>
      <c r="E24" s="271"/>
      <c r="F24" s="278" t="s">
        <v>199</v>
      </c>
      <c r="G24" s="271" t="s">
        <v>179</v>
      </c>
      <c r="H24" s="285" t="s">
        <v>269</v>
      </c>
      <c r="I24" s="197">
        <f t="shared" si="0"/>
        <v>420000</v>
      </c>
      <c r="J24" s="286" t="s">
        <v>272</v>
      </c>
      <c r="K24" s="200">
        <f t="shared" si="1"/>
        <v>300000</v>
      </c>
      <c r="L24" s="286" t="s">
        <v>280</v>
      </c>
      <c r="M24" s="198">
        <f t="shared" si="2"/>
        <v>300000</v>
      </c>
      <c r="N24" s="198">
        <f t="shared" si="3"/>
        <v>1020000</v>
      </c>
      <c r="O24" s="192"/>
      <c r="P24" s="192"/>
      <c r="Q24" s="192"/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2"/>
      <c r="AF24" s="192"/>
      <c r="AG24" s="192"/>
      <c r="AH24" s="192"/>
      <c r="AI24" s="192"/>
      <c r="AJ24" s="192"/>
      <c r="AK24" s="192"/>
      <c r="AL24" s="192"/>
      <c r="AM24" s="192"/>
      <c r="AN24" s="192"/>
      <c r="AO24" s="192"/>
      <c r="AP24" s="192"/>
      <c r="AQ24" s="192"/>
      <c r="AR24" s="192"/>
      <c r="AS24" s="192"/>
      <c r="AT24" s="192"/>
      <c r="AU24" s="192"/>
      <c r="AV24" s="192"/>
      <c r="AW24" s="192"/>
      <c r="AX24" s="192"/>
      <c r="AY24" s="192"/>
      <c r="AZ24" s="192"/>
      <c r="BA24" s="192"/>
      <c r="BB24" s="192"/>
      <c r="BC24" s="192"/>
      <c r="BD24" s="192"/>
      <c r="BE24" s="192"/>
      <c r="BF24" s="192"/>
      <c r="BG24" s="192"/>
      <c r="BH24" s="192"/>
      <c r="BI24" s="192"/>
      <c r="BJ24" s="192"/>
      <c r="BK24" s="192"/>
      <c r="BL24" s="192"/>
      <c r="BM24" s="192"/>
      <c r="BN24" s="192"/>
      <c r="BO24" s="192"/>
      <c r="BP24" s="192"/>
      <c r="BQ24" s="192"/>
      <c r="BR24" s="192"/>
      <c r="BS24" s="192"/>
      <c r="BT24" s="192"/>
      <c r="BU24" s="192"/>
      <c r="BV24" s="192"/>
      <c r="BW24" s="192"/>
      <c r="BX24" s="192"/>
      <c r="BY24" s="192"/>
      <c r="BZ24" s="192"/>
      <c r="CA24" s="192"/>
      <c r="CB24" s="192"/>
      <c r="CC24" s="192"/>
      <c r="CD24" s="192"/>
      <c r="CE24" s="192"/>
      <c r="CF24" s="192"/>
      <c r="CG24" s="192"/>
      <c r="CH24" s="192"/>
      <c r="CI24" s="192"/>
      <c r="CJ24" s="192"/>
      <c r="CK24" s="192"/>
      <c r="CL24" s="192"/>
      <c r="CM24" s="192"/>
      <c r="CN24" s="192"/>
      <c r="CO24" s="192"/>
      <c r="CP24" s="192"/>
      <c r="CQ24" s="192"/>
      <c r="CR24" s="192"/>
      <c r="CS24" s="192"/>
      <c r="CT24" s="192"/>
      <c r="CU24" s="192"/>
      <c r="CV24" s="192"/>
      <c r="CW24" s="192"/>
      <c r="CX24" s="192"/>
      <c r="CY24" s="192"/>
      <c r="CZ24" s="192"/>
      <c r="DA24" s="192"/>
      <c r="DB24" s="192"/>
      <c r="DC24" s="192"/>
      <c r="DD24" s="192"/>
      <c r="DE24" s="192"/>
      <c r="DF24" s="192"/>
      <c r="DG24" s="192"/>
      <c r="DH24" s="192"/>
      <c r="DI24" s="192"/>
      <c r="DJ24" s="192"/>
      <c r="DK24" s="192"/>
      <c r="DL24" s="192"/>
      <c r="DM24" s="192"/>
      <c r="DN24" s="192"/>
      <c r="DO24" s="192"/>
      <c r="DP24" s="192"/>
      <c r="DQ24" s="192"/>
      <c r="DR24" s="192"/>
      <c r="DS24" s="192"/>
      <c r="DT24" s="192"/>
      <c r="DU24" s="192"/>
      <c r="DV24" s="192"/>
      <c r="DW24" s="192"/>
      <c r="DX24" s="192"/>
      <c r="DY24" s="192"/>
      <c r="DZ24" s="192"/>
      <c r="EA24" s="192"/>
      <c r="EB24" s="192"/>
      <c r="EC24" s="192"/>
      <c r="ED24" s="192"/>
      <c r="EE24" s="192"/>
      <c r="EF24" s="192"/>
      <c r="EG24" s="192"/>
      <c r="EH24" s="192"/>
      <c r="EI24" s="192"/>
      <c r="EJ24" s="192"/>
      <c r="EK24" s="192"/>
      <c r="EL24" s="192"/>
      <c r="EM24" s="192"/>
      <c r="EN24" s="192"/>
      <c r="EO24" s="192"/>
      <c r="EP24" s="192"/>
      <c r="EQ24" s="192"/>
      <c r="ER24" s="192"/>
      <c r="ES24" s="192"/>
      <c r="ET24" s="192"/>
      <c r="EU24" s="192"/>
      <c r="EV24" s="192"/>
      <c r="EW24" s="192"/>
      <c r="EX24" s="192"/>
      <c r="EY24" s="192"/>
      <c r="EZ24" s="192"/>
      <c r="FA24" s="192"/>
      <c r="FB24" s="192"/>
      <c r="FC24" s="192"/>
      <c r="FD24" s="192"/>
      <c r="FE24" s="192"/>
      <c r="FF24" s="192"/>
      <c r="FG24" s="192"/>
      <c r="FH24" s="192"/>
      <c r="FI24" s="192"/>
      <c r="FJ24" s="192"/>
      <c r="FK24" s="192"/>
      <c r="FL24" s="192"/>
      <c r="FM24" s="192"/>
      <c r="FN24" s="192"/>
      <c r="FO24" s="192"/>
      <c r="FP24" s="192"/>
      <c r="FQ24" s="192"/>
      <c r="FR24" s="192"/>
      <c r="FS24" s="192"/>
      <c r="FT24" s="192"/>
      <c r="FU24" s="192"/>
      <c r="FV24" s="192"/>
      <c r="FW24" s="192"/>
      <c r="FX24" s="192"/>
      <c r="FY24" s="192"/>
      <c r="FZ24" s="192"/>
      <c r="GA24" s="192"/>
      <c r="GB24" s="192"/>
      <c r="GC24" s="192"/>
      <c r="GD24" s="192"/>
      <c r="GE24" s="192"/>
      <c r="GF24" s="192"/>
      <c r="GG24" s="192"/>
      <c r="GH24" s="192"/>
      <c r="GI24" s="192"/>
      <c r="GJ24" s="192"/>
      <c r="GK24" s="192"/>
      <c r="GL24" s="192"/>
      <c r="GM24" s="192"/>
      <c r="GN24" s="192"/>
      <c r="GO24" s="192"/>
      <c r="GP24" s="192"/>
      <c r="GQ24" s="192"/>
      <c r="GR24" s="192"/>
      <c r="GS24" s="192"/>
      <c r="GT24" s="192"/>
      <c r="GU24" s="192"/>
      <c r="GV24" s="192"/>
      <c r="GW24" s="192"/>
      <c r="GX24" s="192"/>
      <c r="GY24" s="192"/>
      <c r="GZ24" s="192"/>
      <c r="HA24" s="192"/>
      <c r="HB24" s="192"/>
      <c r="HC24" s="192"/>
      <c r="HD24" s="192"/>
      <c r="HE24" s="192"/>
      <c r="HF24" s="192"/>
      <c r="HG24" s="192"/>
      <c r="HH24" s="192"/>
      <c r="HI24" s="192"/>
      <c r="HJ24" s="192"/>
      <c r="HK24" s="192"/>
      <c r="HL24" s="192"/>
      <c r="HM24" s="192"/>
      <c r="HN24" s="192"/>
      <c r="HO24" s="192"/>
      <c r="HP24" s="192"/>
      <c r="HQ24" s="192"/>
      <c r="HR24" s="192"/>
      <c r="HS24" s="192"/>
      <c r="HT24" s="192"/>
      <c r="HU24" s="192"/>
      <c r="HV24" s="192"/>
      <c r="HW24" s="192"/>
      <c r="HX24" s="192"/>
      <c r="HY24" s="192"/>
      <c r="HZ24" s="192"/>
      <c r="IA24" s="192"/>
      <c r="IB24" s="192"/>
      <c r="IC24" s="192"/>
      <c r="ID24" s="192"/>
      <c r="IE24" s="192"/>
      <c r="IF24" s="192"/>
      <c r="IG24" s="192"/>
      <c r="IH24" s="192"/>
      <c r="II24" s="192"/>
      <c r="IJ24" s="192"/>
      <c r="IK24" s="192"/>
      <c r="IL24" s="192"/>
      <c r="IM24" s="192"/>
      <c r="IN24" s="192"/>
      <c r="IO24" s="192"/>
      <c r="IP24" s="192"/>
      <c r="IQ24" s="192"/>
    </row>
    <row r="25" spans="1:251" s="157" customFormat="1" ht="21.75" customHeight="1">
      <c r="A25" s="196">
        <v>18</v>
      </c>
      <c r="B25" s="277" t="s">
        <v>212</v>
      </c>
      <c r="C25" s="278" t="s">
        <v>214</v>
      </c>
      <c r="D25" s="271"/>
      <c r="E25" s="271">
        <v>17</v>
      </c>
      <c r="F25" s="278" t="s">
        <v>199</v>
      </c>
      <c r="G25" s="271" t="s">
        <v>179</v>
      </c>
      <c r="H25" s="285" t="s">
        <v>265</v>
      </c>
      <c r="I25" s="197">
        <f t="shared" si="0"/>
        <v>420000</v>
      </c>
      <c r="J25" s="286" t="s">
        <v>272</v>
      </c>
      <c r="K25" s="200">
        <f t="shared" si="1"/>
        <v>300000</v>
      </c>
      <c r="L25" s="286" t="s">
        <v>280</v>
      </c>
      <c r="M25" s="198">
        <f t="shared" si="2"/>
        <v>300000</v>
      </c>
      <c r="N25" s="198">
        <f t="shared" si="3"/>
        <v>1020000</v>
      </c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2"/>
      <c r="AF25" s="192"/>
      <c r="AG25" s="192"/>
      <c r="AH25" s="192"/>
      <c r="AI25" s="192"/>
      <c r="AJ25" s="192"/>
      <c r="AK25" s="192"/>
      <c r="AL25" s="192"/>
      <c r="AM25" s="192"/>
      <c r="AN25" s="192"/>
      <c r="AO25" s="192"/>
      <c r="AP25" s="192"/>
      <c r="AQ25" s="192"/>
      <c r="AR25" s="192"/>
      <c r="AS25" s="192"/>
      <c r="AT25" s="192"/>
      <c r="AU25" s="192"/>
      <c r="AV25" s="192"/>
      <c r="AW25" s="192"/>
      <c r="AX25" s="192"/>
      <c r="AY25" s="192"/>
      <c r="AZ25" s="192"/>
      <c r="BA25" s="192"/>
      <c r="BB25" s="192"/>
      <c r="BC25" s="192"/>
      <c r="BD25" s="192"/>
      <c r="BE25" s="192"/>
      <c r="BF25" s="192"/>
      <c r="BG25" s="192"/>
      <c r="BH25" s="192"/>
      <c r="BI25" s="192"/>
      <c r="BJ25" s="192"/>
      <c r="BK25" s="192"/>
      <c r="BL25" s="192"/>
      <c r="BM25" s="192"/>
      <c r="BN25" s="192"/>
      <c r="BO25" s="192"/>
      <c r="BP25" s="192"/>
      <c r="BQ25" s="192"/>
      <c r="BR25" s="192"/>
      <c r="BS25" s="192"/>
      <c r="BT25" s="192"/>
      <c r="BU25" s="192"/>
      <c r="BV25" s="192"/>
      <c r="BW25" s="192"/>
      <c r="BX25" s="192"/>
      <c r="BY25" s="192"/>
      <c r="BZ25" s="192"/>
      <c r="CA25" s="192"/>
      <c r="CB25" s="192"/>
      <c r="CC25" s="192"/>
      <c r="CD25" s="192"/>
      <c r="CE25" s="192"/>
      <c r="CF25" s="192"/>
      <c r="CG25" s="192"/>
      <c r="CH25" s="192"/>
      <c r="CI25" s="192"/>
      <c r="CJ25" s="192"/>
      <c r="CK25" s="192"/>
      <c r="CL25" s="192"/>
      <c r="CM25" s="192"/>
      <c r="CN25" s="192"/>
      <c r="CO25" s="192"/>
      <c r="CP25" s="192"/>
      <c r="CQ25" s="192"/>
      <c r="CR25" s="192"/>
      <c r="CS25" s="192"/>
      <c r="CT25" s="192"/>
      <c r="CU25" s="192"/>
      <c r="CV25" s="192"/>
      <c r="CW25" s="192"/>
      <c r="CX25" s="192"/>
      <c r="CY25" s="192"/>
      <c r="CZ25" s="192"/>
      <c r="DA25" s="192"/>
      <c r="DB25" s="192"/>
      <c r="DC25" s="192"/>
      <c r="DD25" s="192"/>
      <c r="DE25" s="192"/>
      <c r="DF25" s="192"/>
      <c r="DG25" s="192"/>
      <c r="DH25" s="192"/>
      <c r="DI25" s="192"/>
      <c r="DJ25" s="192"/>
      <c r="DK25" s="192"/>
      <c r="DL25" s="192"/>
      <c r="DM25" s="192"/>
      <c r="DN25" s="192"/>
      <c r="DO25" s="192"/>
      <c r="DP25" s="192"/>
      <c r="DQ25" s="192"/>
      <c r="DR25" s="192"/>
      <c r="DS25" s="192"/>
      <c r="DT25" s="192"/>
      <c r="DU25" s="192"/>
      <c r="DV25" s="192"/>
      <c r="DW25" s="192"/>
      <c r="DX25" s="192"/>
      <c r="DY25" s="192"/>
      <c r="DZ25" s="192"/>
      <c r="EA25" s="192"/>
      <c r="EB25" s="192"/>
      <c r="EC25" s="192"/>
      <c r="ED25" s="192"/>
      <c r="EE25" s="192"/>
      <c r="EF25" s="192"/>
      <c r="EG25" s="192"/>
      <c r="EH25" s="192"/>
      <c r="EI25" s="192"/>
      <c r="EJ25" s="192"/>
      <c r="EK25" s="192"/>
      <c r="EL25" s="192"/>
      <c r="EM25" s="192"/>
      <c r="EN25" s="192"/>
      <c r="EO25" s="192"/>
      <c r="EP25" s="192"/>
      <c r="EQ25" s="192"/>
      <c r="ER25" s="192"/>
      <c r="ES25" s="192"/>
      <c r="ET25" s="192"/>
      <c r="EU25" s="192"/>
      <c r="EV25" s="192"/>
      <c r="EW25" s="192"/>
      <c r="EX25" s="192"/>
      <c r="EY25" s="192"/>
      <c r="EZ25" s="192"/>
      <c r="FA25" s="192"/>
      <c r="FB25" s="192"/>
      <c r="FC25" s="192"/>
      <c r="FD25" s="192"/>
      <c r="FE25" s="192"/>
      <c r="FF25" s="192"/>
      <c r="FG25" s="192"/>
      <c r="FH25" s="192"/>
      <c r="FI25" s="192"/>
      <c r="FJ25" s="192"/>
      <c r="FK25" s="192"/>
      <c r="FL25" s="192"/>
      <c r="FM25" s="192"/>
      <c r="FN25" s="192"/>
      <c r="FO25" s="192"/>
      <c r="FP25" s="192"/>
      <c r="FQ25" s="192"/>
      <c r="FR25" s="192"/>
      <c r="FS25" s="192"/>
      <c r="FT25" s="192"/>
      <c r="FU25" s="192"/>
      <c r="FV25" s="192"/>
      <c r="FW25" s="192"/>
      <c r="FX25" s="192"/>
      <c r="FY25" s="192"/>
      <c r="FZ25" s="192"/>
      <c r="GA25" s="192"/>
      <c r="GB25" s="192"/>
      <c r="GC25" s="192"/>
      <c r="GD25" s="192"/>
      <c r="GE25" s="192"/>
      <c r="GF25" s="192"/>
      <c r="GG25" s="192"/>
      <c r="GH25" s="192"/>
      <c r="GI25" s="192"/>
      <c r="GJ25" s="192"/>
      <c r="GK25" s="192"/>
      <c r="GL25" s="192"/>
      <c r="GM25" s="192"/>
      <c r="GN25" s="192"/>
      <c r="GO25" s="192"/>
      <c r="GP25" s="192"/>
      <c r="GQ25" s="192"/>
      <c r="GR25" s="192"/>
      <c r="GS25" s="192"/>
      <c r="GT25" s="192"/>
      <c r="GU25" s="192"/>
      <c r="GV25" s="192"/>
      <c r="GW25" s="192"/>
      <c r="GX25" s="192"/>
      <c r="GY25" s="192"/>
      <c r="GZ25" s="192"/>
      <c r="HA25" s="192"/>
      <c r="HB25" s="192"/>
      <c r="HC25" s="192"/>
      <c r="HD25" s="192"/>
      <c r="HE25" s="192"/>
      <c r="HF25" s="192"/>
      <c r="HG25" s="192"/>
      <c r="HH25" s="192"/>
      <c r="HI25" s="192"/>
      <c r="HJ25" s="192"/>
      <c r="HK25" s="192"/>
      <c r="HL25" s="192"/>
      <c r="HM25" s="192"/>
      <c r="HN25" s="192"/>
      <c r="HO25" s="192"/>
      <c r="HP25" s="192"/>
      <c r="HQ25" s="192"/>
      <c r="HR25" s="192"/>
      <c r="HS25" s="192"/>
      <c r="HT25" s="192"/>
      <c r="HU25" s="192"/>
      <c r="HV25" s="192"/>
      <c r="HW25" s="192"/>
      <c r="HX25" s="192"/>
      <c r="HY25" s="192"/>
      <c r="HZ25" s="192"/>
      <c r="IA25" s="192"/>
      <c r="IB25" s="192"/>
      <c r="IC25" s="192"/>
      <c r="ID25" s="192"/>
      <c r="IE25" s="192"/>
      <c r="IF25" s="192"/>
      <c r="IG25" s="192"/>
      <c r="IH25" s="192"/>
      <c r="II25" s="192"/>
      <c r="IJ25" s="192"/>
      <c r="IK25" s="192"/>
      <c r="IL25" s="192"/>
      <c r="IM25" s="192"/>
      <c r="IN25" s="192"/>
      <c r="IO25" s="192"/>
      <c r="IP25" s="192"/>
      <c r="IQ25" s="192"/>
    </row>
    <row r="26" spans="1:251" s="157" customFormat="1" ht="21.75" customHeight="1">
      <c r="A26" s="196">
        <v>19</v>
      </c>
      <c r="B26" s="277" t="s">
        <v>215</v>
      </c>
      <c r="C26" s="278" t="s">
        <v>216</v>
      </c>
      <c r="D26" s="271"/>
      <c r="E26" s="271">
        <v>74</v>
      </c>
      <c r="F26" s="278" t="s">
        <v>217</v>
      </c>
      <c r="G26" s="271" t="s">
        <v>179</v>
      </c>
      <c r="H26" s="285" t="s">
        <v>264</v>
      </c>
      <c r="I26" s="197">
        <f t="shared" si="0"/>
        <v>420000</v>
      </c>
      <c r="J26" s="286" t="s">
        <v>266</v>
      </c>
      <c r="K26" s="200">
        <f t="shared" si="1"/>
        <v>300000</v>
      </c>
      <c r="L26" s="286" t="s">
        <v>272</v>
      </c>
      <c r="M26" s="198">
        <f t="shared" si="2"/>
        <v>300000</v>
      </c>
      <c r="N26" s="198">
        <f t="shared" si="3"/>
        <v>1020000</v>
      </c>
      <c r="O26" s="192"/>
      <c r="P26" s="192"/>
      <c r="Q26" s="192"/>
      <c r="R26" s="192"/>
      <c r="S26" s="192"/>
      <c r="T26" s="192"/>
      <c r="U26" s="192"/>
      <c r="V26" s="192"/>
      <c r="W26" s="192"/>
      <c r="X26" s="192"/>
      <c r="Y26" s="192"/>
      <c r="Z26" s="192"/>
      <c r="AA26" s="192"/>
      <c r="AB26" s="192"/>
      <c r="AC26" s="192"/>
      <c r="AD26" s="192"/>
      <c r="AE26" s="192"/>
      <c r="AF26" s="192"/>
      <c r="AG26" s="192"/>
      <c r="AH26" s="192"/>
      <c r="AI26" s="192"/>
      <c r="AJ26" s="192"/>
      <c r="AK26" s="192"/>
      <c r="AL26" s="192"/>
      <c r="AM26" s="192"/>
      <c r="AN26" s="192"/>
      <c r="AO26" s="192"/>
      <c r="AP26" s="192"/>
      <c r="AQ26" s="192"/>
      <c r="AR26" s="192"/>
      <c r="AS26" s="192"/>
      <c r="AT26" s="192"/>
      <c r="AU26" s="192"/>
      <c r="AV26" s="192"/>
      <c r="AW26" s="192"/>
      <c r="AX26" s="192"/>
      <c r="AY26" s="192"/>
      <c r="AZ26" s="192"/>
      <c r="BA26" s="192"/>
      <c r="BB26" s="192"/>
      <c r="BC26" s="192"/>
      <c r="BD26" s="192"/>
      <c r="BE26" s="192"/>
      <c r="BF26" s="192"/>
      <c r="BG26" s="192"/>
      <c r="BH26" s="192"/>
      <c r="BI26" s="192"/>
      <c r="BJ26" s="192"/>
      <c r="BK26" s="192"/>
      <c r="BL26" s="192"/>
      <c r="BM26" s="192"/>
      <c r="BN26" s="192"/>
      <c r="BO26" s="192"/>
      <c r="BP26" s="192"/>
      <c r="BQ26" s="192"/>
      <c r="BR26" s="192"/>
      <c r="BS26" s="192"/>
      <c r="BT26" s="192"/>
      <c r="BU26" s="192"/>
      <c r="BV26" s="192"/>
      <c r="BW26" s="192"/>
      <c r="BX26" s="192"/>
      <c r="BY26" s="192"/>
      <c r="BZ26" s="192"/>
      <c r="CA26" s="192"/>
      <c r="CB26" s="192"/>
      <c r="CC26" s="192"/>
      <c r="CD26" s="192"/>
      <c r="CE26" s="192"/>
      <c r="CF26" s="192"/>
      <c r="CG26" s="192"/>
      <c r="CH26" s="192"/>
      <c r="CI26" s="192"/>
      <c r="CJ26" s="192"/>
      <c r="CK26" s="192"/>
      <c r="CL26" s="192"/>
      <c r="CM26" s="192"/>
      <c r="CN26" s="192"/>
      <c r="CO26" s="192"/>
      <c r="CP26" s="192"/>
      <c r="CQ26" s="192"/>
      <c r="CR26" s="192"/>
      <c r="CS26" s="192"/>
      <c r="CT26" s="192"/>
      <c r="CU26" s="192"/>
      <c r="CV26" s="192"/>
      <c r="CW26" s="192"/>
      <c r="CX26" s="192"/>
      <c r="CY26" s="192"/>
      <c r="CZ26" s="192"/>
      <c r="DA26" s="192"/>
      <c r="DB26" s="192"/>
      <c r="DC26" s="192"/>
      <c r="DD26" s="192"/>
      <c r="DE26" s="192"/>
      <c r="DF26" s="192"/>
      <c r="DG26" s="192"/>
      <c r="DH26" s="192"/>
      <c r="DI26" s="192"/>
      <c r="DJ26" s="192"/>
      <c r="DK26" s="192"/>
      <c r="DL26" s="192"/>
      <c r="DM26" s="192"/>
      <c r="DN26" s="192"/>
      <c r="DO26" s="192"/>
      <c r="DP26" s="192"/>
      <c r="DQ26" s="192"/>
      <c r="DR26" s="192"/>
      <c r="DS26" s="192"/>
      <c r="DT26" s="192"/>
      <c r="DU26" s="192"/>
      <c r="DV26" s="192"/>
      <c r="DW26" s="192"/>
      <c r="DX26" s="192"/>
      <c r="DY26" s="192"/>
      <c r="DZ26" s="192"/>
      <c r="EA26" s="192"/>
      <c r="EB26" s="192"/>
      <c r="EC26" s="192"/>
      <c r="ED26" s="192"/>
      <c r="EE26" s="192"/>
      <c r="EF26" s="192"/>
      <c r="EG26" s="192"/>
      <c r="EH26" s="192"/>
      <c r="EI26" s="192"/>
      <c r="EJ26" s="192"/>
      <c r="EK26" s="192"/>
      <c r="EL26" s="192"/>
      <c r="EM26" s="192"/>
      <c r="EN26" s="192"/>
      <c r="EO26" s="192"/>
      <c r="EP26" s="192"/>
      <c r="EQ26" s="192"/>
      <c r="ER26" s="192"/>
      <c r="ES26" s="192"/>
      <c r="ET26" s="192"/>
      <c r="EU26" s="192"/>
      <c r="EV26" s="192"/>
      <c r="EW26" s="192"/>
      <c r="EX26" s="192"/>
      <c r="EY26" s="192"/>
      <c r="EZ26" s="192"/>
      <c r="FA26" s="192"/>
      <c r="FB26" s="192"/>
      <c r="FC26" s="192"/>
      <c r="FD26" s="192"/>
      <c r="FE26" s="192"/>
      <c r="FF26" s="192"/>
      <c r="FG26" s="192"/>
      <c r="FH26" s="192"/>
      <c r="FI26" s="192"/>
      <c r="FJ26" s="192"/>
      <c r="FK26" s="192"/>
      <c r="FL26" s="192"/>
      <c r="FM26" s="192"/>
      <c r="FN26" s="192"/>
      <c r="FO26" s="192"/>
      <c r="FP26" s="192"/>
      <c r="FQ26" s="192"/>
      <c r="FR26" s="192"/>
      <c r="FS26" s="192"/>
      <c r="FT26" s="192"/>
      <c r="FU26" s="192"/>
      <c r="FV26" s="192"/>
      <c r="FW26" s="192"/>
      <c r="FX26" s="192"/>
      <c r="FY26" s="192"/>
      <c r="FZ26" s="192"/>
      <c r="GA26" s="192"/>
      <c r="GB26" s="192"/>
      <c r="GC26" s="192"/>
      <c r="GD26" s="192"/>
      <c r="GE26" s="192"/>
      <c r="GF26" s="192"/>
      <c r="GG26" s="192"/>
      <c r="GH26" s="192"/>
      <c r="GI26" s="192"/>
      <c r="GJ26" s="192"/>
      <c r="GK26" s="192"/>
      <c r="GL26" s="192"/>
      <c r="GM26" s="192"/>
      <c r="GN26" s="192"/>
      <c r="GO26" s="192"/>
      <c r="GP26" s="192"/>
      <c r="GQ26" s="192"/>
      <c r="GR26" s="192"/>
      <c r="GS26" s="192"/>
      <c r="GT26" s="192"/>
      <c r="GU26" s="192"/>
      <c r="GV26" s="192"/>
      <c r="GW26" s="192"/>
      <c r="GX26" s="192"/>
      <c r="GY26" s="192"/>
      <c r="GZ26" s="192"/>
      <c r="HA26" s="192"/>
      <c r="HB26" s="192"/>
      <c r="HC26" s="192"/>
      <c r="HD26" s="192"/>
      <c r="HE26" s="192"/>
      <c r="HF26" s="192"/>
      <c r="HG26" s="192"/>
      <c r="HH26" s="192"/>
      <c r="HI26" s="192"/>
      <c r="HJ26" s="192"/>
      <c r="HK26" s="192"/>
      <c r="HL26" s="192"/>
      <c r="HM26" s="192"/>
      <c r="HN26" s="192"/>
      <c r="HO26" s="192"/>
      <c r="HP26" s="192"/>
      <c r="HQ26" s="192"/>
      <c r="HR26" s="192"/>
      <c r="HS26" s="192"/>
      <c r="HT26" s="192"/>
      <c r="HU26" s="192"/>
      <c r="HV26" s="192"/>
      <c r="HW26" s="192"/>
      <c r="HX26" s="192"/>
      <c r="HY26" s="192"/>
      <c r="HZ26" s="192"/>
      <c r="IA26" s="192"/>
      <c r="IB26" s="192"/>
      <c r="IC26" s="192"/>
      <c r="ID26" s="192"/>
      <c r="IE26" s="192"/>
      <c r="IF26" s="192"/>
      <c r="IG26" s="192"/>
      <c r="IH26" s="192"/>
      <c r="II26" s="192"/>
      <c r="IJ26" s="192"/>
      <c r="IK26" s="192"/>
      <c r="IL26" s="192"/>
      <c r="IM26" s="192"/>
      <c r="IN26" s="192"/>
      <c r="IO26" s="192"/>
      <c r="IP26" s="192"/>
      <c r="IQ26" s="192"/>
    </row>
    <row r="27" spans="1:251" s="157" customFormat="1" ht="21.75" customHeight="1">
      <c r="A27" s="196">
        <v>20</v>
      </c>
      <c r="B27" s="277" t="s">
        <v>215</v>
      </c>
      <c r="C27" s="278" t="s">
        <v>218</v>
      </c>
      <c r="D27" s="271">
        <v>84</v>
      </c>
      <c r="E27" s="271"/>
      <c r="F27" s="278" t="s">
        <v>219</v>
      </c>
      <c r="G27" s="271" t="s">
        <v>192</v>
      </c>
      <c r="H27" s="285" t="s">
        <v>264</v>
      </c>
      <c r="I27" s="197">
        <f t="shared" si="0"/>
        <v>187500</v>
      </c>
      <c r="J27" s="286" t="s">
        <v>272</v>
      </c>
      <c r="K27" s="200">
        <f t="shared" si="1"/>
        <v>135000</v>
      </c>
      <c r="L27" s="286" t="s">
        <v>280</v>
      </c>
      <c r="M27" s="198">
        <f t="shared" si="2"/>
        <v>135000</v>
      </c>
      <c r="N27" s="198">
        <f t="shared" si="3"/>
        <v>457500</v>
      </c>
      <c r="O27" s="192"/>
      <c r="P27" s="192"/>
      <c r="Q27" s="192"/>
      <c r="R27" s="192"/>
      <c r="S27" s="192"/>
      <c r="T27" s="192"/>
      <c r="U27" s="192"/>
      <c r="V27" s="192"/>
      <c r="W27" s="192"/>
      <c r="X27" s="192"/>
      <c r="Y27" s="192"/>
      <c r="Z27" s="192"/>
      <c r="AA27" s="192"/>
      <c r="AB27" s="192"/>
      <c r="AC27" s="192"/>
      <c r="AD27" s="192"/>
      <c r="AE27" s="192"/>
      <c r="AF27" s="192"/>
      <c r="AG27" s="192"/>
      <c r="AH27" s="192"/>
      <c r="AI27" s="192"/>
      <c r="AJ27" s="192"/>
      <c r="AK27" s="192"/>
      <c r="AL27" s="192"/>
      <c r="AM27" s="192"/>
      <c r="AN27" s="192"/>
      <c r="AO27" s="192"/>
      <c r="AP27" s="192"/>
      <c r="AQ27" s="192"/>
      <c r="AR27" s="192"/>
      <c r="AS27" s="192"/>
      <c r="AT27" s="192"/>
      <c r="AU27" s="192"/>
      <c r="AV27" s="192"/>
      <c r="AW27" s="192"/>
      <c r="AX27" s="192"/>
      <c r="AY27" s="192"/>
      <c r="AZ27" s="192"/>
      <c r="BA27" s="192"/>
      <c r="BB27" s="192"/>
      <c r="BC27" s="192"/>
      <c r="BD27" s="192"/>
      <c r="BE27" s="192"/>
      <c r="BF27" s="192"/>
      <c r="BG27" s="192"/>
      <c r="BH27" s="192"/>
      <c r="BI27" s="192"/>
      <c r="BJ27" s="192"/>
      <c r="BK27" s="192"/>
      <c r="BL27" s="192"/>
      <c r="BM27" s="192"/>
      <c r="BN27" s="192"/>
      <c r="BO27" s="192"/>
      <c r="BP27" s="192"/>
      <c r="BQ27" s="192"/>
      <c r="BR27" s="192"/>
      <c r="BS27" s="192"/>
      <c r="BT27" s="192"/>
      <c r="BU27" s="192"/>
      <c r="BV27" s="192"/>
      <c r="BW27" s="192"/>
      <c r="BX27" s="192"/>
      <c r="BY27" s="192"/>
      <c r="BZ27" s="192"/>
      <c r="CA27" s="192"/>
      <c r="CB27" s="192"/>
      <c r="CC27" s="192"/>
      <c r="CD27" s="192"/>
      <c r="CE27" s="192"/>
      <c r="CF27" s="192"/>
      <c r="CG27" s="192"/>
      <c r="CH27" s="192"/>
      <c r="CI27" s="192"/>
      <c r="CJ27" s="192"/>
      <c r="CK27" s="192"/>
      <c r="CL27" s="192"/>
      <c r="CM27" s="192"/>
      <c r="CN27" s="192"/>
      <c r="CO27" s="192"/>
      <c r="CP27" s="192"/>
      <c r="CQ27" s="192"/>
      <c r="CR27" s="192"/>
      <c r="CS27" s="192"/>
      <c r="CT27" s="192"/>
      <c r="CU27" s="192"/>
      <c r="CV27" s="192"/>
      <c r="CW27" s="192"/>
      <c r="CX27" s="192"/>
      <c r="CY27" s="192"/>
      <c r="CZ27" s="192"/>
      <c r="DA27" s="192"/>
      <c r="DB27" s="192"/>
      <c r="DC27" s="192"/>
      <c r="DD27" s="192"/>
      <c r="DE27" s="192"/>
      <c r="DF27" s="192"/>
      <c r="DG27" s="192"/>
      <c r="DH27" s="192"/>
      <c r="DI27" s="192"/>
      <c r="DJ27" s="192"/>
      <c r="DK27" s="192"/>
      <c r="DL27" s="192"/>
      <c r="DM27" s="192"/>
      <c r="DN27" s="192"/>
      <c r="DO27" s="192"/>
      <c r="DP27" s="192"/>
      <c r="DQ27" s="192"/>
      <c r="DR27" s="192"/>
      <c r="DS27" s="192"/>
      <c r="DT27" s="192"/>
      <c r="DU27" s="192"/>
      <c r="DV27" s="192"/>
      <c r="DW27" s="192"/>
      <c r="DX27" s="192"/>
      <c r="DY27" s="192"/>
      <c r="DZ27" s="192"/>
      <c r="EA27" s="192"/>
      <c r="EB27" s="192"/>
      <c r="EC27" s="192"/>
      <c r="ED27" s="192"/>
      <c r="EE27" s="192"/>
      <c r="EF27" s="192"/>
      <c r="EG27" s="192"/>
      <c r="EH27" s="192"/>
      <c r="EI27" s="192"/>
      <c r="EJ27" s="192"/>
      <c r="EK27" s="192"/>
      <c r="EL27" s="192"/>
      <c r="EM27" s="192"/>
      <c r="EN27" s="192"/>
      <c r="EO27" s="192"/>
      <c r="EP27" s="192"/>
      <c r="EQ27" s="192"/>
      <c r="ER27" s="192"/>
      <c r="ES27" s="192"/>
      <c r="ET27" s="192"/>
      <c r="EU27" s="192"/>
      <c r="EV27" s="192"/>
      <c r="EW27" s="192"/>
      <c r="EX27" s="192"/>
      <c r="EY27" s="192"/>
      <c r="EZ27" s="192"/>
      <c r="FA27" s="192"/>
      <c r="FB27" s="192"/>
      <c r="FC27" s="192"/>
      <c r="FD27" s="192"/>
      <c r="FE27" s="192"/>
      <c r="FF27" s="192"/>
      <c r="FG27" s="192"/>
      <c r="FH27" s="192"/>
      <c r="FI27" s="192"/>
      <c r="FJ27" s="192"/>
      <c r="FK27" s="192"/>
      <c r="FL27" s="192"/>
      <c r="FM27" s="192"/>
      <c r="FN27" s="192"/>
      <c r="FO27" s="192"/>
      <c r="FP27" s="192"/>
      <c r="FQ27" s="192"/>
      <c r="FR27" s="192"/>
      <c r="FS27" s="192"/>
      <c r="FT27" s="192"/>
      <c r="FU27" s="192"/>
      <c r="FV27" s="192"/>
      <c r="FW27" s="192"/>
      <c r="FX27" s="192"/>
      <c r="FY27" s="192"/>
      <c r="FZ27" s="192"/>
      <c r="GA27" s="192"/>
      <c r="GB27" s="192"/>
      <c r="GC27" s="192"/>
      <c r="GD27" s="192"/>
      <c r="GE27" s="192"/>
      <c r="GF27" s="192"/>
      <c r="GG27" s="192"/>
      <c r="GH27" s="192"/>
      <c r="GI27" s="192"/>
      <c r="GJ27" s="192"/>
      <c r="GK27" s="192"/>
      <c r="GL27" s="192"/>
      <c r="GM27" s="192"/>
      <c r="GN27" s="192"/>
      <c r="GO27" s="192"/>
      <c r="GP27" s="192"/>
      <c r="GQ27" s="192"/>
      <c r="GR27" s="192"/>
      <c r="GS27" s="192"/>
      <c r="GT27" s="192"/>
      <c r="GU27" s="192"/>
      <c r="GV27" s="192"/>
      <c r="GW27" s="192"/>
      <c r="GX27" s="192"/>
      <c r="GY27" s="192"/>
      <c r="GZ27" s="192"/>
      <c r="HA27" s="192"/>
      <c r="HB27" s="192"/>
      <c r="HC27" s="192"/>
      <c r="HD27" s="192"/>
      <c r="HE27" s="192"/>
      <c r="HF27" s="192"/>
      <c r="HG27" s="192"/>
      <c r="HH27" s="192"/>
      <c r="HI27" s="192"/>
      <c r="HJ27" s="192"/>
      <c r="HK27" s="192"/>
      <c r="HL27" s="192"/>
      <c r="HM27" s="192"/>
      <c r="HN27" s="192"/>
      <c r="HO27" s="192"/>
      <c r="HP27" s="192"/>
      <c r="HQ27" s="192"/>
      <c r="HR27" s="192"/>
      <c r="HS27" s="192"/>
      <c r="HT27" s="192"/>
      <c r="HU27" s="192"/>
      <c r="HV27" s="192"/>
      <c r="HW27" s="192"/>
      <c r="HX27" s="192"/>
      <c r="HY27" s="192"/>
      <c r="HZ27" s="192"/>
      <c r="IA27" s="192"/>
      <c r="IB27" s="192"/>
      <c r="IC27" s="192"/>
      <c r="ID27" s="192"/>
      <c r="IE27" s="192"/>
      <c r="IF27" s="192"/>
      <c r="IG27" s="192"/>
      <c r="IH27" s="192"/>
      <c r="II27" s="192"/>
      <c r="IJ27" s="192"/>
      <c r="IK27" s="192"/>
      <c r="IL27" s="192"/>
      <c r="IM27" s="192"/>
      <c r="IN27" s="192"/>
      <c r="IO27" s="192"/>
      <c r="IP27" s="192"/>
      <c r="IQ27" s="192"/>
    </row>
    <row r="28" spans="1:251" s="157" customFormat="1" ht="21.75" customHeight="1">
      <c r="A28" s="196">
        <v>21</v>
      </c>
      <c r="B28" s="277" t="s">
        <v>215</v>
      </c>
      <c r="C28" s="278" t="s">
        <v>220</v>
      </c>
      <c r="D28" s="271"/>
      <c r="E28" s="271">
        <v>22</v>
      </c>
      <c r="F28" s="278" t="s">
        <v>221</v>
      </c>
      <c r="G28" s="271" t="s">
        <v>179</v>
      </c>
      <c r="H28" s="285" t="s">
        <v>269</v>
      </c>
      <c r="I28" s="197">
        <f t="shared" si="0"/>
        <v>420000</v>
      </c>
      <c r="J28" s="286" t="s">
        <v>268</v>
      </c>
      <c r="K28" s="200">
        <f t="shared" si="1"/>
        <v>300000</v>
      </c>
      <c r="L28" s="286" t="s">
        <v>280</v>
      </c>
      <c r="M28" s="198">
        <f t="shared" si="2"/>
        <v>300000</v>
      </c>
      <c r="N28" s="198">
        <f t="shared" si="3"/>
        <v>1020000</v>
      </c>
      <c r="O28" s="192"/>
      <c r="P28" s="192"/>
      <c r="Q28" s="192"/>
      <c r="R28" s="192"/>
      <c r="S28" s="192"/>
      <c r="T28" s="192"/>
      <c r="U28" s="192"/>
      <c r="V28" s="192"/>
      <c r="W28" s="192"/>
      <c r="X28" s="192"/>
      <c r="Y28" s="192"/>
      <c r="Z28" s="192"/>
      <c r="AA28" s="192"/>
      <c r="AB28" s="192"/>
      <c r="AC28" s="192"/>
      <c r="AD28" s="192"/>
      <c r="AE28" s="192"/>
      <c r="AF28" s="192"/>
      <c r="AG28" s="192"/>
      <c r="AH28" s="192"/>
      <c r="AI28" s="192"/>
      <c r="AJ28" s="192"/>
      <c r="AK28" s="192"/>
      <c r="AL28" s="192"/>
      <c r="AM28" s="192"/>
      <c r="AN28" s="192"/>
      <c r="AO28" s="192"/>
      <c r="AP28" s="192"/>
      <c r="AQ28" s="192"/>
      <c r="AR28" s="192"/>
      <c r="AS28" s="192"/>
      <c r="AT28" s="192"/>
      <c r="AU28" s="192"/>
      <c r="AV28" s="192"/>
      <c r="AW28" s="192"/>
      <c r="AX28" s="192"/>
      <c r="AY28" s="192"/>
      <c r="AZ28" s="192"/>
      <c r="BA28" s="192"/>
      <c r="BB28" s="192"/>
      <c r="BC28" s="192"/>
      <c r="BD28" s="192"/>
      <c r="BE28" s="192"/>
      <c r="BF28" s="192"/>
      <c r="BG28" s="192"/>
      <c r="BH28" s="192"/>
      <c r="BI28" s="192"/>
      <c r="BJ28" s="192"/>
      <c r="BK28" s="192"/>
      <c r="BL28" s="192"/>
      <c r="BM28" s="192"/>
      <c r="BN28" s="192"/>
      <c r="BO28" s="192"/>
      <c r="BP28" s="192"/>
      <c r="BQ28" s="192"/>
      <c r="BR28" s="192"/>
      <c r="BS28" s="192"/>
      <c r="BT28" s="192"/>
      <c r="BU28" s="192"/>
      <c r="BV28" s="192"/>
      <c r="BW28" s="192"/>
      <c r="BX28" s="192"/>
      <c r="BY28" s="192"/>
      <c r="BZ28" s="192"/>
      <c r="CA28" s="192"/>
      <c r="CB28" s="192"/>
      <c r="CC28" s="192"/>
      <c r="CD28" s="192"/>
      <c r="CE28" s="192"/>
      <c r="CF28" s="192"/>
      <c r="CG28" s="192"/>
      <c r="CH28" s="192"/>
      <c r="CI28" s="192"/>
      <c r="CJ28" s="192"/>
      <c r="CK28" s="192"/>
      <c r="CL28" s="192"/>
      <c r="CM28" s="192"/>
      <c r="CN28" s="192"/>
      <c r="CO28" s="192"/>
      <c r="CP28" s="192"/>
      <c r="CQ28" s="192"/>
      <c r="CR28" s="192"/>
      <c r="CS28" s="192"/>
      <c r="CT28" s="192"/>
      <c r="CU28" s="192"/>
      <c r="CV28" s="192"/>
      <c r="CW28" s="192"/>
      <c r="CX28" s="192"/>
      <c r="CY28" s="192"/>
      <c r="CZ28" s="192"/>
      <c r="DA28" s="192"/>
      <c r="DB28" s="192"/>
      <c r="DC28" s="192"/>
      <c r="DD28" s="192"/>
      <c r="DE28" s="192"/>
      <c r="DF28" s="192"/>
      <c r="DG28" s="192"/>
      <c r="DH28" s="192"/>
      <c r="DI28" s="192"/>
      <c r="DJ28" s="192"/>
      <c r="DK28" s="192"/>
      <c r="DL28" s="192"/>
      <c r="DM28" s="192"/>
      <c r="DN28" s="192"/>
      <c r="DO28" s="192"/>
      <c r="DP28" s="192"/>
      <c r="DQ28" s="192"/>
      <c r="DR28" s="192"/>
      <c r="DS28" s="192"/>
      <c r="DT28" s="192"/>
      <c r="DU28" s="192"/>
      <c r="DV28" s="192"/>
      <c r="DW28" s="192"/>
      <c r="DX28" s="192"/>
      <c r="DY28" s="192"/>
      <c r="DZ28" s="192"/>
      <c r="EA28" s="192"/>
      <c r="EB28" s="192"/>
      <c r="EC28" s="192"/>
      <c r="ED28" s="192"/>
      <c r="EE28" s="192"/>
      <c r="EF28" s="192"/>
      <c r="EG28" s="192"/>
      <c r="EH28" s="192"/>
      <c r="EI28" s="192"/>
      <c r="EJ28" s="192"/>
      <c r="EK28" s="192"/>
      <c r="EL28" s="192"/>
      <c r="EM28" s="192"/>
      <c r="EN28" s="192"/>
      <c r="EO28" s="192"/>
      <c r="EP28" s="192"/>
      <c r="EQ28" s="192"/>
      <c r="ER28" s="192"/>
      <c r="ES28" s="192"/>
      <c r="ET28" s="192"/>
      <c r="EU28" s="192"/>
      <c r="EV28" s="192"/>
      <c r="EW28" s="192"/>
      <c r="EX28" s="192"/>
      <c r="EY28" s="192"/>
      <c r="EZ28" s="192"/>
      <c r="FA28" s="192"/>
      <c r="FB28" s="192"/>
      <c r="FC28" s="192"/>
      <c r="FD28" s="192"/>
      <c r="FE28" s="192"/>
      <c r="FF28" s="192"/>
      <c r="FG28" s="192"/>
      <c r="FH28" s="192"/>
      <c r="FI28" s="192"/>
      <c r="FJ28" s="192"/>
      <c r="FK28" s="192"/>
      <c r="FL28" s="192"/>
      <c r="FM28" s="192"/>
      <c r="FN28" s="192"/>
      <c r="FO28" s="192"/>
      <c r="FP28" s="192"/>
      <c r="FQ28" s="192"/>
      <c r="FR28" s="192"/>
      <c r="FS28" s="192"/>
      <c r="FT28" s="192"/>
      <c r="FU28" s="192"/>
      <c r="FV28" s="192"/>
      <c r="FW28" s="192"/>
      <c r="FX28" s="192"/>
      <c r="FY28" s="192"/>
      <c r="FZ28" s="192"/>
      <c r="GA28" s="192"/>
      <c r="GB28" s="192"/>
      <c r="GC28" s="192"/>
      <c r="GD28" s="192"/>
      <c r="GE28" s="192"/>
      <c r="GF28" s="192"/>
      <c r="GG28" s="192"/>
      <c r="GH28" s="192"/>
      <c r="GI28" s="192"/>
      <c r="GJ28" s="192"/>
      <c r="GK28" s="192"/>
      <c r="GL28" s="192"/>
      <c r="GM28" s="192"/>
      <c r="GN28" s="192"/>
      <c r="GO28" s="192"/>
      <c r="GP28" s="192"/>
      <c r="GQ28" s="192"/>
      <c r="GR28" s="192"/>
      <c r="GS28" s="192"/>
      <c r="GT28" s="192"/>
      <c r="GU28" s="192"/>
      <c r="GV28" s="192"/>
      <c r="GW28" s="192"/>
      <c r="GX28" s="192"/>
      <c r="GY28" s="192"/>
      <c r="GZ28" s="192"/>
      <c r="HA28" s="192"/>
      <c r="HB28" s="192"/>
      <c r="HC28" s="192"/>
      <c r="HD28" s="192"/>
      <c r="HE28" s="192"/>
      <c r="HF28" s="192"/>
      <c r="HG28" s="192"/>
      <c r="HH28" s="192"/>
      <c r="HI28" s="192"/>
      <c r="HJ28" s="192"/>
      <c r="HK28" s="192"/>
      <c r="HL28" s="192"/>
      <c r="HM28" s="192"/>
      <c r="HN28" s="192"/>
      <c r="HO28" s="192"/>
      <c r="HP28" s="192"/>
      <c r="HQ28" s="192"/>
      <c r="HR28" s="192"/>
      <c r="HS28" s="192"/>
      <c r="HT28" s="192"/>
      <c r="HU28" s="192"/>
      <c r="HV28" s="192"/>
      <c r="HW28" s="192"/>
      <c r="HX28" s="192"/>
      <c r="HY28" s="192"/>
      <c r="HZ28" s="192"/>
      <c r="IA28" s="192"/>
      <c r="IB28" s="192"/>
      <c r="IC28" s="192"/>
      <c r="ID28" s="192"/>
      <c r="IE28" s="192"/>
      <c r="IF28" s="192"/>
      <c r="IG28" s="192"/>
      <c r="IH28" s="192"/>
      <c r="II28" s="192"/>
      <c r="IJ28" s="192"/>
      <c r="IK28" s="192"/>
      <c r="IL28" s="192"/>
      <c r="IM28" s="192"/>
      <c r="IN28" s="192"/>
      <c r="IO28" s="192"/>
      <c r="IP28" s="192"/>
      <c r="IQ28" s="192"/>
    </row>
    <row r="29" spans="1:251" s="157" customFormat="1" ht="21.75" customHeight="1">
      <c r="A29" s="196">
        <v>22</v>
      </c>
      <c r="B29" s="277" t="s">
        <v>222</v>
      </c>
      <c r="C29" s="278" t="s">
        <v>223</v>
      </c>
      <c r="D29" s="271"/>
      <c r="E29" s="271">
        <v>75</v>
      </c>
      <c r="F29" s="278" t="s">
        <v>199</v>
      </c>
      <c r="G29" s="271" t="s">
        <v>179</v>
      </c>
      <c r="H29" s="285" t="s">
        <v>265</v>
      </c>
      <c r="I29" s="197">
        <f t="shared" si="0"/>
        <v>420000</v>
      </c>
      <c r="J29" s="286" t="s">
        <v>268</v>
      </c>
      <c r="K29" s="200">
        <f t="shared" si="1"/>
        <v>300000</v>
      </c>
      <c r="L29" s="286" t="s">
        <v>272</v>
      </c>
      <c r="M29" s="198">
        <f t="shared" si="2"/>
        <v>300000</v>
      </c>
      <c r="N29" s="198">
        <f t="shared" si="3"/>
        <v>1020000</v>
      </c>
      <c r="O29" s="192"/>
      <c r="P29" s="192"/>
      <c r="Q29" s="192"/>
      <c r="R29" s="192"/>
      <c r="S29" s="192"/>
      <c r="T29" s="192"/>
      <c r="U29" s="192"/>
      <c r="V29" s="192"/>
      <c r="W29" s="192"/>
      <c r="X29" s="192"/>
      <c r="Y29" s="192"/>
      <c r="Z29" s="192"/>
      <c r="AA29" s="192"/>
      <c r="AB29" s="192"/>
      <c r="AC29" s="192"/>
      <c r="AD29" s="192"/>
      <c r="AE29" s="192"/>
      <c r="AF29" s="192"/>
      <c r="AG29" s="192"/>
      <c r="AH29" s="192"/>
      <c r="AI29" s="192"/>
      <c r="AJ29" s="192"/>
      <c r="AK29" s="192"/>
      <c r="AL29" s="192"/>
      <c r="AM29" s="192"/>
      <c r="AN29" s="192"/>
      <c r="AO29" s="192"/>
      <c r="AP29" s="192"/>
      <c r="AQ29" s="192"/>
      <c r="AR29" s="192"/>
      <c r="AS29" s="192"/>
      <c r="AT29" s="192"/>
      <c r="AU29" s="192"/>
      <c r="AV29" s="192"/>
      <c r="AW29" s="192"/>
      <c r="AX29" s="192"/>
      <c r="AY29" s="192"/>
      <c r="AZ29" s="192"/>
      <c r="BA29" s="192"/>
      <c r="BB29" s="192"/>
      <c r="BC29" s="192"/>
      <c r="BD29" s="192"/>
      <c r="BE29" s="192"/>
      <c r="BF29" s="192"/>
      <c r="BG29" s="192"/>
      <c r="BH29" s="192"/>
      <c r="BI29" s="192"/>
      <c r="BJ29" s="192"/>
      <c r="BK29" s="192"/>
      <c r="BL29" s="192"/>
      <c r="BM29" s="192"/>
      <c r="BN29" s="192"/>
      <c r="BO29" s="192"/>
      <c r="BP29" s="192"/>
      <c r="BQ29" s="192"/>
      <c r="BR29" s="192"/>
      <c r="BS29" s="192"/>
      <c r="BT29" s="192"/>
      <c r="BU29" s="192"/>
      <c r="BV29" s="192"/>
      <c r="BW29" s="192"/>
      <c r="BX29" s="192"/>
      <c r="BY29" s="192"/>
      <c r="BZ29" s="192"/>
      <c r="CA29" s="192"/>
      <c r="CB29" s="192"/>
      <c r="CC29" s="192"/>
      <c r="CD29" s="192"/>
      <c r="CE29" s="192"/>
      <c r="CF29" s="192"/>
      <c r="CG29" s="192"/>
      <c r="CH29" s="192"/>
      <c r="CI29" s="192"/>
      <c r="CJ29" s="192"/>
      <c r="CK29" s="192"/>
      <c r="CL29" s="192"/>
      <c r="CM29" s="192"/>
      <c r="CN29" s="192"/>
      <c r="CO29" s="192"/>
      <c r="CP29" s="192"/>
      <c r="CQ29" s="192"/>
      <c r="CR29" s="192"/>
      <c r="CS29" s="192"/>
      <c r="CT29" s="192"/>
      <c r="CU29" s="192"/>
      <c r="CV29" s="192"/>
      <c r="CW29" s="192"/>
      <c r="CX29" s="192"/>
      <c r="CY29" s="192"/>
      <c r="CZ29" s="192"/>
      <c r="DA29" s="192"/>
      <c r="DB29" s="192"/>
      <c r="DC29" s="192"/>
      <c r="DD29" s="192"/>
      <c r="DE29" s="192"/>
      <c r="DF29" s="192"/>
      <c r="DG29" s="192"/>
      <c r="DH29" s="192"/>
      <c r="DI29" s="192"/>
      <c r="DJ29" s="192"/>
      <c r="DK29" s="192"/>
      <c r="DL29" s="192"/>
      <c r="DM29" s="192"/>
      <c r="DN29" s="192"/>
      <c r="DO29" s="192"/>
      <c r="DP29" s="192"/>
      <c r="DQ29" s="192"/>
      <c r="DR29" s="192"/>
      <c r="DS29" s="192"/>
      <c r="DT29" s="192"/>
      <c r="DU29" s="192"/>
      <c r="DV29" s="192"/>
      <c r="DW29" s="192"/>
      <c r="DX29" s="192"/>
      <c r="DY29" s="192"/>
      <c r="DZ29" s="192"/>
      <c r="EA29" s="192"/>
      <c r="EB29" s="192"/>
      <c r="EC29" s="192"/>
      <c r="ED29" s="192"/>
      <c r="EE29" s="192"/>
      <c r="EF29" s="192"/>
      <c r="EG29" s="192"/>
      <c r="EH29" s="192"/>
      <c r="EI29" s="192"/>
      <c r="EJ29" s="192"/>
      <c r="EK29" s="192"/>
      <c r="EL29" s="192"/>
      <c r="EM29" s="192"/>
      <c r="EN29" s="192"/>
      <c r="EO29" s="192"/>
      <c r="EP29" s="192"/>
      <c r="EQ29" s="192"/>
      <c r="ER29" s="192"/>
      <c r="ES29" s="192"/>
      <c r="ET29" s="192"/>
      <c r="EU29" s="192"/>
      <c r="EV29" s="192"/>
      <c r="EW29" s="192"/>
      <c r="EX29" s="192"/>
      <c r="EY29" s="192"/>
      <c r="EZ29" s="192"/>
      <c r="FA29" s="192"/>
      <c r="FB29" s="192"/>
      <c r="FC29" s="192"/>
      <c r="FD29" s="192"/>
      <c r="FE29" s="192"/>
      <c r="FF29" s="192"/>
      <c r="FG29" s="192"/>
      <c r="FH29" s="192"/>
      <c r="FI29" s="192"/>
      <c r="FJ29" s="192"/>
      <c r="FK29" s="192"/>
      <c r="FL29" s="192"/>
      <c r="FM29" s="192"/>
      <c r="FN29" s="192"/>
      <c r="FO29" s="192"/>
      <c r="FP29" s="192"/>
      <c r="FQ29" s="192"/>
      <c r="FR29" s="192"/>
      <c r="FS29" s="192"/>
      <c r="FT29" s="192"/>
      <c r="FU29" s="192"/>
      <c r="FV29" s="192"/>
      <c r="FW29" s="192"/>
      <c r="FX29" s="192"/>
      <c r="FY29" s="192"/>
      <c r="FZ29" s="192"/>
      <c r="GA29" s="192"/>
      <c r="GB29" s="192"/>
      <c r="GC29" s="192"/>
      <c r="GD29" s="192"/>
      <c r="GE29" s="192"/>
      <c r="GF29" s="192"/>
      <c r="GG29" s="192"/>
      <c r="GH29" s="192"/>
      <c r="GI29" s="192"/>
      <c r="GJ29" s="192"/>
      <c r="GK29" s="192"/>
      <c r="GL29" s="192"/>
      <c r="GM29" s="192"/>
      <c r="GN29" s="192"/>
      <c r="GO29" s="192"/>
      <c r="GP29" s="192"/>
      <c r="GQ29" s="192"/>
      <c r="GR29" s="192"/>
      <c r="GS29" s="192"/>
      <c r="GT29" s="192"/>
      <c r="GU29" s="192"/>
      <c r="GV29" s="192"/>
      <c r="GW29" s="192"/>
      <c r="GX29" s="192"/>
      <c r="GY29" s="192"/>
      <c r="GZ29" s="192"/>
      <c r="HA29" s="192"/>
      <c r="HB29" s="192"/>
      <c r="HC29" s="192"/>
      <c r="HD29" s="192"/>
      <c r="HE29" s="192"/>
      <c r="HF29" s="192"/>
      <c r="HG29" s="192"/>
      <c r="HH29" s="192"/>
      <c r="HI29" s="192"/>
      <c r="HJ29" s="192"/>
      <c r="HK29" s="192"/>
      <c r="HL29" s="192"/>
      <c r="HM29" s="192"/>
      <c r="HN29" s="192"/>
      <c r="HO29" s="192"/>
      <c r="HP29" s="192"/>
      <c r="HQ29" s="192"/>
      <c r="HR29" s="192"/>
      <c r="HS29" s="192"/>
      <c r="HT29" s="192"/>
      <c r="HU29" s="192"/>
      <c r="HV29" s="192"/>
      <c r="HW29" s="192"/>
      <c r="HX29" s="192"/>
      <c r="HY29" s="192"/>
      <c r="HZ29" s="192"/>
      <c r="IA29" s="192"/>
      <c r="IB29" s="192"/>
      <c r="IC29" s="192"/>
      <c r="ID29" s="192"/>
      <c r="IE29" s="192"/>
      <c r="IF29" s="192"/>
      <c r="IG29" s="192"/>
      <c r="IH29" s="192"/>
      <c r="II29" s="192"/>
      <c r="IJ29" s="192"/>
      <c r="IK29" s="192"/>
      <c r="IL29" s="192"/>
      <c r="IM29" s="192"/>
      <c r="IN29" s="192"/>
      <c r="IO29" s="192"/>
      <c r="IP29" s="192"/>
      <c r="IQ29" s="192"/>
    </row>
    <row r="30" spans="1:251" s="157" customFormat="1" ht="21.75" customHeight="1">
      <c r="A30" s="196">
        <v>23</v>
      </c>
      <c r="B30" s="277" t="s">
        <v>224</v>
      </c>
      <c r="C30" s="278" t="s">
        <v>225</v>
      </c>
      <c r="D30" s="271"/>
      <c r="E30" s="271">
        <v>80</v>
      </c>
      <c r="F30" s="278" t="s">
        <v>191</v>
      </c>
      <c r="G30" s="271" t="s">
        <v>192</v>
      </c>
      <c r="H30" s="285" t="s">
        <v>264</v>
      </c>
      <c r="I30" s="197">
        <f t="shared" si="0"/>
        <v>187500</v>
      </c>
      <c r="J30" s="286" t="s">
        <v>265</v>
      </c>
      <c r="K30" s="200">
        <f t="shared" si="1"/>
        <v>135000</v>
      </c>
      <c r="L30" s="286" t="s">
        <v>267</v>
      </c>
      <c r="M30" s="198">
        <f t="shared" si="2"/>
        <v>135000</v>
      </c>
      <c r="N30" s="198">
        <f t="shared" si="3"/>
        <v>457500</v>
      </c>
      <c r="O30" s="192"/>
      <c r="P30" s="192"/>
      <c r="Q30" s="192"/>
      <c r="R30" s="192"/>
      <c r="S30" s="192"/>
      <c r="T30" s="192"/>
      <c r="U30" s="192"/>
      <c r="V30" s="192"/>
      <c r="W30" s="192"/>
      <c r="X30" s="192"/>
      <c r="Y30" s="192"/>
      <c r="Z30" s="192"/>
      <c r="AA30" s="192"/>
      <c r="AB30" s="192"/>
      <c r="AC30" s="192"/>
      <c r="AD30" s="192"/>
      <c r="AE30" s="192"/>
      <c r="AF30" s="192"/>
      <c r="AG30" s="192"/>
      <c r="AH30" s="192"/>
      <c r="AI30" s="192"/>
      <c r="AJ30" s="192"/>
      <c r="AK30" s="192"/>
      <c r="AL30" s="192"/>
      <c r="AM30" s="192"/>
      <c r="AN30" s="192"/>
      <c r="AO30" s="192"/>
      <c r="AP30" s="192"/>
      <c r="AQ30" s="192"/>
      <c r="AR30" s="192"/>
      <c r="AS30" s="192"/>
      <c r="AT30" s="192"/>
      <c r="AU30" s="192"/>
      <c r="AV30" s="192"/>
      <c r="AW30" s="192"/>
      <c r="AX30" s="192"/>
      <c r="AY30" s="192"/>
      <c r="AZ30" s="192"/>
      <c r="BA30" s="192"/>
      <c r="BB30" s="192"/>
      <c r="BC30" s="192"/>
      <c r="BD30" s="192"/>
      <c r="BE30" s="192"/>
      <c r="BF30" s="192"/>
      <c r="BG30" s="192"/>
      <c r="BH30" s="192"/>
      <c r="BI30" s="192"/>
      <c r="BJ30" s="192"/>
      <c r="BK30" s="192"/>
      <c r="BL30" s="192"/>
      <c r="BM30" s="192"/>
      <c r="BN30" s="192"/>
      <c r="BO30" s="192"/>
      <c r="BP30" s="192"/>
      <c r="BQ30" s="192"/>
      <c r="BR30" s="192"/>
      <c r="BS30" s="192"/>
      <c r="BT30" s="192"/>
      <c r="BU30" s="192"/>
      <c r="BV30" s="192"/>
      <c r="BW30" s="192"/>
      <c r="BX30" s="192"/>
      <c r="BY30" s="192"/>
      <c r="BZ30" s="192"/>
      <c r="CA30" s="192"/>
      <c r="CB30" s="192"/>
      <c r="CC30" s="192"/>
      <c r="CD30" s="192"/>
      <c r="CE30" s="192"/>
      <c r="CF30" s="192"/>
      <c r="CG30" s="192"/>
      <c r="CH30" s="192"/>
      <c r="CI30" s="192"/>
      <c r="CJ30" s="192"/>
      <c r="CK30" s="192"/>
      <c r="CL30" s="192"/>
      <c r="CM30" s="192"/>
      <c r="CN30" s="192"/>
      <c r="CO30" s="192"/>
      <c r="CP30" s="192"/>
      <c r="CQ30" s="192"/>
      <c r="CR30" s="192"/>
      <c r="CS30" s="192"/>
      <c r="CT30" s="192"/>
      <c r="CU30" s="192"/>
      <c r="CV30" s="192"/>
      <c r="CW30" s="192"/>
      <c r="CX30" s="192"/>
      <c r="CY30" s="192"/>
      <c r="CZ30" s="192"/>
      <c r="DA30" s="192"/>
      <c r="DB30" s="192"/>
      <c r="DC30" s="192"/>
      <c r="DD30" s="192"/>
      <c r="DE30" s="192"/>
      <c r="DF30" s="192"/>
      <c r="DG30" s="192"/>
      <c r="DH30" s="192"/>
      <c r="DI30" s="192"/>
      <c r="DJ30" s="192"/>
      <c r="DK30" s="192"/>
      <c r="DL30" s="192"/>
      <c r="DM30" s="192"/>
      <c r="DN30" s="192"/>
      <c r="DO30" s="192"/>
      <c r="DP30" s="192"/>
      <c r="DQ30" s="192"/>
      <c r="DR30" s="192"/>
      <c r="DS30" s="192"/>
      <c r="DT30" s="192"/>
      <c r="DU30" s="192"/>
      <c r="DV30" s="192"/>
      <c r="DW30" s="192"/>
      <c r="DX30" s="192"/>
      <c r="DY30" s="192"/>
      <c r="DZ30" s="192"/>
      <c r="EA30" s="192"/>
      <c r="EB30" s="192"/>
      <c r="EC30" s="192"/>
      <c r="ED30" s="192"/>
      <c r="EE30" s="192"/>
      <c r="EF30" s="192"/>
      <c r="EG30" s="192"/>
      <c r="EH30" s="192"/>
      <c r="EI30" s="192"/>
      <c r="EJ30" s="192"/>
      <c r="EK30" s="192"/>
      <c r="EL30" s="192"/>
      <c r="EM30" s="192"/>
      <c r="EN30" s="192"/>
      <c r="EO30" s="192"/>
      <c r="EP30" s="192"/>
      <c r="EQ30" s="192"/>
      <c r="ER30" s="192"/>
      <c r="ES30" s="192"/>
      <c r="ET30" s="192"/>
      <c r="EU30" s="192"/>
      <c r="EV30" s="192"/>
      <c r="EW30" s="192"/>
      <c r="EX30" s="192"/>
      <c r="EY30" s="192"/>
      <c r="EZ30" s="192"/>
      <c r="FA30" s="192"/>
      <c r="FB30" s="192"/>
      <c r="FC30" s="192"/>
      <c r="FD30" s="192"/>
      <c r="FE30" s="192"/>
      <c r="FF30" s="192"/>
      <c r="FG30" s="192"/>
      <c r="FH30" s="192"/>
      <c r="FI30" s="192"/>
      <c r="FJ30" s="192"/>
      <c r="FK30" s="192"/>
      <c r="FL30" s="192"/>
      <c r="FM30" s="192"/>
      <c r="FN30" s="192"/>
      <c r="FO30" s="192"/>
      <c r="FP30" s="192"/>
      <c r="FQ30" s="192"/>
      <c r="FR30" s="192"/>
      <c r="FS30" s="192"/>
      <c r="FT30" s="192"/>
      <c r="FU30" s="192"/>
      <c r="FV30" s="192"/>
      <c r="FW30" s="192"/>
      <c r="FX30" s="192"/>
      <c r="FY30" s="192"/>
      <c r="FZ30" s="192"/>
      <c r="GA30" s="192"/>
      <c r="GB30" s="192"/>
      <c r="GC30" s="192"/>
      <c r="GD30" s="192"/>
      <c r="GE30" s="192"/>
      <c r="GF30" s="192"/>
      <c r="GG30" s="192"/>
      <c r="GH30" s="192"/>
      <c r="GI30" s="192"/>
      <c r="GJ30" s="192"/>
      <c r="GK30" s="192"/>
      <c r="GL30" s="192"/>
      <c r="GM30" s="192"/>
      <c r="GN30" s="192"/>
      <c r="GO30" s="192"/>
      <c r="GP30" s="192"/>
      <c r="GQ30" s="192"/>
      <c r="GR30" s="192"/>
      <c r="GS30" s="192"/>
      <c r="GT30" s="192"/>
      <c r="GU30" s="192"/>
      <c r="GV30" s="192"/>
      <c r="GW30" s="192"/>
      <c r="GX30" s="192"/>
      <c r="GY30" s="192"/>
      <c r="GZ30" s="192"/>
      <c r="HA30" s="192"/>
      <c r="HB30" s="192"/>
      <c r="HC30" s="192"/>
      <c r="HD30" s="192"/>
      <c r="HE30" s="192"/>
      <c r="HF30" s="192"/>
      <c r="HG30" s="192"/>
      <c r="HH30" s="192"/>
      <c r="HI30" s="192"/>
      <c r="HJ30" s="192"/>
      <c r="HK30" s="192"/>
      <c r="HL30" s="192"/>
      <c r="HM30" s="192"/>
      <c r="HN30" s="192"/>
      <c r="HO30" s="192"/>
      <c r="HP30" s="192"/>
      <c r="HQ30" s="192"/>
      <c r="HR30" s="192"/>
      <c r="HS30" s="192"/>
      <c r="HT30" s="192"/>
      <c r="HU30" s="192"/>
      <c r="HV30" s="192"/>
      <c r="HW30" s="192"/>
      <c r="HX30" s="192"/>
      <c r="HY30" s="192"/>
      <c r="HZ30" s="192"/>
      <c r="IA30" s="192"/>
      <c r="IB30" s="192"/>
      <c r="IC30" s="192"/>
      <c r="ID30" s="192"/>
      <c r="IE30" s="192"/>
      <c r="IF30" s="192"/>
      <c r="IG30" s="192"/>
      <c r="IH30" s="192"/>
      <c r="II30" s="192"/>
      <c r="IJ30" s="192"/>
      <c r="IK30" s="192"/>
      <c r="IL30" s="192"/>
      <c r="IM30" s="192"/>
      <c r="IN30" s="192"/>
      <c r="IO30" s="192"/>
      <c r="IP30" s="192"/>
      <c r="IQ30" s="192"/>
    </row>
    <row r="31" spans="1:251" s="157" customFormat="1" ht="21.75" customHeight="1">
      <c r="A31" s="196">
        <v>24</v>
      </c>
      <c r="B31" s="277" t="s">
        <v>224</v>
      </c>
      <c r="C31" s="278" t="s">
        <v>226</v>
      </c>
      <c r="D31" s="271">
        <v>97</v>
      </c>
      <c r="E31" s="271"/>
      <c r="F31" s="278" t="s">
        <v>191</v>
      </c>
      <c r="G31" s="271" t="s">
        <v>192</v>
      </c>
      <c r="H31" s="285" t="s">
        <v>264</v>
      </c>
      <c r="I31" s="197">
        <f t="shared" si="0"/>
        <v>187500</v>
      </c>
      <c r="J31" s="286" t="s">
        <v>265</v>
      </c>
      <c r="K31" s="200">
        <f t="shared" si="1"/>
        <v>135000</v>
      </c>
      <c r="L31" s="286" t="s">
        <v>267</v>
      </c>
      <c r="M31" s="198">
        <f t="shared" si="2"/>
        <v>135000</v>
      </c>
      <c r="N31" s="198">
        <f t="shared" si="3"/>
        <v>457500</v>
      </c>
      <c r="O31" s="192"/>
      <c r="P31" s="192"/>
      <c r="Q31" s="192"/>
      <c r="R31" s="192"/>
      <c r="S31" s="192"/>
      <c r="T31" s="192"/>
      <c r="U31" s="192"/>
      <c r="V31" s="192"/>
      <c r="W31" s="192"/>
      <c r="X31" s="192"/>
      <c r="Y31" s="192"/>
      <c r="Z31" s="192"/>
      <c r="AA31" s="192"/>
      <c r="AB31" s="192"/>
      <c r="AC31" s="192"/>
      <c r="AD31" s="192"/>
      <c r="AE31" s="192"/>
      <c r="AF31" s="192"/>
      <c r="AG31" s="192"/>
      <c r="AH31" s="192"/>
      <c r="AI31" s="192"/>
      <c r="AJ31" s="192"/>
      <c r="AK31" s="192"/>
      <c r="AL31" s="192"/>
      <c r="AM31" s="192"/>
      <c r="AN31" s="192"/>
      <c r="AO31" s="192"/>
      <c r="AP31" s="192"/>
      <c r="AQ31" s="192"/>
      <c r="AR31" s="192"/>
      <c r="AS31" s="192"/>
      <c r="AT31" s="192"/>
      <c r="AU31" s="192"/>
      <c r="AV31" s="192"/>
      <c r="AW31" s="192"/>
      <c r="AX31" s="192"/>
      <c r="AY31" s="192"/>
      <c r="AZ31" s="192"/>
      <c r="BA31" s="192"/>
      <c r="BB31" s="192"/>
      <c r="BC31" s="192"/>
      <c r="BD31" s="192"/>
      <c r="BE31" s="192"/>
      <c r="BF31" s="192"/>
      <c r="BG31" s="192"/>
      <c r="BH31" s="192"/>
      <c r="BI31" s="192"/>
      <c r="BJ31" s="192"/>
      <c r="BK31" s="192"/>
      <c r="BL31" s="192"/>
      <c r="BM31" s="192"/>
      <c r="BN31" s="192"/>
      <c r="BO31" s="192"/>
      <c r="BP31" s="192"/>
      <c r="BQ31" s="192"/>
      <c r="BR31" s="192"/>
      <c r="BS31" s="192"/>
      <c r="BT31" s="192"/>
      <c r="BU31" s="192"/>
      <c r="BV31" s="192"/>
      <c r="BW31" s="192"/>
      <c r="BX31" s="192"/>
      <c r="BY31" s="192"/>
      <c r="BZ31" s="192"/>
      <c r="CA31" s="192"/>
      <c r="CB31" s="192"/>
      <c r="CC31" s="192"/>
      <c r="CD31" s="192"/>
      <c r="CE31" s="192"/>
      <c r="CF31" s="192"/>
      <c r="CG31" s="192"/>
      <c r="CH31" s="192"/>
      <c r="CI31" s="192"/>
      <c r="CJ31" s="192"/>
      <c r="CK31" s="192"/>
      <c r="CL31" s="192"/>
      <c r="CM31" s="192"/>
      <c r="CN31" s="192"/>
      <c r="CO31" s="192"/>
      <c r="CP31" s="192"/>
      <c r="CQ31" s="192"/>
      <c r="CR31" s="192"/>
      <c r="CS31" s="192"/>
      <c r="CT31" s="192"/>
      <c r="CU31" s="192"/>
      <c r="CV31" s="192"/>
      <c r="CW31" s="192"/>
      <c r="CX31" s="192"/>
      <c r="CY31" s="192"/>
      <c r="CZ31" s="192"/>
      <c r="DA31" s="192"/>
      <c r="DB31" s="192"/>
      <c r="DC31" s="192"/>
      <c r="DD31" s="192"/>
      <c r="DE31" s="192"/>
      <c r="DF31" s="192"/>
      <c r="DG31" s="192"/>
      <c r="DH31" s="192"/>
      <c r="DI31" s="192"/>
      <c r="DJ31" s="192"/>
      <c r="DK31" s="192"/>
      <c r="DL31" s="192"/>
      <c r="DM31" s="192"/>
      <c r="DN31" s="192"/>
      <c r="DO31" s="192"/>
      <c r="DP31" s="192"/>
      <c r="DQ31" s="192"/>
      <c r="DR31" s="192"/>
      <c r="DS31" s="192"/>
      <c r="DT31" s="192"/>
      <c r="DU31" s="192"/>
      <c r="DV31" s="192"/>
      <c r="DW31" s="192"/>
      <c r="DX31" s="192"/>
      <c r="DY31" s="192"/>
      <c r="DZ31" s="192"/>
      <c r="EA31" s="192"/>
      <c r="EB31" s="192"/>
      <c r="EC31" s="192"/>
      <c r="ED31" s="192"/>
      <c r="EE31" s="192"/>
      <c r="EF31" s="192"/>
      <c r="EG31" s="192"/>
      <c r="EH31" s="192"/>
      <c r="EI31" s="192"/>
      <c r="EJ31" s="192"/>
      <c r="EK31" s="192"/>
      <c r="EL31" s="192"/>
      <c r="EM31" s="192"/>
      <c r="EN31" s="192"/>
      <c r="EO31" s="192"/>
      <c r="EP31" s="192"/>
      <c r="EQ31" s="192"/>
      <c r="ER31" s="192"/>
      <c r="ES31" s="192"/>
      <c r="ET31" s="192"/>
      <c r="EU31" s="192"/>
      <c r="EV31" s="192"/>
      <c r="EW31" s="192"/>
      <c r="EX31" s="192"/>
      <c r="EY31" s="192"/>
      <c r="EZ31" s="192"/>
      <c r="FA31" s="192"/>
      <c r="FB31" s="192"/>
      <c r="FC31" s="192"/>
      <c r="FD31" s="192"/>
      <c r="FE31" s="192"/>
      <c r="FF31" s="192"/>
      <c r="FG31" s="192"/>
      <c r="FH31" s="192"/>
      <c r="FI31" s="192"/>
      <c r="FJ31" s="192"/>
      <c r="FK31" s="192"/>
      <c r="FL31" s="192"/>
      <c r="FM31" s="192"/>
      <c r="FN31" s="192"/>
      <c r="FO31" s="192"/>
      <c r="FP31" s="192"/>
      <c r="FQ31" s="192"/>
      <c r="FR31" s="192"/>
      <c r="FS31" s="192"/>
      <c r="FT31" s="192"/>
      <c r="FU31" s="192"/>
      <c r="FV31" s="192"/>
      <c r="FW31" s="192"/>
      <c r="FX31" s="192"/>
      <c r="FY31" s="192"/>
      <c r="FZ31" s="192"/>
      <c r="GA31" s="192"/>
      <c r="GB31" s="192"/>
      <c r="GC31" s="192"/>
      <c r="GD31" s="192"/>
      <c r="GE31" s="192"/>
      <c r="GF31" s="192"/>
      <c r="GG31" s="192"/>
      <c r="GH31" s="192"/>
      <c r="GI31" s="192"/>
      <c r="GJ31" s="192"/>
      <c r="GK31" s="192"/>
      <c r="GL31" s="192"/>
      <c r="GM31" s="192"/>
      <c r="GN31" s="192"/>
      <c r="GO31" s="192"/>
      <c r="GP31" s="192"/>
      <c r="GQ31" s="192"/>
      <c r="GR31" s="192"/>
      <c r="GS31" s="192"/>
      <c r="GT31" s="192"/>
      <c r="GU31" s="192"/>
      <c r="GV31" s="192"/>
      <c r="GW31" s="192"/>
      <c r="GX31" s="192"/>
      <c r="GY31" s="192"/>
      <c r="GZ31" s="192"/>
      <c r="HA31" s="192"/>
      <c r="HB31" s="192"/>
      <c r="HC31" s="192"/>
      <c r="HD31" s="192"/>
      <c r="HE31" s="192"/>
      <c r="HF31" s="192"/>
      <c r="HG31" s="192"/>
      <c r="HH31" s="192"/>
      <c r="HI31" s="192"/>
      <c r="HJ31" s="192"/>
      <c r="HK31" s="192"/>
      <c r="HL31" s="192"/>
      <c r="HM31" s="192"/>
      <c r="HN31" s="192"/>
      <c r="HO31" s="192"/>
      <c r="HP31" s="192"/>
      <c r="HQ31" s="192"/>
      <c r="HR31" s="192"/>
      <c r="HS31" s="192"/>
      <c r="HT31" s="192"/>
      <c r="HU31" s="192"/>
      <c r="HV31" s="192"/>
      <c r="HW31" s="192"/>
      <c r="HX31" s="192"/>
      <c r="HY31" s="192"/>
      <c r="HZ31" s="192"/>
      <c r="IA31" s="192"/>
      <c r="IB31" s="192"/>
      <c r="IC31" s="192"/>
      <c r="ID31" s="192"/>
      <c r="IE31" s="192"/>
      <c r="IF31" s="192"/>
      <c r="IG31" s="192"/>
      <c r="IH31" s="192"/>
      <c r="II31" s="192"/>
      <c r="IJ31" s="192"/>
      <c r="IK31" s="192"/>
      <c r="IL31" s="192"/>
      <c r="IM31" s="192"/>
      <c r="IN31" s="192"/>
      <c r="IO31" s="192"/>
      <c r="IP31" s="192"/>
      <c r="IQ31" s="192"/>
    </row>
    <row r="32" spans="1:251" s="157" customFormat="1" ht="21.75" customHeight="1">
      <c r="A32" s="196">
        <v>25</v>
      </c>
      <c r="B32" s="277" t="s">
        <v>224</v>
      </c>
      <c r="C32" s="278" t="s">
        <v>227</v>
      </c>
      <c r="D32" s="271"/>
      <c r="E32" s="271">
        <v>38</v>
      </c>
      <c r="F32" s="278" t="s">
        <v>191</v>
      </c>
      <c r="G32" s="271" t="s">
        <v>192</v>
      </c>
      <c r="H32" s="285" t="s">
        <v>265</v>
      </c>
      <c r="I32" s="197">
        <f t="shared" si="0"/>
        <v>187500</v>
      </c>
      <c r="J32" s="286" t="s">
        <v>267</v>
      </c>
      <c r="K32" s="200">
        <f t="shared" si="1"/>
        <v>135000</v>
      </c>
      <c r="L32" s="286" t="s">
        <v>272</v>
      </c>
      <c r="M32" s="198">
        <f t="shared" si="2"/>
        <v>135000</v>
      </c>
      <c r="N32" s="198">
        <f t="shared" si="3"/>
        <v>457500</v>
      </c>
      <c r="O32" s="192"/>
      <c r="P32" s="192"/>
      <c r="Q32" s="192"/>
      <c r="R32" s="192"/>
      <c r="S32" s="192"/>
      <c r="T32" s="192"/>
      <c r="U32" s="192"/>
      <c r="V32" s="192"/>
      <c r="W32" s="192"/>
      <c r="X32" s="192"/>
      <c r="Y32" s="192"/>
      <c r="Z32" s="192"/>
      <c r="AA32" s="192"/>
      <c r="AB32" s="192"/>
      <c r="AC32" s="192"/>
      <c r="AD32" s="192"/>
      <c r="AE32" s="192"/>
      <c r="AF32" s="192"/>
      <c r="AG32" s="192"/>
      <c r="AH32" s="192"/>
      <c r="AI32" s="192"/>
      <c r="AJ32" s="192"/>
      <c r="AK32" s="192"/>
      <c r="AL32" s="192"/>
      <c r="AM32" s="192"/>
      <c r="AN32" s="192"/>
      <c r="AO32" s="192"/>
      <c r="AP32" s="192"/>
      <c r="AQ32" s="192"/>
      <c r="AR32" s="192"/>
      <c r="AS32" s="192"/>
      <c r="AT32" s="192"/>
      <c r="AU32" s="192"/>
      <c r="AV32" s="192"/>
      <c r="AW32" s="192"/>
      <c r="AX32" s="192"/>
      <c r="AY32" s="192"/>
      <c r="AZ32" s="192"/>
      <c r="BA32" s="192"/>
      <c r="BB32" s="192"/>
      <c r="BC32" s="192"/>
      <c r="BD32" s="192"/>
      <c r="BE32" s="192"/>
      <c r="BF32" s="192"/>
      <c r="BG32" s="192"/>
      <c r="BH32" s="192"/>
      <c r="BI32" s="192"/>
      <c r="BJ32" s="192"/>
      <c r="BK32" s="192"/>
      <c r="BL32" s="192"/>
      <c r="BM32" s="192"/>
      <c r="BN32" s="192"/>
      <c r="BO32" s="192"/>
      <c r="BP32" s="192"/>
      <c r="BQ32" s="192"/>
      <c r="BR32" s="192"/>
      <c r="BS32" s="192"/>
      <c r="BT32" s="192"/>
      <c r="BU32" s="192"/>
      <c r="BV32" s="192"/>
      <c r="BW32" s="192"/>
      <c r="BX32" s="192"/>
      <c r="BY32" s="192"/>
      <c r="BZ32" s="192"/>
      <c r="CA32" s="192"/>
      <c r="CB32" s="192"/>
      <c r="CC32" s="192"/>
      <c r="CD32" s="192"/>
      <c r="CE32" s="192"/>
      <c r="CF32" s="192"/>
      <c r="CG32" s="192"/>
      <c r="CH32" s="192"/>
      <c r="CI32" s="192"/>
      <c r="CJ32" s="192"/>
      <c r="CK32" s="192"/>
      <c r="CL32" s="192"/>
      <c r="CM32" s="192"/>
      <c r="CN32" s="192"/>
      <c r="CO32" s="192"/>
      <c r="CP32" s="192"/>
      <c r="CQ32" s="192"/>
      <c r="CR32" s="192"/>
      <c r="CS32" s="192"/>
      <c r="CT32" s="192"/>
      <c r="CU32" s="192"/>
      <c r="CV32" s="192"/>
      <c r="CW32" s="192"/>
      <c r="CX32" s="192"/>
      <c r="CY32" s="192"/>
      <c r="CZ32" s="192"/>
      <c r="DA32" s="192"/>
      <c r="DB32" s="192"/>
      <c r="DC32" s="192"/>
      <c r="DD32" s="192"/>
      <c r="DE32" s="192"/>
      <c r="DF32" s="192"/>
      <c r="DG32" s="192"/>
      <c r="DH32" s="192"/>
      <c r="DI32" s="192"/>
      <c r="DJ32" s="192"/>
      <c r="DK32" s="192"/>
      <c r="DL32" s="192"/>
      <c r="DM32" s="192"/>
      <c r="DN32" s="192"/>
      <c r="DO32" s="192"/>
      <c r="DP32" s="192"/>
      <c r="DQ32" s="192"/>
      <c r="DR32" s="192"/>
      <c r="DS32" s="192"/>
      <c r="DT32" s="192"/>
      <c r="DU32" s="192"/>
      <c r="DV32" s="192"/>
      <c r="DW32" s="192"/>
      <c r="DX32" s="192"/>
      <c r="DY32" s="192"/>
      <c r="DZ32" s="192"/>
      <c r="EA32" s="192"/>
      <c r="EB32" s="192"/>
      <c r="EC32" s="192"/>
      <c r="ED32" s="192"/>
      <c r="EE32" s="192"/>
      <c r="EF32" s="192"/>
      <c r="EG32" s="192"/>
      <c r="EH32" s="192"/>
      <c r="EI32" s="192"/>
      <c r="EJ32" s="192"/>
      <c r="EK32" s="192"/>
      <c r="EL32" s="192"/>
      <c r="EM32" s="192"/>
      <c r="EN32" s="192"/>
      <c r="EO32" s="192"/>
      <c r="EP32" s="192"/>
      <c r="EQ32" s="192"/>
      <c r="ER32" s="192"/>
      <c r="ES32" s="192"/>
      <c r="ET32" s="192"/>
      <c r="EU32" s="192"/>
      <c r="EV32" s="192"/>
      <c r="EW32" s="192"/>
      <c r="EX32" s="192"/>
      <c r="EY32" s="192"/>
      <c r="EZ32" s="192"/>
      <c r="FA32" s="192"/>
      <c r="FB32" s="192"/>
      <c r="FC32" s="192"/>
      <c r="FD32" s="192"/>
      <c r="FE32" s="192"/>
      <c r="FF32" s="192"/>
      <c r="FG32" s="192"/>
      <c r="FH32" s="192"/>
      <c r="FI32" s="192"/>
      <c r="FJ32" s="192"/>
      <c r="FK32" s="192"/>
      <c r="FL32" s="192"/>
      <c r="FM32" s="192"/>
      <c r="FN32" s="192"/>
      <c r="FO32" s="192"/>
      <c r="FP32" s="192"/>
      <c r="FQ32" s="192"/>
      <c r="FR32" s="192"/>
      <c r="FS32" s="192"/>
      <c r="FT32" s="192"/>
      <c r="FU32" s="192"/>
      <c r="FV32" s="192"/>
      <c r="FW32" s="192"/>
      <c r="FX32" s="192"/>
      <c r="FY32" s="192"/>
      <c r="FZ32" s="192"/>
      <c r="GA32" s="192"/>
      <c r="GB32" s="192"/>
      <c r="GC32" s="192"/>
      <c r="GD32" s="192"/>
      <c r="GE32" s="192"/>
      <c r="GF32" s="192"/>
      <c r="GG32" s="192"/>
      <c r="GH32" s="192"/>
      <c r="GI32" s="192"/>
      <c r="GJ32" s="192"/>
      <c r="GK32" s="192"/>
      <c r="GL32" s="192"/>
      <c r="GM32" s="192"/>
      <c r="GN32" s="192"/>
      <c r="GO32" s="192"/>
      <c r="GP32" s="192"/>
      <c r="GQ32" s="192"/>
      <c r="GR32" s="192"/>
      <c r="GS32" s="192"/>
      <c r="GT32" s="192"/>
      <c r="GU32" s="192"/>
      <c r="GV32" s="192"/>
      <c r="GW32" s="192"/>
      <c r="GX32" s="192"/>
      <c r="GY32" s="192"/>
      <c r="GZ32" s="192"/>
      <c r="HA32" s="192"/>
      <c r="HB32" s="192"/>
      <c r="HC32" s="192"/>
      <c r="HD32" s="192"/>
      <c r="HE32" s="192"/>
      <c r="HF32" s="192"/>
      <c r="HG32" s="192"/>
      <c r="HH32" s="192"/>
      <c r="HI32" s="192"/>
      <c r="HJ32" s="192"/>
      <c r="HK32" s="192"/>
      <c r="HL32" s="192"/>
      <c r="HM32" s="192"/>
      <c r="HN32" s="192"/>
      <c r="HO32" s="192"/>
      <c r="HP32" s="192"/>
      <c r="HQ32" s="192"/>
      <c r="HR32" s="192"/>
      <c r="HS32" s="192"/>
      <c r="HT32" s="192"/>
      <c r="HU32" s="192"/>
      <c r="HV32" s="192"/>
      <c r="HW32" s="192"/>
      <c r="HX32" s="192"/>
      <c r="HY32" s="192"/>
      <c r="HZ32" s="192"/>
      <c r="IA32" s="192"/>
      <c r="IB32" s="192"/>
      <c r="IC32" s="192"/>
      <c r="ID32" s="192"/>
      <c r="IE32" s="192"/>
      <c r="IF32" s="192"/>
      <c r="IG32" s="192"/>
      <c r="IH32" s="192"/>
      <c r="II32" s="192"/>
      <c r="IJ32" s="192"/>
      <c r="IK32" s="192"/>
      <c r="IL32" s="192"/>
      <c r="IM32" s="192"/>
      <c r="IN32" s="192"/>
      <c r="IO32" s="192"/>
      <c r="IP32" s="192"/>
      <c r="IQ32" s="192"/>
    </row>
    <row r="33" spans="1:251" s="157" customFormat="1" ht="21.75" customHeight="1">
      <c r="A33" s="196">
        <v>26</v>
      </c>
      <c r="B33" s="277" t="s">
        <v>224</v>
      </c>
      <c r="C33" s="278" t="s">
        <v>228</v>
      </c>
      <c r="D33" s="271"/>
      <c r="E33" s="271">
        <v>49</v>
      </c>
      <c r="F33" s="278" t="s">
        <v>229</v>
      </c>
      <c r="G33" s="271" t="s">
        <v>192</v>
      </c>
      <c r="H33" s="285" t="s">
        <v>269</v>
      </c>
      <c r="I33" s="197">
        <f t="shared" si="0"/>
        <v>187500</v>
      </c>
      <c r="J33" s="286" t="s">
        <v>275</v>
      </c>
      <c r="K33" s="200">
        <f t="shared" si="1"/>
        <v>135000</v>
      </c>
      <c r="L33" s="286" t="s">
        <v>281</v>
      </c>
      <c r="M33" s="198">
        <f t="shared" si="2"/>
        <v>135000</v>
      </c>
      <c r="N33" s="198">
        <f t="shared" si="3"/>
        <v>457500</v>
      </c>
      <c r="O33" s="192"/>
      <c r="P33" s="192"/>
      <c r="Q33" s="192"/>
      <c r="R33" s="192"/>
      <c r="S33" s="192"/>
      <c r="T33" s="192"/>
      <c r="U33" s="192"/>
      <c r="V33" s="192"/>
      <c r="W33" s="192"/>
      <c r="X33" s="192"/>
      <c r="Y33" s="192"/>
      <c r="Z33" s="192"/>
      <c r="AA33" s="192"/>
      <c r="AB33" s="192"/>
      <c r="AC33" s="192"/>
      <c r="AD33" s="192"/>
      <c r="AE33" s="192"/>
      <c r="AF33" s="192"/>
      <c r="AG33" s="192"/>
      <c r="AH33" s="192"/>
      <c r="AI33" s="192"/>
      <c r="AJ33" s="192"/>
      <c r="AK33" s="192"/>
      <c r="AL33" s="192"/>
      <c r="AM33" s="192"/>
      <c r="AN33" s="192"/>
      <c r="AO33" s="192"/>
      <c r="AP33" s="192"/>
      <c r="AQ33" s="192"/>
      <c r="AR33" s="192"/>
      <c r="AS33" s="192"/>
      <c r="AT33" s="192"/>
      <c r="AU33" s="192"/>
      <c r="AV33" s="192"/>
      <c r="AW33" s="192"/>
      <c r="AX33" s="192"/>
      <c r="AY33" s="192"/>
      <c r="AZ33" s="192"/>
      <c r="BA33" s="192"/>
      <c r="BB33" s="192"/>
      <c r="BC33" s="192"/>
      <c r="BD33" s="192"/>
      <c r="BE33" s="192"/>
      <c r="BF33" s="192"/>
      <c r="BG33" s="192"/>
      <c r="BH33" s="192"/>
      <c r="BI33" s="192"/>
      <c r="BJ33" s="192"/>
      <c r="BK33" s="192"/>
      <c r="BL33" s="192"/>
      <c r="BM33" s="192"/>
      <c r="BN33" s="192"/>
      <c r="BO33" s="192"/>
      <c r="BP33" s="192"/>
      <c r="BQ33" s="192"/>
      <c r="BR33" s="192"/>
      <c r="BS33" s="192"/>
      <c r="BT33" s="192"/>
      <c r="BU33" s="192"/>
      <c r="BV33" s="192"/>
      <c r="BW33" s="192"/>
      <c r="BX33" s="192"/>
      <c r="BY33" s="192"/>
      <c r="BZ33" s="192"/>
      <c r="CA33" s="192"/>
      <c r="CB33" s="192"/>
      <c r="CC33" s="192"/>
      <c r="CD33" s="192"/>
      <c r="CE33" s="192"/>
      <c r="CF33" s="192"/>
      <c r="CG33" s="192"/>
      <c r="CH33" s="192"/>
      <c r="CI33" s="192"/>
      <c r="CJ33" s="192"/>
      <c r="CK33" s="192"/>
      <c r="CL33" s="192"/>
      <c r="CM33" s="192"/>
      <c r="CN33" s="192"/>
      <c r="CO33" s="192"/>
      <c r="CP33" s="192"/>
      <c r="CQ33" s="192"/>
      <c r="CR33" s="192"/>
      <c r="CS33" s="192"/>
      <c r="CT33" s="192"/>
      <c r="CU33" s="192"/>
      <c r="CV33" s="192"/>
      <c r="CW33" s="192"/>
      <c r="CX33" s="192"/>
      <c r="CY33" s="192"/>
      <c r="CZ33" s="192"/>
      <c r="DA33" s="192"/>
      <c r="DB33" s="192"/>
      <c r="DC33" s="192"/>
      <c r="DD33" s="192"/>
      <c r="DE33" s="192"/>
      <c r="DF33" s="192"/>
      <c r="DG33" s="192"/>
      <c r="DH33" s="192"/>
      <c r="DI33" s="192"/>
      <c r="DJ33" s="192"/>
      <c r="DK33" s="192"/>
      <c r="DL33" s="192"/>
      <c r="DM33" s="192"/>
      <c r="DN33" s="192"/>
      <c r="DO33" s="192"/>
      <c r="DP33" s="192"/>
      <c r="DQ33" s="192"/>
      <c r="DR33" s="192"/>
      <c r="DS33" s="192"/>
      <c r="DT33" s="192"/>
      <c r="DU33" s="192"/>
      <c r="DV33" s="192"/>
      <c r="DW33" s="192"/>
      <c r="DX33" s="192"/>
      <c r="DY33" s="192"/>
      <c r="DZ33" s="192"/>
      <c r="EA33" s="192"/>
      <c r="EB33" s="192"/>
      <c r="EC33" s="192"/>
      <c r="ED33" s="192"/>
      <c r="EE33" s="192"/>
      <c r="EF33" s="192"/>
      <c r="EG33" s="192"/>
      <c r="EH33" s="192"/>
      <c r="EI33" s="192"/>
      <c r="EJ33" s="192"/>
      <c r="EK33" s="192"/>
      <c r="EL33" s="192"/>
      <c r="EM33" s="192"/>
      <c r="EN33" s="192"/>
      <c r="EO33" s="192"/>
      <c r="EP33" s="192"/>
      <c r="EQ33" s="192"/>
      <c r="ER33" s="192"/>
      <c r="ES33" s="192"/>
      <c r="ET33" s="192"/>
      <c r="EU33" s="192"/>
      <c r="EV33" s="192"/>
      <c r="EW33" s="192"/>
      <c r="EX33" s="192"/>
      <c r="EY33" s="192"/>
      <c r="EZ33" s="192"/>
      <c r="FA33" s="192"/>
      <c r="FB33" s="192"/>
      <c r="FC33" s="192"/>
      <c r="FD33" s="192"/>
      <c r="FE33" s="192"/>
      <c r="FF33" s="192"/>
      <c r="FG33" s="192"/>
      <c r="FH33" s="192"/>
      <c r="FI33" s="192"/>
      <c r="FJ33" s="192"/>
      <c r="FK33" s="192"/>
      <c r="FL33" s="192"/>
      <c r="FM33" s="192"/>
      <c r="FN33" s="192"/>
      <c r="FO33" s="192"/>
      <c r="FP33" s="192"/>
      <c r="FQ33" s="192"/>
      <c r="FR33" s="192"/>
      <c r="FS33" s="192"/>
      <c r="FT33" s="192"/>
      <c r="FU33" s="192"/>
      <c r="FV33" s="192"/>
      <c r="FW33" s="192"/>
      <c r="FX33" s="192"/>
      <c r="FY33" s="192"/>
      <c r="FZ33" s="192"/>
      <c r="GA33" s="192"/>
      <c r="GB33" s="192"/>
      <c r="GC33" s="192"/>
      <c r="GD33" s="192"/>
      <c r="GE33" s="192"/>
      <c r="GF33" s="192"/>
      <c r="GG33" s="192"/>
      <c r="GH33" s="192"/>
      <c r="GI33" s="192"/>
      <c r="GJ33" s="192"/>
      <c r="GK33" s="192"/>
      <c r="GL33" s="192"/>
      <c r="GM33" s="192"/>
      <c r="GN33" s="192"/>
      <c r="GO33" s="192"/>
      <c r="GP33" s="192"/>
      <c r="GQ33" s="192"/>
      <c r="GR33" s="192"/>
      <c r="GS33" s="192"/>
      <c r="GT33" s="192"/>
      <c r="GU33" s="192"/>
      <c r="GV33" s="192"/>
      <c r="GW33" s="192"/>
      <c r="GX33" s="192"/>
      <c r="GY33" s="192"/>
      <c r="GZ33" s="192"/>
      <c r="HA33" s="192"/>
      <c r="HB33" s="192"/>
      <c r="HC33" s="192"/>
      <c r="HD33" s="192"/>
      <c r="HE33" s="192"/>
      <c r="HF33" s="192"/>
      <c r="HG33" s="192"/>
      <c r="HH33" s="192"/>
      <c r="HI33" s="192"/>
      <c r="HJ33" s="192"/>
      <c r="HK33" s="192"/>
      <c r="HL33" s="192"/>
      <c r="HM33" s="192"/>
      <c r="HN33" s="192"/>
      <c r="HO33" s="192"/>
      <c r="HP33" s="192"/>
      <c r="HQ33" s="192"/>
      <c r="HR33" s="192"/>
      <c r="HS33" s="192"/>
      <c r="HT33" s="192"/>
      <c r="HU33" s="192"/>
      <c r="HV33" s="192"/>
      <c r="HW33" s="192"/>
      <c r="HX33" s="192"/>
      <c r="HY33" s="192"/>
      <c r="HZ33" s="192"/>
      <c r="IA33" s="192"/>
      <c r="IB33" s="192"/>
      <c r="IC33" s="192"/>
      <c r="ID33" s="192"/>
      <c r="IE33" s="192"/>
      <c r="IF33" s="192"/>
      <c r="IG33" s="192"/>
      <c r="IH33" s="192"/>
      <c r="II33" s="192"/>
      <c r="IJ33" s="192"/>
      <c r="IK33" s="192"/>
      <c r="IL33" s="192"/>
      <c r="IM33" s="192"/>
      <c r="IN33" s="192"/>
      <c r="IO33" s="192"/>
      <c r="IP33" s="192"/>
      <c r="IQ33" s="192"/>
    </row>
    <row r="34" spans="1:251" s="157" customFormat="1" ht="21.75" customHeight="1">
      <c r="A34" s="196">
        <v>27</v>
      </c>
      <c r="B34" s="277" t="s">
        <v>230</v>
      </c>
      <c r="C34" s="278" t="s">
        <v>231</v>
      </c>
      <c r="D34" s="271">
        <v>38</v>
      </c>
      <c r="E34" s="271"/>
      <c r="F34" s="278" t="s">
        <v>202</v>
      </c>
      <c r="G34" s="271" t="s">
        <v>179</v>
      </c>
      <c r="H34" s="285" t="s">
        <v>268</v>
      </c>
      <c r="I34" s="197">
        <f t="shared" si="0"/>
        <v>420000</v>
      </c>
      <c r="J34" s="286" t="s">
        <v>272</v>
      </c>
      <c r="K34" s="200">
        <f t="shared" si="1"/>
        <v>300000</v>
      </c>
      <c r="L34" s="286" t="s">
        <v>278</v>
      </c>
      <c r="M34" s="198">
        <f t="shared" si="2"/>
        <v>300000</v>
      </c>
      <c r="N34" s="198">
        <f t="shared" si="3"/>
        <v>1020000</v>
      </c>
      <c r="O34" s="192"/>
      <c r="P34" s="192"/>
      <c r="Q34" s="192"/>
      <c r="R34" s="192"/>
      <c r="S34" s="192"/>
      <c r="T34" s="192"/>
      <c r="U34" s="192"/>
      <c r="V34" s="192"/>
      <c r="W34" s="192"/>
      <c r="X34" s="192"/>
      <c r="Y34" s="192"/>
      <c r="Z34" s="192"/>
      <c r="AA34" s="192"/>
      <c r="AB34" s="192"/>
      <c r="AC34" s="192"/>
      <c r="AD34" s="192"/>
      <c r="AE34" s="192"/>
      <c r="AF34" s="192"/>
      <c r="AG34" s="192"/>
      <c r="AH34" s="192"/>
      <c r="AI34" s="192"/>
      <c r="AJ34" s="192"/>
      <c r="AK34" s="192"/>
      <c r="AL34" s="192"/>
      <c r="AM34" s="192"/>
      <c r="AN34" s="192"/>
      <c r="AO34" s="192"/>
      <c r="AP34" s="192"/>
      <c r="AQ34" s="192"/>
      <c r="AR34" s="192"/>
      <c r="AS34" s="192"/>
      <c r="AT34" s="192"/>
      <c r="AU34" s="192"/>
      <c r="AV34" s="192"/>
      <c r="AW34" s="192"/>
      <c r="AX34" s="192"/>
      <c r="AY34" s="192"/>
      <c r="AZ34" s="192"/>
      <c r="BA34" s="192"/>
      <c r="BB34" s="192"/>
      <c r="BC34" s="192"/>
      <c r="BD34" s="192"/>
      <c r="BE34" s="192"/>
      <c r="BF34" s="192"/>
      <c r="BG34" s="192"/>
      <c r="BH34" s="192"/>
      <c r="BI34" s="192"/>
      <c r="BJ34" s="192"/>
      <c r="BK34" s="192"/>
      <c r="BL34" s="192"/>
      <c r="BM34" s="192"/>
      <c r="BN34" s="192"/>
      <c r="BO34" s="192"/>
      <c r="BP34" s="192"/>
      <c r="BQ34" s="192"/>
      <c r="BR34" s="192"/>
      <c r="BS34" s="192"/>
      <c r="BT34" s="192"/>
      <c r="BU34" s="192"/>
      <c r="BV34" s="192"/>
      <c r="BW34" s="192"/>
      <c r="BX34" s="192"/>
      <c r="BY34" s="192"/>
      <c r="BZ34" s="192"/>
      <c r="CA34" s="192"/>
      <c r="CB34" s="192"/>
      <c r="CC34" s="192"/>
      <c r="CD34" s="192"/>
      <c r="CE34" s="192"/>
      <c r="CF34" s="192"/>
      <c r="CG34" s="192"/>
      <c r="CH34" s="192"/>
      <c r="CI34" s="192"/>
      <c r="CJ34" s="192"/>
      <c r="CK34" s="192"/>
      <c r="CL34" s="192"/>
      <c r="CM34" s="192"/>
      <c r="CN34" s="192"/>
      <c r="CO34" s="192"/>
      <c r="CP34" s="192"/>
      <c r="CQ34" s="192"/>
      <c r="CR34" s="192"/>
      <c r="CS34" s="192"/>
      <c r="CT34" s="192"/>
      <c r="CU34" s="192"/>
      <c r="CV34" s="192"/>
      <c r="CW34" s="192"/>
      <c r="CX34" s="192"/>
      <c r="CY34" s="192"/>
      <c r="CZ34" s="192"/>
      <c r="DA34" s="192"/>
      <c r="DB34" s="192"/>
      <c r="DC34" s="192"/>
      <c r="DD34" s="192"/>
      <c r="DE34" s="192"/>
      <c r="DF34" s="192"/>
      <c r="DG34" s="192"/>
      <c r="DH34" s="192"/>
      <c r="DI34" s="192"/>
      <c r="DJ34" s="192"/>
      <c r="DK34" s="192"/>
      <c r="DL34" s="192"/>
      <c r="DM34" s="192"/>
      <c r="DN34" s="192"/>
      <c r="DO34" s="192"/>
      <c r="DP34" s="192"/>
      <c r="DQ34" s="192"/>
      <c r="DR34" s="192"/>
      <c r="DS34" s="192"/>
      <c r="DT34" s="192"/>
      <c r="DU34" s="192"/>
      <c r="DV34" s="192"/>
      <c r="DW34" s="192"/>
      <c r="DX34" s="192"/>
      <c r="DY34" s="192"/>
      <c r="DZ34" s="192"/>
      <c r="EA34" s="192"/>
      <c r="EB34" s="192"/>
      <c r="EC34" s="192"/>
      <c r="ED34" s="192"/>
      <c r="EE34" s="192"/>
      <c r="EF34" s="192"/>
      <c r="EG34" s="192"/>
      <c r="EH34" s="192"/>
      <c r="EI34" s="192"/>
      <c r="EJ34" s="192"/>
      <c r="EK34" s="192"/>
      <c r="EL34" s="192"/>
      <c r="EM34" s="192"/>
      <c r="EN34" s="192"/>
      <c r="EO34" s="192"/>
      <c r="EP34" s="192"/>
      <c r="EQ34" s="192"/>
      <c r="ER34" s="192"/>
      <c r="ES34" s="192"/>
      <c r="ET34" s="192"/>
      <c r="EU34" s="192"/>
      <c r="EV34" s="192"/>
      <c r="EW34" s="192"/>
      <c r="EX34" s="192"/>
      <c r="EY34" s="192"/>
      <c r="EZ34" s="192"/>
      <c r="FA34" s="192"/>
      <c r="FB34" s="192"/>
      <c r="FC34" s="192"/>
      <c r="FD34" s="192"/>
      <c r="FE34" s="192"/>
      <c r="FF34" s="192"/>
      <c r="FG34" s="192"/>
      <c r="FH34" s="192"/>
      <c r="FI34" s="192"/>
      <c r="FJ34" s="192"/>
      <c r="FK34" s="192"/>
      <c r="FL34" s="192"/>
      <c r="FM34" s="192"/>
      <c r="FN34" s="192"/>
      <c r="FO34" s="192"/>
      <c r="FP34" s="192"/>
      <c r="FQ34" s="192"/>
      <c r="FR34" s="192"/>
      <c r="FS34" s="192"/>
      <c r="FT34" s="192"/>
      <c r="FU34" s="192"/>
      <c r="FV34" s="192"/>
      <c r="FW34" s="192"/>
      <c r="FX34" s="192"/>
      <c r="FY34" s="192"/>
      <c r="FZ34" s="192"/>
      <c r="GA34" s="192"/>
      <c r="GB34" s="192"/>
      <c r="GC34" s="192"/>
      <c r="GD34" s="192"/>
      <c r="GE34" s="192"/>
      <c r="GF34" s="192"/>
      <c r="GG34" s="192"/>
      <c r="GH34" s="192"/>
      <c r="GI34" s="192"/>
      <c r="GJ34" s="192"/>
      <c r="GK34" s="192"/>
      <c r="GL34" s="192"/>
      <c r="GM34" s="192"/>
      <c r="GN34" s="192"/>
      <c r="GO34" s="192"/>
      <c r="GP34" s="192"/>
      <c r="GQ34" s="192"/>
      <c r="GR34" s="192"/>
      <c r="GS34" s="192"/>
      <c r="GT34" s="192"/>
      <c r="GU34" s="192"/>
      <c r="GV34" s="192"/>
      <c r="GW34" s="192"/>
      <c r="GX34" s="192"/>
      <c r="GY34" s="192"/>
      <c r="GZ34" s="192"/>
      <c r="HA34" s="192"/>
      <c r="HB34" s="192"/>
      <c r="HC34" s="192"/>
      <c r="HD34" s="192"/>
      <c r="HE34" s="192"/>
      <c r="HF34" s="192"/>
      <c r="HG34" s="192"/>
      <c r="HH34" s="192"/>
      <c r="HI34" s="192"/>
      <c r="HJ34" s="192"/>
      <c r="HK34" s="192"/>
      <c r="HL34" s="192"/>
      <c r="HM34" s="192"/>
      <c r="HN34" s="192"/>
      <c r="HO34" s="192"/>
      <c r="HP34" s="192"/>
      <c r="HQ34" s="192"/>
      <c r="HR34" s="192"/>
      <c r="HS34" s="192"/>
      <c r="HT34" s="192"/>
      <c r="HU34" s="192"/>
      <c r="HV34" s="192"/>
      <c r="HW34" s="192"/>
      <c r="HX34" s="192"/>
      <c r="HY34" s="192"/>
      <c r="HZ34" s="192"/>
      <c r="IA34" s="192"/>
      <c r="IB34" s="192"/>
      <c r="IC34" s="192"/>
      <c r="ID34" s="192"/>
      <c r="IE34" s="192"/>
      <c r="IF34" s="192"/>
      <c r="IG34" s="192"/>
      <c r="IH34" s="192"/>
      <c r="II34" s="192"/>
      <c r="IJ34" s="192"/>
      <c r="IK34" s="192"/>
      <c r="IL34" s="192"/>
      <c r="IM34" s="192"/>
      <c r="IN34" s="192"/>
      <c r="IO34" s="192"/>
      <c r="IP34" s="192"/>
      <c r="IQ34" s="192"/>
    </row>
    <row r="35" spans="1:251" s="157" customFormat="1" ht="21.75" customHeight="1">
      <c r="A35" s="196">
        <v>28</v>
      </c>
      <c r="B35" s="277" t="s">
        <v>230</v>
      </c>
      <c r="C35" s="278" t="s">
        <v>232</v>
      </c>
      <c r="D35" s="271">
        <v>100</v>
      </c>
      <c r="E35" s="271"/>
      <c r="F35" s="278" t="s">
        <v>187</v>
      </c>
      <c r="G35" s="271" t="s">
        <v>192</v>
      </c>
      <c r="H35" s="285" t="s">
        <v>270</v>
      </c>
      <c r="I35" s="197">
        <f t="shared" si="0"/>
        <v>187500</v>
      </c>
      <c r="J35" s="286" t="s">
        <v>276</v>
      </c>
      <c r="K35" s="200">
        <f t="shared" si="1"/>
        <v>135000</v>
      </c>
      <c r="L35" s="286" t="s">
        <v>281</v>
      </c>
      <c r="M35" s="198">
        <f t="shared" si="2"/>
        <v>135000</v>
      </c>
      <c r="N35" s="198">
        <f t="shared" si="3"/>
        <v>457500</v>
      </c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Y35" s="192"/>
      <c r="Z35" s="192"/>
      <c r="AA35" s="192"/>
      <c r="AB35" s="192"/>
      <c r="AC35" s="192"/>
      <c r="AD35" s="192"/>
      <c r="AE35" s="192"/>
      <c r="AF35" s="192"/>
      <c r="AG35" s="192"/>
      <c r="AH35" s="192"/>
      <c r="AI35" s="192"/>
      <c r="AJ35" s="192"/>
      <c r="AK35" s="192"/>
      <c r="AL35" s="192"/>
      <c r="AM35" s="192"/>
      <c r="AN35" s="192"/>
      <c r="AO35" s="192"/>
      <c r="AP35" s="192"/>
      <c r="AQ35" s="192"/>
      <c r="AR35" s="192"/>
      <c r="AS35" s="192"/>
      <c r="AT35" s="192"/>
      <c r="AU35" s="192"/>
      <c r="AV35" s="192"/>
      <c r="AW35" s="192"/>
      <c r="AX35" s="192"/>
      <c r="AY35" s="192"/>
      <c r="AZ35" s="192"/>
      <c r="BA35" s="192"/>
      <c r="BB35" s="192"/>
      <c r="BC35" s="192"/>
      <c r="BD35" s="192"/>
      <c r="BE35" s="192"/>
      <c r="BF35" s="192"/>
      <c r="BG35" s="192"/>
      <c r="BH35" s="192"/>
      <c r="BI35" s="192"/>
      <c r="BJ35" s="192"/>
      <c r="BK35" s="192"/>
      <c r="BL35" s="192"/>
      <c r="BM35" s="192"/>
      <c r="BN35" s="192"/>
      <c r="BO35" s="192"/>
      <c r="BP35" s="192"/>
      <c r="BQ35" s="192"/>
      <c r="BR35" s="192"/>
      <c r="BS35" s="192"/>
      <c r="BT35" s="192"/>
      <c r="BU35" s="192"/>
      <c r="BV35" s="192"/>
      <c r="BW35" s="192"/>
      <c r="BX35" s="192"/>
      <c r="BY35" s="192"/>
      <c r="BZ35" s="192"/>
      <c r="CA35" s="192"/>
      <c r="CB35" s="192"/>
      <c r="CC35" s="192"/>
      <c r="CD35" s="192"/>
      <c r="CE35" s="192"/>
      <c r="CF35" s="192"/>
      <c r="CG35" s="192"/>
      <c r="CH35" s="192"/>
      <c r="CI35" s="192"/>
      <c r="CJ35" s="192"/>
      <c r="CK35" s="192"/>
      <c r="CL35" s="192"/>
      <c r="CM35" s="192"/>
      <c r="CN35" s="192"/>
      <c r="CO35" s="192"/>
      <c r="CP35" s="192"/>
      <c r="CQ35" s="192"/>
      <c r="CR35" s="192"/>
      <c r="CS35" s="192"/>
      <c r="CT35" s="192"/>
      <c r="CU35" s="192"/>
      <c r="CV35" s="192"/>
      <c r="CW35" s="192"/>
      <c r="CX35" s="192"/>
      <c r="CY35" s="192"/>
      <c r="CZ35" s="192"/>
      <c r="DA35" s="192"/>
      <c r="DB35" s="192"/>
      <c r="DC35" s="192"/>
      <c r="DD35" s="192"/>
      <c r="DE35" s="192"/>
      <c r="DF35" s="192"/>
      <c r="DG35" s="192"/>
      <c r="DH35" s="192"/>
      <c r="DI35" s="192"/>
      <c r="DJ35" s="192"/>
      <c r="DK35" s="192"/>
      <c r="DL35" s="192"/>
      <c r="DM35" s="192"/>
      <c r="DN35" s="192"/>
      <c r="DO35" s="192"/>
      <c r="DP35" s="192"/>
      <c r="DQ35" s="192"/>
      <c r="DR35" s="192"/>
      <c r="DS35" s="192"/>
      <c r="DT35" s="192"/>
      <c r="DU35" s="192"/>
      <c r="DV35" s="192"/>
      <c r="DW35" s="192"/>
      <c r="DX35" s="192"/>
      <c r="DY35" s="192"/>
      <c r="DZ35" s="192"/>
      <c r="EA35" s="192"/>
      <c r="EB35" s="192"/>
      <c r="EC35" s="192"/>
      <c r="ED35" s="192"/>
      <c r="EE35" s="192"/>
      <c r="EF35" s="192"/>
      <c r="EG35" s="192"/>
      <c r="EH35" s="192"/>
      <c r="EI35" s="192"/>
      <c r="EJ35" s="192"/>
      <c r="EK35" s="192"/>
      <c r="EL35" s="192"/>
      <c r="EM35" s="192"/>
      <c r="EN35" s="192"/>
      <c r="EO35" s="192"/>
      <c r="EP35" s="192"/>
      <c r="EQ35" s="192"/>
      <c r="ER35" s="192"/>
      <c r="ES35" s="192"/>
      <c r="ET35" s="192"/>
      <c r="EU35" s="192"/>
      <c r="EV35" s="192"/>
      <c r="EW35" s="192"/>
      <c r="EX35" s="192"/>
      <c r="EY35" s="192"/>
      <c r="EZ35" s="192"/>
      <c r="FA35" s="192"/>
      <c r="FB35" s="192"/>
      <c r="FC35" s="192"/>
      <c r="FD35" s="192"/>
      <c r="FE35" s="192"/>
      <c r="FF35" s="192"/>
      <c r="FG35" s="192"/>
      <c r="FH35" s="192"/>
      <c r="FI35" s="192"/>
      <c r="FJ35" s="192"/>
      <c r="FK35" s="192"/>
      <c r="FL35" s="192"/>
      <c r="FM35" s="192"/>
      <c r="FN35" s="192"/>
      <c r="FO35" s="192"/>
      <c r="FP35" s="192"/>
      <c r="FQ35" s="192"/>
      <c r="FR35" s="192"/>
      <c r="FS35" s="192"/>
      <c r="FT35" s="192"/>
      <c r="FU35" s="192"/>
      <c r="FV35" s="192"/>
      <c r="FW35" s="192"/>
      <c r="FX35" s="192"/>
      <c r="FY35" s="192"/>
      <c r="FZ35" s="192"/>
      <c r="GA35" s="192"/>
      <c r="GB35" s="192"/>
      <c r="GC35" s="192"/>
      <c r="GD35" s="192"/>
      <c r="GE35" s="192"/>
      <c r="GF35" s="192"/>
      <c r="GG35" s="192"/>
      <c r="GH35" s="192"/>
      <c r="GI35" s="192"/>
      <c r="GJ35" s="192"/>
      <c r="GK35" s="192"/>
      <c r="GL35" s="192"/>
      <c r="GM35" s="192"/>
      <c r="GN35" s="192"/>
      <c r="GO35" s="192"/>
      <c r="GP35" s="192"/>
      <c r="GQ35" s="192"/>
      <c r="GR35" s="192"/>
      <c r="GS35" s="192"/>
      <c r="GT35" s="192"/>
      <c r="GU35" s="192"/>
      <c r="GV35" s="192"/>
      <c r="GW35" s="192"/>
      <c r="GX35" s="192"/>
      <c r="GY35" s="192"/>
      <c r="GZ35" s="192"/>
      <c r="HA35" s="192"/>
      <c r="HB35" s="192"/>
      <c r="HC35" s="192"/>
      <c r="HD35" s="192"/>
      <c r="HE35" s="192"/>
      <c r="HF35" s="192"/>
      <c r="HG35" s="192"/>
      <c r="HH35" s="192"/>
      <c r="HI35" s="192"/>
      <c r="HJ35" s="192"/>
      <c r="HK35" s="192"/>
      <c r="HL35" s="192"/>
      <c r="HM35" s="192"/>
      <c r="HN35" s="192"/>
      <c r="HO35" s="192"/>
      <c r="HP35" s="192"/>
      <c r="HQ35" s="192"/>
      <c r="HR35" s="192"/>
      <c r="HS35" s="192"/>
      <c r="HT35" s="192"/>
      <c r="HU35" s="192"/>
      <c r="HV35" s="192"/>
      <c r="HW35" s="192"/>
      <c r="HX35" s="192"/>
      <c r="HY35" s="192"/>
      <c r="HZ35" s="192"/>
      <c r="IA35" s="192"/>
      <c r="IB35" s="192"/>
      <c r="IC35" s="192"/>
      <c r="ID35" s="192"/>
      <c r="IE35" s="192"/>
      <c r="IF35" s="192"/>
      <c r="IG35" s="192"/>
      <c r="IH35" s="192"/>
      <c r="II35" s="192"/>
      <c r="IJ35" s="192"/>
      <c r="IK35" s="192"/>
      <c r="IL35" s="192"/>
      <c r="IM35" s="192"/>
      <c r="IN35" s="192"/>
      <c r="IO35" s="192"/>
      <c r="IP35" s="192"/>
      <c r="IQ35" s="192"/>
    </row>
    <row r="36" spans="1:251" s="157" customFormat="1" ht="21.75" customHeight="1">
      <c r="A36" s="196">
        <v>29</v>
      </c>
      <c r="B36" s="277" t="s">
        <v>233</v>
      </c>
      <c r="C36" s="278" t="s">
        <v>234</v>
      </c>
      <c r="D36" s="271"/>
      <c r="E36" s="271">
        <v>49</v>
      </c>
      <c r="F36" s="278" t="s">
        <v>199</v>
      </c>
      <c r="G36" s="271" t="s">
        <v>179</v>
      </c>
      <c r="H36" s="285" t="s">
        <v>267</v>
      </c>
      <c r="I36" s="197">
        <f t="shared" si="0"/>
        <v>420000</v>
      </c>
      <c r="J36" s="286" t="s">
        <v>274</v>
      </c>
      <c r="K36" s="200">
        <f t="shared" si="1"/>
        <v>300000</v>
      </c>
      <c r="L36" s="286" t="s">
        <v>273</v>
      </c>
      <c r="M36" s="198">
        <f t="shared" si="2"/>
        <v>300000</v>
      </c>
      <c r="N36" s="198">
        <f t="shared" si="3"/>
        <v>1020000</v>
      </c>
      <c r="O36" s="192"/>
      <c r="P36" s="192"/>
      <c r="Q36" s="192"/>
      <c r="R36" s="192"/>
      <c r="S36" s="192"/>
      <c r="T36" s="192"/>
      <c r="U36" s="192"/>
      <c r="V36" s="192"/>
      <c r="W36" s="192"/>
      <c r="X36" s="192"/>
      <c r="Y36" s="192"/>
      <c r="Z36" s="192"/>
      <c r="AA36" s="192"/>
      <c r="AB36" s="192"/>
      <c r="AC36" s="192"/>
      <c r="AD36" s="192"/>
      <c r="AE36" s="192"/>
      <c r="AF36" s="192"/>
      <c r="AG36" s="192"/>
      <c r="AH36" s="192"/>
      <c r="AI36" s="192"/>
      <c r="AJ36" s="192"/>
      <c r="AK36" s="192"/>
      <c r="AL36" s="192"/>
      <c r="AM36" s="192"/>
      <c r="AN36" s="192"/>
      <c r="AO36" s="192"/>
      <c r="AP36" s="192"/>
      <c r="AQ36" s="192"/>
      <c r="AR36" s="192"/>
      <c r="AS36" s="192"/>
      <c r="AT36" s="192"/>
      <c r="AU36" s="192"/>
      <c r="AV36" s="192"/>
      <c r="AW36" s="192"/>
      <c r="AX36" s="192"/>
      <c r="AY36" s="192"/>
      <c r="AZ36" s="192"/>
      <c r="BA36" s="192"/>
      <c r="BB36" s="192"/>
      <c r="BC36" s="192"/>
      <c r="BD36" s="192"/>
      <c r="BE36" s="192"/>
      <c r="BF36" s="192"/>
      <c r="BG36" s="192"/>
      <c r="BH36" s="192"/>
      <c r="BI36" s="192"/>
      <c r="BJ36" s="192"/>
      <c r="BK36" s="192"/>
      <c r="BL36" s="192"/>
      <c r="BM36" s="192"/>
      <c r="BN36" s="192"/>
      <c r="BO36" s="192"/>
      <c r="BP36" s="192"/>
      <c r="BQ36" s="192"/>
      <c r="BR36" s="192"/>
      <c r="BS36" s="192"/>
      <c r="BT36" s="192"/>
      <c r="BU36" s="192"/>
      <c r="BV36" s="192"/>
      <c r="BW36" s="192"/>
      <c r="BX36" s="192"/>
      <c r="BY36" s="192"/>
      <c r="BZ36" s="192"/>
      <c r="CA36" s="192"/>
      <c r="CB36" s="192"/>
      <c r="CC36" s="192"/>
      <c r="CD36" s="192"/>
      <c r="CE36" s="192"/>
      <c r="CF36" s="192"/>
      <c r="CG36" s="192"/>
      <c r="CH36" s="192"/>
      <c r="CI36" s="192"/>
      <c r="CJ36" s="192"/>
      <c r="CK36" s="192"/>
      <c r="CL36" s="192"/>
      <c r="CM36" s="192"/>
      <c r="CN36" s="192"/>
      <c r="CO36" s="192"/>
      <c r="CP36" s="192"/>
      <c r="CQ36" s="192"/>
      <c r="CR36" s="192"/>
      <c r="CS36" s="192"/>
      <c r="CT36" s="192"/>
      <c r="CU36" s="192"/>
      <c r="CV36" s="192"/>
      <c r="CW36" s="192"/>
      <c r="CX36" s="192"/>
      <c r="CY36" s="192"/>
      <c r="CZ36" s="192"/>
      <c r="DA36" s="192"/>
      <c r="DB36" s="192"/>
      <c r="DC36" s="192"/>
      <c r="DD36" s="192"/>
      <c r="DE36" s="192"/>
      <c r="DF36" s="192"/>
      <c r="DG36" s="192"/>
      <c r="DH36" s="192"/>
      <c r="DI36" s="192"/>
      <c r="DJ36" s="192"/>
      <c r="DK36" s="192"/>
      <c r="DL36" s="192"/>
      <c r="DM36" s="192"/>
      <c r="DN36" s="192"/>
      <c r="DO36" s="192"/>
      <c r="DP36" s="192"/>
      <c r="DQ36" s="192"/>
      <c r="DR36" s="192"/>
      <c r="DS36" s="192"/>
      <c r="DT36" s="192"/>
      <c r="DU36" s="192"/>
      <c r="DV36" s="192"/>
      <c r="DW36" s="192"/>
      <c r="DX36" s="192"/>
      <c r="DY36" s="192"/>
      <c r="DZ36" s="192"/>
      <c r="EA36" s="192"/>
      <c r="EB36" s="192"/>
      <c r="EC36" s="192"/>
      <c r="ED36" s="192"/>
      <c r="EE36" s="192"/>
      <c r="EF36" s="192"/>
      <c r="EG36" s="192"/>
      <c r="EH36" s="192"/>
      <c r="EI36" s="192"/>
      <c r="EJ36" s="192"/>
      <c r="EK36" s="192"/>
      <c r="EL36" s="192"/>
      <c r="EM36" s="192"/>
      <c r="EN36" s="192"/>
      <c r="EO36" s="192"/>
      <c r="EP36" s="192"/>
      <c r="EQ36" s="192"/>
      <c r="ER36" s="192"/>
      <c r="ES36" s="192"/>
      <c r="ET36" s="192"/>
      <c r="EU36" s="192"/>
      <c r="EV36" s="192"/>
      <c r="EW36" s="192"/>
      <c r="EX36" s="192"/>
      <c r="EY36" s="192"/>
      <c r="EZ36" s="192"/>
      <c r="FA36" s="192"/>
      <c r="FB36" s="192"/>
      <c r="FC36" s="192"/>
      <c r="FD36" s="192"/>
      <c r="FE36" s="192"/>
      <c r="FF36" s="192"/>
      <c r="FG36" s="192"/>
      <c r="FH36" s="192"/>
      <c r="FI36" s="192"/>
      <c r="FJ36" s="192"/>
      <c r="FK36" s="192"/>
      <c r="FL36" s="192"/>
      <c r="FM36" s="192"/>
      <c r="FN36" s="192"/>
      <c r="FO36" s="192"/>
      <c r="FP36" s="192"/>
      <c r="FQ36" s="192"/>
      <c r="FR36" s="192"/>
      <c r="FS36" s="192"/>
      <c r="FT36" s="192"/>
      <c r="FU36" s="192"/>
      <c r="FV36" s="192"/>
      <c r="FW36" s="192"/>
      <c r="FX36" s="192"/>
      <c r="FY36" s="192"/>
      <c r="FZ36" s="192"/>
      <c r="GA36" s="192"/>
      <c r="GB36" s="192"/>
      <c r="GC36" s="192"/>
      <c r="GD36" s="192"/>
      <c r="GE36" s="192"/>
      <c r="GF36" s="192"/>
      <c r="GG36" s="192"/>
      <c r="GH36" s="192"/>
      <c r="GI36" s="192"/>
      <c r="GJ36" s="192"/>
      <c r="GK36" s="192"/>
      <c r="GL36" s="192"/>
      <c r="GM36" s="192"/>
      <c r="GN36" s="192"/>
      <c r="GO36" s="192"/>
      <c r="GP36" s="192"/>
      <c r="GQ36" s="192"/>
      <c r="GR36" s="192"/>
      <c r="GS36" s="192"/>
      <c r="GT36" s="192"/>
      <c r="GU36" s="192"/>
      <c r="GV36" s="192"/>
      <c r="GW36" s="192"/>
      <c r="GX36" s="192"/>
      <c r="GY36" s="192"/>
      <c r="GZ36" s="192"/>
      <c r="HA36" s="192"/>
      <c r="HB36" s="192"/>
      <c r="HC36" s="192"/>
      <c r="HD36" s="192"/>
      <c r="HE36" s="192"/>
      <c r="HF36" s="192"/>
      <c r="HG36" s="192"/>
      <c r="HH36" s="192"/>
      <c r="HI36" s="192"/>
      <c r="HJ36" s="192"/>
      <c r="HK36" s="192"/>
      <c r="HL36" s="192"/>
      <c r="HM36" s="192"/>
      <c r="HN36" s="192"/>
      <c r="HO36" s="192"/>
      <c r="HP36" s="192"/>
      <c r="HQ36" s="192"/>
      <c r="HR36" s="192"/>
      <c r="HS36" s="192"/>
      <c r="HT36" s="192"/>
      <c r="HU36" s="192"/>
      <c r="HV36" s="192"/>
      <c r="HW36" s="192"/>
      <c r="HX36" s="192"/>
      <c r="HY36" s="192"/>
      <c r="HZ36" s="192"/>
      <c r="IA36" s="192"/>
      <c r="IB36" s="192"/>
      <c r="IC36" s="192"/>
      <c r="ID36" s="192"/>
      <c r="IE36" s="192"/>
      <c r="IF36" s="192"/>
      <c r="IG36" s="192"/>
      <c r="IH36" s="192"/>
      <c r="II36" s="192"/>
      <c r="IJ36" s="192"/>
      <c r="IK36" s="192"/>
      <c r="IL36" s="192"/>
      <c r="IM36" s="192"/>
      <c r="IN36" s="192"/>
      <c r="IO36" s="192"/>
      <c r="IP36" s="192"/>
      <c r="IQ36" s="192"/>
    </row>
    <row r="37" spans="1:251" s="157" customFormat="1" ht="21.75" customHeight="1">
      <c r="A37" s="196">
        <v>30</v>
      </c>
      <c r="B37" s="277" t="s">
        <v>233</v>
      </c>
      <c r="C37" s="278" t="s">
        <v>235</v>
      </c>
      <c r="D37" s="271">
        <v>42</v>
      </c>
      <c r="E37" s="271"/>
      <c r="F37" s="278" t="s">
        <v>221</v>
      </c>
      <c r="G37" s="271" t="s">
        <v>179</v>
      </c>
      <c r="H37" s="285" t="s">
        <v>268</v>
      </c>
      <c r="I37" s="197">
        <f t="shared" si="0"/>
        <v>420000</v>
      </c>
      <c r="J37" s="286" t="s">
        <v>270</v>
      </c>
      <c r="K37" s="200">
        <f t="shared" si="1"/>
        <v>300000</v>
      </c>
      <c r="L37" s="286" t="s">
        <v>280</v>
      </c>
      <c r="M37" s="198">
        <f t="shared" si="2"/>
        <v>300000</v>
      </c>
      <c r="N37" s="198">
        <f t="shared" si="3"/>
        <v>1020000</v>
      </c>
      <c r="O37" s="192"/>
      <c r="P37" s="192"/>
      <c r="Q37" s="192"/>
      <c r="R37" s="192"/>
      <c r="S37" s="192"/>
      <c r="T37" s="192"/>
      <c r="U37" s="192"/>
      <c r="V37" s="192"/>
      <c r="W37" s="192"/>
      <c r="X37" s="192"/>
      <c r="Y37" s="192"/>
      <c r="Z37" s="192"/>
      <c r="AA37" s="192"/>
      <c r="AB37" s="192"/>
      <c r="AC37" s="192"/>
      <c r="AD37" s="192"/>
      <c r="AE37" s="192"/>
      <c r="AF37" s="192"/>
      <c r="AG37" s="192"/>
      <c r="AH37" s="192"/>
      <c r="AI37" s="192"/>
      <c r="AJ37" s="192"/>
      <c r="AK37" s="192"/>
      <c r="AL37" s="192"/>
      <c r="AM37" s="192"/>
      <c r="AN37" s="192"/>
      <c r="AO37" s="192"/>
      <c r="AP37" s="192"/>
      <c r="AQ37" s="192"/>
      <c r="AR37" s="192"/>
      <c r="AS37" s="192"/>
      <c r="AT37" s="192"/>
      <c r="AU37" s="192"/>
      <c r="AV37" s="192"/>
      <c r="AW37" s="192"/>
      <c r="AX37" s="192"/>
      <c r="AY37" s="192"/>
      <c r="AZ37" s="192"/>
      <c r="BA37" s="192"/>
      <c r="BB37" s="192"/>
      <c r="BC37" s="192"/>
      <c r="BD37" s="192"/>
      <c r="BE37" s="192"/>
      <c r="BF37" s="192"/>
      <c r="BG37" s="192"/>
      <c r="BH37" s="192"/>
      <c r="BI37" s="192"/>
      <c r="BJ37" s="192"/>
      <c r="BK37" s="192"/>
      <c r="BL37" s="192"/>
      <c r="BM37" s="192"/>
      <c r="BN37" s="192"/>
      <c r="BO37" s="192"/>
      <c r="BP37" s="192"/>
      <c r="BQ37" s="192"/>
      <c r="BR37" s="192"/>
      <c r="BS37" s="192"/>
      <c r="BT37" s="192"/>
      <c r="BU37" s="192"/>
      <c r="BV37" s="192"/>
      <c r="BW37" s="192"/>
      <c r="BX37" s="192"/>
      <c r="BY37" s="192"/>
      <c r="BZ37" s="192"/>
      <c r="CA37" s="192"/>
      <c r="CB37" s="192"/>
      <c r="CC37" s="192"/>
      <c r="CD37" s="192"/>
      <c r="CE37" s="192"/>
      <c r="CF37" s="192"/>
      <c r="CG37" s="192"/>
      <c r="CH37" s="192"/>
      <c r="CI37" s="192"/>
      <c r="CJ37" s="192"/>
      <c r="CK37" s="192"/>
      <c r="CL37" s="192"/>
      <c r="CM37" s="192"/>
      <c r="CN37" s="192"/>
      <c r="CO37" s="192"/>
      <c r="CP37" s="192"/>
      <c r="CQ37" s="192"/>
      <c r="CR37" s="192"/>
      <c r="CS37" s="192"/>
      <c r="CT37" s="192"/>
      <c r="CU37" s="192"/>
      <c r="CV37" s="192"/>
      <c r="CW37" s="192"/>
      <c r="CX37" s="192"/>
      <c r="CY37" s="192"/>
      <c r="CZ37" s="192"/>
      <c r="DA37" s="192"/>
      <c r="DB37" s="192"/>
      <c r="DC37" s="192"/>
      <c r="DD37" s="192"/>
      <c r="DE37" s="192"/>
      <c r="DF37" s="192"/>
      <c r="DG37" s="192"/>
      <c r="DH37" s="192"/>
      <c r="DI37" s="192"/>
      <c r="DJ37" s="192"/>
      <c r="DK37" s="192"/>
      <c r="DL37" s="192"/>
      <c r="DM37" s="192"/>
      <c r="DN37" s="192"/>
      <c r="DO37" s="192"/>
      <c r="DP37" s="192"/>
      <c r="DQ37" s="192"/>
      <c r="DR37" s="192"/>
      <c r="DS37" s="192"/>
      <c r="DT37" s="192"/>
      <c r="DU37" s="192"/>
      <c r="DV37" s="192"/>
      <c r="DW37" s="192"/>
      <c r="DX37" s="192"/>
      <c r="DY37" s="192"/>
      <c r="DZ37" s="192"/>
      <c r="EA37" s="192"/>
      <c r="EB37" s="192"/>
      <c r="EC37" s="192"/>
      <c r="ED37" s="192"/>
      <c r="EE37" s="192"/>
      <c r="EF37" s="192"/>
      <c r="EG37" s="192"/>
      <c r="EH37" s="192"/>
      <c r="EI37" s="192"/>
      <c r="EJ37" s="192"/>
      <c r="EK37" s="192"/>
      <c r="EL37" s="192"/>
      <c r="EM37" s="192"/>
      <c r="EN37" s="192"/>
      <c r="EO37" s="192"/>
      <c r="EP37" s="192"/>
      <c r="EQ37" s="192"/>
      <c r="ER37" s="192"/>
      <c r="ES37" s="192"/>
      <c r="ET37" s="192"/>
      <c r="EU37" s="192"/>
      <c r="EV37" s="192"/>
      <c r="EW37" s="192"/>
      <c r="EX37" s="192"/>
      <c r="EY37" s="192"/>
      <c r="EZ37" s="192"/>
      <c r="FA37" s="192"/>
      <c r="FB37" s="192"/>
      <c r="FC37" s="192"/>
      <c r="FD37" s="192"/>
      <c r="FE37" s="192"/>
      <c r="FF37" s="192"/>
      <c r="FG37" s="192"/>
      <c r="FH37" s="192"/>
      <c r="FI37" s="192"/>
      <c r="FJ37" s="192"/>
      <c r="FK37" s="192"/>
      <c r="FL37" s="192"/>
      <c r="FM37" s="192"/>
      <c r="FN37" s="192"/>
      <c r="FO37" s="192"/>
      <c r="FP37" s="192"/>
      <c r="FQ37" s="192"/>
      <c r="FR37" s="192"/>
      <c r="FS37" s="192"/>
      <c r="FT37" s="192"/>
      <c r="FU37" s="192"/>
      <c r="FV37" s="192"/>
      <c r="FW37" s="192"/>
      <c r="FX37" s="192"/>
      <c r="FY37" s="192"/>
      <c r="FZ37" s="192"/>
      <c r="GA37" s="192"/>
      <c r="GB37" s="192"/>
      <c r="GC37" s="192"/>
      <c r="GD37" s="192"/>
      <c r="GE37" s="192"/>
      <c r="GF37" s="192"/>
      <c r="GG37" s="192"/>
      <c r="GH37" s="192"/>
      <c r="GI37" s="192"/>
      <c r="GJ37" s="192"/>
      <c r="GK37" s="192"/>
      <c r="GL37" s="192"/>
      <c r="GM37" s="192"/>
      <c r="GN37" s="192"/>
      <c r="GO37" s="192"/>
      <c r="GP37" s="192"/>
      <c r="GQ37" s="192"/>
      <c r="GR37" s="192"/>
      <c r="GS37" s="192"/>
      <c r="GT37" s="192"/>
      <c r="GU37" s="192"/>
      <c r="GV37" s="192"/>
      <c r="GW37" s="192"/>
      <c r="GX37" s="192"/>
      <c r="GY37" s="192"/>
      <c r="GZ37" s="192"/>
      <c r="HA37" s="192"/>
      <c r="HB37" s="192"/>
      <c r="HC37" s="192"/>
      <c r="HD37" s="192"/>
      <c r="HE37" s="192"/>
      <c r="HF37" s="192"/>
      <c r="HG37" s="192"/>
      <c r="HH37" s="192"/>
      <c r="HI37" s="192"/>
      <c r="HJ37" s="192"/>
      <c r="HK37" s="192"/>
      <c r="HL37" s="192"/>
      <c r="HM37" s="192"/>
      <c r="HN37" s="192"/>
      <c r="HO37" s="192"/>
      <c r="HP37" s="192"/>
      <c r="HQ37" s="192"/>
      <c r="HR37" s="192"/>
      <c r="HS37" s="192"/>
      <c r="HT37" s="192"/>
      <c r="HU37" s="192"/>
      <c r="HV37" s="192"/>
      <c r="HW37" s="192"/>
      <c r="HX37" s="192"/>
      <c r="HY37" s="192"/>
      <c r="HZ37" s="192"/>
      <c r="IA37" s="192"/>
      <c r="IB37" s="192"/>
      <c r="IC37" s="192"/>
      <c r="ID37" s="192"/>
      <c r="IE37" s="192"/>
      <c r="IF37" s="192"/>
      <c r="IG37" s="192"/>
      <c r="IH37" s="192"/>
      <c r="II37" s="192"/>
      <c r="IJ37" s="192"/>
      <c r="IK37" s="192"/>
      <c r="IL37" s="192"/>
      <c r="IM37" s="192"/>
      <c r="IN37" s="192"/>
      <c r="IO37" s="192"/>
      <c r="IP37" s="192"/>
      <c r="IQ37" s="192"/>
    </row>
    <row r="38" spans="1:251" s="157" customFormat="1" ht="21.75" customHeight="1">
      <c r="A38" s="196">
        <v>31</v>
      </c>
      <c r="B38" s="277" t="s">
        <v>236</v>
      </c>
      <c r="C38" s="278" t="s">
        <v>237</v>
      </c>
      <c r="D38" s="271">
        <v>55</v>
      </c>
      <c r="E38" s="271"/>
      <c r="F38" s="278" t="s">
        <v>202</v>
      </c>
      <c r="G38" s="271" t="s">
        <v>211</v>
      </c>
      <c r="H38" s="285" t="s">
        <v>269</v>
      </c>
      <c r="I38" s="197">
        <f t="shared" si="0"/>
        <v>420000</v>
      </c>
      <c r="J38" s="286" t="s">
        <v>272</v>
      </c>
      <c r="K38" s="200">
        <f t="shared" si="1"/>
        <v>300000</v>
      </c>
      <c r="L38" s="286" t="s">
        <v>273</v>
      </c>
      <c r="M38" s="198">
        <f t="shared" si="2"/>
        <v>300000</v>
      </c>
      <c r="N38" s="198">
        <f t="shared" si="3"/>
        <v>1020000</v>
      </c>
      <c r="O38" s="192"/>
      <c r="P38" s="192"/>
      <c r="Q38" s="192"/>
      <c r="R38" s="192"/>
      <c r="S38" s="192"/>
      <c r="T38" s="192"/>
      <c r="U38" s="192"/>
      <c r="V38" s="192"/>
      <c r="W38" s="192"/>
      <c r="X38" s="192"/>
      <c r="Y38" s="192"/>
      <c r="Z38" s="192"/>
      <c r="AA38" s="192"/>
      <c r="AB38" s="192"/>
      <c r="AC38" s="192"/>
      <c r="AD38" s="192"/>
      <c r="AE38" s="192"/>
      <c r="AF38" s="192"/>
      <c r="AG38" s="192"/>
      <c r="AH38" s="192"/>
      <c r="AI38" s="192"/>
      <c r="AJ38" s="192"/>
      <c r="AK38" s="192"/>
      <c r="AL38" s="192"/>
      <c r="AM38" s="192"/>
      <c r="AN38" s="192"/>
      <c r="AO38" s="192"/>
      <c r="AP38" s="192"/>
      <c r="AQ38" s="192"/>
      <c r="AR38" s="192"/>
      <c r="AS38" s="192"/>
      <c r="AT38" s="192"/>
      <c r="AU38" s="192"/>
      <c r="AV38" s="192"/>
      <c r="AW38" s="192"/>
      <c r="AX38" s="192"/>
      <c r="AY38" s="192"/>
      <c r="AZ38" s="192"/>
      <c r="BA38" s="192"/>
      <c r="BB38" s="192"/>
      <c r="BC38" s="192"/>
      <c r="BD38" s="192"/>
      <c r="BE38" s="192"/>
      <c r="BF38" s="192"/>
      <c r="BG38" s="192"/>
      <c r="BH38" s="192"/>
      <c r="BI38" s="192"/>
      <c r="BJ38" s="192"/>
      <c r="BK38" s="192"/>
      <c r="BL38" s="192"/>
      <c r="BM38" s="192"/>
      <c r="BN38" s="192"/>
      <c r="BO38" s="192"/>
      <c r="BP38" s="192"/>
      <c r="BQ38" s="192"/>
      <c r="BR38" s="192"/>
      <c r="BS38" s="192"/>
      <c r="BT38" s="192"/>
      <c r="BU38" s="192"/>
      <c r="BV38" s="192"/>
      <c r="BW38" s="192"/>
      <c r="BX38" s="192"/>
      <c r="BY38" s="192"/>
      <c r="BZ38" s="192"/>
      <c r="CA38" s="192"/>
      <c r="CB38" s="192"/>
      <c r="CC38" s="192"/>
      <c r="CD38" s="192"/>
      <c r="CE38" s="192"/>
      <c r="CF38" s="192"/>
      <c r="CG38" s="192"/>
      <c r="CH38" s="192"/>
      <c r="CI38" s="192"/>
      <c r="CJ38" s="192"/>
      <c r="CK38" s="192"/>
      <c r="CL38" s="192"/>
      <c r="CM38" s="192"/>
      <c r="CN38" s="192"/>
      <c r="CO38" s="192"/>
      <c r="CP38" s="192"/>
      <c r="CQ38" s="192"/>
      <c r="CR38" s="192"/>
      <c r="CS38" s="192"/>
      <c r="CT38" s="192"/>
      <c r="CU38" s="192"/>
      <c r="CV38" s="192"/>
      <c r="CW38" s="192"/>
      <c r="CX38" s="192"/>
      <c r="CY38" s="192"/>
      <c r="CZ38" s="192"/>
      <c r="DA38" s="192"/>
      <c r="DB38" s="192"/>
      <c r="DC38" s="192"/>
      <c r="DD38" s="192"/>
      <c r="DE38" s="192"/>
      <c r="DF38" s="192"/>
      <c r="DG38" s="192"/>
      <c r="DH38" s="192"/>
      <c r="DI38" s="192"/>
      <c r="DJ38" s="192"/>
      <c r="DK38" s="192"/>
      <c r="DL38" s="192"/>
      <c r="DM38" s="192"/>
      <c r="DN38" s="192"/>
      <c r="DO38" s="192"/>
      <c r="DP38" s="192"/>
      <c r="DQ38" s="192"/>
      <c r="DR38" s="192"/>
      <c r="DS38" s="192"/>
      <c r="DT38" s="192"/>
      <c r="DU38" s="192"/>
      <c r="DV38" s="192"/>
      <c r="DW38" s="192"/>
      <c r="DX38" s="192"/>
      <c r="DY38" s="192"/>
      <c r="DZ38" s="192"/>
      <c r="EA38" s="192"/>
      <c r="EB38" s="192"/>
      <c r="EC38" s="192"/>
      <c r="ED38" s="192"/>
      <c r="EE38" s="192"/>
      <c r="EF38" s="192"/>
      <c r="EG38" s="192"/>
      <c r="EH38" s="192"/>
      <c r="EI38" s="192"/>
      <c r="EJ38" s="192"/>
      <c r="EK38" s="192"/>
      <c r="EL38" s="192"/>
      <c r="EM38" s="192"/>
      <c r="EN38" s="192"/>
      <c r="EO38" s="192"/>
      <c r="EP38" s="192"/>
      <c r="EQ38" s="192"/>
      <c r="ER38" s="192"/>
      <c r="ES38" s="192"/>
      <c r="ET38" s="192"/>
      <c r="EU38" s="192"/>
      <c r="EV38" s="192"/>
      <c r="EW38" s="192"/>
      <c r="EX38" s="192"/>
      <c r="EY38" s="192"/>
      <c r="EZ38" s="192"/>
      <c r="FA38" s="192"/>
      <c r="FB38" s="192"/>
      <c r="FC38" s="192"/>
      <c r="FD38" s="192"/>
      <c r="FE38" s="192"/>
      <c r="FF38" s="192"/>
      <c r="FG38" s="192"/>
      <c r="FH38" s="192"/>
      <c r="FI38" s="192"/>
      <c r="FJ38" s="192"/>
      <c r="FK38" s="192"/>
      <c r="FL38" s="192"/>
      <c r="FM38" s="192"/>
      <c r="FN38" s="192"/>
      <c r="FO38" s="192"/>
      <c r="FP38" s="192"/>
      <c r="FQ38" s="192"/>
      <c r="FR38" s="192"/>
      <c r="FS38" s="192"/>
      <c r="FT38" s="192"/>
      <c r="FU38" s="192"/>
      <c r="FV38" s="192"/>
      <c r="FW38" s="192"/>
      <c r="FX38" s="192"/>
      <c r="FY38" s="192"/>
      <c r="FZ38" s="192"/>
      <c r="GA38" s="192"/>
      <c r="GB38" s="192"/>
      <c r="GC38" s="192"/>
      <c r="GD38" s="192"/>
      <c r="GE38" s="192"/>
      <c r="GF38" s="192"/>
      <c r="GG38" s="192"/>
      <c r="GH38" s="192"/>
      <c r="GI38" s="192"/>
      <c r="GJ38" s="192"/>
      <c r="GK38" s="192"/>
      <c r="GL38" s="192"/>
      <c r="GM38" s="192"/>
      <c r="GN38" s="192"/>
      <c r="GO38" s="192"/>
      <c r="GP38" s="192"/>
      <c r="GQ38" s="192"/>
      <c r="GR38" s="192"/>
      <c r="GS38" s="192"/>
      <c r="GT38" s="192"/>
      <c r="GU38" s="192"/>
      <c r="GV38" s="192"/>
      <c r="GW38" s="192"/>
      <c r="GX38" s="192"/>
      <c r="GY38" s="192"/>
      <c r="GZ38" s="192"/>
      <c r="HA38" s="192"/>
      <c r="HB38" s="192"/>
      <c r="HC38" s="192"/>
      <c r="HD38" s="192"/>
      <c r="HE38" s="192"/>
      <c r="HF38" s="192"/>
      <c r="HG38" s="192"/>
      <c r="HH38" s="192"/>
      <c r="HI38" s="192"/>
      <c r="HJ38" s="192"/>
      <c r="HK38" s="192"/>
      <c r="HL38" s="192"/>
      <c r="HM38" s="192"/>
      <c r="HN38" s="192"/>
      <c r="HO38" s="192"/>
      <c r="HP38" s="192"/>
      <c r="HQ38" s="192"/>
      <c r="HR38" s="192"/>
      <c r="HS38" s="192"/>
      <c r="HT38" s="192"/>
      <c r="HU38" s="192"/>
      <c r="HV38" s="192"/>
      <c r="HW38" s="192"/>
      <c r="HX38" s="192"/>
      <c r="HY38" s="192"/>
      <c r="HZ38" s="192"/>
      <c r="IA38" s="192"/>
      <c r="IB38" s="192"/>
      <c r="IC38" s="192"/>
      <c r="ID38" s="192"/>
      <c r="IE38" s="192"/>
      <c r="IF38" s="192"/>
      <c r="IG38" s="192"/>
      <c r="IH38" s="192"/>
      <c r="II38" s="192"/>
      <c r="IJ38" s="192"/>
      <c r="IK38" s="192"/>
      <c r="IL38" s="192"/>
      <c r="IM38" s="192"/>
      <c r="IN38" s="192"/>
      <c r="IO38" s="192"/>
      <c r="IP38" s="192"/>
      <c r="IQ38" s="192"/>
    </row>
    <row r="39" spans="1:251" s="157" customFormat="1" ht="21.75" customHeight="1">
      <c r="A39" s="196">
        <v>32</v>
      </c>
      <c r="B39" s="277" t="s">
        <v>238</v>
      </c>
      <c r="C39" s="278" t="s">
        <v>239</v>
      </c>
      <c r="D39" s="271">
        <v>37</v>
      </c>
      <c r="E39" s="271"/>
      <c r="F39" s="278" t="s">
        <v>240</v>
      </c>
      <c r="G39" s="271" t="s">
        <v>192</v>
      </c>
      <c r="H39" s="285" t="s">
        <v>265</v>
      </c>
      <c r="I39" s="197">
        <f t="shared" si="0"/>
        <v>187500</v>
      </c>
      <c r="J39" s="286" t="s">
        <v>272</v>
      </c>
      <c r="K39" s="200">
        <f t="shared" si="1"/>
        <v>135000</v>
      </c>
      <c r="L39" s="286" t="s">
        <v>275</v>
      </c>
      <c r="M39" s="198">
        <f t="shared" si="2"/>
        <v>135000</v>
      </c>
      <c r="N39" s="198">
        <f t="shared" si="3"/>
        <v>457500</v>
      </c>
      <c r="O39" s="192"/>
      <c r="P39" s="192"/>
      <c r="Q39" s="192"/>
      <c r="R39" s="192"/>
      <c r="S39" s="192"/>
      <c r="T39" s="192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2"/>
      <c r="AJ39" s="192"/>
      <c r="AK39" s="192"/>
      <c r="AL39" s="192"/>
      <c r="AM39" s="192"/>
      <c r="AN39" s="192"/>
      <c r="AO39" s="192"/>
      <c r="AP39" s="192"/>
      <c r="AQ39" s="192"/>
      <c r="AR39" s="192"/>
      <c r="AS39" s="192"/>
      <c r="AT39" s="192"/>
      <c r="AU39" s="192"/>
      <c r="AV39" s="192"/>
      <c r="AW39" s="192"/>
      <c r="AX39" s="192"/>
      <c r="AY39" s="192"/>
      <c r="AZ39" s="192"/>
      <c r="BA39" s="192"/>
      <c r="BB39" s="192"/>
      <c r="BC39" s="192"/>
      <c r="BD39" s="192"/>
      <c r="BE39" s="192"/>
      <c r="BF39" s="192"/>
      <c r="BG39" s="192"/>
      <c r="BH39" s="192"/>
      <c r="BI39" s="192"/>
      <c r="BJ39" s="192"/>
      <c r="BK39" s="192"/>
      <c r="BL39" s="192"/>
      <c r="BM39" s="192"/>
      <c r="BN39" s="192"/>
      <c r="BO39" s="192"/>
      <c r="BP39" s="192"/>
      <c r="BQ39" s="192"/>
      <c r="BR39" s="192"/>
      <c r="BS39" s="192"/>
      <c r="BT39" s="192"/>
      <c r="BU39" s="192"/>
      <c r="BV39" s="192"/>
      <c r="BW39" s="192"/>
      <c r="BX39" s="192"/>
      <c r="BY39" s="192"/>
      <c r="BZ39" s="192"/>
      <c r="CA39" s="192"/>
      <c r="CB39" s="192"/>
      <c r="CC39" s="192"/>
      <c r="CD39" s="192"/>
      <c r="CE39" s="192"/>
      <c r="CF39" s="192"/>
      <c r="CG39" s="192"/>
      <c r="CH39" s="192"/>
      <c r="CI39" s="192"/>
      <c r="CJ39" s="192"/>
      <c r="CK39" s="192"/>
      <c r="CL39" s="192"/>
      <c r="CM39" s="192"/>
      <c r="CN39" s="192"/>
      <c r="CO39" s="192"/>
      <c r="CP39" s="192"/>
      <c r="CQ39" s="192"/>
      <c r="CR39" s="192"/>
      <c r="CS39" s="192"/>
      <c r="CT39" s="192"/>
      <c r="CU39" s="192"/>
      <c r="CV39" s="192"/>
      <c r="CW39" s="192"/>
      <c r="CX39" s="192"/>
      <c r="CY39" s="192"/>
      <c r="CZ39" s="192"/>
      <c r="DA39" s="192"/>
      <c r="DB39" s="192"/>
      <c r="DC39" s="192"/>
      <c r="DD39" s="192"/>
      <c r="DE39" s="192"/>
      <c r="DF39" s="192"/>
      <c r="DG39" s="192"/>
      <c r="DH39" s="192"/>
      <c r="DI39" s="192"/>
      <c r="DJ39" s="192"/>
      <c r="DK39" s="192"/>
      <c r="DL39" s="192"/>
      <c r="DM39" s="192"/>
      <c r="DN39" s="192"/>
      <c r="DO39" s="192"/>
      <c r="DP39" s="192"/>
      <c r="DQ39" s="192"/>
      <c r="DR39" s="192"/>
      <c r="DS39" s="192"/>
      <c r="DT39" s="192"/>
      <c r="DU39" s="192"/>
      <c r="DV39" s="192"/>
      <c r="DW39" s="192"/>
      <c r="DX39" s="192"/>
      <c r="DY39" s="192"/>
      <c r="DZ39" s="192"/>
      <c r="EA39" s="192"/>
      <c r="EB39" s="192"/>
      <c r="EC39" s="192"/>
      <c r="ED39" s="192"/>
      <c r="EE39" s="192"/>
      <c r="EF39" s="192"/>
      <c r="EG39" s="192"/>
      <c r="EH39" s="192"/>
      <c r="EI39" s="192"/>
      <c r="EJ39" s="192"/>
      <c r="EK39" s="192"/>
      <c r="EL39" s="192"/>
      <c r="EM39" s="192"/>
      <c r="EN39" s="192"/>
      <c r="EO39" s="192"/>
      <c r="EP39" s="192"/>
      <c r="EQ39" s="192"/>
      <c r="ER39" s="192"/>
      <c r="ES39" s="192"/>
      <c r="ET39" s="192"/>
      <c r="EU39" s="192"/>
      <c r="EV39" s="192"/>
      <c r="EW39" s="192"/>
      <c r="EX39" s="192"/>
      <c r="EY39" s="192"/>
      <c r="EZ39" s="192"/>
      <c r="FA39" s="192"/>
      <c r="FB39" s="192"/>
      <c r="FC39" s="192"/>
      <c r="FD39" s="192"/>
      <c r="FE39" s="192"/>
      <c r="FF39" s="192"/>
      <c r="FG39" s="192"/>
      <c r="FH39" s="192"/>
      <c r="FI39" s="192"/>
      <c r="FJ39" s="192"/>
      <c r="FK39" s="192"/>
      <c r="FL39" s="192"/>
      <c r="FM39" s="192"/>
      <c r="FN39" s="192"/>
      <c r="FO39" s="192"/>
      <c r="FP39" s="192"/>
      <c r="FQ39" s="192"/>
      <c r="FR39" s="192"/>
      <c r="FS39" s="192"/>
      <c r="FT39" s="192"/>
      <c r="FU39" s="192"/>
      <c r="FV39" s="192"/>
      <c r="FW39" s="192"/>
      <c r="FX39" s="192"/>
      <c r="FY39" s="192"/>
      <c r="FZ39" s="192"/>
      <c r="GA39" s="192"/>
      <c r="GB39" s="192"/>
      <c r="GC39" s="192"/>
      <c r="GD39" s="192"/>
      <c r="GE39" s="192"/>
      <c r="GF39" s="192"/>
      <c r="GG39" s="192"/>
      <c r="GH39" s="192"/>
      <c r="GI39" s="192"/>
      <c r="GJ39" s="192"/>
      <c r="GK39" s="192"/>
      <c r="GL39" s="192"/>
      <c r="GM39" s="192"/>
      <c r="GN39" s="192"/>
      <c r="GO39" s="192"/>
      <c r="GP39" s="192"/>
      <c r="GQ39" s="192"/>
      <c r="GR39" s="192"/>
      <c r="GS39" s="192"/>
      <c r="GT39" s="192"/>
      <c r="GU39" s="192"/>
      <c r="GV39" s="192"/>
      <c r="GW39" s="192"/>
      <c r="GX39" s="192"/>
      <c r="GY39" s="192"/>
      <c r="GZ39" s="192"/>
      <c r="HA39" s="192"/>
      <c r="HB39" s="192"/>
      <c r="HC39" s="192"/>
      <c r="HD39" s="192"/>
      <c r="HE39" s="192"/>
      <c r="HF39" s="192"/>
      <c r="HG39" s="192"/>
      <c r="HH39" s="192"/>
      <c r="HI39" s="192"/>
      <c r="HJ39" s="192"/>
      <c r="HK39" s="192"/>
      <c r="HL39" s="192"/>
      <c r="HM39" s="192"/>
      <c r="HN39" s="192"/>
      <c r="HO39" s="192"/>
      <c r="HP39" s="192"/>
      <c r="HQ39" s="192"/>
      <c r="HR39" s="192"/>
      <c r="HS39" s="192"/>
      <c r="HT39" s="192"/>
      <c r="HU39" s="192"/>
      <c r="HV39" s="192"/>
      <c r="HW39" s="192"/>
      <c r="HX39" s="192"/>
      <c r="HY39" s="192"/>
      <c r="HZ39" s="192"/>
      <c r="IA39" s="192"/>
      <c r="IB39" s="192"/>
      <c r="IC39" s="192"/>
      <c r="ID39" s="192"/>
      <c r="IE39" s="192"/>
      <c r="IF39" s="192"/>
      <c r="IG39" s="192"/>
      <c r="IH39" s="192"/>
      <c r="II39" s="192"/>
      <c r="IJ39" s="192"/>
      <c r="IK39" s="192"/>
      <c r="IL39" s="192"/>
      <c r="IM39" s="192"/>
      <c r="IN39" s="192"/>
      <c r="IO39" s="192"/>
      <c r="IP39" s="192"/>
      <c r="IQ39" s="192"/>
    </row>
    <row r="40" spans="1:251" s="157" customFormat="1" ht="21.75" customHeight="1">
      <c r="A40" s="196">
        <v>33</v>
      </c>
      <c r="B40" s="277" t="s">
        <v>238</v>
      </c>
      <c r="C40" s="278" t="s">
        <v>241</v>
      </c>
      <c r="D40" s="271"/>
      <c r="E40" s="271">
        <v>52</v>
      </c>
      <c r="F40" s="278" t="s">
        <v>242</v>
      </c>
      <c r="G40" s="271" t="s">
        <v>192</v>
      </c>
      <c r="H40" s="285" t="s">
        <v>269</v>
      </c>
      <c r="I40" s="197">
        <f t="shared" ref="I40:I98" si="4">IF(G40="DTDB",420000,IF(G40="TTDB",420000,IF(G40="DT1",187500,IF(G40="TT1",187500,IF(G40="DT2",97500,IF(G40="TT2",97500,IF(G40="DT3",75000,75000)))))))</f>
        <v>187500</v>
      </c>
      <c r="J40" s="286" t="s">
        <v>277</v>
      </c>
      <c r="K40" s="200">
        <f t="shared" ref="K40:K98" si="5">IF(G40="DTDB",300000,IF(G40="TTDB",300000,IF(G40="DT1",135000,IF(G40="TT1",135000,IF(G40="DT2",75000,IF(G40="TT2",75000,IF(G40="DT3",45000,45000)))))))</f>
        <v>135000</v>
      </c>
      <c r="L40" s="286" t="s">
        <v>275</v>
      </c>
      <c r="M40" s="198">
        <f t="shared" ref="M40:M98" si="6">IF(L40="-",0,IF(G40="DTDB",300000,IF(G40="TTDB",300000,IF(G40="DT1",135000,IF(G40="TT1",135000,IF(G40="DT2",75000,IF(G40="TT2",75000,IF(G40="DT3",45000,45000))))))))</f>
        <v>135000</v>
      </c>
      <c r="N40" s="198">
        <f t="shared" ref="N40:N98" si="7">I40+K40+M40</f>
        <v>457500</v>
      </c>
      <c r="O40" s="192"/>
      <c r="P40" s="192"/>
      <c r="Q40" s="192"/>
      <c r="R40" s="192"/>
      <c r="S40" s="192"/>
      <c r="T40" s="192"/>
      <c r="U40" s="192"/>
      <c r="V40" s="192"/>
      <c r="W40" s="192"/>
      <c r="X40" s="192"/>
      <c r="Y40" s="192"/>
      <c r="Z40" s="192"/>
      <c r="AA40" s="192"/>
      <c r="AB40" s="192"/>
      <c r="AC40" s="192"/>
      <c r="AD40" s="192"/>
      <c r="AE40" s="192"/>
      <c r="AF40" s="192"/>
      <c r="AG40" s="192"/>
      <c r="AH40" s="192"/>
      <c r="AI40" s="192"/>
      <c r="AJ40" s="192"/>
      <c r="AK40" s="192"/>
      <c r="AL40" s="192"/>
      <c r="AM40" s="192"/>
      <c r="AN40" s="192"/>
      <c r="AO40" s="192"/>
      <c r="AP40" s="192"/>
      <c r="AQ40" s="192"/>
      <c r="AR40" s="192"/>
      <c r="AS40" s="192"/>
      <c r="AT40" s="192"/>
      <c r="AU40" s="192"/>
      <c r="AV40" s="192"/>
      <c r="AW40" s="192"/>
      <c r="AX40" s="192"/>
      <c r="AY40" s="192"/>
      <c r="AZ40" s="192"/>
      <c r="BA40" s="192"/>
      <c r="BB40" s="192"/>
      <c r="BC40" s="192"/>
      <c r="BD40" s="192"/>
      <c r="BE40" s="192"/>
      <c r="BF40" s="192"/>
      <c r="BG40" s="192"/>
      <c r="BH40" s="192"/>
      <c r="BI40" s="192"/>
      <c r="BJ40" s="192"/>
      <c r="BK40" s="192"/>
      <c r="BL40" s="192"/>
      <c r="BM40" s="192"/>
      <c r="BN40" s="192"/>
      <c r="BO40" s="192"/>
      <c r="BP40" s="192"/>
      <c r="BQ40" s="192"/>
      <c r="BR40" s="192"/>
      <c r="BS40" s="192"/>
      <c r="BT40" s="192"/>
      <c r="BU40" s="192"/>
      <c r="BV40" s="192"/>
      <c r="BW40" s="192"/>
      <c r="BX40" s="192"/>
      <c r="BY40" s="192"/>
      <c r="BZ40" s="192"/>
      <c r="CA40" s="192"/>
      <c r="CB40" s="192"/>
      <c r="CC40" s="192"/>
      <c r="CD40" s="192"/>
      <c r="CE40" s="192"/>
      <c r="CF40" s="192"/>
      <c r="CG40" s="192"/>
      <c r="CH40" s="192"/>
      <c r="CI40" s="192"/>
      <c r="CJ40" s="192"/>
      <c r="CK40" s="192"/>
      <c r="CL40" s="192"/>
      <c r="CM40" s="192"/>
      <c r="CN40" s="192"/>
      <c r="CO40" s="192"/>
      <c r="CP40" s="192"/>
      <c r="CQ40" s="192"/>
      <c r="CR40" s="192"/>
      <c r="CS40" s="192"/>
      <c r="CT40" s="192"/>
      <c r="CU40" s="192"/>
      <c r="CV40" s="192"/>
      <c r="CW40" s="192"/>
      <c r="CX40" s="192"/>
      <c r="CY40" s="192"/>
      <c r="CZ40" s="192"/>
      <c r="DA40" s="192"/>
      <c r="DB40" s="192"/>
      <c r="DC40" s="192"/>
      <c r="DD40" s="192"/>
      <c r="DE40" s="192"/>
      <c r="DF40" s="192"/>
      <c r="DG40" s="192"/>
      <c r="DH40" s="192"/>
      <c r="DI40" s="192"/>
      <c r="DJ40" s="192"/>
      <c r="DK40" s="192"/>
      <c r="DL40" s="192"/>
      <c r="DM40" s="192"/>
      <c r="DN40" s="192"/>
      <c r="DO40" s="192"/>
      <c r="DP40" s="192"/>
      <c r="DQ40" s="192"/>
      <c r="DR40" s="192"/>
      <c r="DS40" s="192"/>
      <c r="DT40" s="192"/>
      <c r="DU40" s="192"/>
      <c r="DV40" s="192"/>
      <c r="DW40" s="192"/>
      <c r="DX40" s="192"/>
      <c r="DY40" s="192"/>
      <c r="DZ40" s="192"/>
      <c r="EA40" s="192"/>
      <c r="EB40" s="192"/>
      <c r="EC40" s="192"/>
      <c r="ED40" s="192"/>
      <c r="EE40" s="192"/>
      <c r="EF40" s="192"/>
      <c r="EG40" s="192"/>
      <c r="EH40" s="192"/>
      <c r="EI40" s="192"/>
      <c r="EJ40" s="192"/>
      <c r="EK40" s="192"/>
      <c r="EL40" s="192"/>
      <c r="EM40" s="192"/>
      <c r="EN40" s="192"/>
      <c r="EO40" s="192"/>
      <c r="EP40" s="192"/>
      <c r="EQ40" s="192"/>
      <c r="ER40" s="192"/>
      <c r="ES40" s="192"/>
      <c r="ET40" s="192"/>
      <c r="EU40" s="192"/>
      <c r="EV40" s="192"/>
      <c r="EW40" s="192"/>
      <c r="EX40" s="192"/>
      <c r="EY40" s="192"/>
      <c r="EZ40" s="192"/>
      <c r="FA40" s="192"/>
      <c r="FB40" s="192"/>
      <c r="FC40" s="192"/>
      <c r="FD40" s="192"/>
      <c r="FE40" s="192"/>
      <c r="FF40" s="192"/>
      <c r="FG40" s="192"/>
      <c r="FH40" s="192"/>
      <c r="FI40" s="192"/>
      <c r="FJ40" s="192"/>
      <c r="FK40" s="192"/>
      <c r="FL40" s="192"/>
      <c r="FM40" s="192"/>
      <c r="FN40" s="192"/>
      <c r="FO40" s="192"/>
      <c r="FP40" s="192"/>
      <c r="FQ40" s="192"/>
      <c r="FR40" s="192"/>
      <c r="FS40" s="192"/>
      <c r="FT40" s="192"/>
      <c r="FU40" s="192"/>
      <c r="FV40" s="192"/>
      <c r="FW40" s="192"/>
      <c r="FX40" s="192"/>
      <c r="FY40" s="192"/>
      <c r="FZ40" s="192"/>
      <c r="GA40" s="192"/>
      <c r="GB40" s="192"/>
      <c r="GC40" s="192"/>
      <c r="GD40" s="192"/>
      <c r="GE40" s="192"/>
      <c r="GF40" s="192"/>
      <c r="GG40" s="192"/>
      <c r="GH40" s="192"/>
      <c r="GI40" s="192"/>
      <c r="GJ40" s="192"/>
      <c r="GK40" s="192"/>
      <c r="GL40" s="192"/>
      <c r="GM40" s="192"/>
      <c r="GN40" s="192"/>
      <c r="GO40" s="192"/>
      <c r="GP40" s="192"/>
      <c r="GQ40" s="192"/>
      <c r="GR40" s="192"/>
      <c r="GS40" s="192"/>
      <c r="GT40" s="192"/>
      <c r="GU40" s="192"/>
      <c r="GV40" s="192"/>
      <c r="GW40" s="192"/>
      <c r="GX40" s="192"/>
      <c r="GY40" s="192"/>
      <c r="GZ40" s="192"/>
      <c r="HA40" s="192"/>
      <c r="HB40" s="192"/>
      <c r="HC40" s="192"/>
      <c r="HD40" s="192"/>
      <c r="HE40" s="192"/>
      <c r="HF40" s="192"/>
      <c r="HG40" s="192"/>
      <c r="HH40" s="192"/>
      <c r="HI40" s="192"/>
      <c r="HJ40" s="192"/>
      <c r="HK40" s="192"/>
      <c r="HL40" s="192"/>
      <c r="HM40" s="192"/>
      <c r="HN40" s="192"/>
      <c r="HO40" s="192"/>
      <c r="HP40" s="192"/>
      <c r="HQ40" s="192"/>
      <c r="HR40" s="192"/>
      <c r="HS40" s="192"/>
      <c r="HT40" s="192"/>
      <c r="HU40" s="192"/>
      <c r="HV40" s="192"/>
      <c r="HW40" s="192"/>
      <c r="HX40" s="192"/>
      <c r="HY40" s="192"/>
      <c r="HZ40" s="192"/>
      <c r="IA40" s="192"/>
      <c r="IB40" s="192"/>
      <c r="IC40" s="192"/>
      <c r="ID40" s="192"/>
      <c r="IE40" s="192"/>
      <c r="IF40" s="192"/>
      <c r="IG40" s="192"/>
      <c r="IH40" s="192"/>
      <c r="II40" s="192"/>
      <c r="IJ40" s="192"/>
      <c r="IK40" s="192"/>
      <c r="IL40" s="192"/>
      <c r="IM40" s="192"/>
      <c r="IN40" s="192"/>
      <c r="IO40" s="192"/>
      <c r="IP40" s="192"/>
      <c r="IQ40" s="192"/>
    </row>
    <row r="41" spans="1:251" s="157" customFormat="1" ht="21.75" customHeight="1">
      <c r="A41" s="196">
        <v>34</v>
      </c>
      <c r="B41" s="277" t="s">
        <v>238</v>
      </c>
      <c r="C41" s="278" t="s">
        <v>243</v>
      </c>
      <c r="D41" s="271">
        <v>37</v>
      </c>
      <c r="E41" s="271"/>
      <c r="F41" s="278" t="s">
        <v>199</v>
      </c>
      <c r="G41" s="271" t="s">
        <v>211</v>
      </c>
      <c r="H41" s="285" t="s">
        <v>268</v>
      </c>
      <c r="I41" s="197">
        <f t="shared" si="4"/>
        <v>420000</v>
      </c>
      <c r="J41" s="286" t="s">
        <v>272</v>
      </c>
      <c r="K41" s="200">
        <f t="shared" si="5"/>
        <v>300000</v>
      </c>
      <c r="L41" s="286" t="s">
        <v>274</v>
      </c>
      <c r="M41" s="198">
        <f t="shared" si="6"/>
        <v>300000</v>
      </c>
      <c r="N41" s="198">
        <f t="shared" si="7"/>
        <v>1020000</v>
      </c>
      <c r="O41" s="192"/>
      <c r="P41" s="192"/>
      <c r="Q41" s="192"/>
      <c r="R41" s="192"/>
      <c r="S41" s="192"/>
      <c r="T41" s="192"/>
      <c r="U41" s="192"/>
      <c r="V41" s="192"/>
      <c r="W41" s="192"/>
      <c r="X41" s="192"/>
      <c r="Y41" s="192"/>
      <c r="Z41" s="192"/>
      <c r="AA41" s="192"/>
      <c r="AB41" s="192"/>
      <c r="AC41" s="192"/>
      <c r="AD41" s="192"/>
      <c r="AE41" s="192"/>
      <c r="AF41" s="192"/>
      <c r="AG41" s="192"/>
      <c r="AH41" s="192"/>
      <c r="AI41" s="192"/>
      <c r="AJ41" s="192"/>
      <c r="AK41" s="192"/>
      <c r="AL41" s="192"/>
      <c r="AM41" s="192"/>
      <c r="AN41" s="192"/>
      <c r="AO41" s="192"/>
      <c r="AP41" s="192"/>
      <c r="AQ41" s="192"/>
      <c r="AR41" s="192"/>
      <c r="AS41" s="192"/>
      <c r="AT41" s="192"/>
      <c r="AU41" s="192"/>
      <c r="AV41" s="192"/>
      <c r="AW41" s="192"/>
      <c r="AX41" s="192"/>
      <c r="AY41" s="192"/>
      <c r="AZ41" s="192"/>
      <c r="BA41" s="192"/>
      <c r="BB41" s="192"/>
      <c r="BC41" s="192"/>
      <c r="BD41" s="192"/>
      <c r="BE41" s="192"/>
      <c r="BF41" s="192"/>
      <c r="BG41" s="192"/>
      <c r="BH41" s="192"/>
      <c r="BI41" s="192"/>
      <c r="BJ41" s="192"/>
      <c r="BK41" s="192"/>
      <c r="BL41" s="192"/>
      <c r="BM41" s="192"/>
      <c r="BN41" s="192"/>
      <c r="BO41" s="192"/>
      <c r="BP41" s="192"/>
      <c r="BQ41" s="192"/>
      <c r="BR41" s="192"/>
      <c r="BS41" s="192"/>
      <c r="BT41" s="192"/>
      <c r="BU41" s="192"/>
      <c r="BV41" s="192"/>
      <c r="BW41" s="192"/>
      <c r="BX41" s="192"/>
      <c r="BY41" s="192"/>
      <c r="BZ41" s="192"/>
      <c r="CA41" s="192"/>
      <c r="CB41" s="192"/>
      <c r="CC41" s="192"/>
      <c r="CD41" s="192"/>
      <c r="CE41" s="192"/>
      <c r="CF41" s="192"/>
      <c r="CG41" s="192"/>
      <c r="CH41" s="192"/>
      <c r="CI41" s="192"/>
      <c r="CJ41" s="192"/>
      <c r="CK41" s="192"/>
      <c r="CL41" s="192"/>
      <c r="CM41" s="192"/>
      <c r="CN41" s="192"/>
      <c r="CO41" s="192"/>
      <c r="CP41" s="192"/>
      <c r="CQ41" s="192"/>
      <c r="CR41" s="192"/>
      <c r="CS41" s="192"/>
      <c r="CT41" s="192"/>
      <c r="CU41" s="192"/>
      <c r="CV41" s="192"/>
      <c r="CW41" s="192"/>
      <c r="CX41" s="192"/>
      <c r="CY41" s="192"/>
      <c r="CZ41" s="192"/>
      <c r="DA41" s="192"/>
      <c r="DB41" s="192"/>
      <c r="DC41" s="192"/>
      <c r="DD41" s="192"/>
      <c r="DE41" s="192"/>
      <c r="DF41" s="192"/>
      <c r="DG41" s="192"/>
      <c r="DH41" s="192"/>
      <c r="DI41" s="192"/>
      <c r="DJ41" s="192"/>
      <c r="DK41" s="192"/>
      <c r="DL41" s="192"/>
      <c r="DM41" s="192"/>
      <c r="DN41" s="192"/>
      <c r="DO41" s="192"/>
      <c r="DP41" s="192"/>
      <c r="DQ41" s="192"/>
      <c r="DR41" s="192"/>
      <c r="DS41" s="192"/>
      <c r="DT41" s="192"/>
      <c r="DU41" s="192"/>
      <c r="DV41" s="192"/>
      <c r="DW41" s="192"/>
      <c r="DX41" s="192"/>
      <c r="DY41" s="192"/>
      <c r="DZ41" s="192"/>
      <c r="EA41" s="192"/>
      <c r="EB41" s="192"/>
      <c r="EC41" s="192"/>
      <c r="ED41" s="192"/>
      <c r="EE41" s="192"/>
      <c r="EF41" s="192"/>
      <c r="EG41" s="192"/>
      <c r="EH41" s="192"/>
      <c r="EI41" s="192"/>
      <c r="EJ41" s="192"/>
      <c r="EK41" s="192"/>
      <c r="EL41" s="192"/>
      <c r="EM41" s="192"/>
      <c r="EN41" s="192"/>
      <c r="EO41" s="192"/>
      <c r="EP41" s="192"/>
      <c r="EQ41" s="192"/>
      <c r="ER41" s="192"/>
      <c r="ES41" s="192"/>
      <c r="ET41" s="192"/>
      <c r="EU41" s="192"/>
      <c r="EV41" s="192"/>
      <c r="EW41" s="192"/>
      <c r="EX41" s="192"/>
      <c r="EY41" s="192"/>
      <c r="EZ41" s="192"/>
      <c r="FA41" s="192"/>
      <c r="FB41" s="192"/>
      <c r="FC41" s="192"/>
      <c r="FD41" s="192"/>
      <c r="FE41" s="192"/>
      <c r="FF41" s="192"/>
      <c r="FG41" s="192"/>
      <c r="FH41" s="192"/>
      <c r="FI41" s="192"/>
      <c r="FJ41" s="192"/>
      <c r="FK41" s="192"/>
      <c r="FL41" s="192"/>
      <c r="FM41" s="192"/>
      <c r="FN41" s="192"/>
      <c r="FO41" s="192"/>
      <c r="FP41" s="192"/>
      <c r="FQ41" s="192"/>
      <c r="FR41" s="192"/>
      <c r="FS41" s="192"/>
      <c r="FT41" s="192"/>
      <c r="FU41" s="192"/>
      <c r="FV41" s="192"/>
      <c r="FW41" s="192"/>
      <c r="FX41" s="192"/>
      <c r="FY41" s="192"/>
      <c r="FZ41" s="192"/>
      <c r="GA41" s="192"/>
      <c r="GB41" s="192"/>
      <c r="GC41" s="192"/>
      <c r="GD41" s="192"/>
      <c r="GE41" s="192"/>
      <c r="GF41" s="192"/>
      <c r="GG41" s="192"/>
      <c r="GH41" s="192"/>
      <c r="GI41" s="192"/>
      <c r="GJ41" s="192"/>
      <c r="GK41" s="192"/>
      <c r="GL41" s="192"/>
      <c r="GM41" s="192"/>
      <c r="GN41" s="192"/>
      <c r="GO41" s="192"/>
      <c r="GP41" s="192"/>
      <c r="GQ41" s="192"/>
      <c r="GR41" s="192"/>
      <c r="GS41" s="192"/>
      <c r="GT41" s="192"/>
      <c r="GU41" s="192"/>
      <c r="GV41" s="192"/>
      <c r="GW41" s="192"/>
      <c r="GX41" s="192"/>
      <c r="GY41" s="192"/>
      <c r="GZ41" s="192"/>
      <c r="HA41" s="192"/>
      <c r="HB41" s="192"/>
      <c r="HC41" s="192"/>
      <c r="HD41" s="192"/>
      <c r="HE41" s="192"/>
      <c r="HF41" s="192"/>
      <c r="HG41" s="192"/>
      <c r="HH41" s="192"/>
      <c r="HI41" s="192"/>
      <c r="HJ41" s="192"/>
      <c r="HK41" s="192"/>
      <c r="HL41" s="192"/>
      <c r="HM41" s="192"/>
      <c r="HN41" s="192"/>
      <c r="HO41" s="192"/>
      <c r="HP41" s="192"/>
      <c r="HQ41" s="192"/>
      <c r="HR41" s="192"/>
      <c r="HS41" s="192"/>
      <c r="HT41" s="192"/>
      <c r="HU41" s="192"/>
      <c r="HV41" s="192"/>
      <c r="HW41" s="192"/>
      <c r="HX41" s="192"/>
      <c r="HY41" s="192"/>
      <c r="HZ41" s="192"/>
      <c r="IA41" s="192"/>
      <c r="IB41" s="192"/>
      <c r="IC41" s="192"/>
      <c r="ID41" s="192"/>
      <c r="IE41" s="192"/>
      <c r="IF41" s="192"/>
      <c r="IG41" s="192"/>
      <c r="IH41" s="192"/>
      <c r="II41" s="192"/>
      <c r="IJ41" s="192"/>
      <c r="IK41" s="192"/>
      <c r="IL41" s="192"/>
      <c r="IM41" s="192"/>
      <c r="IN41" s="192"/>
      <c r="IO41" s="192"/>
      <c r="IP41" s="192"/>
      <c r="IQ41" s="192"/>
    </row>
    <row r="42" spans="1:251" s="157" customFormat="1" ht="21.75" customHeight="1">
      <c r="A42" s="196">
        <v>35</v>
      </c>
      <c r="B42" s="277" t="s">
        <v>244</v>
      </c>
      <c r="C42" s="278" t="s">
        <v>245</v>
      </c>
      <c r="D42" s="271">
        <v>58</v>
      </c>
      <c r="E42" s="271"/>
      <c r="F42" s="278" t="s">
        <v>242</v>
      </c>
      <c r="G42" s="271" t="s">
        <v>192</v>
      </c>
      <c r="H42" s="285" t="s">
        <v>269</v>
      </c>
      <c r="I42" s="197">
        <f t="shared" si="4"/>
        <v>187500</v>
      </c>
      <c r="J42" s="286" t="s">
        <v>273</v>
      </c>
      <c r="K42" s="200">
        <f t="shared" si="5"/>
        <v>135000</v>
      </c>
      <c r="L42" s="286" t="s">
        <v>277</v>
      </c>
      <c r="M42" s="198">
        <f t="shared" si="6"/>
        <v>135000</v>
      </c>
      <c r="N42" s="198">
        <f t="shared" si="7"/>
        <v>457500</v>
      </c>
      <c r="O42" s="192"/>
      <c r="P42" s="192"/>
      <c r="Q42" s="192"/>
      <c r="R42" s="192"/>
      <c r="S42" s="192"/>
      <c r="T42" s="192"/>
      <c r="U42" s="192"/>
      <c r="V42" s="192"/>
      <c r="W42" s="192"/>
      <c r="X42" s="192"/>
      <c r="Y42" s="192"/>
      <c r="Z42" s="192"/>
      <c r="AA42" s="192"/>
      <c r="AB42" s="192"/>
      <c r="AC42" s="192"/>
      <c r="AD42" s="192"/>
      <c r="AE42" s="192"/>
      <c r="AF42" s="192"/>
      <c r="AG42" s="192"/>
      <c r="AH42" s="192"/>
      <c r="AI42" s="192"/>
      <c r="AJ42" s="192"/>
      <c r="AK42" s="192"/>
      <c r="AL42" s="192"/>
      <c r="AM42" s="192"/>
      <c r="AN42" s="192"/>
      <c r="AO42" s="192"/>
      <c r="AP42" s="192"/>
      <c r="AQ42" s="192"/>
      <c r="AR42" s="192"/>
      <c r="AS42" s="192"/>
      <c r="AT42" s="192"/>
      <c r="AU42" s="192"/>
      <c r="AV42" s="192"/>
      <c r="AW42" s="192"/>
      <c r="AX42" s="192"/>
      <c r="AY42" s="192"/>
      <c r="AZ42" s="192"/>
      <c r="BA42" s="192"/>
      <c r="BB42" s="192"/>
      <c r="BC42" s="192"/>
      <c r="BD42" s="192"/>
      <c r="BE42" s="192"/>
      <c r="BF42" s="192"/>
      <c r="BG42" s="192"/>
      <c r="BH42" s="192"/>
      <c r="BI42" s="192"/>
      <c r="BJ42" s="192"/>
      <c r="BK42" s="192"/>
      <c r="BL42" s="192"/>
      <c r="BM42" s="192"/>
      <c r="BN42" s="192"/>
      <c r="BO42" s="192"/>
      <c r="BP42" s="192"/>
      <c r="BQ42" s="192"/>
      <c r="BR42" s="192"/>
      <c r="BS42" s="192"/>
      <c r="BT42" s="192"/>
      <c r="BU42" s="192"/>
      <c r="BV42" s="192"/>
      <c r="BW42" s="192"/>
      <c r="BX42" s="192"/>
      <c r="BY42" s="192"/>
      <c r="BZ42" s="192"/>
      <c r="CA42" s="192"/>
      <c r="CB42" s="192"/>
      <c r="CC42" s="192"/>
      <c r="CD42" s="192"/>
      <c r="CE42" s="192"/>
      <c r="CF42" s="192"/>
      <c r="CG42" s="192"/>
      <c r="CH42" s="192"/>
      <c r="CI42" s="192"/>
      <c r="CJ42" s="192"/>
      <c r="CK42" s="192"/>
      <c r="CL42" s="192"/>
      <c r="CM42" s="192"/>
      <c r="CN42" s="192"/>
      <c r="CO42" s="192"/>
      <c r="CP42" s="192"/>
      <c r="CQ42" s="192"/>
      <c r="CR42" s="192"/>
      <c r="CS42" s="192"/>
      <c r="CT42" s="192"/>
      <c r="CU42" s="192"/>
      <c r="CV42" s="192"/>
      <c r="CW42" s="192"/>
      <c r="CX42" s="192"/>
      <c r="CY42" s="192"/>
      <c r="CZ42" s="192"/>
      <c r="DA42" s="192"/>
      <c r="DB42" s="192"/>
      <c r="DC42" s="192"/>
      <c r="DD42" s="192"/>
      <c r="DE42" s="192"/>
      <c r="DF42" s="192"/>
      <c r="DG42" s="192"/>
      <c r="DH42" s="192"/>
      <c r="DI42" s="192"/>
      <c r="DJ42" s="192"/>
      <c r="DK42" s="192"/>
      <c r="DL42" s="192"/>
      <c r="DM42" s="192"/>
      <c r="DN42" s="192"/>
      <c r="DO42" s="192"/>
      <c r="DP42" s="192"/>
      <c r="DQ42" s="192"/>
      <c r="DR42" s="192"/>
      <c r="DS42" s="192"/>
      <c r="DT42" s="192"/>
      <c r="DU42" s="192"/>
      <c r="DV42" s="192"/>
      <c r="DW42" s="192"/>
      <c r="DX42" s="192"/>
      <c r="DY42" s="192"/>
      <c r="DZ42" s="192"/>
      <c r="EA42" s="192"/>
      <c r="EB42" s="192"/>
      <c r="EC42" s="192"/>
      <c r="ED42" s="192"/>
      <c r="EE42" s="192"/>
      <c r="EF42" s="192"/>
      <c r="EG42" s="192"/>
      <c r="EH42" s="192"/>
      <c r="EI42" s="192"/>
      <c r="EJ42" s="192"/>
      <c r="EK42" s="192"/>
      <c r="EL42" s="192"/>
      <c r="EM42" s="192"/>
      <c r="EN42" s="192"/>
      <c r="EO42" s="192"/>
      <c r="EP42" s="192"/>
      <c r="EQ42" s="192"/>
      <c r="ER42" s="192"/>
      <c r="ES42" s="192"/>
      <c r="ET42" s="192"/>
      <c r="EU42" s="192"/>
      <c r="EV42" s="192"/>
      <c r="EW42" s="192"/>
      <c r="EX42" s="192"/>
      <c r="EY42" s="192"/>
      <c r="EZ42" s="192"/>
      <c r="FA42" s="192"/>
      <c r="FB42" s="192"/>
      <c r="FC42" s="192"/>
      <c r="FD42" s="192"/>
      <c r="FE42" s="192"/>
      <c r="FF42" s="192"/>
      <c r="FG42" s="192"/>
      <c r="FH42" s="192"/>
      <c r="FI42" s="192"/>
      <c r="FJ42" s="192"/>
      <c r="FK42" s="192"/>
      <c r="FL42" s="192"/>
      <c r="FM42" s="192"/>
      <c r="FN42" s="192"/>
      <c r="FO42" s="192"/>
      <c r="FP42" s="192"/>
      <c r="FQ42" s="192"/>
      <c r="FR42" s="192"/>
      <c r="FS42" s="192"/>
      <c r="FT42" s="192"/>
      <c r="FU42" s="192"/>
      <c r="FV42" s="192"/>
      <c r="FW42" s="192"/>
      <c r="FX42" s="192"/>
      <c r="FY42" s="192"/>
      <c r="FZ42" s="192"/>
      <c r="GA42" s="192"/>
      <c r="GB42" s="192"/>
      <c r="GC42" s="192"/>
      <c r="GD42" s="192"/>
      <c r="GE42" s="192"/>
      <c r="GF42" s="192"/>
      <c r="GG42" s="192"/>
      <c r="GH42" s="192"/>
      <c r="GI42" s="192"/>
      <c r="GJ42" s="192"/>
      <c r="GK42" s="192"/>
      <c r="GL42" s="192"/>
      <c r="GM42" s="192"/>
      <c r="GN42" s="192"/>
      <c r="GO42" s="192"/>
      <c r="GP42" s="192"/>
      <c r="GQ42" s="192"/>
      <c r="GR42" s="192"/>
      <c r="GS42" s="192"/>
      <c r="GT42" s="192"/>
      <c r="GU42" s="192"/>
      <c r="GV42" s="192"/>
      <c r="GW42" s="192"/>
      <c r="GX42" s="192"/>
      <c r="GY42" s="192"/>
      <c r="GZ42" s="192"/>
      <c r="HA42" s="192"/>
      <c r="HB42" s="192"/>
      <c r="HC42" s="192"/>
      <c r="HD42" s="192"/>
      <c r="HE42" s="192"/>
      <c r="HF42" s="192"/>
      <c r="HG42" s="192"/>
      <c r="HH42" s="192"/>
      <c r="HI42" s="192"/>
      <c r="HJ42" s="192"/>
      <c r="HK42" s="192"/>
      <c r="HL42" s="192"/>
      <c r="HM42" s="192"/>
      <c r="HN42" s="192"/>
      <c r="HO42" s="192"/>
      <c r="HP42" s="192"/>
      <c r="HQ42" s="192"/>
      <c r="HR42" s="192"/>
      <c r="HS42" s="192"/>
      <c r="HT42" s="192"/>
      <c r="HU42" s="192"/>
      <c r="HV42" s="192"/>
      <c r="HW42" s="192"/>
      <c r="HX42" s="192"/>
      <c r="HY42" s="192"/>
      <c r="HZ42" s="192"/>
      <c r="IA42" s="192"/>
      <c r="IB42" s="192"/>
      <c r="IC42" s="192"/>
      <c r="ID42" s="192"/>
      <c r="IE42" s="192"/>
      <c r="IF42" s="192"/>
      <c r="IG42" s="192"/>
      <c r="IH42" s="192"/>
      <c r="II42" s="192"/>
      <c r="IJ42" s="192"/>
      <c r="IK42" s="192"/>
      <c r="IL42" s="192"/>
      <c r="IM42" s="192"/>
      <c r="IN42" s="192"/>
      <c r="IO42" s="192"/>
      <c r="IP42" s="192"/>
      <c r="IQ42" s="192"/>
    </row>
    <row r="43" spans="1:251" s="157" customFormat="1" ht="21.75" customHeight="1">
      <c r="A43" s="196">
        <v>36</v>
      </c>
      <c r="B43" s="277" t="s">
        <v>244</v>
      </c>
      <c r="C43" s="278" t="s">
        <v>246</v>
      </c>
      <c r="D43" s="271"/>
      <c r="E43" s="271">
        <v>59</v>
      </c>
      <c r="F43" s="278" t="s">
        <v>199</v>
      </c>
      <c r="G43" s="271" t="s">
        <v>179</v>
      </c>
      <c r="H43" s="285" t="s">
        <v>268</v>
      </c>
      <c r="I43" s="197">
        <f t="shared" si="4"/>
        <v>420000</v>
      </c>
      <c r="J43" s="286" t="s">
        <v>265</v>
      </c>
      <c r="K43" s="200">
        <f t="shared" si="5"/>
        <v>300000</v>
      </c>
      <c r="L43" s="286" t="s">
        <v>272</v>
      </c>
      <c r="M43" s="198">
        <f t="shared" si="6"/>
        <v>300000</v>
      </c>
      <c r="N43" s="198">
        <f t="shared" si="7"/>
        <v>1020000</v>
      </c>
      <c r="O43" s="192"/>
      <c r="P43" s="192"/>
      <c r="Q43" s="192"/>
      <c r="R43" s="192"/>
      <c r="S43" s="192"/>
      <c r="T43" s="192"/>
      <c r="U43" s="192"/>
      <c r="V43" s="192"/>
      <c r="W43" s="192"/>
      <c r="X43" s="192"/>
      <c r="Y43" s="192"/>
      <c r="Z43" s="192"/>
      <c r="AA43" s="192"/>
      <c r="AB43" s="192"/>
      <c r="AC43" s="192"/>
      <c r="AD43" s="192"/>
      <c r="AE43" s="192"/>
      <c r="AF43" s="192"/>
      <c r="AG43" s="192"/>
      <c r="AH43" s="192"/>
      <c r="AI43" s="192"/>
      <c r="AJ43" s="192"/>
      <c r="AK43" s="192"/>
      <c r="AL43" s="192"/>
      <c r="AM43" s="192"/>
      <c r="AN43" s="192"/>
      <c r="AO43" s="192"/>
      <c r="AP43" s="192"/>
      <c r="AQ43" s="192"/>
      <c r="AR43" s="192"/>
      <c r="AS43" s="192"/>
      <c r="AT43" s="192"/>
      <c r="AU43" s="192"/>
      <c r="AV43" s="192"/>
      <c r="AW43" s="192"/>
      <c r="AX43" s="192"/>
      <c r="AY43" s="192"/>
      <c r="AZ43" s="192"/>
      <c r="BA43" s="192"/>
      <c r="BB43" s="192"/>
      <c r="BC43" s="192"/>
      <c r="BD43" s="192"/>
      <c r="BE43" s="192"/>
      <c r="BF43" s="192"/>
      <c r="BG43" s="192"/>
      <c r="BH43" s="192"/>
      <c r="BI43" s="192"/>
      <c r="BJ43" s="192"/>
      <c r="BK43" s="192"/>
      <c r="BL43" s="192"/>
      <c r="BM43" s="192"/>
      <c r="BN43" s="192"/>
      <c r="BO43" s="192"/>
      <c r="BP43" s="192"/>
      <c r="BQ43" s="192"/>
      <c r="BR43" s="192"/>
      <c r="BS43" s="192"/>
      <c r="BT43" s="192"/>
      <c r="BU43" s="192"/>
      <c r="BV43" s="192"/>
      <c r="BW43" s="192"/>
      <c r="BX43" s="192"/>
      <c r="BY43" s="192"/>
      <c r="BZ43" s="192"/>
      <c r="CA43" s="192"/>
      <c r="CB43" s="192"/>
      <c r="CC43" s="192"/>
      <c r="CD43" s="192"/>
      <c r="CE43" s="192"/>
      <c r="CF43" s="192"/>
      <c r="CG43" s="192"/>
      <c r="CH43" s="192"/>
      <c r="CI43" s="192"/>
      <c r="CJ43" s="192"/>
      <c r="CK43" s="192"/>
      <c r="CL43" s="192"/>
      <c r="CM43" s="192"/>
      <c r="CN43" s="192"/>
      <c r="CO43" s="192"/>
      <c r="CP43" s="192"/>
      <c r="CQ43" s="192"/>
      <c r="CR43" s="192"/>
      <c r="CS43" s="192"/>
      <c r="CT43" s="192"/>
      <c r="CU43" s="192"/>
      <c r="CV43" s="192"/>
      <c r="CW43" s="192"/>
      <c r="CX43" s="192"/>
      <c r="CY43" s="192"/>
      <c r="CZ43" s="192"/>
      <c r="DA43" s="192"/>
      <c r="DB43" s="192"/>
      <c r="DC43" s="192"/>
      <c r="DD43" s="192"/>
      <c r="DE43" s="192"/>
      <c r="DF43" s="192"/>
      <c r="DG43" s="192"/>
      <c r="DH43" s="192"/>
      <c r="DI43" s="192"/>
      <c r="DJ43" s="192"/>
      <c r="DK43" s="192"/>
      <c r="DL43" s="192"/>
      <c r="DM43" s="192"/>
      <c r="DN43" s="192"/>
      <c r="DO43" s="192"/>
      <c r="DP43" s="192"/>
      <c r="DQ43" s="192"/>
      <c r="DR43" s="192"/>
      <c r="DS43" s="192"/>
      <c r="DT43" s="192"/>
      <c r="DU43" s="192"/>
      <c r="DV43" s="192"/>
      <c r="DW43" s="192"/>
      <c r="DX43" s="192"/>
      <c r="DY43" s="192"/>
      <c r="DZ43" s="192"/>
      <c r="EA43" s="192"/>
      <c r="EB43" s="192"/>
      <c r="EC43" s="192"/>
      <c r="ED43" s="192"/>
      <c r="EE43" s="192"/>
      <c r="EF43" s="192"/>
      <c r="EG43" s="192"/>
      <c r="EH43" s="192"/>
      <c r="EI43" s="192"/>
      <c r="EJ43" s="192"/>
      <c r="EK43" s="192"/>
      <c r="EL43" s="192"/>
      <c r="EM43" s="192"/>
      <c r="EN43" s="192"/>
      <c r="EO43" s="192"/>
      <c r="EP43" s="192"/>
      <c r="EQ43" s="192"/>
      <c r="ER43" s="192"/>
      <c r="ES43" s="192"/>
      <c r="ET43" s="192"/>
      <c r="EU43" s="192"/>
      <c r="EV43" s="192"/>
      <c r="EW43" s="192"/>
      <c r="EX43" s="192"/>
      <c r="EY43" s="192"/>
      <c r="EZ43" s="192"/>
      <c r="FA43" s="192"/>
      <c r="FB43" s="192"/>
      <c r="FC43" s="192"/>
      <c r="FD43" s="192"/>
      <c r="FE43" s="192"/>
      <c r="FF43" s="192"/>
      <c r="FG43" s="192"/>
      <c r="FH43" s="192"/>
      <c r="FI43" s="192"/>
      <c r="FJ43" s="192"/>
      <c r="FK43" s="192"/>
      <c r="FL43" s="192"/>
      <c r="FM43" s="192"/>
      <c r="FN43" s="192"/>
      <c r="FO43" s="192"/>
      <c r="FP43" s="192"/>
      <c r="FQ43" s="192"/>
      <c r="FR43" s="192"/>
      <c r="FS43" s="192"/>
      <c r="FT43" s="192"/>
      <c r="FU43" s="192"/>
      <c r="FV43" s="192"/>
      <c r="FW43" s="192"/>
      <c r="FX43" s="192"/>
      <c r="FY43" s="192"/>
      <c r="FZ43" s="192"/>
      <c r="GA43" s="192"/>
      <c r="GB43" s="192"/>
      <c r="GC43" s="192"/>
      <c r="GD43" s="192"/>
      <c r="GE43" s="192"/>
      <c r="GF43" s="192"/>
      <c r="GG43" s="192"/>
      <c r="GH43" s="192"/>
      <c r="GI43" s="192"/>
      <c r="GJ43" s="192"/>
      <c r="GK43" s="192"/>
      <c r="GL43" s="192"/>
      <c r="GM43" s="192"/>
      <c r="GN43" s="192"/>
      <c r="GO43" s="192"/>
      <c r="GP43" s="192"/>
      <c r="GQ43" s="192"/>
      <c r="GR43" s="192"/>
      <c r="GS43" s="192"/>
      <c r="GT43" s="192"/>
      <c r="GU43" s="192"/>
      <c r="GV43" s="192"/>
      <c r="GW43" s="192"/>
      <c r="GX43" s="192"/>
      <c r="GY43" s="192"/>
      <c r="GZ43" s="192"/>
      <c r="HA43" s="192"/>
      <c r="HB43" s="192"/>
      <c r="HC43" s="192"/>
      <c r="HD43" s="192"/>
      <c r="HE43" s="192"/>
      <c r="HF43" s="192"/>
      <c r="HG43" s="192"/>
      <c r="HH43" s="192"/>
      <c r="HI43" s="192"/>
      <c r="HJ43" s="192"/>
      <c r="HK43" s="192"/>
      <c r="HL43" s="192"/>
      <c r="HM43" s="192"/>
      <c r="HN43" s="192"/>
      <c r="HO43" s="192"/>
      <c r="HP43" s="192"/>
      <c r="HQ43" s="192"/>
      <c r="HR43" s="192"/>
      <c r="HS43" s="192"/>
      <c r="HT43" s="192"/>
      <c r="HU43" s="192"/>
      <c r="HV43" s="192"/>
      <c r="HW43" s="192"/>
      <c r="HX43" s="192"/>
      <c r="HY43" s="192"/>
      <c r="HZ43" s="192"/>
      <c r="IA43" s="192"/>
      <c r="IB43" s="192"/>
      <c r="IC43" s="192"/>
      <c r="ID43" s="192"/>
      <c r="IE43" s="192"/>
      <c r="IF43" s="192"/>
      <c r="IG43" s="192"/>
      <c r="IH43" s="192"/>
      <c r="II43" s="192"/>
      <c r="IJ43" s="192"/>
      <c r="IK43" s="192"/>
      <c r="IL43" s="192"/>
      <c r="IM43" s="192"/>
      <c r="IN43" s="192"/>
      <c r="IO43" s="192"/>
      <c r="IP43" s="192"/>
      <c r="IQ43" s="192"/>
    </row>
    <row r="44" spans="1:251" s="157" customFormat="1" ht="21.75" customHeight="1">
      <c r="A44" s="196">
        <v>37</v>
      </c>
      <c r="B44" s="277" t="s">
        <v>247</v>
      </c>
      <c r="C44" s="278" t="s">
        <v>248</v>
      </c>
      <c r="D44" s="271">
        <v>19</v>
      </c>
      <c r="E44" s="271"/>
      <c r="F44" s="278" t="s">
        <v>221</v>
      </c>
      <c r="G44" s="271" t="s">
        <v>179</v>
      </c>
      <c r="H44" s="285" t="s">
        <v>271</v>
      </c>
      <c r="I44" s="197">
        <f t="shared" si="4"/>
        <v>420000</v>
      </c>
      <c r="J44" s="286" t="s">
        <v>268</v>
      </c>
      <c r="K44" s="200">
        <f t="shared" si="5"/>
        <v>300000</v>
      </c>
      <c r="L44" s="286" t="s">
        <v>275</v>
      </c>
      <c r="M44" s="198">
        <f t="shared" si="6"/>
        <v>300000</v>
      </c>
      <c r="N44" s="198">
        <f t="shared" si="7"/>
        <v>1020000</v>
      </c>
      <c r="O44" s="192"/>
      <c r="P44" s="192"/>
      <c r="Q44" s="192"/>
      <c r="R44" s="192"/>
      <c r="S44" s="192"/>
      <c r="T44" s="192"/>
      <c r="U44" s="192"/>
      <c r="V44" s="192"/>
      <c r="W44" s="192"/>
      <c r="X44" s="192"/>
      <c r="Y44" s="192"/>
      <c r="Z44" s="192"/>
      <c r="AA44" s="192"/>
      <c r="AB44" s="192"/>
      <c r="AC44" s="192"/>
      <c r="AD44" s="192"/>
      <c r="AE44" s="192"/>
      <c r="AF44" s="192"/>
      <c r="AG44" s="192"/>
      <c r="AH44" s="192"/>
      <c r="AI44" s="192"/>
      <c r="AJ44" s="192"/>
      <c r="AK44" s="192"/>
      <c r="AL44" s="192"/>
      <c r="AM44" s="192"/>
      <c r="AN44" s="192"/>
      <c r="AO44" s="192"/>
      <c r="AP44" s="192"/>
      <c r="AQ44" s="192"/>
      <c r="AR44" s="192"/>
      <c r="AS44" s="192"/>
      <c r="AT44" s="192"/>
      <c r="AU44" s="192"/>
      <c r="AV44" s="192"/>
      <c r="AW44" s="192"/>
      <c r="AX44" s="192"/>
      <c r="AY44" s="192"/>
      <c r="AZ44" s="192"/>
      <c r="BA44" s="192"/>
      <c r="BB44" s="192"/>
      <c r="BC44" s="192"/>
      <c r="BD44" s="192"/>
      <c r="BE44" s="192"/>
      <c r="BF44" s="192"/>
      <c r="BG44" s="192"/>
      <c r="BH44" s="192"/>
      <c r="BI44" s="192"/>
      <c r="BJ44" s="192"/>
      <c r="BK44" s="192"/>
      <c r="BL44" s="192"/>
      <c r="BM44" s="192"/>
      <c r="BN44" s="192"/>
      <c r="BO44" s="192"/>
      <c r="BP44" s="192"/>
      <c r="BQ44" s="192"/>
      <c r="BR44" s="192"/>
      <c r="BS44" s="192"/>
      <c r="BT44" s="192"/>
      <c r="BU44" s="192"/>
      <c r="BV44" s="192"/>
      <c r="BW44" s="192"/>
      <c r="BX44" s="192"/>
      <c r="BY44" s="192"/>
      <c r="BZ44" s="192"/>
      <c r="CA44" s="192"/>
      <c r="CB44" s="192"/>
      <c r="CC44" s="192"/>
      <c r="CD44" s="192"/>
      <c r="CE44" s="192"/>
      <c r="CF44" s="192"/>
      <c r="CG44" s="192"/>
      <c r="CH44" s="192"/>
      <c r="CI44" s="192"/>
      <c r="CJ44" s="192"/>
      <c r="CK44" s="192"/>
      <c r="CL44" s="192"/>
      <c r="CM44" s="192"/>
      <c r="CN44" s="192"/>
      <c r="CO44" s="192"/>
      <c r="CP44" s="192"/>
      <c r="CQ44" s="192"/>
      <c r="CR44" s="192"/>
      <c r="CS44" s="192"/>
      <c r="CT44" s="192"/>
      <c r="CU44" s="192"/>
      <c r="CV44" s="192"/>
      <c r="CW44" s="192"/>
      <c r="CX44" s="192"/>
      <c r="CY44" s="192"/>
      <c r="CZ44" s="192"/>
      <c r="DA44" s="192"/>
      <c r="DB44" s="192"/>
      <c r="DC44" s="192"/>
      <c r="DD44" s="192"/>
      <c r="DE44" s="192"/>
      <c r="DF44" s="192"/>
      <c r="DG44" s="192"/>
      <c r="DH44" s="192"/>
      <c r="DI44" s="192"/>
      <c r="DJ44" s="192"/>
      <c r="DK44" s="192"/>
      <c r="DL44" s="192"/>
      <c r="DM44" s="192"/>
      <c r="DN44" s="192"/>
      <c r="DO44" s="192"/>
      <c r="DP44" s="192"/>
      <c r="DQ44" s="192"/>
      <c r="DR44" s="192"/>
      <c r="DS44" s="192"/>
      <c r="DT44" s="192"/>
      <c r="DU44" s="192"/>
      <c r="DV44" s="192"/>
      <c r="DW44" s="192"/>
      <c r="DX44" s="192"/>
      <c r="DY44" s="192"/>
      <c r="DZ44" s="192"/>
      <c r="EA44" s="192"/>
      <c r="EB44" s="192"/>
      <c r="EC44" s="192"/>
      <c r="ED44" s="192"/>
      <c r="EE44" s="192"/>
      <c r="EF44" s="192"/>
      <c r="EG44" s="192"/>
      <c r="EH44" s="192"/>
      <c r="EI44" s="192"/>
      <c r="EJ44" s="192"/>
      <c r="EK44" s="192"/>
      <c r="EL44" s="192"/>
      <c r="EM44" s="192"/>
      <c r="EN44" s="192"/>
      <c r="EO44" s="192"/>
      <c r="EP44" s="192"/>
      <c r="EQ44" s="192"/>
      <c r="ER44" s="192"/>
      <c r="ES44" s="192"/>
      <c r="ET44" s="192"/>
      <c r="EU44" s="192"/>
      <c r="EV44" s="192"/>
      <c r="EW44" s="192"/>
      <c r="EX44" s="192"/>
      <c r="EY44" s="192"/>
      <c r="EZ44" s="192"/>
      <c r="FA44" s="192"/>
      <c r="FB44" s="192"/>
      <c r="FC44" s="192"/>
      <c r="FD44" s="192"/>
      <c r="FE44" s="192"/>
      <c r="FF44" s="192"/>
      <c r="FG44" s="192"/>
      <c r="FH44" s="192"/>
      <c r="FI44" s="192"/>
      <c r="FJ44" s="192"/>
      <c r="FK44" s="192"/>
      <c r="FL44" s="192"/>
      <c r="FM44" s="192"/>
      <c r="FN44" s="192"/>
      <c r="FO44" s="192"/>
      <c r="FP44" s="192"/>
      <c r="FQ44" s="192"/>
      <c r="FR44" s="192"/>
      <c r="FS44" s="192"/>
      <c r="FT44" s="192"/>
      <c r="FU44" s="192"/>
      <c r="FV44" s="192"/>
      <c r="FW44" s="192"/>
      <c r="FX44" s="192"/>
      <c r="FY44" s="192"/>
      <c r="FZ44" s="192"/>
      <c r="GA44" s="192"/>
      <c r="GB44" s="192"/>
      <c r="GC44" s="192"/>
      <c r="GD44" s="192"/>
      <c r="GE44" s="192"/>
      <c r="GF44" s="192"/>
      <c r="GG44" s="192"/>
      <c r="GH44" s="192"/>
      <c r="GI44" s="192"/>
      <c r="GJ44" s="192"/>
      <c r="GK44" s="192"/>
      <c r="GL44" s="192"/>
      <c r="GM44" s="192"/>
      <c r="GN44" s="192"/>
      <c r="GO44" s="192"/>
      <c r="GP44" s="192"/>
      <c r="GQ44" s="192"/>
      <c r="GR44" s="192"/>
      <c r="GS44" s="192"/>
      <c r="GT44" s="192"/>
      <c r="GU44" s="192"/>
      <c r="GV44" s="192"/>
      <c r="GW44" s="192"/>
      <c r="GX44" s="192"/>
      <c r="GY44" s="192"/>
      <c r="GZ44" s="192"/>
      <c r="HA44" s="192"/>
      <c r="HB44" s="192"/>
      <c r="HC44" s="192"/>
      <c r="HD44" s="192"/>
      <c r="HE44" s="192"/>
      <c r="HF44" s="192"/>
      <c r="HG44" s="192"/>
      <c r="HH44" s="192"/>
      <c r="HI44" s="192"/>
      <c r="HJ44" s="192"/>
      <c r="HK44" s="192"/>
      <c r="HL44" s="192"/>
      <c r="HM44" s="192"/>
      <c r="HN44" s="192"/>
      <c r="HO44" s="192"/>
      <c r="HP44" s="192"/>
      <c r="HQ44" s="192"/>
      <c r="HR44" s="192"/>
      <c r="HS44" s="192"/>
      <c r="HT44" s="192"/>
      <c r="HU44" s="192"/>
      <c r="HV44" s="192"/>
      <c r="HW44" s="192"/>
      <c r="HX44" s="192"/>
      <c r="HY44" s="192"/>
      <c r="HZ44" s="192"/>
      <c r="IA44" s="192"/>
      <c r="IB44" s="192"/>
      <c r="IC44" s="192"/>
      <c r="ID44" s="192"/>
      <c r="IE44" s="192"/>
      <c r="IF44" s="192"/>
      <c r="IG44" s="192"/>
      <c r="IH44" s="192"/>
      <c r="II44" s="192"/>
      <c r="IJ44" s="192"/>
      <c r="IK44" s="192"/>
      <c r="IL44" s="192"/>
      <c r="IM44" s="192"/>
      <c r="IN44" s="192"/>
      <c r="IO44" s="192"/>
      <c r="IP44" s="192"/>
      <c r="IQ44" s="192"/>
    </row>
    <row r="45" spans="1:251" s="157" customFormat="1" ht="21.75" customHeight="1">
      <c r="A45" s="196">
        <v>38</v>
      </c>
      <c r="B45" s="277" t="s">
        <v>249</v>
      </c>
      <c r="C45" s="278" t="s">
        <v>250</v>
      </c>
      <c r="D45" s="271">
        <v>17</v>
      </c>
      <c r="E45" s="271"/>
      <c r="F45" s="278" t="s">
        <v>199</v>
      </c>
      <c r="G45" s="271" t="s">
        <v>179</v>
      </c>
      <c r="H45" s="285" t="s">
        <v>270</v>
      </c>
      <c r="I45" s="197">
        <f t="shared" si="4"/>
        <v>420000</v>
      </c>
      <c r="J45" s="286" t="s">
        <v>266</v>
      </c>
      <c r="K45" s="200">
        <f t="shared" si="5"/>
        <v>300000</v>
      </c>
      <c r="L45" s="286" t="s">
        <v>272</v>
      </c>
      <c r="M45" s="198">
        <f t="shared" si="6"/>
        <v>300000</v>
      </c>
      <c r="N45" s="198">
        <f t="shared" si="7"/>
        <v>1020000</v>
      </c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Y45" s="192"/>
      <c r="Z45" s="192"/>
      <c r="AA45" s="192"/>
      <c r="AB45" s="192"/>
      <c r="AC45" s="192"/>
      <c r="AD45" s="192"/>
      <c r="AE45" s="192"/>
      <c r="AF45" s="192"/>
      <c r="AG45" s="192"/>
      <c r="AH45" s="192"/>
      <c r="AI45" s="192"/>
      <c r="AJ45" s="192"/>
      <c r="AK45" s="192"/>
      <c r="AL45" s="192"/>
      <c r="AM45" s="192"/>
      <c r="AN45" s="192"/>
      <c r="AO45" s="192"/>
      <c r="AP45" s="192"/>
      <c r="AQ45" s="192"/>
      <c r="AR45" s="192"/>
      <c r="AS45" s="192"/>
      <c r="AT45" s="192"/>
      <c r="AU45" s="192"/>
      <c r="AV45" s="192"/>
      <c r="AW45" s="192"/>
      <c r="AX45" s="192"/>
      <c r="AY45" s="192"/>
      <c r="AZ45" s="192"/>
      <c r="BA45" s="192"/>
      <c r="BB45" s="192"/>
      <c r="BC45" s="192"/>
      <c r="BD45" s="192"/>
      <c r="BE45" s="192"/>
      <c r="BF45" s="192"/>
      <c r="BG45" s="192"/>
      <c r="BH45" s="192"/>
      <c r="BI45" s="192"/>
      <c r="BJ45" s="192"/>
      <c r="BK45" s="192"/>
      <c r="BL45" s="192"/>
      <c r="BM45" s="192"/>
      <c r="BN45" s="192"/>
      <c r="BO45" s="192"/>
      <c r="BP45" s="192"/>
      <c r="BQ45" s="192"/>
      <c r="BR45" s="192"/>
      <c r="BS45" s="192"/>
      <c r="BT45" s="192"/>
      <c r="BU45" s="192"/>
      <c r="BV45" s="192"/>
      <c r="BW45" s="192"/>
      <c r="BX45" s="192"/>
      <c r="BY45" s="192"/>
      <c r="BZ45" s="192"/>
      <c r="CA45" s="192"/>
      <c r="CB45" s="192"/>
      <c r="CC45" s="192"/>
      <c r="CD45" s="192"/>
      <c r="CE45" s="192"/>
      <c r="CF45" s="192"/>
      <c r="CG45" s="192"/>
      <c r="CH45" s="192"/>
      <c r="CI45" s="192"/>
      <c r="CJ45" s="192"/>
      <c r="CK45" s="192"/>
      <c r="CL45" s="192"/>
      <c r="CM45" s="192"/>
      <c r="CN45" s="192"/>
      <c r="CO45" s="192"/>
      <c r="CP45" s="192"/>
      <c r="CQ45" s="192"/>
      <c r="CR45" s="192"/>
      <c r="CS45" s="192"/>
      <c r="CT45" s="192"/>
      <c r="CU45" s="192"/>
      <c r="CV45" s="192"/>
      <c r="CW45" s="192"/>
      <c r="CX45" s="192"/>
      <c r="CY45" s="192"/>
      <c r="CZ45" s="192"/>
      <c r="DA45" s="192"/>
      <c r="DB45" s="192"/>
      <c r="DC45" s="192"/>
      <c r="DD45" s="192"/>
      <c r="DE45" s="192"/>
      <c r="DF45" s="192"/>
      <c r="DG45" s="192"/>
      <c r="DH45" s="192"/>
      <c r="DI45" s="192"/>
      <c r="DJ45" s="192"/>
      <c r="DK45" s="192"/>
      <c r="DL45" s="192"/>
      <c r="DM45" s="192"/>
      <c r="DN45" s="192"/>
      <c r="DO45" s="192"/>
      <c r="DP45" s="192"/>
      <c r="DQ45" s="192"/>
      <c r="DR45" s="192"/>
      <c r="DS45" s="192"/>
      <c r="DT45" s="192"/>
      <c r="DU45" s="192"/>
      <c r="DV45" s="192"/>
      <c r="DW45" s="192"/>
      <c r="DX45" s="192"/>
      <c r="DY45" s="192"/>
      <c r="DZ45" s="192"/>
      <c r="EA45" s="192"/>
      <c r="EB45" s="192"/>
      <c r="EC45" s="192"/>
      <c r="ED45" s="192"/>
      <c r="EE45" s="192"/>
      <c r="EF45" s="192"/>
      <c r="EG45" s="192"/>
      <c r="EH45" s="192"/>
      <c r="EI45" s="192"/>
      <c r="EJ45" s="192"/>
      <c r="EK45" s="192"/>
      <c r="EL45" s="192"/>
      <c r="EM45" s="192"/>
      <c r="EN45" s="192"/>
      <c r="EO45" s="192"/>
      <c r="EP45" s="192"/>
      <c r="EQ45" s="192"/>
      <c r="ER45" s="192"/>
      <c r="ES45" s="192"/>
      <c r="ET45" s="192"/>
      <c r="EU45" s="192"/>
      <c r="EV45" s="192"/>
      <c r="EW45" s="192"/>
      <c r="EX45" s="192"/>
      <c r="EY45" s="192"/>
      <c r="EZ45" s="192"/>
      <c r="FA45" s="192"/>
      <c r="FB45" s="192"/>
      <c r="FC45" s="192"/>
      <c r="FD45" s="192"/>
      <c r="FE45" s="192"/>
      <c r="FF45" s="192"/>
      <c r="FG45" s="192"/>
      <c r="FH45" s="192"/>
      <c r="FI45" s="192"/>
      <c r="FJ45" s="192"/>
      <c r="FK45" s="192"/>
      <c r="FL45" s="192"/>
      <c r="FM45" s="192"/>
      <c r="FN45" s="192"/>
      <c r="FO45" s="192"/>
      <c r="FP45" s="192"/>
      <c r="FQ45" s="192"/>
      <c r="FR45" s="192"/>
      <c r="FS45" s="192"/>
      <c r="FT45" s="192"/>
      <c r="FU45" s="192"/>
      <c r="FV45" s="192"/>
      <c r="FW45" s="192"/>
      <c r="FX45" s="192"/>
      <c r="FY45" s="192"/>
      <c r="FZ45" s="192"/>
      <c r="GA45" s="192"/>
      <c r="GB45" s="192"/>
      <c r="GC45" s="192"/>
      <c r="GD45" s="192"/>
      <c r="GE45" s="192"/>
      <c r="GF45" s="192"/>
      <c r="GG45" s="192"/>
      <c r="GH45" s="192"/>
      <c r="GI45" s="192"/>
      <c r="GJ45" s="192"/>
      <c r="GK45" s="192"/>
      <c r="GL45" s="192"/>
      <c r="GM45" s="192"/>
      <c r="GN45" s="192"/>
      <c r="GO45" s="192"/>
      <c r="GP45" s="192"/>
      <c r="GQ45" s="192"/>
      <c r="GR45" s="192"/>
      <c r="GS45" s="192"/>
      <c r="GT45" s="192"/>
      <c r="GU45" s="192"/>
      <c r="GV45" s="192"/>
      <c r="GW45" s="192"/>
      <c r="GX45" s="192"/>
      <c r="GY45" s="192"/>
      <c r="GZ45" s="192"/>
      <c r="HA45" s="192"/>
      <c r="HB45" s="192"/>
      <c r="HC45" s="192"/>
      <c r="HD45" s="192"/>
      <c r="HE45" s="192"/>
      <c r="HF45" s="192"/>
      <c r="HG45" s="192"/>
      <c r="HH45" s="192"/>
      <c r="HI45" s="192"/>
      <c r="HJ45" s="192"/>
      <c r="HK45" s="192"/>
      <c r="HL45" s="192"/>
      <c r="HM45" s="192"/>
      <c r="HN45" s="192"/>
      <c r="HO45" s="192"/>
      <c r="HP45" s="192"/>
      <c r="HQ45" s="192"/>
      <c r="HR45" s="192"/>
      <c r="HS45" s="192"/>
      <c r="HT45" s="192"/>
      <c r="HU45" s="192"/>
      <c r="HV45" s="192"/>
      <c r="HW45" s="192"/>
      <c r="HX45" s="192"/>
      <c r="HY45" s="192"/>
      <c r="HZ45" s="192"/>
      <c r="IA45" s="192"/>
      <c r="IB45" s="192"/>
      <c r="IC45" s="192"/>
      <c r="ID45" s="192"/>
      <c r="IE45" s="192"/>
      <c r="IF45" s="192"/>
      <c r="IG45" s="192"/>
      <c r="IH45" s="192"/>
      <c r="II45" s="192"/>
      <c r="IJ45" s="192"/>
      <c r="IK45" s="192"/>
      <c r="IL45" s="192"/>
      <c r="IM45" s="192"/>
      <c r="IN45" s="192"/>
      <c r="IO45" s="192"/>
      <c r="IP45" s="192"/>
      <c r="IQ45" s="192"/>
    </row>
    <row r="46" spans="1:251" s="157" customFormat="1" ht="21.75" customHeight="1">
      <c r="A46" s="196">
        <v>39</v>
      </c>
      <c r="B46" s="277" t="s">
        <v>251</v>
      </c>
      <c r="C46" s="278" t="s">
        <v>252</v>
      </c>
      <c r="D46" s="271">
        <v>29</v>
      </c>
      <c r="E46" s="271"/>
      <c r="F46" s="278" t="s">
        <v>199</v>
      </c>
      <c r="G46" s="271" t="s">
        <v>179</v>
      </c>
      <c r="H46" s="285" t="s">
        <v>265</v>
      </c>
      <c r="I46" s="197">
        <f t="shared" si="4"/>
        <v>420000</v>
      </c>
      <c r="J46" s="286" t="s">
        <v>272</v>
      </c>
      <c r="K46" s="200">
        <f t="shared" si="5"/>
        <v>300000</v>
      </c>
      <c r="L46" s="286" t="s">
        <v>280</v>
      </c>
      <c r="M46" s="198">
        <f t="shared" si="6"/>
        <v>300000</v>
      </c>
      <c r="N46" s="198">
        <f t="shared" si="7"/>
        <v>1020000</v>
      </c>
      <c r="O46" s="192"/>
      <c r="P46" s="192"/>
      <c r="Q46" s="192"/>
      <c r="R46" s="192"/>
      <c r="S46" s="192"/>
      <c r="T46" s="192"/>
      <c r="U46" s="192"/>
      <c r="V46" s="192"/>
      <c r="W46" s="192"/>
      <c r="X46" s="192"/>
      <c r="Y46" s="192"/>
      <c r="Z46" s="192"/>
      <c r="AA46" s="192"/>
      <c r="AB46" s="192"/>
      <c r="AC46" s="192"/>
      <c r="AD46" s="192"/>
      <c r="AE46" s="192"/>
      <c r="AF46" s="192"/>
      <c r="AG46" s="192"/>
      <c r="AH46" s="192"/>
      <c r="AI46" s="192"/>
      <c r="AJ46" s="192"/>
      <c r="AK46" s="192"/>
      <c r="AL46" s="192"/>
      <c r="AM46" s="192"/>
      <c r="AN46" s="192"/>
      <c r="AO46" s="192"/>
      <c r="AP46" s="192"/>
      <c r="AQ46" s="192"/>
      <c r="AR46" s="192"/>
      <c r="AS46" s="192"/>
      <c r="AT46" s="192"/>
      <c r="AU46" s="192"/>
      <c r="AV46" s="192"/>
      <c r="AW46" s="192"/>
      <c r="AX46" s="192"/>
      <c r="AY46" s="192"/>
      <c r="AZ46" s="192"/>
      <c r="BA46" s="192"/>
      <c r="BB46" s="192"/>
      <c r="BC46" s="192"/>
      <c r="BD46" s="192"/>
      <c r="BE46" s="192"/>
      <c r="BF46" s="192"/>
      <c r="BG46" s="192"/>
      <c r="BH46" s="192"/>
      <c r="BI46" s="192"/>
      <c r="BJ46" s="192"/>
      <c r="BK46" s="192"/>
      <c r="BL46" s="192"/>
      <c r="BM46" s="192"/>
      <c r="BN46" s="192"/>
      <c r="BO46" s="192"/>
      <c r="BP46" s="192"/>
      <c r="BQ46" s="192"/>
      <c r="BR46" s="192"/>
      <c r="BS46" s="192"/>
      <c r="BT46" s="192"/>
      <c r="BU46" s="192"/>
      <c r="BV46" s="192"/>
      <c r="BW46" s="192"/>
      <c r="BX46" s="192"/>
      <c r="BY46" s="192"/>
      <c r="BZ46" s="192"/>
      <c r="CA46" s="192"/>
      <c r="CB46" s="192"/>
      <c r="CC46" s="192"/>
      <c r="CD46" s="192"/>
      <c r="CE46" s="192"/>
      <c r="CF46" s="192"/>
      <c r="CG46" s="192"/>
      <c r="CH46" s="192"/>
      <c r="CI46" s="192"/>
      <c r="CJ46" s="192"/>
      <c r="CK46" s="192"/>
      <c r="CL46" s="192"/>
      <c r="CM46" s="192"/>
      <c r="CN46" s="192"/>
      <c r="CO46" s="192"/>
      <c r="CP46" s="192"/>
      <c r="CQ46" s="192"/>
      <c r="CR46" s="192"/>
      <c r="CS46" s="192"/>
      <c r="CT46" s="192"/>
      <c r="CU46" s="192"/>
      <c r="CV46" s="192"/>
      <c r="CW46" s="192"/>
      <c r="CX46" s="192"/>
      <c r="CY46" s="192"/>
      <c r="CZ46" s="192"/>
      <c r="DA46" s="192"/>
      <c r="DB46" s="192"/>
      <c r="DC46" s="192"/>
      <c r="DD46" s="192"/>
      <c r="DE46" s="192"/>
      <c r="DF46" s="192"/>
      <c r="DG46" s="192"/>
      <c r="DH46" s="192"/>
      <c r="DI46" s="192"/>
      <c r="DJ46" s="192"/>
      <c r="DK46" s="192"/>
      <c r="DL46" s="192"/>
      <c r="DM46" s="192"/>
      <c r="DN46" s="192"/>
      <c r="DO46" s="192"/>
      <c r="DP46" s="192"/>
      <c r="DQ46" s="192"/>
      <c r="DR46" s="192"/>
      <c r="DS46" s="192"/>
      <c r="DT46" s="192"/>
      <c r="DU46" s="192"/>
      <c r="DV46" s="192"/>
      <c r="DW46" s="192"/>
      <c r="DX46" s="192"/>
      <c r="DY46" s="192"/>
      <c r="DZ46" s="192"/>
      <c r="EA46" s="192"/>
      <c r="EB46" s="192"/>
      <c r="EC46" s="192"/>
      <c r="ED46" s="192"/>
      <c r="EE46" s="192"/>
      <c r="EF46" s="192"/>
      <c r="EG46" s="192"/>
      <c r="EH46" s="192"/>
      <c r="EI46" s="192"/>
      <c r="EJ46" s="192"/>
      <c r="EK46" s="192"/>
      <c r="EL46" s="192"/>
      <c r="EM46" s="192"/>
      <c r="EN46" s="192"/>
      <c r="EO46" s="192"/>
      <c r="EP46" s="192"/>
      <c r="EQ46" s="192"/>
      <c r="ER46" s="192"/>
      <c r="ES46" s="192"/>
      <c r="ET46" s="192"/>
      <c r="EU46" s="192"/>
      <c r="EV46" s="192"/>
      <c r="EW46" s="192"/>
      <c r="EX46" s="192"/>
      <c r="EY46" s="192"/>
      <c r="EZ46" s="192"/>
      <c r="FA46" s="192"/>
      <c r="FB46" s="192"/>
      <c r="FC46" s="192"/>
      <c r="FD46" s="192"/>
      <c r="FE46" s="192"/>
      <c r="FF46" s="192"/>
      <c r="FG46" s="192"/>
      <c r="FH46" s="192"/>
      <c r="FI46" s="192"/>
      <c r="FJ46" s="192"/>
      <c r="FK46" s="192"/>
      <c r="FL46" s="192"/>
      <c r="FM46" s="192"/>
      <c r="FN46" s="192"/>
      <c r="FO46" s="192"/>
      <c r="FP46" s="192"/>
      <c r="FQ46" s="192"/>
      <c r="FR46" s="192"/>
      <c r="FS46" s="192"/>
      <c r="FT46" s="192"/>
      <c r="FU46" s="192"/>
      <c r="FV46" s="192"/>
      <c r="FW46" s="192"/>
      <c r="FX46" s="192"/>
      <c r="FY46" s="192"/>
      <c r="FZ46" s="192"/>
      <c r="GA46" s="192"/>
      <c r="GB46" s="192"/>
      <c r="GC46" s="192"/>
      <c r="GD46" s="192"/>
      <c r="GE46" s="192"/>
      <c r="GF46" s="192"/>
      <c r="GG46" s="192"/>
      <c r="GH46" s="192"/>
      <c r="GI46" s="192"/>
      <c r="GJ46" s="192"/>
      <c r="GK46" s="192"/>
      <c r="GL46" s="192"/>
      <c r="GM46" s="192"/>
      <c r="GN46" s="192"/>
      <c r="GO46" s="192"/>
      <c r="GP46" s="192"/>
      <c r="GQ46" s="192"/>
      <c r="GR46" s="192"/>
      <c r="GS46" s="192"/>
      <c r="GT46" s="192"/>
      <c r="GU46" s="192"/>
      <c r="GV46" s="192"/>
      <c r="GW46" s="192"/>
      <c r="GX46" s="192"/>
      <c r="GY46" s="192"/>
      <c r="GZ46" s="192"/>
      <c r="HA46" s="192"/>
      <c r="HB46" s="192"/>
      <c r="HC46" s="192"/>
      <c r="HD46" s="192"/>
      <c r="HE46" s="192"/>
      <c r="HF46" s="192"/>
      <c r="HG46" s="192"/>
      <c r="HH46" s="192"/>
      <c r="HI46" s="192"/>
      <c r="HJ46" s="192"/>
      <c r="HK46" s="192"/>
      <c r="HL46" s="192"/>
      <c r="HM46" s="192"/>
      <c r="HN46" s="192"/>
      <c r="HO46" s="192"/>
      <c r="HP46" s="192"/>
      <c r="HQ46" s="192"/>
      <c r="HR46" s="192"/>
      <c r="HS46" s="192"/>
      <c r="HT46" s="192"/>
      <c r="HU46" s="192"/>
      <c r="HV46" s="192"/>
      <c r="HW46" s="192"/>
      <c r="HX46" s="192"/>
      <c r="HY46" s="192"/>
      <c r="HZ46" s="192"/>
      <c r="IA46" s="192"/>
      <c r="IB46" s="192"/>
      <c r="IC46" s="192"/>
      <c r="ID46" s="192"/>
      <c r="IE46" s="192"/>
      <c r="IF46" s="192"/>
      <c r="IG46" s="192"/>
      <c r="IH46" s="192"/>
      <c r="II46" s="192"/>
      <c r="IJ46" s="192"/>
      <c r="IK46" s="192"/>
      <c r="IL46" s="192"/>
      <c r="IM46" s="192"/>
      <c r="IN46" s="192"/>
      <c r="IO46" s="192"/>
      <c r="IP46" s="192"/>
      <c r="IQ46" s="192"/>
    </row>
    <row r="47" spans="1:251" s="157" customFormat="1" ht="21.75" customHeight="1">
      <c r="A47" s="196">
        <v>40</v>
      </c>
      <c r="B47" s="277" t="s">
        <v>253</v>
      </c>
      <c r="C47" s="278" t="s">
        <v>254</v>
      </c>
      <c r="D47" s="271">
        <v>67</v>
      </c>
      <c r="E47" s="271"/>
      <c r="F47" s="278" t="s">
        <v>202</v>
      </c>
      <c r="G47" s="271" t="s">
        <v>179</v>
      </c>
      <c r="H47" s="285" t="s">
        <v>265</v>
      </c>
      <c r="I47" s="197">
        <f t="shared" si="4"/>
        <v>420000</v>
      </c>
      <c r="J47" s="286" t="s">
        <v>268</v>
      </c>
      <c r="K47" s="200">
        <f t="shared" si="5"/>
        <v>300000</v>
      </c>
      <c r="L47" s="286" t="s">
        <v>266</v>
      </c>
      <c r="M47" s="198">
        <f t="shared" si="6"/>
        <v>300000</v>
      </c>
      <c r="N47" s="198">
        <f t="shared" si="7"/>
        <v>1020000</v>
      </c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Y47" s="192"/>
      <c r="Z47" s="192"/>
      <c r="AA47" s="192"/>
      <c r="AB47" s="192"/>
      <c r="AC47" s="192"/>
      <c r="AD47" s="192"/>
      <c r="AE47" s="192"/>
      <c r="AF47" s="192"/>
      <c r="AG47" s="192"/>
      <c r="AH47" s="192"/>
      <c r="AI47" s="192"/>
      <c r="AJ47" s="192"/>
      <c r="AK47" s="192"/>
      <c r="AL47" s="192"/>
      <c r="AM47" s="192"/>
      <c r="AN47" s="192"/>
      <c r="AO47" s="192"/>
      <c r="AP47" s="192"/>
      <c r="AQ47" s="192"/>
      <c r="AR47" s="192"/>
      <c r="AS47" s="192"/>
      <c r="AT47" s="192"/>
      <c r="AU47" s="192"/>
      <c r="AV47" s="192"/>
      <c r="AW47" s="192"/>
      <c r="AX47" s="192"/>
      <c r="AY47" s="192"/>
      <c r="AZ47" s="192"/>
      <c r="BA47" s="192"/>
      <c r="BB47" s="192"/>
      <c r="BC47" s="192"/>
      <c r="BD47" s="192"/>
      <c r="BE47" s="192"/>
      <c r="BF47" s="192"/>
      <c r="BG47" s="192"/>
      <c r="BH47" s="192"/>
      <c r="BI47" s="192"/>
      <c r="BJ47" s="192"/>
      <c r="BK47" s="192"/>
      <c r="BL47" s="192"/>
      <c r="BM47" s="192"/>
      <c r="BN47" s="192"/>
      <c r="BO47" s="192"/>
      <c r="BP47" s="192"/>
      <c r="BQ47" s="192"/>
      <c r="BR47" s="192"/>
      <c r="BS47" s="192"/>
      <c r="BT47" s="192"/>
      <c r="BU47" s="192"/>
      <c r="BV47" s="192"/>
      <c r="BW47" s="192"/>
      <c r="BX47" s="192"/>
      <c r="BY47" s="192"/>
      <c r="BZ47" s="192"/>
      <c r="CA47" s="192"/>
      <c r="CB47" s="192"/>
      <c r="CC47" s="192"/>
      <c r="CD47" s="192"/>
      <c r="CE47" s="192"/>
      <c r="CF47" s="192"/>
      <c r="CG47" s="192"/>
      <c r="CH47" s="192"/>
      <c r="CI47" s="192"/>
      <c r="CJ47" s="192"/>
      <c r="CK47" s="192"/>
      <c r="CL47" s="192"/>
      <c r="CM47" s="192"/>
      <c r="CN47" s="192"/>
      <c r="CO47" s="192"/>
      <c r="CP47" s="192"/>
      <c r="CQ47" s="192"/>
      <c r="CR47" s="192"/>
      <c r="CS47" s="192"/>
      <c r="CT47" s="192"/>
      <c r="CU47" s="192"/>
      <c r="CV47" s="192"/>
      <c r="CW47" s="192"/>
      <c r="CX47" s="192"/>
      <c r="CY47" s="192"/>
      <c r="CZ47" s="192"/>
      <c r="DA47" s="192"/>
      <c r="DB47" s="192"/>
      <c r="DC47" s="192"/>
      <c r="DD47" s="192"/>
      <c r="DE47" s="192"/>
      <c r="DF47" s="192"/>
      <c r="DG47" s="192"/>
      <c r="DH47" s="192"/>
      <c r="DI47" s="192"/>
      <c r="DJ47" s="192"/>
      <c r="DK47" s="192"/>
      <c r="DL47" s="192"/>
      <c r="DM47" s="192"/>
      <c r="DN47" s="192"/>
      <c r="DO47" s="192"/>
      <c r="DP47" s="192"/>
      <c r="DQ47" s="192"/>
      <c r="DR47" s="192"/>
      <c r="DS47" s="192"/>
      <c r="DT47" s="192"/>
      <c r="DU47" s="192"/>
      <c r="DV47" s="192"/>
      <c r="DW47" s="192"/>
      <c r="DX47" s="192"/>
      <c r="DY47" s="192"/>
      <c r="DZ47" s="192"/>
      <c r="EA47" s="192"/>
      <c r="EB47" s="192"/>
      <c r="EC47" s="192"/>
      <c r="ED47" s="192"/>
      <c r="EE47" s="192"/>
      <c r="EF47" s="192"/>
      <c r="EG47" s="192"/>
      <c r="EH47" s="192"/>
      <c r="EI47" s="192"/>
      <c r="EJ47" s="192"/>
      <c r="EK47" s="192"/>
      <c r="EL47" s="192"/>
      <c r="EM47" s="192"/>
      <c r="EN47" s="192"/>
      <c r="EO47" s="192"/>
      <c r="EP47" s="192"/>
      <c r="EQ47" s="192"/>
      <c r="ER47" s="192"/>
      <c r="ES47" s="192"/>
      <c r="ET47" s="192"/>
      <c r="EU47" s="192"/>
      <c r="EV47" s="192"/>
      <c r="EW47" s="192"/>
      <c r="EX47" s="192"/>
      <c r="EY47" s="192"/>
      <c r="EZ47" s="192"/>
      <c r="FA47" s="192"/>
      <c r="FB47" s="192"/>
      <c r="FC47" s="192"/>
      <c r="FD47" s="192"/>
      <c r="FE47" s="192"/>
      <c r="FF47" s="192"/>
      <c r="FG47" s="192"/>
      <c r="FH47" s="192"/>
      <c r="FI47" s="192"/>
      <c r="FJ47" s="192"/>
      <c r="FK47" s="192"/>
      <c r="FL47" s="192"/>
      <c r="FM47" s="192"/>
      <c r="FN47" s="192"/>
      <c r="FO47" s="192"/>
      <c r="FP47" s="192"/>
      <c r="FQ47" s="192"/>
      <c r="FR47" s="192"/>
      <c r="FS47" s="192"/>
      <c r="FT47" s="192"/>
      <c r="FU47" s="192"/>
      <c r="FV47" s="192"/>
      <c r="FW47" s="192"/>
      <c r="FX47" s="192"/>
      <c r="FY47" s="192"/>
      <c r="FZ47" s="192"/>
      <c r="GA47" s="192"/>
      <c r="GB47" s="192"/>
      <c r="GC47" s="192"/>
      <c r="GD47" s="192"/>
      <c r="GE47" s="192"/>
      <c r="GF47" s="192"/>
      <c r="GG47" s="192"/>
      <c r="GH47" s="192"/>
      <c r="GI47" s="192"/>
      <c r="GJ47" s="192"/>
      <c r="GK47" s="192"/>
      <c r="GL47" s="192"/>
      <c r="GM47" s="192"/>
      <c r="GN47" s="192"/>
      <c r="GO47" s="192"/>
      <c r="GP47" s="192"/>
      <c r="GQ47" s="192"/>
      <c r="GR47" s="192"/>
      <c r="GS47" s="192"/>
      <c r="GT47" s="192"/>
      <c r="GU47" s="192"/>
      <c r="GV47" s="192"/>
      <c r="GW47" s="192"/>
      <c r="GX47" s="192"/>
      <c r="GY47" s="192"/>
      <c r="GZ47" s="192"/>
      <c r="HA47" s="192"/>
      <c r="HB47" s="192"/>
      <c r="HC47" s="192"/>
      <c r="HD47" s="192"/>
      <c r="HE47" s="192"/>
      <c r="HF47" s="192"/>
      <c r="HG47" s="192"/>
      <c r="HH47" s="192"/>
      <c r="HI47" s="192"/>
      <c r="HJ47" s="192"/>
      <c r="HK47" s="192"/>
      <c r="HL47" s="192"/>
      <c r="HM47" s="192"/>
      <c r="HN47" s="192"/>
      <c r="HO47" s="192"/>
      <c r="HP47" s="192"/>
      <c r="HQ47" s="192"/>
      <c r="HR47" s="192"/>
      <c r="HS47" s="192"/>
      <c r="HT47" s="192"/>
      <c r="HU47" s="192"/>
      <c r="HV47" s="192"/>
      <c r="HW47" s="192"/>
      <c r="HX47" s="192"/>
      <c r="HY47" s="192"/>
      <c r="HZ47" s="192"/>
      <c r="IA47" s="192"/>
      <c r="IB47" s="192"/>
      <c r="IC47" s="192"/>
      <c r="ID47" s="192"/>
      <c r="IE47" s="192"/>
      <c r="IF47" s="192"/>
      <c r="IG47" s="192"/>
      <c r="IH47" s="192"/>
      <c r="II47" s="192"/>
      <c r="IJ47" s="192"/>
      <c r="IK47" s="192"/>
      <c r="IL47" s="192"/>
      <c r="IM47" s="192"/>
      <c r="IN47" s="192"/>
      <c r="IO47" s="192"/>
      <c r="IP47" s="192"/>
      <c r="IQ47" s="192"/>
    </row>
    <row r="48" spans="1:251" s="157" customFormat="1" ht="21.75" customHeight="1">
      <c r="A48" s="196">
        <v>41</v>
      </c>
      <c r="B48" s="277" t="s">
        <v>253</v>
      </c>
      <c r="C48" s="278" t="s">
        <v>254</v>
      </c>
      <c r="D48" s="271">
        <v>67</v>
      </c>
      <c r="E48" s="271"/>
      <c r="F48" s="278" t="s">
        <v>255</v>
      </c>
      <c r="G48" s="271" t="s">
        <v>179</v>
      </c>
      <c r="H48" s="285" t="s">
        <v>266</v>
      </c>
      <c r="I48" s="197">
        <f t="shared" si="4"/>
        <v>420000</v>
      </c>
      <c r="J48" s="286" t="s">
        <v>265</v>
      </c>
      <c r="K48" s="200">
        <f t="shared" si="5"/>
        <v>300000</v>
      </c>
      <c r="L48" s="286" t="s">
        <v>272</v>
      </c>
      <c r="M48" s="198">
        <f t="shared" si="6"/>
        <v>300000</v>
      </c>
      <c r="N48" s="198">
        <f t="shared" si="7"/>
        <v>1020000</v>
      </c>
      <c r="O48" s="192"/>
      <c r="P48" s="192"/>
      <c r="Q48" s="192"/>
      <c r="R48" s="192"/>
      <c r="S48" s="192"/>
      <c r="T48" s="192"/>
      <c r="U48" s="192"/>
      <c r="V48" s="192"/>
      <c r="W48" s="192"/>
      <c r="X48" s="192"/>
      <c r="Y48" s="192"/>
      <c r="Z48" s="192"/>
      <c r="AA48" s="192"/>
      <c r="AB48" s="192"/>
      <c r="AC48" s="192"/>
      <c r="AD48" s="192"/>
      <c r="AE48" s="192"/>
      <c r="AF48" s="192"/>
      <c r="AG48" s="192"/>
      <c r="AH48" s="192"/>
      <c r="AI48" s="192"/>
      <c r="AJ48" s="192"/>
      <c r="AK48" s="192"/>
      <c r="AL48" s="192"/>
      <c r="AM48" s="192"/>
      <c r="AN48" s="192"/>
      <c r="AO48" s="192"/>
      <c r="AP48" s="192"/>
      <c r="AQ48" s="192"/>
      <c r="AR48" s="192"/>
      <c r="AS48" s="192"/>
      <c r="AT48" s="192"/>
      <c r="AU48" s="192"/>
      <c r="AV48" s="192"/>
      <c r="AW48" s="192"/>
      <c r="AX48" s="192"/>
      <c r="AY48" s="192"/>
      <c r="AZ48" s="192"/>
      <c r="BA48" s="192"/>
      <c r="BB48" s="192"/>
      <c r="BC48" s="192"/>
      <c r="BD48" s="192"/>
      <c r="BE48" s="192"/>
      <c r="BF48" s="192"/>
      <c r="BG48" s="192"/>
      <c r="BH48" s="192"/>
      <c r="BI48" s="192"/>
      <c r="BJ48" s="192"/>
      <c r="BK48" s="192"/>
      <c r="BL48" s="192"/>
      <c r="BM48" s="192"/>
      <c r="BN48" s="192"/>
      <c r="BO48" s="192"/>
      <c r="BP48" s="192"/>
      <c r="BQ48" s="192"/>
      <c r="BR48" s="192"/>
      <c r="BS48" s="192"/>
      <c r="BT48" s="192"/>
      <c r="BU48" s="192"/>
      <c r="BV48" s="192"/>
      <c r="BW48" s="192"/>
      <c r="BX48" s="192"/>
      <c r="BY48" s="192"/>
      <c r="BZ48" s="192"/>
      <c r="CA48" s="192"/>
      <c r="CB48" s="192"/>
      <c r="CC48" s="192"/>
      <c r="CD48" s="192"/>
      <c r="CE48" s="192"/>
      <c r="CF48" s="192"/>
      <c r="CG48" s="192"/>
      <c r="CH48" s="192"/>
      <c r="CI48" s="192"/>
      <c r="CJ48" s="192"/>
      <c r="CK48" s="192"/>
      <c r="CL48" s="192"/>
      <c r="CM48" s="192"/>
      <c r="CN48" s="192"/>
      <c r="CO48" s="192"/>
      <c r="CP48" s="192"/>
      <c r="CQ48" s="192"/>
      <c r="CR48" s="192"/>
      <c r="CS48" s="192"/>
      <c r="CT48" s="192"/>
      <c r="CU48" s="192"/>
      <c r="CV48" s="192"/>
      <c r="CW48" s="192"/>
      <c r="CX48" s="192"/>
      <c r="CY48" s="192"/>
      <c r="CZ48" s="192"/>
      <c r="DA48" s="192"/>
      <c r="DB48" s="192"/>
      <c r="DC48" s="192"/>
      <c r="DD48" s="192"/>
      <c r="DE48" s="192"/>
      <c r="DF48" s="192"/>
      <c r="DG48" s="192"/>
      <c r="DH48" s="192"/>
      <c r="DI48" s="192"/>
      <c r="DJ48" s="192"/>
      <c r="DK48" s="192"/>
      <c r="DL48" s="192"/>
      <c r="DM48" s="192"/>
      <c r="DN48" s="192"/>
      <c r="DO48" s="192"/>
      <c r="DP48" s="192"/>
      <c r="DQ48" s="192"/>
      <c r="DR48" s="192"/>
      <c r="DS48" s="192"/>
      <c r="DT48" s="192"/>
      <c r="DU48" s="192"/>
      <c r="DV48" s="192"/>
      <c r="DW48" s="192"/>
      <c r="DX48" s="192"/>
      <c r="DY48" s="192"/>
      <c r="DZ48" s="192"/>
      <c r="EA48" s="192"/>
      <c r="EB48" s="192"/>
      <c r="EC48" s="192"/>
      <c r="ED48" s="192"/>
      <c r="EE48" s="192"/>
      <c r="EF48" s="192"/>
      <c r="EG48" s="192"/>
      <c r="EH48" s="192"/>
      <c r="EI48" s="192"/>
      <c r="EJ48" s="192"/>
      <c r="EK48" s="192"/>
      <c r="EL48" s="192"/>
      <c r="EM48" s="192"/>
      <c r="EN48" s="192"/>
      <c r="EO48" s="192"/>
      <c r="EP48" s="192"/>
      <c r="EQ48" s="192"/>
      <c r="ER48" s="192"/>
      <c r="ES48" s="192"/>
      <c r="ET48" s="192"/>
      <c r="EU48" s="192"/>
      <c r="EV48" s="192"/>
      <c r="EW48" s="192"/>
      <c r="EX48" s="192"/>
      <c r="EY48" s="192"/>
      <c r="EZ48" s="192"/>
      <c r="FA48" s="192"/>
      <c r="FB48" s="192"/>
      <c r="FC48" s="192"/>
      <c r="FD48" s="192"/>
      <c r="FE48" s="192"/>
      <c r="FF48" s="192"/>
      <c r="FG48" s="192"/>
      <c r="FH48" s="192"/>
      <c r="FI48" s="192"/>
      <c r="FJ48" s="192"/>
      <c r="FK48" s="192"/>
      <c r="FL48" s="192"/>
      <c r="FM48" s="192"/>
      <c r="FN48" s="192"/>
      <c r="FO48" s="192"/>
      <c r="FP48" s="192"/>
      <c r="FQ48" s="192"/>
      <c r="FR48" s="192"/>
      <c r="FS48" s="192"/>
      <c r="FT48" s="192"/>
      <c r="FU48" s="192"/>
      <c r="FV48" s="192"/>
      <c r="FW48" s="192"/>
      <c r="FX48" s="192"/>
      <c r="FY48" s="192"/>
      <c r="FZ48" s="192"/>
      <c r="GA48" s="192"/>
      <c r="GB48" s="192"/>
      <c r="GC48" s="192"/>
      <c r="GD48" s="192"/>
      <c r="GE48" s="192"/>
      <c r="GF48" s="192"/>
      <c r="GG48" s="192"/>
      <c r="GH48" s="192"/>
      <c r="GI48" s="192"/>
      <c r="GJ48" s="192"/>
      <c r="GK48" s="192"/>
      <c r="GL48" s="192"/>
      <c r="GM48" s="192"/>
      <c r="GN48" s="192"/>
      <c r="GO48" s="192"/>
      <c r="GP48" s="192"/>
      <c r="GQ48" s="192"/>
      <c r="GR48" s="192"/>
      <c r="GS48" s="192"/>
      <c r="GT48" s="192"/>
      <c r="GU48" s="192"/>
      <c r="GV48" s="192"/>
      <c r="GW48" s="192"/>
      <c r="GX48" s="192"/>
      <c r="GY48" s="192"/>
      <c r="GZ48" s="192"/>
      <c r="HA48" s="192"/>
      <c r="HB48" s="192"/>
      <c r="HC48" s="192"/>
      <c r="HD48" s="192"/>
      <c r="HE48" s="192"/>
      <c r="HF48" s="192"/>
      <c r="HG48" s="192"/>
      <c r="HH48" s="192"/>
      <c r="HI48" s="192"/>
      <c r="HJ48" s="192"/>
      <c r="HK48" s="192"/>
      <c r="HL48" s="192"/>
      <c r="HM48" s="192"/>
      <c r="HN48" s="192"/>
      <c r="HO48" s="192"/>
      <c r="HP48" s="192"/>
      <c r="HQ48" s="192"/>
      <c r="HR48" s="192"/>
      <c r="HS48" s="192"/>
      <c r="HT48" s="192"/>
      <c r="HU48" s="192"/>
      <c r="HV48" s="192"/>
      <c r="HW48" s="192"/>
      <c r="HX48" s="192"/>
      <c r="HY48" s="192"/>
      <c r="HZ48" s="192"/>
      <c r="IA48" s="192"/>
      <c r="IB48" s="192"/>
      <c r="IC48" s="192"/>
      <c r="ID48" s="192"/>
      <c r="IE48" s="192"/>
      <c r="IF48" s="192"/>
      <c r="IG48" s="192"/>
      <c r="IH48" s="192"/>
      <c r="II48" s="192"/>
      <c r="IJ48" s="192"/>
      <c r="IK48" s="192"/>
      <c r="IL48" s="192"/>
      <c r="IM48" s="192"/>
      <c r="IN48" s="192"/>
      <c r="IO48" s="192"/>
      <c r="IP48" s="192"/>
      <c r="IQ48" s="192"/>
    </row>
    <row r="49" spans="1:251" s="157" customFormat="1" ht="21.75" customHeight="1">
      <c r="A49" s="196">
        <v>42</v>
      </c>
      <c r="B49" s="277" t="s">
        <v>256</v>
      </c>
      <c r="C49" s="278" t="s">
        <v>257</v>
      </c>
      <c r="D49" s="271"/>
      <c r="E49" s="271">
        <v>53</v>
      </c>
      <c r="F49" s="278" t="s">
        <v>199</v>
      </c>
      <c r="G49" s="271" t="s">
        <v>179</v>
      </c>
      <c r="H49" s="285" t="s">
        <v>265</v>
      </c>
      <c r="I49" s="197">
        <f t="shared" si="4"/>
        <v>420000</v>
      </c>
      <c r="J49" s="286" t="s">
        <v>268</v>
      </c>
      <c r="K49" s="200">
        <f t="shared" si="5"/>
        <v>300000</v>
      </c>
      <c r="L49" s="286" t="s">
        <v>272</v>
      </c>
      <c r="M49" s="198">
        <f t="shared" si="6"/>
        <v>300000</v>
      </c>
      <c r="N49" s="198">
        <f t="shared" si="7"/>
        <v>1020000</v>
      </c>
      <c r="O49" s="192"/>
      <c r="P49" s="192"/>
      <c r="Q49" s="192"/>
      <c r="R49" s="192"/>
      <c r="S49" s="192"/>
      <c r="T49" s="192"/>
      <c r="U49" s="192"/>
      <c r="V49" s="192"/>
      <c r="W49" s="192"/>
      <c r="X49" s="192"/>
      <c r="Y49" s="192"/>
      <c r="Z49" s="192"/>
      <c r="AA49" s="192"/>
      <c r="AB49" s="192"/>
      <c r="AC49" s="192"/>
      <c r="AD49" s="192"/>
      <c r="AE49" s="192"/>
      <c r="AF49" s="192"/>
      <c r="AG49" s="192"/>
      <c r="AH49" s="192"/>
      <c r="AI49" s="192"/>
      <c r="AJ49" s="192"/>
      <c r="AK49" s="192"/>
      <c r="AL49" s="192"/>
      <c r="AM49" s="192"/>
      <c r="AN49" s="192"/>
      <c r="AO49" s="192"/>
      <c r="AP49" s="192"/>
      <c r="AQ49" s="192"/>
      <c r="AR49" s="192"/>
      <c r="AS49" s="192"/>
      <c r="AT49" s="192"/>
      <c r="AU49" s="192"/>
      <c r="AV49" s="192"/>
      <c r="AW49" s="192"/>
      <c r="AX49" s="192"/>
      <c r="AY49" s="192"/>
      <c r="AZ49" s="192"/>
      <c r="BA49" s="192"/>
      <c r="BB49" s="192"/>
      <c r="BC49" s="192"/>
      <c r="BD49" s="192"/>
      <c r="BE49" s="192"/>
      <c r="BF49" s="192"/>
      <c r="BG49" s="192"/>
      <c r="BH49" s="192"/>
      <c r="BI49" s="192"/>
      <c r="BJ49" s="192"/>
      <c r="BK49" s="192"/>
      <c r="BL49" s="192"/>
      <c r="BM49" s="192"/>
      <c r="BN49" s="192"/>
      <c r="BO49" s="192"/>
      <c r="BP49" s="192"/>
      <c r="BQ49" s="192"/>
      <c r="BR49" s="192"/>
      <c r="BS49" s="192"/>
      <c r="BT49" s="192"/>
      <c r="BU49" s="192"/>
      <c r="BV49" s="192"/>
      <c r="BW49" s="192"/>
      <c r="BX49" s="192"/>
      <c r="BY49" s="192"/>
      <c r="BZ49" s="192"/>
      <c r="CA49" s="192"/>
      <c r="CB49" s="192"/>
      <c r="CC49" s="192"/>
      <c r="CD49" s="192"/>
      <c r="CE49" s="192"/>
      <c r="CF49" s="192"/>
      <c r="CG49" s="192"/>
      <c r="CH49" s="192"/>
      <c r="CI49" s="192"/>
      <c r="CJ49" s="192"/>
      <c r="CK49" s="192"/>
      <c r="CL49" s="192"/>
      <c r="CM49" s="192"/>
      <c r="CN49" s="192"/>
      <c r="CO49" s="192"/>
      <c r="CP49" s="192"/>
      <c r="CQ49" s="192"/>
      <c r="CR49" s="192"/>
      <c r="CS49" s="192"/>
      <c r="CT49" s="192"/>
      <c r="CU49" s="192"/>
      <c r="CV49" s="192"/>
      <c r="CW49" s="192"/>
      <c r="CX49" s="192"/>
      <c r="CY49" s="192"/>
      <c r="CZ49" s="192"/>
      <c r="DA49" s="192"/>
      <c r="DB49" s="192"/>
      <c r="DC49" s="192"/>
      <c r="DD49" s="192"/>
      <c r="DE49" s="192"/>
      <c r="DF49" s="192"/>
      <c r="DG49" s="192"/>
      <c r="DH49" s="192"/>
      <c r="DI49" s="192"/>
      <c r="DJ49" s="192"/>
      <c r="DK49" s="192"/>
      <c r="DL49" s="192"/>
      <c r="DM49" s="192"/>
      <c r="DN49" s="192"/>
      <c r="DO49" s="192"/>
      <c r="DP49" s="192"/>
      <c r="DQ49" s="192"/>
      <c r="DR49" s="192"/>
      <c r="DS49" s="192"/>
      <c r="DT49" s="192"/>
      <c r="DU49" s="192"/>
      <c r="DV49" s="192"/>
      <c r="DW49" s="192"/>
      <c r="DX49" s="192"/>
      <c r="DY49" s="192"/>
      <c r="DZ49" s="192"/>
      <c r="EA49" s="192"/>
      <c r="EB49" s="192"/>
      <c r="EC49" s="192"/>
      <c r="ED49" s="192"/>
      <c r="EE49" s="192"/>
      <c r="EF49" s="192"/>
      <c r="EG49" s="192"/>
      <c r="EH49" s="192"/>
      <c r="EI49" s="192"/>
      <c r="EJ49" s="192"/>
      <c r="EK49" s="192"/>
      <c r="EL49" s="192"/>
      <c r="EM49" s="192"/>
      <c r="EN49" s="192"/>
      <c r="EO49" s="192"/>
      <c r="EP49" s="192"/>
      <c r="EQ49" s="192"/>
      <c r="ER49" s="192"/>
      <c r="ES49" s="192"/>
      <c r="ET49" s="192"/>
      <c r="EU49" s="192"/>
      <c r="EV49" s="192"/>
      <c r="EW49" s="192"/>
      <c r="EX49" s="192"/>
      <c r="EY49" s="192"/>
      <c r="EZ49" s="192"/>
      <c r="FA49" s="192"/>
      <c r="FB49" s="192"/>
      <c r="FC49" s="192"/>
      <c r="FD49" s="192"/>
      <c r="FE49" s="192"/>
      <c r="FF49" s="192"/>
      <c r="FG49" s="192"/>
      <c r="FH49" s="192"/>
      <c r="FI49" s="192"/>
      <c r="FJ49" s="192"/>
      <c r="FK49" s="192"/>
      <c r="FL49" s="192"/>
      <c r="FM49" s="192"/>
      <c r="FN49" s="192"/>
      <c r="FO49" s="192"/>
      <c r="FP49" s="192"/>
      <c r="FQ49" s="192"/>
      <c r="FR49" s="192"/>
      <c r="FS49" s="192"/>
      <c r="FT49" s="192"/>
      <c r="FU49" s="192"/>
      <c r="FV49" s="192"/>
      <c r="FW49" s="192"/>
      <c r="FX49" s="192"/>
      <c r="FY49" s="192"/>
      <c r="FZ49" s="192"/>
      <c r="GA49" s="192"/>
      <c r="GB49" s="192"/>
      <c r="GC49" s="192"/>
      <c r="GD49" s="192"/>
      <c r="GE49" s="192"/>
      <c r="GF49" s="192"/>
      <c r="GG49" s="192"/>
      <c r="GH49" s="192"/>
      <c r="GI49" s="192"/>
      <c r="GJ49" s="192"/>
      <c r="GK49" s="192"/>
      <c r="GL49" s="192"/>
      <c r="GM49" s="192"/>
      <c r="GN49" s="192"/>
      <c r="GO49" s="192"/>
      <c r="GP49" s="192"/>
      <c r="GQ49" s="192"/>
      <c r="GR49" s="192"/>
      <c r="GS49" s="192"/>
      <c r="GT49" s="192"/>
      <c r="GU49" s="192"/>
      <c r="GV49" s="192"/>
      <c r="GW49" s="192"/>
      <c r="GX49" s="192"/>
      <c r="GY49" s="192"/>
      <c r="GZ49" s="192"/>
      <c r="HA49" s="192"/>
      <c r="HB49" s="192"/>
      <c r="HC49" s="192"/>
      <c r="HD49" s="192"/>
      <c r="HE49" s="192"/>
      <c r="HF49" s="192"/>
      <c r="HG49" s="192"/>
      <c r="HH49" s="192"/>
      <c r="HI49" s="192"/>
      <c r="HJ49" s="192"/>
      <c r="HK49" s="192"/>
      <c r="HL49" s="192"/>
      <c r="HM49" s="192"/>
      <c r="HN49" s="192"/>
      <c r="HO49" s="192"/>
      <c r="HP49" s="192"/>
      <c r="HQ49" s="192"/>
      <c r="HR49" s="192"/>
      <c r="HS49" s="192"/>
      <c r="HT49" s="192"/>
      <c r="HU49" s="192"/>
      <c r="HV49" s="192"/>
      <c r="HW49" s="192"/>
      <c r="HX49" s="192"/>
      <c r="HY49" s="192"/>
      <c r="HZ49" s="192"/>
      <c r="IA49" s="192"/>
      <c r="IB49" s="192"/>
      <c r="IC49" s="192"/>
      <c r="ID49" s="192"/>
      <c r="IE49" s="192"/>
      <c r="IF49" s="192"/>
      <c r="IG49" s="192"/>
      <c r="IH49" s="192"/>
      <c r="II49" s="192"/>
      <c r="IJ49" s="192"/>
      <c r="IK49" s="192"/>
      <c r="IL49" s="192"/>
      <c r="IM49" s="192"/>
      <c r="IN49" s="192"/>
      <c r="IO49" s="192"/>
      <c r="IP49" s="192"/>
      <c r="IQ49" s="192"/>
    </row>
    <row r="50" spans="1:251" s="157" customFormat="1" ht="21.75" customHeight="1">
      <c r="A50" s="196">
        <v>43</v>
      </c>
      <c r="B50" s="277" t="s">
        <v>258</v>
      </c>
      <c r="C50" s="278" t="s">
        <v>259</v>
      </c>
      <c r="D50" s="271">
        <v>71</v>
      </c>
      <c r="E50" s="271"/>
      <c r="F50" s="278" t="s">
        <v>199</v>
      </c>
      <c r="G50" s="271" t="s">
        <v>179</v>
      </c>
      <c r="H50" s="285" t="s">
        <v>264</v>
      </c>
      <c r="I50" s="197">
        <f t="shared" si="4"/>
        <v>420000</v>
      </c>
      <c r="J50" s="286" t="s">
        <v>265</v>
      </c>
      <c r="K50" s="200">
        <f t="shared" si="5"/>
        <v>300000</v>
      </c>
      <c r="L50" s="286" t="s">
        <v>280</v>
      </c>
      <c r="M50" s="198">
        <f t="shared" si="6"/>
        <v>300000</v>
      </c>
      <c r="N50" s="198">
        <f t="shared" si="7"/>
        <v>1020000</v>
      </c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Y50" s="192"/>
      <c r="Z50" s="192"/>
      <c r="AA50" s="192"/>
      <c r="AB50" s="192"/>
      <c r="AC50" s="192"/>
      <c r="AD50" s="192"/>
      <c r="AE50" s="192"/>
      <c r="AF50" s="192"/>
      <c r="AG50" s="192"/>
      <c r="AH50" s="192"/>
      <c r="AI50" s="192"/>
      <c r="AJ50" s="192"/>
      <c r="AK50" s="192"/>
      <c r="AL50" s="192"/>
      <c r="AM50" s="192"/>
      <c r="AN50" s="192"/>
      <c r="AO50" s="192"/>
      <c r="AP50" s="192"/>
      <c r="AQ50" s="192"/>
      <c r="AR50" s="192"/>
      <c r="AS50" s="192"/>
      <c r="AT50" s="192"/>
      <c r="AU50" s="192"/>
      <c r="AV50" s="192"/>
      <c r="AW50" s="192"/>
      <c r="AX50" s="192"/>
      <c r="AY50" s="192"/>
      <c r="AZ50" s="192"/>
      <c r="BA50" s="192"/>
      <c r="BB50" s="192"/>
      <c r="BC50" s="192"/>
      <c r="BD50" s="192"/>
      <c r="BE50" s="192"/>
      <c r="BF50" s="192"/>
      <c r="BG50" s="192"/>
      <c r="BH50" s="192"/>
      <c r="BI50" s="192"/>
      <c r="BJ50" s="192"/>
      <c r="BK50" s="192"/>
      <c r="BL50" s="192"/>
      <c r="BM50" s="192"/>
      <c r="BN50" s="192"/>
      <c r="BO50" s="192"/>
      <c r="BP50" s="192"/>
      <c r="BQ50" s="192"/>
      <c r="BR50" s="192"/>
      <c r="BS50" s="192"/>
      <c r="BT50" s="192"/>
      <c r="BU50" s="192"/>
      <c r="BV50" s="192"/>
      <c r="BW50" s="192"/>
      <c r="BX50" s="192"/>
      <c r="BY50" s="192"/>
      <c r="BZ50" s="192"/>
      <c r="CA50" s="192"/>
      <c r="CB50" s="192"/>
      <c r="CC50" s="192"/>
      <c r="CD50" s="192"/>
      <c r="CE50" s="192"/>
      <c r="CF50" s="192"/>
      <c r="CG50" s="192"/>
      <c r="CH50" s="192"/>
      <c r="CI50" s="192"/>
      <c r="CJ50" s="192"/>
      <c r="CK50" s="192"/>
      <c r="CL50" s="192"/>
      <c r="CM50" s="192"/>
      <c r="CN50" s="192"/>
      <c r="CO50" s="192"/>
      <c r="CP50" s="192"/>
      <c r="CQ50" s="192"/>
      <c r="CR50" s="192"/>
      <c r="CS50" s="192"/>
      <c r="CT50" s="192"/>
      <c r="CU50" s="192"/>
      <c r="CV50" s="192"/>
      <c r="CW50" s="192"/>
      <c r="CX50" s="192"/>
      <c r="CY50" s="192"/>
      <c r="CZ50" s="192"/>
      <c r="DA50" s="192"/>
      <c r="DB50" s="192"/>
      <c r="DC50" s="192"/>
      <c r="DD50" s="192"/>
      <c r="DE50" s="192"/>
      <c r="DF50" s="192"/>
      <c r="DG50" s="192"/>
      <c r="DH50" s="192"/>
      <c r="DI50" s="192"/>
      <c r="DJ50" s="192"/>
      <c r="DK50" s="192"/>
      <c r="DL50" s="192"/>
      <c r="DM50" s="192"/>
      <c r="DN50" s="192"/>
      <c r="DO50" s="192"/>
      <c r="DP50" s="192"/>
      <c r="DQ50" s="192"/>
      <c r="DR50" s="192"/>
      <c r="DS50" s="192"/>
      <c r="DT50" s="192"/>
      <c r="DU50" s="192"/>
      <c r="DV50" s="192"/>
      <c r="DW50" s="192"/>
      <c r="DX50" s="192"/>
      <c r="DY50" s="192"/>
      <c r="DZ50" s="192"/>
      <c r="EA50" s="192"/>
      <c r="EB50" s="192"/>
      <c r="EC50" s="192"/>
      <c r="ED50" s="192"/>
      <c r="EE50" s="192"/>
      <c r="EF50" s="192"/>
      <c r="EG50" s="192"/>
      <c r="EH50" s="192"/>
      <c r="EI50" s="192"/>
      <c r="EJ50" s="192"/>
      <c r="EK50" s="192"/>
      <c r="EL50" s="192"/>
      <c r="EM50" s="192"/>
      <c r="EN50" s="192"/>
      <c r="EO50" s="192"/>
      <c r="EP50" s="192"/>
      <c r="EQ50" s="192"/>
      <c r="ER50" s="192"/>
      <c r="ES50" s="192"/>
      <c r="ET50" s="192"/>
      <c r="EU50" s="192"/>
      <c r="EV50" s="192"/>
      <c r="EW50" s="192"/>
      <c r="EX50" s="192"/>
      <c r="EY50" s="192"/>
      <c r="EZ50" s="192"/>
      <c r="FA50" s="192"/>
      <c r="FB50" s="192"/>
      <c r="FC50" s="192"/>
      <c r="FD50" s="192"/>
      <c r="FE50" s="192"/>
      <c r="FF50" s="192"/>
      <c r="FG50" s="192"/>
      <c r="FH50" s="192"/>
      <c r="FI50" s="192"/>
      <c r="FJ50" s="192"/>
      <c r="FK50" s="192"/>
      <c r="FL50" s="192"/>
      <c r="FM50" s="192"/>
      <c r="FN50" s="192"/>
      <c r="FO50" s="192"/>
      <c r="FP50" s="192"/>
      <c r="FQ50" s="192"/>
      <c r="FR50" s="192"/>
      <c r="FS50" s="192"/>
      <c r="FT50" s="192"/>
      <c r="FU50" s="192"/>
      <c r="FV50" s="192"/>
      <c r="FW50" s="192"/>
      <c r="FX50" s="192"/>
      <c r="FY50" s="192"/>
      <c r="FZ50" s="192"/>
      <c r="GA50" s="192"/>
      <c r="GB50" s="192"/>
      <c r="GC50" s="192"/>
      <c r="GD50" s="192"/>
      <c r="GE50" s="192"/>
      <c r="GF50" s="192"/>
      <c r="GG50" s="192"/>
      <c r="GH50" s="192"/>
      <c r="GI50" s="192"/>
      <c r="GJ50" s="192"/>
      <c r="GK50" s="192"/>
      <c r="GL50" s="192"/>
      <c r="GM50" s="192"/>
      <c r="GN50" s="192"/>
      <c r="GO50" s="192"/>
      <c r="GP50" s="192"/>
      <c r="GQ50" s="192"/>
      <c r="GR50" s="192"/>
      <c r="GS50" s="192"/>
      <c r="GT50" s="192"/>
      <c r="GU50" s="192"/>
      <c r="GV50" s="192"/>
      <c r="GW50" s="192"/>
      <c r="GX50" s="192"/>
      <c r="GY50" s="192"/>
      <c r="GZ50" s="192"/>
      <c r="HA50" s="192"/>
      <c r="HB50" s="192"/>
      <c r="HC50" s="192"/>
      <c r="HD50" s="192"/>
      <c r="HE50" s="192"/>
      <c r="HF50" s="192"/>
      <c r="HG50" s="192"/>
      <c r="HH50" s="192"/>
      <c r="HI50" s="192"/>
      <c r="HJ50" s="192"/>
      <c r="HK50" s="192"/>
      <c r="HL50" s="192"/>
      <c r="HM50" s="192"/>
      <c r="HN50" s="192"/>
      <c r="HO50" s="192"/>
      <c r="HP50" s="192"/>
      <c r="HQ50" s="192"/>
      <c r="HR50" s="192"/>
      <c r="HS50" s="192"/>
      <c r="HT50" s="192"/>
      <c r="HU50" s="192"/>
      <c r="HV50" s="192"/>
      <c r="HW50" s="192"/>
      <c r="HX50" s="192"/>
      <c r="HY50" s="192"/>
      <c r="HZ50" s="192"/>
      <c r="IA50" s="192"/>
      <c r="IB50" s="192"/>
      <c r="IC50" s="192"/>
      <c r="ID50" s="192"/>
      <c r="IE50" s="192"/>
      <c r="IF50" s="192"/>
      <c r="IG50" s="192"/>
      <c r="IH50" s="192"/>
      <c r="II50" s="192"/>
      <c r="IJ50" s="192"/>
      <c r="IK50" s="192"/>
      <c r="IL50" s="192"/>
      <c r="IM50" s="192"/>
      <c r="IN50" s="192"/>
      <c r="IO50" s="192"/>
      <c r="IP50" s="192"/>
      <c r="IQ50" s="192"/>
    </row>
    <row r="51" spans="1:251" s="157" customFormat="1" ht="21.75" customHeight="1">
      <c r="A51" s="196">
        <v>44</v>
      </c>
      <c r="B51" s="277" t="s">
        <v>258</v>
      </c>
      <c r="C51" s="278" t="s">
        <v>260</v>
      </c>
      <c r="D51" s="271"/>
      <c r="E51" s="271">
        <v>67</v>
      </c>
      <c r="F51" s="278" t="s">
        <v>199</v>
      </c>
      <c r="G51" s="271" t="s">
        <v>211</v>
      </c>
      <c r="H51" s="285" t="s">
        <v>264</v>
      </c>
      <c r="I51" s="197">
        <f t="shared" si="4"/>
        <v>420000</v>
      </c>
      <c r="J51" s="286" t="s">
        <v>265</v>
      </c>
      <c r="K51" s="200">
        <f t="shared" si="5"/>
        <v>300000</v>
      </c>
      <c r="L51" s="286" t="s">
        <v>280</v>
      </c>
      <c r="M51" s="198">
        <f t="shared" si="6"/>
        <v>300000</v>
      </c>
      <c r="N51" s="198">
        <f t="shared" si="7"/>
        <v>1020000</v>
      </c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Y51" s="192"/>
      <c r="Z51" s="192"/>
      <c r="AA51" s="192"/>
      <c r="AB51" s="192"/>
      <c r="AC51" s="192"/>
      <c r="AD51" s="192"/>
      <c r="AE51" s="192"/>
      <c r="AF51" s="192"/>
      <c r="AG51" s="192"/>
      <c r="AH51" s="192"/>
      <c r="AI51" s="192"/>
      <c r="AJ51" s="192"/>
      <c r="AK51" s="192"/>
      <c r="AL51" s="192"/>
      <c r="AM51" s="192"/>
      <c r="AN51" s="192"/>
      <c r="AO51" s="192"/>
      <c r="AP51" s="192"/>
      <c r="AQ51" s="192"/>
      <c r="AR51" s="192"/>
      <c r="AS51" s="192"/>
      <c r="AT51" s="192"/>
      <c r="AU51" s="192"/>
      <c r="AV51" s="192"/>
      <c r="AW51" s="192"/>
      <c r="AX51" s="192"/>
      <c r="AY51" s="192"/>
      <c r="AZ51" s="192"/>
      <c r="BA51" s="192"/>
      <c r="BB51" s="192"/>
      <c r="BC51" s="192"/>
      <c r="BD51" s="192"/>
      <c r="BE51" s="192"/>
      <c r="BF51" s="192"/>
      <c r="BG51" s="192"/>
      <c r="BH51" s="192"/>
      <c r="BI51" s="192"/>
      <c r="BJ51" s="192"/>
      <c r="BK51" s="192"/>
      <c r="BL51" s="192"/>
      <c r="BM51" s="192"/>
      <c r="BN51" s="192"/>
      <c r="BO51" s="192"/>
      <c r="BP51" s="192"/>
      <c r="BQ51" s="192"/>
      <c r="BR51" s="192"/>
      <c r="BS51" s="192"/>
      <c r="BT51" s="192"/>
      <c r="BU51" s="192"/>
      <c r="BV51" s="192"/>
      <c r="BW51" s="192"/>
      <c r="BX51" s="192"/>
      <c r="BY51" s="192"/>
      <c r="BZ51" s="192"/>
      <c r="CA51" s="192"/>
      <c r="CB51" s="192"/>
      <c r="CC51" s="192"/>
      <c r="CD51" s="192"/>
      <c r="CE51" s="192"/>
      <c r="CF51" s="192"/>
      <c r="CG51" s="192"/>
      <c r="CH51" s="192"/>
      <c r="CI51" s="192"/>
      <c r="CJ51" s="192"/>
      <c r="CK51" s="192"/>
      <c r="CL51" s="192"/>
      <c r="CM51" s="192"/>
      <c r="CN51" s="192"/>
      <c r="CO51" s="192"/>
      <c r="CP51" s="192"/>
      <c r="CQ51" s="192"/>
      <c r="CR51" s="192"/>
      <c r="CS51" s="192"/>
      <c r="CT51" s="192"/>
      <c r="CU51" s="192"/>
      <c r="CV51" s="192"/>
      <c r="CW51" s="192"/>
      <c r="CX51" s="192"/>
      <c r="CY51" s="192"/>
      <c r="CZ51" s="192"/>
      <c r="DA51" s="192"/>
      <c r="DB51" s="192"/>
      <c r="DC51" s="192"/>
      <c r="DD51" s="192"/>
      <c r="DE51" s="192"/>
      <c r="DF51" s="192"/>
      <c r="DG51" s="192"/>
      <c r="DH51" s="192"/>
      <c r="DI51" s="192"/>
      <c r="DJ51" s="192"/>
      <c r="DK51" s="192"/>
      <c r="DL51" s="192"/>
      <c r="DM51" s="192"/>
      <c r="DN51" s="192"/>
      <c r="DO51" s="192"/>
      <c r="DP51" s="192"/>
      <c r="DQ51" s="192"/>
      <c r="DR51" s="192"/>
      <c r="DS51" s="192"/>
      <c r="DT51" s="192"/>
      <c r="DU51" s="192"/>
      <c r="DV51" s="192"/>
      <c r="DW51" s="192"/>
      <c r="DX51" s="192"/>
      <c r="DY51" s="192"/>
      <c r="DZ51" s="192"/>
      <c r="EA51" s="192"/>
      <c r="EB51" s="192"/>
      <c r="EC51" s="192"/>
      <c r="ED51" s="192"/>
      <c r="EE51" s="192"/>
      <c r="EF51" s="192"/>
      <c r="EG51" s="192"/>
      <c r="EH51" s="192"/>
      <c r="EI51" s="192"/>
      <c r="EJ51" s="192"/>
      <c r="EK51" s="192"/>
      <c r="EL51" s="192"/>
      <c r="EM51" s="192"/>
      <c r="EN51" s="192"/>
      <c r="EO51" s="192"/>
      <c r="EP51" s="192"/>
      <c r="EQ51" s="192"/>
      <c r="ER51" s="192"/>
      <c r="ES51" s="192"/>
      <c r="ET51" s="192"/>
      <c r="EU51" s="192"/>
      <c r="EV51" s="192"/>
      <c r="EW51" s="192"/>
      <c r="EX51" s="192"/>
      <c r="EY51" s="192"/>
      <c r="EZ51" s="192"/>
      <c r="FA51" s="192"/>
      <c r="FB51" s="192"/>
      <c r="FC51" s="192"/>
      <c r="FD51" s="192"/>
      <c r="FE51" s="192"/>
      <c r="FF51" s="192"/>
      <c r="FG51" s="192"/>
      <c r="FH51" s="192"/>
      <c r="FI51" s="192"/>
      <c r="FJ51" s="192"/>
      <c r="FK51" s="192"/>
      <c r="FL51" s="192"/>
      <c r="FM51" s="192"/>
      <c r="FN51" s="192"/>
      <c r="FO51" s="192"/>
      <c r="FP51" s="192"/>
      <c r="FQ51" s="192"/>
      <c r="FR51" s="192"/>
      <c r="FS51" s="192"/>
      <c r="FT51" s="192"/>
      <c r="FU51" s="192"/>
      <c r="FV51" s="192"/>
      <c r="FW51" s="192"/>
      <c r="FX51" s="192"/>
      <c r="FY51" s="192"/>
      <c r="FZ51" s="192"/>
      <c r="GA51" s="192"/>
      <c r="GB51" s="192"/>
      <c r="GC51" s="192"/>
      <c r="GD51" s="192"/>
      <c r="GE51" s="192"/>
      <c r="GF51" s="192"/>
      <c r="GG51" s="192"/>
      <c r="GH51" s="192"/>
      <c r="GI51" s="192"/>
      <c r="GJ51" s="192"/>
      <c r="GK51" s="192"/>
      <c r="GL51" s="192"/>
      <c r="GM51" s="192"/>
      <c r="GN51" s="192"/>
      <c r="GO51" s="192"/>
      <c r="GP51" s="192"/>
      <c r="GQ51" s="192"/>
      <c r="GR51" s="192"/>
      <c r="GS51" s="192"/>
      <c r="GT51" s="192"/>
      <c r="GU51" s="192"/>
      <c r="GV51" s="192"/>
      <c r="GW51" s="192"/>
      <c r="GX51" s="192"/>
      <c r="GY51" s="192"/>
      <c r="GZ51" s="192"/>
      <c r="HA51" s="192"/>
      <c r="HB51" s="192"/>
      <c r="HC51" s="192"/>
      <c r="HD51" s="192"/>
      <c r="HE51" s="192"/>
      <c r="HF51" s="192"/>
      <c r="HG51" s="192"/>
      <c r="HH51" s="192"/>
      <c r="HI51" s="192"/>
      <c r="HJ51" s="192"/>
      <c r="HK51" s="192"/>
      <c r="HL51" s="192"/>
      <c r="HM51" s="192"/>
      <c r="HN51" s="192"/>
      <c r="HO51" s="192"/>
      <c r="HP51" s="192"/>
      <c r="HQ51" s="192"/>
      <c r="HR51" s="192"/>
      <c r="HS51" s="192"/>
      <c r="HT51" s="192"/>
      <c r="HU51" s="192"/>
      <c r="HV51" s="192"/>
      <c r="HW51" s="192"/>
      <c r="HX51" s="192"/>
      <c r="HY51" s="192"/>
      <c r="HZ51" s="192"/>
      <c r="IA51" s="192"/>
      <c r="IB51" s="192"/>
      <c r="IC51" s="192"/>
      <c r="ID51" s="192"/>
      <c r="IE51" s="192"/>
      <c r="IF51" s="192"/>
      <c r="IG51" s="192"/>
      <c r="IH51" s="192"/>
      <c r="II51" s="192"/>
      <c r="IJ51" s="192"/>
      <c r="IK51" s="192"/>
      <c r="IL51" s="192"/>
      <c r="IM51" s="192"/>
      <c r="IN51" s="192"/>
      <c r="IO51" s="192"/>
      <c r="IP51" s="192"/>
      <c r="IQ51" s="192"/>
    </row>
    <row r="52" spans="1:251" s="157" customFormat="1" ht="21.75" customHeight="1">
      <c r="A52" s="196">
        <v>45</v>
      </c>
      <c r="B52" s="277" t="s">
        <v>261</v>
      </c>
      <c r="C52" s="278" t="s">
        <v>262</v>
      </c>
      <c r="D52" s="271">
        <v>65</v>
      </c>
      <c r="E52" s="271"/>
      <c r="F52" s="278" t="s">
        <v>199</v>
      </c>
      <c r="G52" s="271" t="s">
        <v>179</v>
      </c>
      <c r="H52" s="285" t="s">
        <v>268</v>
      </c>
      <c r="I52" s="197">
        <f t="shared" si="4"/>
        <v>420000</v>
      </c>
      <c r="J52" s="286" t="s">
        <v>278</v>
      </c>
      <c r="K52" s="200">
        <f t="shared" si="5"/>
        <v>300000</v>
      </c>
      <c r="L52" s="286" t="s">
        <v>282</v>
      </c>
      <c r="M52" s="198">
        <f t="shared" si="6"/>
        <v>300000</v>
      </c>
      <c r="N52" s="198">
        <f t="shared" si="7"/>
        <v>1020000</v>
      </c>
      <c r="O52" s="192"/>
      <c r="P52" s="192"/>
      <c r="Q52" s="192"/>
      <c r="R52" s="192"/>
      <c r="S52" s="192"/>
      <c r="T52" s="192"/>
      <c r="U52" s="192"/>
      <c r="V52" s="192"/>
      <c r="W52" s="192"/>
      <c r="X52" s="192"/>
      <c r="Y52" s="192"/>
      <c r="Z52" s="192"/>
      <c r="AA52" s="192"/>
      <c r="AB52" s="192"/>
      <c r="AC52" s="192"/>
      <c r="AD52" s="192"/>
      <c r="AE52" s="192"/>
      <c r="AF52" s="192"/>
      <c r="AG52" s="192"/>
      <c r="AH52" s="192"/>
      <c r="AI52" s="192"/>
      <c r="AJ52" s="192"/>
      <c r="AK52" s="192"/>
      <c r="AL52" s="192"/>
      <c r="AM52" s="192"/>
      <c r="AN52" s="192"/>
      <c r="AO52" s="192"/>
      <c r="AP52" s="192"/>
      <c r="AQ52" s="192"/>
      <c r="AR52" s="192"/>
      <c r="AS52" s="192"/>
      <c r="AT52" s="192"/>
      <c r="AU52" s="192"/>
      <c r="AV52" s="192"/>
      <c r="AW52" s="192"/>
      <c r="AX52" s="192"/>
      <c r="AY52" s="192"/>
      <c r="AZ52" s="192"/>
      <c r="BA52" s="192"/>
      <c r="BB52" s="192"/>
      <c r="BC52" s="192"/>
      <c r="BD52" s="192"/>
      <c r="BE52" s="192"/>
      <c r="BF52" s="192"/>
      <c r="BG52" s="192"/>
      <c r="BH52" s="192"/>
      <c r="BI52" s="192"/>
      <c r="BJ52" s="192"/>
      <c r="BK52" s="192"/>
      <c r="BL52" s="192"/>
      <c r="BM52" s="192"/>
      <c r="BN52" s="192"/>
      <c r="BO52" s="192"/>
      <c r="BP52" s="192"/>
      <c r="BQ52" s="192"/>
      <c r="BR52" s="192"/>
      <c r="BS52" s="192"/>
      <c r="BT52" s="192"/>
      <c r="BU52" s="192"/>
      <c r="BV52" s="192"/>
      <c r="BW52" s="192"/>
      <c r="BX52" s="192"/>
      <c r="BY52" s="192"/>
      <c r="BZ52" s="192"/>
      <c r="CA52" s="192"/>
      <c r="CB52" s="192"/>
      <c r="CC52" s="192"/>
      <c r="CD52" s="192"/>
      <c r="CE52" s="192"/>
      <c r="CF52" s="192"/>
      <c r="CG52" s="192"/>
      <c r="CH52" s="192"/>
      <c r="CI52" s="192"/>
      <c r="CJ52" s="192"/>
      <c r="CK52" s="192"/>
      <c r="CL52" s="192"/>
      <c r="CM52" s="192"/>
      <c r="CN52" s="192"/>
      <c r="CO52" s="192"/>
      <c r="CP52" s="192"/>
      <c r="CQ52" s="192"/>
      <c r="CR52" s="192"/>
      <c r="CS52" s="192"/>
      <c r="CT52" s="192"/>
      <c r="CU52" s="192"/>
      <c r="CV52" s="192"/>
      <c r="CW52" s="192"/>
      <c r="CX52" s="192"/>
      <c r="CY52" s="192"/>
      <c r="CZ52" s="192"/>
      <c r="DA52" s="192"/>
      <c r="DB52" s="192"/>
      <c r="DC52" s="192"/>
      <c r="DD52" s="192"/>
      <c r="DE52" s="192"/>
      <c r="DF52" s="192"/>
      <c r="DG52" s="192"/>
      <c r="DH52" s="192"/>
      <c r="DI52" s="192"/>
      <c r="DJ52" s="192"/>
      <c r="DK52" s="192"/>
      <c r="DL52" s="192"/>
      <c r="DM52" s="192"/>
      <c r="DN52" s="192"/>
      <c r="DO52" s="192"/>
      <c r="DP52" s="192"/>
      <c r="DQ52" s="192"/>
      <c r="DR52" s="192"/>
      <c r="DS52" s="192"/>
      <c r="DT52" s="192"/>
      <c r="DU52" s="192"/>
      <c r="DV52" s="192"/>
      <c r="DW52" s="192"/>
      <c r="DX52" s="192"/>
      <c r="DY52" s="192"/>
      <c r="DZ52" s="192"/>
      <c r="EA52" s="192"/>
      <c r="EB52" s="192"/>
      <c r="EC52" s="192"/>
      <c r="ED52" s="192"/>
      <c r="EE52" s="192"/>
      <c r="EF52" s="192"/>
      <c r="EG52" s="192"/>
      <c r="EH52" s="192"/>
      <c r="EI52" s="192"/>
      <c r="EJ52" s="192"/>
      <c r="EK52" s="192"/>
      <c r="EL52" s="192"/>
      <c r="EM52" s="192"/>
      <c r="EN52" s="192"/>
      <c r="EO52" s="192"/>
      <c r="EP52" s="192"/>
      <c r="EQ52" s="192"/>
      <c r="ER52" s="192"/>
      <c r="ES52" s="192"/>
      <c r="ET52" s="192"/>
      <c r="EU52" s="192"/>
      <c r="EV52" s="192"/>
      <c r="EW52" s="192"/>
      <c r="EX52" s="192"/>
      <c r="EY52" s="192"/>
      <c r="EZ52" s="192"/>
      <c r="FA52" s="192"/>
      <c r="FB52" s="192"/>
      <c r="FC52" s="192"/>
      <c r="FD52" s="192"/>
      <c r="FE52" s="192"/>
      <c r="FF52" s="192"/>
      <c r="FG52" s="192"/>
      <c r="FH52" s="192"/>
      <c r="FI52" s="192"/>
      <c r="FJ52" s="192"/>
      <c r="FK52" s="192"/>
      <c r="FL52" s="192"/>
      <c r="FM52" s="192"/>
      <c r="FN52" s="192"/>
      <c r="FO52" s="192"/>
      <c r="FP52" s="192"/>
      <c r="FQ52" s="192"/>
      <c r="FR52" s="192"/>
      <c r="FS52" s="192"/>
      <c r="FT52" s="192"/>
      <c r="FU52" s="192"/>
      <c r="FV52" s="192"/>
      <c r="FW52" s="192"/>
      <c r="FX52" s="192"/>
      <c r="FY52" s="192"/>
      <c r="FZ52" s="192"/>
      <c r="GA52" s="192"/>
      <c r="GB52" s="192"/>
      <c r="GC52" s="192"/>
      <c r="GD52" s="192"/>
      <c r="GE52" s="192"/>
      <c r="GF52" s="192"/>
      <c r="GG52" s="192"/>
      <c r="GH52" s="192"/>
      <c r="GI52" s="192"/>
      <c r="GJ52" s="192"/>
      <c r="GK52" s="192"/>
      <c r="GL52" s="192"/>
      <c r="GM52" s="192"/>
      <c r="GN52" s="192"/>
      <c r="GO52" s="192"/>
      <c r="GP52" s="192"/>
      <c r="GQ52" s="192"/>
      <c r="GR52" s="192"/>
      <c r="GS52" s="192"/>
      <c r="GT52" s="192"/>
      <c r="GU52" s="192"/>
      <c r="GV52" s="192"/>
      <c r="GW52" s="192"/>
      <c r="GX52" s="192"/>
      <c r="GY52" s="192"/>
      <c r="GZ52" s="192"/>
      <c r="HA52" s="192"/>
      <c r="HB52" s="192"/>
      <c r="HC52" s="192"/>
      <c r="HD52" s="192"/>
      <c r="HE52" s="192"/>
      <c r="HF52" s="192"/>
      <c r="HG52" s="192"/>
      <c r="HH52" s="192"/>
      <c r="HI52" s="192"/>
      <c r="HJ52" s="192"/>
      <c r="HK52" s="192"/>
      <c r="HL52" s="192"/>
      <c r="HM52" s="192"/>
      <c r="HN52" s="192"/>
      <c r="HO52" s="192"/>
      <c r="HP52" s="192"/>
      <c r="HQ52" s="192"/>
      <c r="HR52" s="192"/>
      <c r="HS52" s="192"/>
      <c r="HT52" s="192"/>
      <c r="HU52" s="192"/>
      <c r="HV52" s="192"/>
      <c r="HW52" s="192"/>
      <c r="HX52" s="192"/>
      <c r="HY52" s="192"/>
      <c r="HZ52" s="192"/>
      <c r="IA52" s="192"/>
      <c r="IB52" s="192"/>
      <c r="IC52" s="192"/>
      <c r="ID52" s="192"/>
      <c r="IE52" s="192"/>
      <c r="IF52" s="192"/>
      <c r="IG52" s="192"/>
      <c r="IH52" s="192"/>
      <c r="II52" s="192"/>
      <c r="IJ52" s="192"/>
      <c r="IK52" s="192"/>
      <c r="IL52" s="192"/>
      <c r="IM52" s="192"/>
      <c r="IN52" s="192"/>
      <c r="IO52" s="192"/>
      <c r="IP52" s="192"/>
      <c r="IQ52" s="192"/>
    </row>
    <row r="53" spans="1:251" s="157" customFormat="1" ht="21.75" customHeight="1">
      <c r="A53" s="196">
        <v>46</v>
      </c>
      <c r="B53" s="277" t="s">
        <v>283</v>
      </c>
      <c r="C53" s="278" t="s">
        <v>284</v>
      </c>
      <c r="D53" s="271"/>
      <c r="E53" s="271">
        <v>42</v>
      </c>
      <c r="F53" s="278" t="s">
        <v>285</v>
      </c>
      <c r="G53" s="271" t="s">
        <v>286</v>
      </c>
      <c r="H53" s="285" t="s">
        <v>266</v>
      </c>
      <c r="I53" s="197">
        <f t="shared" si="4"/>
        <v>97500</v>
      </c>
      <c r="J53" s="286" t="s">
        <v>278</v>
      </c>
      <c r="K53" s="200">
        <f t="shared" si="5"/>
        <v>75000</v>
      </c>
      <c r="L53" s="286" t="s">
        <v>56</v>
      </c>
      <c r="M53" s="198">
        <f t="shared" si="6"/>
        <v>0</v>
      </c>
      <c r="N53" s="198">
        <f t="shared" si="7"/>
        <v>172500</v>
      </c>
      <c r="O53" s="192"/>
      <c r="P53" s="192"/>
      <c r="Q53" s="192"/>
      <c r="R53" s="192"/>
      <c r="S53" s="192"/>
      <c r="T53" s="192"/>
      <c r="U53" s="192"/>
      <c r="V53" s="192"/>
      <c r="W53" s="192"/>
      <c r="X53" s="192"/>
      <c r="Y53" s="192"/>
      <c r="Z53" s="192"/>
      <c r="AA53" s="192"/>
      <c r="AB53" s="192"/>
      <c r="AC53" s="192"/>
      <c r="AD53" s="192"/>
      <c r="AE53" s="192"/>
      <c r="AF53" s="192"/>
      <c r="AG53" s="192"/>
      <c r="AH53" s="192"/>
      <c r="AI53" s="192"/>
      <c r="AJ53" s="192"/>
      <c r="AK53" s="192"/>
      <c r="AL53" s="192"/>
      <c r="AM53" s="192"/>
      <c r="AN53" s="192"/>
      <c r="AO53" s="192"/>
      <c r="AP53" s="192"/>
      <c r="AQ53" s="192"/>
      <c r="AR53" s="192"/>
      <c r="AS53" s="192"/>
      <c r="AT53" s="192"/>
      <c r="AU53" s="192"/>
      <c r="AV53" s="192"/>
      <c r="AW53" s="192"/>
      <c r="AX53" s="192"/>
      <c r="AY53" s="192"/>
      <c r="AZ53" s="192"/>
      <c r="BA53" s="192"/>
      <c r="BB53" s="192"/>
      <c r="BC53" s="192"/>
      <c r="BD53" s="192"/>
      <c r="BE53" s="192"/>
      <c r="BF53" s="192"/>
      <c r="BG53" s="192"/>
      <c r="BH53" s="192"/>
      <c r="BI53" s="192"/>
      <c r="BJ53" s="192"/>
      <c r="BK53" s="192"/>
      <c r="BL53" s="192"/>
      <c r="BM53" s="192"/>
      <c r="BN53" s="192"/>
      <c r="BO53" s="192"/>
      <c r="BP53" s="192"/>
      <c r="BQ53" s="192"/>
      <c r="BR53" s="192"/>
      <c r="BS53" s="192"/>
      <c r="BT53" s="192"/>
      <c r="BU53" s="192"/>
      <c r="BV53" s="192"/>
      <c r="BW53" s="192"/>
      <c r="BX53" s="192"/>
      <c r="BY53" s="192"/>
      <c r="BZ53" s="192"/>
      <c r="CA53" s="192"/>
      <c r="CB53" s="192"/>
      <c r="CC53" s="192"/>
      <c r="CD53" s="192"/>
      <c r="CE53" s="192"/>
      <c r="CF53" s="192"/>
      <c r="CG53" s="192"/>
      <c r="CH53" s="192"/>
      <c r="CI53" s="192"/>
      <c r="CJ53" s="192"/>
      <c r="CK53" s="192"/>
      <c r="CL53" s="192"/>
      <c r="CM53" s="192"/>
      <c r="CN53" s="192"/>
      <c r="CO53" s="192"/>
      <c r="CP53" s="192"/>
      <c r="CQ53" s="192"/>
      <c r="CR53" s="192"/>
      <c r="CS53" s="192"/>
      <c r="CT53" s="192"/>
      <c r="CU53" s="192"/>
      <c r="CV53" s="192"/>
      <c r="CW53" s="192"/>
      <c r="CX53" s="192"/>
      <c r="CY53" s="192"/>
      <c r="CZ53" s="192"/>
      <c r="DA53" s="192"/>
      <c r="DB53" s="192"/>
      <c r="DC53" s="192"/>
      <c r="DD53" s="192"/>
      <c r="DE53" s="192"/>
      <c r="DF53" s="192"/>
      <c r="DG53" s="192"/>
      <c r="DH53" s="192"/>
      <c r="DI53" s="192"/>
      <c r="DJ53" s="192"/>
      <c r="DK53" s="192"/>
      <c r="DL53" s="192"/>
      <c r="DM53" s="192"/>
      <c r="DN53" s="192"/>
      <c r="DO53" s="192"/>
      <c r="DP53" s="192"/>
      <c r="DQ53" s="192"/>
      <c r="DR53" s="192"/>
      <c r="DS53" s="192"/>
      <c r="DT53" s="192"/>
      <c r="DU53" s="192"/>
      <c r="DV53" s="192"/>
      <c r="DW53" s="192"/>
      <c r="DX53" s="192"/>
      <c r="DY53" s="192"/>
      <c r="DZ53" s="192"/>
      <c r="EA53" s="192"/>
      <c r="EB53" s="192"/>
      <c r="EC53" s="192"/>
      <c r="ED53" s="192"/>
      <c r="EE53" s="192"/>
      <c r="EF53" s="192"/>
      <c r="EG53" s="192"/>
      <c r="EH53" s="192"/>
      <c r="EI53" s="192"/>
      <c r="EJ53" s="192"/>
      <c r="EK53" s="192"/>
      <c r="EL53" s="192"/>
      <c r="EM53" s="192"/>
      <c r="EN53" s="192"/>
      <c r="EO53" s="192"/>
      <c r="EP53" s="192"/>
      <c r="EQ53" s="192"/>
      <c r="ER53" s="192"/>
      <c r="ES53" s="192"/>
      <c r="ET53" s="192"/>
      <c r="EU53" s="192"/>
      <c r="EV53" s="192"/>
      <c r="EW53" s="192"/>
      <c r="EX53" s="192"/>
      <c r="EY53" s="192"/>
      <c r="EZ53" s="192"/>
      <c r="FA53" s="192"/>
      <c r="FB53" s="192"/>
      <c r="FC53" s="192"/>
      <c r="FD53" s="192"/>
      <c r="FE53" s="192"/>
      <c r="FF53" s="192"/>
      <c r="FG53" s="192"/>
      <c r="FH53" s="192"/>
      <c r="FI53" s="192"/>
      <c r="FJ53" s="192"/>
      <c r="FK53" s="192"/>
      <c r="FL53" s="192"/>
      <c r="FM53" s="192"/>
      <c r="FN53" s="192"/>
      <c r="FO53" s="192"/>
      <c r="FP53" s="192"/>
      <c r="FQ53" s="192"/>
      <c r="FR53" s="192"/>
      <c r="FS53" s="192"/>
      <c r="FT53" s="192"/>
      <c r="FU53" s="192"/>
      <c r="FV53" s="192"/>
      <c r="FW53" s="192"/>
      <c r="FX53" s="192"/>
      <c r="FY53" s="192"/>
      <c r="FZ53" s="192"/>
      <c r="GA53" s="192"/>
      <c r="GB53" s="192"/>
      <c r="GC53" s="192"/>
      <c r="GD53" s="192"/>
      <c r="GE53" s="192"/>
      <c r="GF53" s="192"/>
      <c r="GG53" s="192"/>
      <c r="GH53" s="192"/>
      <c r="GI53" s="192"/>
      <c r="GJ53" s="192"/>
      <c r="GK53" s="192"/>
      <c r="GL53" s="192"/>
      <c r="GM53" s="192"/>
      <c r="GN53" s="192"/>
      <c r="GO53" s="192"/>
      <c r="GP53" s="192"/>
      <c r="GQ53" s="192"/>
      <c r="GR53" s="192"/>
      <c r="GS53" s="192"/>
      <c r="GT53" s="192"/>
      <c r="GU53" s="192"/>
      <c r="GV53" s="192"/>
      <c r="GW53" s="192"/>
      <c r="GX53" s="192"/>
      <c r="GY53" s="192"/>
      <c r="GZ53" s="192"/>
      <c r="HA53" s="192"/>
      <c r="HB53" s="192"/>
      <c r="HC53" s="192"/>
      <c r="HD53" s="192"/>
      <c r="HE53" s="192"/>
      <c r="HF53" s="192"/>
      <c r="HG53" s="192"/>
      <c r="HH53" s="192"/>
      <c r="HI53" s="192"/>
      <c r="HJ53" s="192"/>
      <c r="HK53" s="192"/>
      <c r="HL53" s="192"/>
      <c r="HM53" s="192"/>
      <c r="HN53" s="192"/>
      <c r="HO53" s="192"/>
      <c r="HP53" s="192"/>
      <c r="HQ53" s="192"/>
      <c r="HR53" s="192"/>
      <c r="HS53" s="192"/>
      <c r="HT53" s="192"/>
      <c r="HU53" s="192"/>
      <c r="HV53" s="192"/>
      <c r="HW53" s="192"/>
      <c r="HX53" s="192"/>
      <c r="HY53" s="192"/>
      <c r="HZ53" s="192"/>
      <c r="IA53" s="192"/>
      <c r="IB53" s="192"/>
      <c r="IC53" s="192"/>
      <c r="ID53" s="192"/>
      <c r="IE53" s="192"/>
      <c r="IF53" s="192"/>
      <c r="IG53" s="192"/>
      <c r="IH53" s="192"/>
      <c r="II53" s="192"/>
      <c r="IJ53" s="192"/>
      <c r="IK53" s="192"/>
      <c r="IL53" s="192"/>
      <c r="IM53" s="192"/>
      <c r="IN53" s="192"/>
      <c r="IO53" s="192"/>
      <c r="IP53" s="192"/>
      <c r="IQ53" s="192"/>
    </row>
    <row r="54" spans="1:251" s="157" customFormat="1" ht="21.75" customHeight="1">
      <c r="A54" s="196">
        <v>47</v>
      </c>
      <c r="B54" s="277" t="s">
        <v>142</v>
      </c>
      <c r="C54" s="278" t="s">
        <v>287</v>
      </c>
      <c r="D54" s="271">
        <v>82</v>
      </c>
      <c r="E54" s="271"/>
      <c r="F54" s="278" t="s">
        <v>285</v>
      </c>
      <c r="G54" s="271" t="s">
        <v>288</v>
      </c>
      <c r="H54" s="285" t="s">
        <v>268</v>
      </c>
      <c r="I54" s="197">
        <f t="shared" si="4"/>
        <v>97500</v>
      </c>
      <c r="J54" s="286" t="s">
        <v>272</v>
      </c>
      <c r="K54" s="200">
        <f t="shared" si="5"/>
        <v>75000</v>
      </c>
      <c r="L54" s="286" t="s">
        <v>56</v>
      </c>
      <c r="M54" s="198">
        <f t="shared" si="6"/>
        <v>0</v>
      </c>
      <c r="N54" s="198">
        <f t="shared" si="7"/>
        <v>172500</v>
      </c>
      <c r="O54" s="192"/>
      <c r="P54" s="192"/>
      <c r="Q54" s="192"/>
      <c r="R54" s="192"/>
      <c r="S54" s="192"/>
      <c r="T54" s="192"/>
      <c r="U54" s="192"/>
      <c r="V54" s="192"/>
      <c r="W54" s="192"/>
      <c r="X54" s="192"/>
      <c r="Y54" s="192"/>
      <c r="Z54" s="192"/>
      <c r="AA54" s="192"/>
      <c r="AB54" s="192"/>
      <c r="AC54" s="192"/>
      <c r="AD54" s="192"/>
      <c r="AE54" s="192"/>
      <c r="AF54" s="192"/>
      <c r="AG54" s="192"/>
      <c r="AH54" s="192"/>
      <c r="AI54" s="192"/>
      <c r="AJ54" s="192"/>
      <c r="AK54" s="192"/>
      <c r="AL54" s="192"/>
      <c r="AM54" s="192"/>
      <c r="AN54" s="192"/>
      <c r="AO54" s="192"/>
      <c r="AP54" s="192"/>
      <c r="AQ54" s="192"/>
      <c r="AR54" s="192"/>
      <c r="AS54" s="192"/>
      <c r="AT54" s="192"/>
      <c r="AU54" s="192"/>
      <c r="AV54" s="192"/>
      <c r="AW54" s="192"/>
      <c r="AX54" s="192"/>
      <c r="AY54" s="192"/>
      <c r="AZ54" s="192"/>
      <c r="BA54" s="192"/>
      <c r="BB54" s="192"/>
      <c r="BC54" s="192"/>
      <c r="BD54" s="192"/>
      <c r="BE54" s="192"/>
      <c r="BF54" s="192"/>
      <c r="BG54" s="192"/>
      <c r="BH54" s="192"/>
      <c r="BI54" s="192"/>
      <c r="BJ54" s="192"/>
      <c r="BK54" s="192"/>
      <c r="BL54" s="192"/>
      <c r="BM54" s="192"/>
      <c r="BN54" s="192"/>
      <c r="BO54" s="192"/>
      <c r="BP54" s="192"/>
      <c r="BQ54" s="192"/>
      <c r="BR54" s="192"/>
      <c r="BS54" s="192"/>
      <c r="BT54" s="192"/>
      <c r="BU54" s="192"/>
      <c r="BV54" s="192"/>
      <c r="BW54" s="192"/>
      <c r="BX54" s="192"/>
      <c r="BY54" s="192"/>
      <c r="BZ54" s="192"/>
      <c r="CA54" s="192"/>
      <c r="CB54" s="192"/>
      <c r="CC54" s="192"/>
      <c r="CD54" s="192"/>
      <c r="CE54" s="192"/>
      <c r="CF54" s="192"/>
      <c r="CG54" s="192"/>
      <c r="CH54" s="192"/>
      <c r="CI54" s="192"/>
      <c r="CJ54" s="192"/>
      <c r="CK54" s="192"/>
      <c r="CL54" s="192"/>
      <c r="CM54" s="192"/>
      <c r="CN54" s="192"/>
      <c r="CO54" s="192"/>
      <c r="CP54" s="192"/>
      <c r="CQ54" s="192"/>
      <c r="CR54" s="192"/>
      <c r="CS54" s="192"/>
      <c r="CT54" s="192"/>
      <c r="CU54" s="192"/>
      <c r="CV54" s="192"/>
      <c r="CW54" s="192"/>
      <c r="CX54" s="192"/>
      <c r="CY54" s="192"/>
      <c r="CZ54" s="192"/>
      <c r="DA54" s="192"/>
      <c r="DB54" s="192"/>
      <c r="DC54" s="192"/>
      <c r="DD54" s="192"/>
      <c r="DE54" s="192"/>
      <c r="DF54" s="192"/>
      <c r="DG54" s="192"/>
      <c r="DH54" s="192"/>
      <c r="DI54" s="192"/>
      <c r="DJ54" s="192"/>
      <c r="DK54" s="192"/>
      <c r="DL54" s="192"/>
      <c r="DM54" s="192"/>
      <c r="DN54" s="192"/>
      <c r="DO54" s="192"/>
      <c r="DP54" s="192"/>
      <c r="DQ54" s="192"/>
      <c r="DR54" s="192"/>
      <c r="DS54" s="192"/>
      <c r="DT54" s="192"/>
      <c r="DU54" s="192"/>
      <c r="DV54" s="192"/>
      <c r="DW54" s="192"/>
      <c r="DX54" s="192"/>
      <c r="DY54" s="192"/>
      <c r="DZ54" s="192"/>
      <c r="EA54" s="192"/>
      <c r="EB54" s="192"/>
      <c r="EC54" s="192"/>
      <c r="ED54" s="192"/>
      <c r="EE54" s="192"/>
      <c r="EF54" s="192"/>
      <c r="EG54" s="192"/>
      <c r="EH54" s="192"/>
      <c r="EI54" s="192"/>
      <c r="EJ54" s="192"/>
      <c r="EK54" s="192"/>
      <c r="EL54" s="192"/>
      <c r="EM54" s="192"/>
      <c r="EN54" s="192"/>
      <c r="EO54" s="192"/>
      <c r="EP54" s="192"/>
      <c r="EQ54" s="192"/>
      <c r="ER54" s="192"/>
      <c r="ES54" s="192"/>
      <c r="ET54" s="192"/>
      <c r="EU54" s="192"/>
      <c r="EV54" s="192"/>
      <c r="EW54" s="192"/>
      <c r="EX54" s="192"/>
      <c r="EY54" s="192"/>
      <c r="EZ54" s="192"/>
      <c r="FA54" s="192"/>
      <c r="FB54" s="192"/>
      <c r="FC54" s="192"/>
      <c r="FD54" s="192"/>
      <c r="FE54" s="192"/>
      <c r="FF54" s="192"/>
      <c r="FG54" s="192"/>
      <c r="FH54" s="192"/>
      <c r="FI54" s="192"/>
      <c r="FJ54" s="192"/>
      <c r="FK54" s="192"/>
      <c r="FL54" s="192"/>
      <c r="FM54" s="192"/>
      <c r="FN54" s="192"/>
      <c r="FO54" s="192"/>
      <c r="FP54" s="192"/>
      <c r="FQ54" s="192"/>
      <c r="FR54" s="192"/>
      <c r="FS54" s="192"/>
      <c r="FT54" s="192"/>
      <c r="FU54" s="192"/>
      <c r="FV54" s="192"/>
      <c r="FW54" s="192"/>
      <c r="FX54" s="192"/>
      <c r="FY54" s="192"/>
      <c r="FZ54" s="192"/>
      <c r="GA54" s="192"/>
      <c r="GB54" s="192"/>
      <c r="GC54" s="192"/>
      <c r="GD54" s="192"/>
      <c r="GE54" s="192"/>
      <c r="GF54" s="192"/>
      <c r="GG54" s="192"/>
      <c r="GH54" s="192"/>
      <c r="GI54" s="192"/>
      <c r="GJ54" s="192"/>
      <c r="GK54" s="192"/>
      <c r="GL54" s="192"/>
      <c r="GM54" s="192"/>
      <c r="GN54" s="192"/>
      <c r="GO54" s="192"/>
      <c r="GP54" s="192"/>
      <c r="GQ54" s="192"/>
      <c r="GR54" s="192"/>
      <c r="GS54" s="192"/>
      <c r="GT54" s="192"/>
      <c r="GU54" s="192"/>
      <c r="GV54" s="192"/>
      <c r="GW54" s="192"/>
      <c r="GX54" s="192"/>
      <c r="GY54" s="192"/>
      <c r="GZ54" s="192"/>
      <c r="HA54" s="192"/>
      <c r="HB54" s="192"/>
      <c r="HC54" s="192"/>
      <c r="HD54" s="192"/>
      <c r="HE54" s="192"/>
      <c r="HF54" s="192"/>
      <c r="HG54" s="192"/>
      <c r="HH54" s="192"/>
      <c r="HI54" s="192"/>
      <c r="HJ54" s="192"/>
      <c r="HK54" s="192"/>
      <c r="HL54" s="192"/>
      <c r="HM54" s="192"/>
      <c r="HN54" s="192"/>
      <c r="HO54" s="192"/>
      <c r="HP54" s="192"/>
      <c r="HQ54" s="192"/>
      <c r="HR54" s="192"/>
      <c r="HS54" s="192"/>
      <c r="HT54" s="192"/>
      <c r="HU54" s="192"/>
      <c r="HV54" s="192"/>
      <c r="HW54" s="192"/>
      <c r="HX54" s="192"/>
      <c r="HY54" s="192"/>
      <c r="HZ54" s="192"/>
      <c r="IA54" s="192"/>
      <c r="IB54" s="192"/>
      <c r="IC54" s="192"/>
      <c r="ID54" s="192"/>
      <c r="IE54" s="192"/>
      <c r="IF54" s="192"/>
      <c r="IG54" s="192"/>
      <c r="IH54" s="192"/>
      <c r="II54" s="192"/>
      <c r="IJ54" s="192"/>
      <c r="IK54" s="192"/>
      <c r="IL54" s="192"/>
      <c r="IM54" s="192"/>
      <c r="IN54" s="192"/>
      <c r="IO54" s="192"/>
      <c r="IP54" s="192"/>
      <c r="IQ54" s="192"/>
    </row>
    <row r="55" spans="1:251" s="157" customFormat="1" ht="21.75" customHeight="1">
      <c r="A55" s="196">
        <v>48</v>
      </c>
      <c r="B55" s="277" t="s">
        <v>143</v>
      </c>
      <c r="C55" s="278" t="s">
        <v>287</v>
      </c>
      <c r="D55" s="271">
        <v>82</v>
      </c>
      <c r="E55" s="271"/>
      <c r="F55" s="278" t="s">
        <v>285</v>
      </c>
      <c r="G55" s="271" t="s">
        <v>288</v>
      </c>
      <c r="H55" s="285" t="s">
        <v>268</v>
      </c>
      <c r="I55" s="197">
        <f t="shared" si="4"/>
        <v>97500</v>
      </c>
      <c r="J55" s="286" t="s">
        <v>272</v>
      </c>
      <c r="K55" s="200">
        <f t="shared" si="5"/>
        <v>75000</v>
      </c>
      <c r="L55" s="286" t="s">
        <v>56</v>
      </c>
      <c r="M55" s="198">
        <f t="shared" si="6"/>
        <v>0</v>
      </c>
      <c r="N55" s="198">
        <f t="shared" si="7"/>
        <v>172500</v>
      </c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Y55" s="192"/>
      <c r="Z55" s="192"/>
      <c r="AA55" s="192"/>
      <c r="AB55" s="192"/>
      <c r="AC55" s="192"/>
      <c r="AD55" s="192"/>
      <c r="AE55" s="192"/>
      <c r="AF55" s="192"/>
      <c r="AG55" s="192"/>
      <c r="AH55" s="192"/>
      <c r="AI55" s="192"/>
      <c r="AJ55" s="192"/>
      <c r="AK55" s="192"/>
      <c r="AL55" s="192"/>
      <c r="AM55" s="192"/>
      <c r="AN55" s="192"/>
      <c r="AO55" s="192"/>
      <c r="AP55" s="192"/>
      <c r="AQ55" s="192"/>
      <c r="AR55" s="192"/>
      <c r="AS55" s="192"/>
      <c r="AT55" s="192"/>
      <c r="AU55" s="192"/>
      <c r="AV55" s="192"/>
      <c r="AW55" s="192"/>
      <c r="AX55" s="192"/>
      <c r="AY55" s="192"/>
      <c r="AZ55" s="192"/>
      <c r="BA55" s="192"/>
      <c r="BB55" s="192"/>
      <c r="BC55" s="192"/>
      <c r="BD55" s="192"/>
      <c r="BE55" s="192"/>
      <c r="BF55" s="192"/>
      <c r="BG55" s="192"/>
      <c r="BH55" s="192"/>
      <c r="BI55" s="192"/>
      <c r="BJ55" s="192"/>
      <c r="BK55" s="192"/>
      <c r="BL55" s="192"/>
      <c r="BM55" s="192"/>
      <c r="BN55" s="192"/>
      <c r="BO55" s="192"/>
      <c r="BP55" s="192"/>
      <c r="BQ55" s="192"/>
      <c r="BR55" s="192"/>
      <c r="BS55" s="192"/>
      <c r="BT55" s="192"/>
      <c r="BU55" s="192"/>
      <c r="BV55" s="192"/>
      <c r="BW55" s="192"/>
      <c r="BX55" s="192"/>
      <c r="BY55" s="192"/>
      <c r="BZ55" s="192"/>
      <c r="CA55" s="192"/>
      <c r="CB55" s="192"/>
      <c r="CC55" s="192"/>
      <c r="CD55" s="192"/>
      <c r="CE55" s="192"/>
      <c r="CF55" s="192"/>
      <c r="CG55" s="192"/>
      <c r="CH55" s="192"/>
      <c r="CI55" s="192"/>
      <c r="CJ55" s="192"/>
      <c r="CK55" s="192"/>
      <c r="CL55" s="192"/>
      <c r="CM55" s="192"/>
      <c r="CN55" s="192"/>
      <c r="CO55" s="192"/>
      <c r="CP55" s="192"/>
      <c r="CQ55" s="192"/>
      <c r="CR55" s="192"/>
      <c r="CS55" s="192"/>
      <c r="CT55" s="192"/>
      <c r="CU55" s="192"/>
      <c r="CV55" s="192"/>
      <c r="CW55" s="192"/>
      <c r="CX55" s="192"/>
      <c r="CY55" s="192"/>
      <c r="CZ55" s="192"/>
      <c r="DA55" s="192"/>
      <c r="DB55" s="192"/>
      <c r="DC55" s="192"/>
      <c r="DD55" s="192"/>
      <c r="DE55" s="192"/>
      <c r="DF55" s="192"/>
      <c r="DG55" s="192"/>
      <c r="DH55" s="192"/>
      <c r="DI55" s="192"/>
      <c r="DJ55" s="192"/>
      <c r="DK55" s="192"/>
      <c r="DL55" s="192"/>
      <c r="DM55" s="192"/>
      <c r="DN55" s="192"/>
      <c r="DO55" s="192"/>
      <c r="DP55" s="192"/>
      <c r="DQ55" s="192"/>
      <c r="DR55" s="192"/>
      <c r="DS55" s="192"/>
      <c r="DT55" s="192"/>
      <c r="DU55" s="192"/>
      <c r="DV55" s="192"/>
      <c r="DW55" s="192"/>
      <c r="DX55" s="192"/>
      <c r="DY55" s="192"/>
      <c r="DZ55" s="192"/>
      <c r="EA55" s="192"/>
      <c r="EB55" s="192"/>
      <c r="EC55" s="192"/>
      <c r="ED55" s="192"/>
      <c r="EE55" s="192"/>
      <c r="EF55" s="192"/>
      <c r="EG55" s="192"/>
      <c r="EH55" s="192"/>
      <c r="EI55" s="192"/>
      <c r="EJ55" s="192"/>
      <c r="EK55" s="192"/>
      <c r="EL55" s="192"/>
      <c r="EM55" s="192"/>
      <c r="EN55" s="192"/>
      <c r="EO55" s="192"/>
      <c r="EP55" s="192"/>
      <c r="EQ55" s="192"/>
      <c r="ER55" s="192"/>
      <c r="ES55" s="192"/>
      <c r="ET55" s="192"/>
      <c r="EU55" s="192"/>
      <c r="EV55" s="192"/>
      <c r="EW55" s="192"/>
      <c r="EX55" s="192"/>
      <c r="EY55" s="192"/>
      <c r="EZ55" s="192"/>
      <c r="FA55" s="192"/>
      <c r="FB55" s="192"/>
      <c r="FC55" s="192"/>
      <c r="FD55" s="192"/>
      <c r="FE55" s="192"/>
      <c r="FF55" s="192"/>
      <c r="FG55" s="192"/>
      <c r="FH55" s="192"/>
      <c r="FI55" s="192"/>
      <c r="FJ55" s="192"/>
      <c r="FK55" s="192"/>
      <c r="FL55" s="192"/>
      <c r="FM55" s="192"/>
      <c r="FN55" s="192"/>
      <c r="FO55" s="192"/>
      <c r="FP55" s="192"/>
      <c r="FQ55" s="192"/>
      <c r="FR55" s="192"/>
      <c r="FS55" s="192"/>
      <c r="FT55" s="192"/>
      <c r="FU55" s="192"/>
      <c r="FV55" s="192"/>
      <c r="FW55" s="192"/>
      <c r="FX55" s="192"/>
      <c r="FY55" s="192"/>
      <c r="FZ55" s="192"/>
      <c r="GA55" s="192"/>
      <c r="GB55" s="192"/>
      <c r="GC55" s="192"/>
      <c r="GD55" s="192"/>
      <c r="GE55" s="192"/>
      <c r="GF55" s="192"/>
      <c r="GG55" s="192"/>
      <c r="GH55" s="192"/>
      <c r="GI55" s="192"/>
      <c r="GJ55" s="192"/>
      <c r="GK55" s="192"/>
      <c r="GL55" s="192"/>
      <c r="GM55" s="192"/>
      <c r="GN55" s="192"/>
      <c r="GO55" s="192"/>
      <c r="GP55" s="192"/>
      <c r="GQ55" s="192"/>
      <c r="GR55" s="192"/>
      <c r="GS55" s="192"/>
      <c r="GT55" s="192"/>
      <c r="GU55" s="192"/>
      <c r="GV55" s="192"/>
      <c r="GW55" s="192"/>
      <c r="GX55" s="192"/>
      <c r="GY55" s="192"/>
      <c r="GZ55" s="192"/>
      <c r="HA55" s="192"/>
      <c r="HB55" s="192"/>
      <c r="HC55" s="192"/>
      <c r="HD55" s="192"/>
      <c r="HE55" s="192"/>
      <c r="HF55" s="192"/>
      <c r="HG55" s="192"/>
      <c r="HH55" s="192"/>
      <c r="HI55" s="192"/>
      <c r="HJ55" s="192"/>
      <c r="HK55" s="192"/>
      <c r="HL55" s="192"/>
      <c r="HM55" s="192"/>
      <c r="HN55" s="192"/>
      <c r="HO55" s="192"/>
      <c r="HP55" s="192"/>
      <c r="HQ55" s="192"/>
      <c r="HR55" s="192"/>
      <c r="HS55" s="192"/>
      <c r="HT55" s="192"/>
      <c r="HU55" s="192"/>
      <c r="HV55" s="192"/>
      <c r="HW55" s="192"/>
      <c r="HX55" s="192"/>
      <c r="HY55" s="192"/>
      <c r="HZ55" s="192"/>
      <c r="IA55" s="192"/>
      <c r="IB55" s="192"/>
      <c r="IC55" s="192"/>
      <c r="ID55" s="192"/>
      <c r="IE55" s="192"/>
      <c r="IF55" s="192"/>
      <c r="IG55" s="192"/>
      <c r="IH55" s="192"/>
      <c r="II55" s="192"/>
      <c r="IJ55" s="192"/>
      <c r="IK55" s="192"/>
      <c r="IL55" s="192"/>
      <c r="IM55" s="192"/>
      <c r="IN55" s="192"/>
      <c r="IO55" s="192"/>
      <c r="IP55" s="192"/>
      <c r="IQ55" s="192"/>
    </row>
    <row r="56" spans="1:251" s="157" customFormat="1" ht="21.75" customHeight="1">
      <c r="A56" s="196">
        <v>49</v>
      </c>
      <c r="B56" s="277" t="s">
        <v>144</v>
      </c>
      <c r="C56" s="278" t="s">
        <v>284</v>
      </c>
      <c r="D56" s="271">
        <v>42</v>
      </c>
      <c r="E56" s="271"/>
      <c r="F56" s="278" t="s">
        <v>285</v>
      </c>
      <c r="G56" s="271" t="s">
        <v>288</v>
      </c>
      <c r="H56" s="285" t="s">
        <v>266</v>
      </c>
      <c r="I56" s="197">
        <f t="shared" si="4"/>
        <v>97500</v>
      </c>
      <c r="J56" s="286" t="s">
        <v>272</v>
      </c>
      <c r="K56" s="200">
        <f t="shared" si="5"/>
        <v>75000</v>
      </c>
      <c r="L56" s="286" t="s">
        <v>56</v>
      </c>
      <c r="M56" s="198">
        <f t="shared" si="6"/>
        <v>0</v>
      </c>
      <c r="N56" s="198">
        <f t="shared" si="7"/>
        <v>172500</v>
      </c>
      <c r="O56" s="192"/>
      <c r="P56" s="192"/>
      <c r="Q56" s="192"/>
      <c r="R56" s="192"/>
      <c r="S56" s="192"/>
      <c r="T56" s="192"/>
      <c r="U56" s="192"/>
      <c r="V56" s="192"/>
      <c r="W56" s="192"/>
      <c r="X56" s="192"/>
      <c r="Y56" s="192"/>
      <c r="Z56" s="192"/>
      <c r="AA56" s="192"/>
      <c r="AB56" s="192"/>
      <c r="AC56" s="192"/>
      <c r="AD56" s="192"/>
      <c r="AE56" s="192"/>
      <c r="AF56" s="192"/>
      <c r="AG56" s="192"/>
      <c r="AH56" s="192"/>
      <c r="AI56" s="192"/>
      <c r="AJ56" s="192"/>
      <c r="AK56" s="192"/>
      <c r="AL56" s="192"/>
      <c r="AM56" s="192"/>
      <c r="AN56" s="192"/>
      <c r="AO56" s="192"/>
      <c r="AP56" s="192"/>
      <c r="AQ56" s="192"/>
      <c r="AR56" s="192"/>
      <c r="AS56" s="192"/>
      <c r="AT56" s="192"/>
      <c r="AU56" s="192"/>
      <c r="AV56" s="192"/>
      <c r="AW56" s="192"/>
      <c r="AX56" s="192"/>
      <c r="AY56" s="192"/>
      <c r="AZ56" s="192"/>
      <c r="BA56" s="192"/>
      <c r="BB56" s="192"/>
      <c r="BC56" s="192"/>
      <c r="BD56" s="192"/>
      <c r="BE56" s="192"/>
      <c r="BF56" s="192"/>
      <c r="BG56" s="192"/>
      <c r="BH56" s="192"/>
      <c r="BI56" s="192"/>
      <c r="BJ56" s="192"/>
      <c r="BK56" s="192"/>
      <c r="BL56" s="192"/>
      <c r="BM56" s="192"/>
      <c r="BN56" s="192"/>
      <c r="BO56" s="192"/>
      <c r="BP56" s="192"/>
      <c r="BQ56" s="192"/>
      <c r="BR56" s="192"/>
      <c r="BS56" s="192"/>
      <c r="BT56" s="192"/>
      <c r="BU56" s="192"/>
      <c r="BV56" s="192"/>
      <c r="BW56" s="192"/>
      <c r="BX56" s="192"/>
      <c r="BY56" s="192"/>
      <c r="BZ56" s="192"/>
      <c r="CA56" s="192"/>
      <c r="CB56" s="192"/>
      <c r="CC56" s="192"/>
      <c r="CD56" s="192"/>
      <c r="CE56" s="192"/>
      <c r="CF56" s="192"/>
      <c r="CG56" s="192"/>
      <c r="CH56" s="192"/>
      <c r="CI56" s="192"/>
      <c r="CJ56" s="192"/>
      <c r="CK56" s="192"/>
      <c r="CL56" s="192"/>
      <c r="CM56" s="192"/>
      <c r="CN56" s="192"/>
      <c r="CO56" s="192"/>
      <c r="CP56" s="192"/>
      <c r="CQ56" s="192"/>
      <c r="CR56" s="192"/>
      <c r="CS56" s="192"/>
      <c r="CT56" s="192"/>
      <c r="CU56" s="192"/>
      <c r="CV56" s="192"/>
      <c r="CW56" s="192"/>
      <c r="CX56" s="192"/>
      <c r="CY56" s="192"/>
      <c r="CZ56" s="192"/>
      <c r="DA56" s="192"/>
      <c r="DB56" s="192"/>
      <c r="DC56" s="192"/>
      <c r="DD56" s="192"/>
      <c r="DE56" s="192"/>
      <c r="DF56" s="192"/>
      <c r="DG56" s="192"/>
      <c r="DH56" s="192"/>
      <c r="DI56" s="192"/>
      <c r="DJ56" s="192"/>
      <c r="DK56" s="192"/>
      <c r="DL56" s="192"/>
      <c r="DM56" s="192"/>
      <c r="DN56" s="192"/>
      <c r="DO56" s="192"/>
      <c r="DP56" s="192"/>
      <c r="DQ56" s="192"/>
      <c r="DR56" s="192"/>
      <c r="DS56" s="192"/>
      <c r="DT56" s="192"/>
      <c r="DU56" s="192"/>
      <c r="DV56" s="192"/>
      <c r="DW56" s="192"/>
      <c r="DX56" s="192"/>
      <c r="DY56" s="192"/>
      <c r="DZ56" s="192"/>
      <c r="EA56" s="192"/>
      <c r="EB56" s="192"/>
      <c r="EC56" s="192"/>
      <c r="ED56" s="192"/>
      <c r="EE56" s="192"/>
      <c r="EF56" s="192"/>
      <c r="EG56" s="192"/>
      <c r="EH56" s="192"/>
      <c r="EI56" s="192"/>
      <c r="EJ56" s="192"/>
      <c r="EK56" s="192"/>
      <c r="EL56" s="192"/>
      <c r="EM56" s="192"/>
      <c r="EN56" s="192"/>
      <c r="EO56" s="192"/>
      <c r="EP56" s="192"/>
      <c r="EQ56" s="192"/>
      <c r="ER56" s="192"/>
      <c r="ES56" s="192"/>
      <c r="ET56" s="192"/>
      <c r="EU56" s="192"/>
      <c r="EV56" s="192"/>
      <c r="EW56" s="192"/>
      <c r="EX56" s="192"/>
      <c r="EY56" s="192"/>
      <c r="EZ56" s="192"/>
      <c r="FA56" s="192"/>
      <c r="FB56" s="192"/>
      <c r="FC56" s="192"/>
      <c r="FD56" s="192"/>
      <c r="FE56" s="192"/>
      <c r="FF56" s="192"/>
      <c r="FG56" s="192"/>
      <c r="FH56" s="192"/>
      <c r="FI56" s="192"/>
      <c r="FJ56" s="192"/>
      <c r="FK56" s="192"/>
      <c r="FL56" s="192"/>
      <c r="FM56" s="192"/>
      <c r="FN56" s="192"/>
      <c r="FO56" s="192"/>
      <c r="FP56" s="192"/>
      <c r="FQ56" s="192"/>
      <c r="FR56" s="192"/>
      <c r="FS56" s="192"/>
      <c r="FT56" s="192"/>
      <c r="FU56" s="192"/>
      <c r="FV56" s="192"/>
      <c r="FW56" s="192"/>
      <c r="FX56" s="192"/>
      <c r="FY56" s="192"/>
      <c r="FZ56" s="192"/>
      <c r="GA56" s="192"/>
      <c r="GB56" s="192"/>
      <c r="GC56" s="192"/>
      <c r="GD56" s="192"/>
      <c r="GE56" s="192"/>
      <c r="GF56" s="192"/>
      <c r="GG56" s="192"/>
      <c r="GH56" s="192"/>
      <c r="GI56" s="192"/>
      <c r="GJ56" s="192"/>
      <c r="GK56" s="192"/>
      <c r="GL56" s="192"/>
      <c r="GM56" s="192"/>
      <c r="GN56" s="192"/>
      <c r="GO56" s="192"/>
      <c r="GP56" s="192"/>
      <c r="GQ56" s="192"/>
      <c r="GR56" s="192"/>
      <c r="GS56" s="192"/>
      <c r="GT56" s="192"/>
      <c r="GU56" s="192"/>
      <c r="GV56" s="192"/>
      <c r="GW56" s="192"/>
      <c r="GX56" s="192"/>
      <c r="GY56" s="192"/>
      <c r="GZ56" s="192"/>
      <c r="HA56" s="192"/>
      <c r="HB56" s="192"/>
      <c r="HC56" s="192"/>
      <c r="HD56" s="192"/>
      <c r="HE56" s="192"/>
      <c r="HF56" s="192"/>
      <c r="HG56" s="192"/>
      <c r="HH56" s="192"/>
      <c r="HI56" s="192"/>
      <c r="HJ56" s="192"/>
      <c r="HK56" s="192"/>
      <c r="HL56" s="192"/>
      <c r="HM56" s="192"/>
      <c r="HN56" s="192"/>
      <c r="HO56" s="192"/>
      <c r="HP56" s="192"/>
      <c r="HQ56" s="192"/>
      <c r="HR56" s="192"/>
      <c r="HS56" s="192"/>
      <c r="HT56" s="192"/>
      <c r="HU56" s="192"/>
      <c r="HV56" s="192"/>
      <c r="HW56" s="192"/>
      <c r="HX56" s="192"/>
      <c r="HY56" s="192"/>
      <c r="HZ56" s="192"/>
      <c r="IA56" s="192"/>
      <c r="IB56" s="192"/>
      <c r="IC56" s="192"/>
      <c r="ID56" s="192"/>
      <c r="IE56" s="192"/>
      <c r="IF56" s="192"/>
      <c r="IG56" s="192"/>
      <c r="IH56" s="192"/>
      <c r="II56" s="192"/>
      <c r="IJ56" s="192"/>
      <c r="IK56" s="192"/>
      <c r="IL56" s="192"/>
      <c r="IM56" s="192"/>
      <c r="IN56" s="192"/>
      <c r="IO56" s="192"/>
      <c r="IP56" s="192"/>
      <c r="IQ56" s="192"/>
    </row>
    <row r="57" spans="1:251" s="157" customFormat="1" ht="21.75" customHeight="1">
      <c r="A57" s="196">
        <v>50</v>
      </c>
      <c r="B57" s="277" t="s">
        <v>289</v>
      </c>
      <c r="C57" s="278" t="s">
        <v>284</v>
      </c>
      <c r="D57" s="271">
        <v>42</v>
      </c>
      <c r="E57" s="271"/>
      <c r="F57" s="278" t="s">
        <v>285</v>
      </c>
      <c r="G57" s="271" t="s">
        <v>288</v>
      </c>
      <c r="H57" s="285" t="s">
        <v>266</v>
      </c>
      <c r="I57" s="197">
        <f t="shared" si="4"/>
        <v>97500</v>
      </c>
      <c r="J57" s="286" t="s">
        <v>277</v>
      </c>
      <c r="K57" s="200">
        <f t="shared" si="5"/>
        <v>75000</v>
      </c>
      <c r="L57" s="286" t="s">
        <v>56</v>
      </c>
      <c r="M57" s="198">
        <f t="shared" si="6"/>
        <v>0</v>
      </c>
      <c r="N57" s="198">
        <f t="shared" si="7"/>
        <v>172500</v>
      </c>
      <c r="O57" s="192"/>
      <c r="P57" s="192"/>
      <c r="Q57" s="192"/>
      <c r="R57" s="192"/>
      <c r="S57" s="192"/>
      <c r="T57" s="192"/>
      <c r="U57" s="192"/>
      <c r="V57" s="192"/>
      <c r="W57" s="192"/>
      <c r="X57" s="192"/>
      <c r="Y57" s="192"/>
      <c r="Z57" s="192"/>
      <c r="AA57" s="192"/>
      <c r="AB57" s="192"/>
      <c r="AC57" s="192"/>
      <c r="AD57" s="192"/>
      <c r="AE57" s="192"/>
      <c r="AF57" s="192"/>
      <c r="AG57" s="192"/>
      <c r="AH57" s="192"/>
      <c r="AI57" s="192"/>
      <c r="AJ57" s="192"/>
      <c r="AK57" s="192"/>
      <c r="AL57" s="192"/>
      <c r="AM57" s="192"/>
      <c r="AN57" s="192"/>
      <c r="AO57" s="192"/>
      <c r="AP57" s="192"/>
      <c r="AQ57" s="192"/>
      <c r="AR57" s="192"/>
      <c r="AS57" s="192"/>
      <c r="AT57" s="192"/>
      <c r="AU57" s="192"/>
      <c r="AV57" s="192"/>
      <c r="AW57" s="192"/>
      <c r="AX57" s="192"/>
      <c r="AY57" s="192"/>
      <c r="AZ57" s="192"/>
      <c r="BA57" s="192"/>
      <c r="BB57" s="192"/>
      <c r="BC57" s="192"/>
      <c r="BD57" s="192"/>
      <c r="BE57" s="192"/>
      <c r="BF57" s="192"/>
      <c r="BG57" s="192"/>
      <c r="BH57" s="192"/>
      <c r="BI57" s="192"/>
      <c r="BJ57" s="192"/>
      <c r="BK57" s="192"/>
      <c r="BL57" s="192"/>
      <c r="BM57" s="192"/>
      <c r="BN57" s="192"/>
      <c r="BO57" s="192"/>
      <c r="BP57" s="192"/>
      <c r="BQ57" s="192"/>
      <c r="BR57" s="192"/>
      <c r="BS57" s="192"/>
      <c r="BT57" s="192"/>
      <c r="BU57" s="192"/>
      <c r="BV57" s="192"/>
      <c r="BW57" s="192"/>
      <c r="BX57" s="192"/>
      <c r="BY57" s="192"/>
      <c r="BZ57" s="192"/>
      <c r="CA57" s="192"/>
      <c r="CB57" s="192"/>
      <c r="CC57" s="192"/>
      <c r="CD57" s="192"/>
      <c r="CE57" s="192"/>
      <c r="CF57" s="192"/>
      <c r="CG57" s="192"/>
      <c r="CH57" s="192"/>
      <c r="CI57" s="192"/>
      <c r="CJ57" s="192"/>
      <c r="CK57" s="192"/>
      <c r="CL57" s="192"/>
      <c r="CM57" s="192"/>
      <c r="CN57" s="192"/>
      <c r="CO57" s="192"/>
      <c r="CP57" s="192"/>
      <c r="CQ57" s="192"/>
      <c r="CR57" s="192"/>
      <c r="CS57" s="192"/>
      <c r="CT57" s="192"/>
      <c r="CU57" s="192"/>
      <c r="CV57" s="192"/>
      <c r="CW57" s="192"/>
      <c r="CX57" s="192"/>
      <c r="CY57" s="192"/>
      <c r="CZ57" s="192"/>
      <c r="DA57" s="192"/>
      <c r="DB57" s="192"/>
      <c r="DC57" s="192"/>
      <c r="DD57" s="192"/>
      <c r="DE57" s="192"/>
      <c r="DF57" s="192"/>
      <c r="DG57" s="192"/>
      <c r="DH57" s="192"/>
      <c r="DI57" s="192"/>
      <c r="DJ57" s="192"/>
      <c r="DK57" s="192"/>
      <c r="DL57" s="192"/>
      <c r="DM57" s="192"/>
      <c r="DN57" s="192"/>
      <c r="DO57" s="192"/>
      <c r="DP57" s="192"/>
      <c r="DQ57" s="192"/>
      <c r="DR57" s="192"/>
      <c r="DS57" s="192"/>
      <c r="DT57" s="192"/>
      <c r="DU57" s="192"/>
      <c r="DV57" s="192"/>
      <c r="DW57" s="192"/>
      <c r="DX57" s="192"/>
      <c r="DY57" s="192"/>
      <c r="DZ57" s="192"/>
      <c r="EA57" s="192"/>
      <c r="EB57" s="192"/>
      <c r="EC57" s="192"/>
      <c r="ED57" s="192"/>
      <c r="EE57" s="192"/>
      <c r="EF57" s="192"/>
      <c r="EG57" s="192"/>
      <c r="EH57" s="192"/>
      <c r="EI57" s="192"/>
      <c r="EJ57" s="192"/>
      <c r="EK57" s="192"/>
      <c r="EL57" s="192"/>
      <c r="EM57" s="192"/>
      <c r="EN57" s="192"/>
      <c r="EO57" s="192"/>
      <c r="EP57" s="192"/>
      <c r="EQ57" s="192"/>
      <c r="ER57" s="192"/>
      <c r="ES57" s="192"/>
      <c r="ET57" s="192"/>
      <c r="EU57" s="192"/>
      <c r="EV57" s="192"/>
      <c r="EW57" s="192"/>
      <c r="EX57" s="192"/>
      <c r="EY57" s="192"/>
      <c r="EZ57" s="192"/>
      <c r="FA57" s="192"/>
      <c r="FB57" s="192"/>
      <c r="FC57" s="192"/>
      <c r="FD57" s="192"/>
      <c r="FE57" s="192"/>
      <c r="FF57" s="192"/>
      <c r="FG57" s="192"/>
      <c r="FH57" s="192"/>
      <c r="FI57" s="192"/>
      <c r="FJ57" s="192"/>
      <c r="FK57" s="192"/>
      <c r="FL57" s="192"/>
      <c r="FM57" s="192"/>
      <c r="FN57" s="192"/>
      <c r="FO57" s="192"/>
      <c r="FP57" s="192"/>
      <c r="FQ57" s="192"/>
      <c r="FR57" s="192"/>
      <c r="FS57" s="192"/>
      <c r="FT57" s="192"/>
      <c r="FU57" s="192"/>
      <c r="FV57" s="192"/>
      <c r="FW57" s="192"/>
      <c r="FX57" s="192"/>
      <c r="FY57" s="192"/>
      <c r="FZ57" s="192"/>
      <c r="GA57" s="192"/>
      <c r="GB57" s="192"/>
      <c r="GC57" s="192"/>
      <c r="GD57" s="192"/>
      <c r="GE57" s="192"/>
      <c r="GF57" s="192"/>
      <c r="GG57" s="192"/>
      <c r="GH57" s="192"/>
      <c r="GI57" s="192"/>
      <c r="GJ57" s="192"/>
      <c r="GK57" s="192"/>
      <c r="GL57" s="192"/>
      <c r="GM57" s="192"/>
      <c r="GN57" s="192"/>
      <c r="GO57" s="192"/>
      <c r="GP57" s="192"/>
      <c r="GQ57" s="192"/>
      <c r="GR57" s="192"/>
      <c r="GS57" s="192"/>
      <c r="GT57" s="192"/>
      <c r="GU57" s="192"/>
      <c r="GV57" s="192"/>
      <c r="GW57" s="192"/>
      <c r="GX57" s="192"/>
      <c r="GY57" s="192"/>
      <c r="GZ57" s="192"/>
      <c r="HA57" s="192"/>
      <c r="HB57" s="192"/>
      <c r="HC57" s="192"/>
      <c r="HD57" s="192"/>
      <c r="HE57" s="192"/>
      <c r="HF57" s="192"/>
      <c r="HG57" s="192"/>
      <c r="HH57" s="192"/>
      <c r="HI57" s="192"/>
      <c r="HJ57" s="192"/>
      <c r="HK57" s="192"/>
      <c r="HL57" s="192"/>
      <c r="HM57" s="192"/>
      <c r="HN57" s="192"/>
      <c r="HO57" s="192"/>
      <c r="HP57" s="192"/>
      <c r="HQ57" s="192"/>
      <c r="HR57" s="192"/>
      <c r="HS57" s="192"/>
      <c r="HT57" s="192"/>
      <c r="HU57" s="192"/>
      <c r="HV57" s="192"/>
      <c r="HW57" s="192"/>
      <c r="HX57" s="192"/>
      <c r="HY57" s="192"/>
      <c r="HZ57" s="192"/>
      <c r="IA57" s="192"/>
      <c r="IB57" s="192"/>
      <c r="IC57" s="192"/>
      <c r="ID57" s="192"/>
      <c r="IE57" s="192"/>
      <c r="IF57" s="192"/>
      <c r="IG57" s="192"/>
      <c r="IH57" s="192"/>
      <c r="II57" s="192"/>
      <c r="IJ57" s="192"/>
      <c r="IK57" s="192"/>
      <c r="IL57" s="192"/>
      <c r="IM57" s="192"/>
      <c r="IN57" s="192"/>
      <c r="IO57" s="192"/>
      <c r="IP57" s="192"/>
      <c r="IQ57" s="192"/>
    </row>
    <row r="58" spans="1:251" s="157" customFormat="1" ht="21.75" customHeight="1">
      <c r="A58" s="196">
        <v>51</v>
      </c>
      <c r="B58" s="277" t="s">
        <v>290</v>
      </c>
      <c r="C58" s="278" t="s">
        <v>287</v>
      </c>
      <c r="D58" s="271">
        <v>82</v>
      </c>
      <c r="E58" s="271"/>
      <c r="F58" s="278" t="s">
        <v>285</v>
      </c>
      <c r="G58" s="271" t="s">
        <v>288</v>
      </c>
      <c r="H58" s="285" t="s">
        <v>264</v>
      </c>
      <c r="I58" s="197">
        <f t="shared" si="4"/>
        <v>97500</v>
      </c>
      <c r="J58" s="286" t="s">
        <v>272</v>
      </c>
      <c r="K58" s="200">
        <f t="shared" si="5"/>
        <v>75000</v>
      </c>
      <c r="L58" s="286" t="s">
        <v>56</v>
      </c>
      <c r="M58" s="198">
        <f t="shared" si="6"/>
        <v>0</v>
      </c>
      <c r="N58" s="198">
        <f t="shared" si="7"/>
        <v>172500</v>
      </c>
      <c r="O58" s="192"/>
      <c r="P58" s="192"/>
      <c r="Q58" s="192"/>
      <c r="R58" s="192"/>
      <c r="S58" s="192"/>
      <c r="T58" s="192"/>
      <c r="U58" s="192"/>
      <c r="V58" s="192"/>
      <c r="W58" s="192"/>
      <c r="X58" s="192"/>
      <c r="Y58" s="192"/>
      <c r="Z58" s="192"/>
      <c r="AA58" s="192"/>
      <c r="AB58" s="192"/>
      <c r="AC58" s="192"/>
      <c r="AD58" s="192"/>
      <c r="AE58" s="192"/>
      <c r="AF58" s="192"/>
      <c r="AG58" s="192"/>
      <c r="AH58" s="192"/>
      <c r="AI58" s="192"/>
      <c r="AJ58" s="192"/>
      <c r="AK58" s="192"/>
      <c r="AL58" s="192"/>
      <c r="AM58" s="192"/>
      <c r="AN58" s="192"/>
      <c r="AO58" s="192"/>
      <c r="AP58" s="192"/>
      <c r="AQ58" s="192"/>
      <c r="AR58" s="192"/>
      <c r="AS58" s="192"/>
      <c r="AT58" s="192"/>
      <c r="AU58" s="192"/>
      <c r="AV58" s="192"/>
      <c r="AW58" s="192"/>
      <c r="AX58" s="192"/>
      <c r="AY58" s="192"/>
      <c r="AZ58" s="192"/>
      <c r="BA58" s="192"/>
      <c r="BB58" s="192"/>
      <c r="BC58" s="192"/>
      <c r="BD58" s="192"/>
      <c r="BE58" s="192"/>
      <c r="BF58" s="192"/>
      <c r="BG58" s="192"/>
      <c r="BH58" s="192"/>
      <c r="BI58" s="192"/>
      <c r="BJ58" s="192"/>
      <c r="BK58" s="192"/>
      <c r="BL58" s="192"/>
      <c r="BM58" s="192"/>
      <c r="BN58" s="192"/>
      <c r="BO58" s="192"/>
      <c r="BP58" s="192"/>
      <c r="BQ58" s="192"/>
      <c r="BR58" s="192"/>
      <c r="BS58" s="192"/>
      <c r="BT58" s="192"/>
      <c r="BU58" s="192"/>
      <c r="BV58" s="192"/>
      <c r="BW58" s="192"/>
      <c r="BX58" s="192"/>
      <c r="BY58" s="192"/>
      <c r="BZ58" s="192"/>
      <c r="CA58" s="192"/>
      <c r="CB58" s="192"/>
      <c r="CC58" s="192"/>
      <c r="CD58" s="192"/>
      <c r="CE58" s="192"/>
      <c r="CF58" s="192"/>
      <c r="CG58" s="192"/>
      <c r="CH58" s="192"/>
      <c r="CI58" s="192"/>
      <c r="CJ58" s="192"/>
      <c r="CK58" s="192"/>
      <c r="CL58" s="192"/>
      <c r="CM58" s="192"/>
      <c r="CN58" s="192"/>
      <c r="CO58" s="192"/>
      <c r="CP58" s="192"/>
      <c r="CQ58" s="192"/>
      <c r="CR58" s="192"/>
      <c r="CS58" s="192"/>
      <c r="CT58" s="192"/>
      <c r="CU58" s="192"/>
      <c r="CV58" s="192"/>
      <c r="CW58" s="192"/>
      <c r="CX58" s="192"/>
      <c r="CY58" s="192"/>
      <c r="CZ58" s="192"/>
      <c r="DA58" s="192"/>
      <c r="DB58" s="192"/>
      <c r="DC58" s="192"/>
      <c r="DD58" s="192"/>
      <c r="DE58" s="192"/>
      <c r="DF58" s="192"/>
      <c r="DG58" s="192"/>
      <c r="DH58" s="192"/>
      <c r="DI58" s="192"/>
      <c r="DJ58" s="192"/>
      <c r="DK58" s="192"/>
      <c r="DL58" s="192"/>
      <c r="DM58" s="192"/>
      <c r="DN58" s="192"/>
      <c r="DO58" s="192"/>
      <c r="DP58" s="192"/>
      <c r="DQ58" s="192"/>
      <c r="DR58" s="192"/>
      <c r="DS58" s="192"/>
      <c r="DT58" s="192"/>
      <c r="DU58" s="192"/>
      <c r="DV58" s="192"/>
      <c r="DW58" s="192"/>
      <c r="DX58" s="192"/>
      <c r="DY58" s="192"/>
      <c r="DZ58" s="192"/>
      <c r="EA58" s="192"/>
      <c r="EB58" s="192"/>
      <c r="EC58" s="192"/>
      <c r="ED58" s="192"/>
      <c r="EE58" s="192"/>
      <c r="EF58" s="192"/>
      <c r="EG58" s="192"/>
      <c r="EH58" s="192"/>
      <c r="EI58" s="192"/>
      <c r="EJ58" s="192"/>
      <c r="EK58" s="192"/>
      <c r="EL58" s="192"/>
      <c r="EM58" s="192"/>
      <c r="EN58" s="192"/>
      <c r="EO58" s="192"/>
      <c r="EP58" s="192"/>
      <c r="EQ58" s="192"/>
      <c r="ER58" s="192"/>
      <c r="ES58" s="192"/>
      <c r="ET58" s="192"/>
      <c r="EU58" s="192"/>
      <c r="EV58" s="192"/>
      <c r="EW58" s="192"/>
      <c r="EX58" s="192"/>
      <c r="EY58" s="192"/>
      <c r="EZ58" s="192"/>
      <c r="FA58" s="192"/>
      <c r="FB58" s="192"/>
      <c r="FC58" s="192"/>
      <c r="FD58" s="192"/>
      <c r="FE58" s="192"/>
      <c r="FF58" s="192"/>
      <c r="FG58" s="192"/>
      <c r="FH58" s="192"/>
      <c r="FI58" s="192"/>
      <c r="FJ58" s="192"/>
      <c r="FK58" s="192"/>
      <c r="FL58" s="192"/>
      <c r="FM58" s="192"/>
      <c r="FN58" s="192"/>
      <c r="FO58" s="192"/>
      <c r="FP58" s="192"/>
      <c r="FQ58" s="192"/>
      <c r="FR58" s="192"/>
      <c r="FS58" s="192"/>
      <c r="FT58" s="192"/>
      <c r="FU58" s="192"/>
      <c r="FV58" s="192"/>
      <c r="FW58" s="192"/>
      <c r="FX58" s="192"/>
      <c r="FY58" s="192"/>
      <c r="FZ58" s="192"/>
      <c r="GA58" s="192"/>
      <c r="GB58" s="192"/>
      <c r="GC58" s="192"/>
      <c r="GD58" s="192"/>
      <c r="GE58" s="192"/>
      <c r="GF58" s="192"/>
      <c r="GG58" s="192"/>
      <c r="GH58" s="192"/>
      <c r="GI58" s="192"/>
      <c r="GJ58" s="192"/>
      <c r="GK58" s="192"/>
      <c r="GL58" s="192"/>
      <c r="GM58" s="192"/>
      <c r="GN58" s="192"/>
      <c r="GO58" s="192"/>
      <c r="GP58" s="192"/>
      <c r="GQ58" s="192"/>
      <c r="GR58" s="192"/>
      <c r="GS58" s="192"/>
      <c r="GT58" s="192"/>
      <c r="GU58" s="192"/>
      <c r="GV58" s="192"/>
      <c r="GW58" s="192"/>
      <c r="GX58" s="192"/>
      <c r="GY58" s="192"/>
      <c r="GZ58" s="192"/>
      <c r="HA58" s="192"/>
      <c r="HB58" s="192"/>
      <c r="HC58" s="192"/>
      <c r="HD58" s="192"/>
      <c r="HE58" s="192"/>
      <c r="HF58" s="192"/>
      <c r="HG58" s="192"/>
      <c r="HH58" s="192"/>
      <c r="HI58" s="192"/>
      <c r="HJ58" s="192"/>
      <c r="HK58" s="192"/>
      <c r="HL58" s="192"/>
      <c r="HM58" s="192"/>
      <c r="HN58" s="192"/>
      <c r="HO58" s="192"/>
      <c r="HP58" s="192"/>
      <c r="HQ58" s="192"/>
      <c r="HR58" s="192"/>
      <c r="HS58" s="192"/>
      <c r="HT58" s="192"/>
      <c r="HU58" s="192"/>
      <c r="HV58" s="192"/>
      <c r="HW58" s="192"/>
      <c r="HX58" s="192"/>
      <c r="HY58" s="192"/>
      <c r="HZ58" s="192"/>
      <c r="IA58" s="192"/>
      <c r="IB58" s="192"/>
      <c r="IC58" s="192"/>
      <c r="ID58" s="192"/>
      <c r="IE58" s="192"/>
      <c r="IF58" s="192"/>
      <c r="IG58" s="192"/>
      <c r="IH58" s="192"/>
      <c r="II58" s="192"/>
      <c r="IJ58" s="192"/>
      <c r="IK58" s="192"/>
      <c r="IL58" s="192"/>
      <c r="IM58" s="192"/>
      <c r="IN58" s="192"/>
      <c r="IO58" s="192"/>
      <c r="IP58" s="192"/>
      <c r="IQ58" s="192"/>
    </row>
    <row r="59" spans="1:251" s="157" customFormat="1" ht="21.75" customHeight="1">
      <c r="A59" s="196">
        <v>52</v>
      </c>
      <c r="B59" s="277" t="s">
        <v>290</v>
      </c>
      <c r="C59" s="278" t="s">
        <v>284</v>
      </c>
      <c r="D59" s="271">
        <v>42</v>
      </c>
      <c r="E59" s="271"/>
      <c r="F59" s="278" t="s">
        <v>285</v>
      </c>
      <c r="G59" s="271" t="s">
        <v>288</v>
      </c>
      <c r="H59" s="285" t="s">
        <v>266</v>
      </c>
      <c r="I59" s="197">
        <f t="shared" si="4"/>
        <v>97500</v>
      </c>
      <c r="J59" s="286" t="s">
        <v>276</v>
      </c>
      <c r="K59" s="200">
        <f t="shared" si="5"/>
        <v>75000</v>
      </c>
      <c r="L59" s="286" t="s">
        <v>56</v>
      </c>
      <c r="M59" s="198">
        <f t="shared" si="6"/>
        <v>0</v>
      </c>
      <c r="N59" s="198">
        <f t="shared" si="7"/>
        <v>172500</v>
      </c>
      <c r="O59" s="192"/>
      <c r="P59" s="192"/>
      <c r="Q59" s="192"/>
      <c r="R59" s="192"/>
      <c r="S59" s="192"/>
      <c r="T59" s="192"/>
      <c r="U59" s="192"/>
      <c r="V59" s="192"/>
      <c r="W59" s="192"/>
      <c r="X59" s="192"/>
      <c r="Y59" s="192"/>
      <c r="Z59" s="192"/>
      <c r="AA59" s="192"/>
      <c r="AB59" s="192"/>
      <c r="AC59" s="192"/>
      <c r="AD59" s="192"/>
      <c r="AE59" s="192"/>
      <c r="AF59" s="192"/>
      <c r="AG59" s="192"/>
      <c r="AH59" s="192"/>
      <c r="AI59" s="192"/>
      <c r="AJ59" s="192"/>
      <c r="AK59" s="192"/>
      <c r="AL59" s="192"/>
      <c r="AM59" s="192"/>
      <c r="AN59" s="192"/>
      <c r="AO59" s="192"/>
      <c r="AP59" s="192"/>
      <c r="AQ59" s="192"/>
      <c r="AR59" s="192"/>
      <c r="AS59" s="192"/>
      <c r="AT59" s="192"/>
      <c r="AU59" s="192"/>
      <c r="AV59" s="192"/>
      <c r="AW59" s="192"/>
      <c r="AX59" s="192"/>
      <c r="AY59" s="192"/>
      <c r="AZ59" s="192"/>
      <c r="BA59" s="192"/>
      <c r="BB59" s="192"/>
      <c r="BC59" s="192"/>
      <c r="BD59" s="192"/>
      <c r="BE59" s="192"/>
      <c r="BF59" s="192"/>
      <c r="BG59" s="192"/>
      <c r="BH59" s="192"/>
      <c r="BI59" s="192"/>
      <c r="BJ59" s="192"/>
      <c r="BK59" s="192"/>
      <c r="BL59" s="192"/>
      <c r="BM59" s="192"/>
      <c r="BN59" s="192"/>
      <c r="BO59" s="192"/>
      <c r="BP59" s="192"/>
      <c r="BQ59" s="192"/>
      <c r="BR59" s="192"/>
      <c r="BS59" s="192"/>
      <c r="BT59" s="192"/>
      <c r="BU59" s="192"/>
      <c r="BV59" s="192"/>
      <c r="BW59" s="192"/>
      <c r="BX59" s="192"/>
      <c r="BY59" s="192"/>
      <c r="BZ59" s="192"/>
      <c r="CA59" s="192"/>
      <c r="CB59" s="192"/>
      <c r="CC59" s="192"/>
      <c r="CD59" s="192"/>
      <c r="CE59" s="192"/>
      <c r="CF59" s="192"/>
      <c r="CG59" s="192"/>
      <c r="CH59" s="192"/>
      <c r="CI59" s="192"/>
      <c r="CJ59" s="192"/>
      <c r="CK59" s="192"/>
      <c r="CL59" s="192"/>
      <c r="CM59" s="192"/>
      <c r="CN59" s="192"/>
      <c r="CO59" s="192"/>
      <c r="CP59" s="192"/>
      <c r="CQ59" s="192"/>
      <c r="CR59" s="192"/>
      <c r="CS59" s="192"/>
      <c r="CT59" s="192"/>
      <c r="CU59" s="192"/>
      <c r="CV59" s="192"/>
      <c r="CW59" s="192"/>
      <c r="CX59" s="192"/>
      <c r="CY59" s="192"/>
      <c r="CZ59" s="192"/>
      <c r="DA59" s="192"/>
      <c r="DB59" s="192"/>
      <c r="DC59" s="192"/>
      <c r="DD59" s="192"/>
      <c r="DE59" s="192"/>
      <c r="DF59" s="192"/>
      <c r="DG59" s="192"/>
      <c r="DH59" s="192"/>
      <c r="DI59" s="192"/>
      <c r="DJ59" s="192"/>
      <c r="DK59" s="192"/>
      <c r="DL59" s="192"/>
      <c r="DM59" s="192"/>
      <c r="DN59" s="192"/>
      <c r="DO59" s="192"/>
      <c r="DP59" s="192"/>
      <c r="DQ59" s="192"/>
      <c r="DR59" s="192"/>
      <c r="DS59" s="192"/>
      <c r="DT59" s="192"/>
      <c r="DU59" s="192"/>
      <c r="DV59" s="192"/>
      <c r="DW59" s="192"/>
      <c r="DX59" s="192"/>
      <c r="DY59" s="192"/>
      <c r="DZ59" s="192"/>
      <c r="EA59" s="192"/>
      <c r="EB59" s="192"/>
      <c r="EC59" s="192"/>
      <c r="ED59" s="192"/>
      <c r="EE59" s="192"/>
      <c r="EF59" s="192"/>
      <c r="EG59" s="192"/>
      <c r="EH59" s="192"/>
      <c r="EI59" s="192"/>
      <c r="EJ59" s="192"/>
      <c r="EK59" s="192"/>
      <c r="EL59" s="192"/>
      <c r="EM59" s="192"/>
      <c r="EN59" s="192"/>
      <c r="EO59" s="192"/>
      <c r="EP59" s="192"/>
      <c r="EQ59" s="192"/>
      <c r="ER59" s="192"/>
      <c r="ES59" s="192"/>
      <c r="ET59" s="192"/>
      <c r="EU59" s="192"/>
      <c r="EV59" s="192"/>
      <c r="EW59" s="192"/>
      <c r="EX59" s="192"/>
      <c r="EY59" s="192"/>
      <c r="EZ59" s="192"/>
      <c r="FA59" s="192"/>
      <c r="FB59" s="192"/>
      <c r="FC59" s="192"/>
      <c r="FD59" s="192"/>
      <c r="FE59" s="192"/>
      <c r="FF59" s="192"/>
      <c r="FG59" s="192"/>
      <c r="FH59" s="192"/>
      <c r="FI59" s="192"/>
      <c r="FJ59" s="192"/>
      <c r="FK59" s="192"/>
      <c r="FL59" s="192"/>
      <c r="FM59" s="192"/>
      <c r="FN59" s="192"/>
      <c r="FO59" s="192"/>
      <c r="FP59" s="192"/>
      <c r="FQ59" s="192"/>
      <c r="FR59" s="192"/>
      <c r="FS59" s="192"/>
      <c r="FT59" s="192"/>
      <c r="FU59" s="192"/>
      <c r="FV59" s="192"/>
      <c r="FW59" s="192"/>
      <c r="FX59" s="192"/>
      <c r="FY59" s="192"/>
      <c r="FZ59" s="192"/>
      <c r="GA59" s="192"/>
      <c r="GB59" s="192"/>
      <c r="GC59" s="192"/>
      <c r="GD59" s="192"/>
      <c r="GE59" s="192"/>
      <c r="GF59" s="192"/>
      <c r="GG59" s="192"/>
      <c r="GH59" s="192"/>
      <c r="GI59" s="192"/>
      <c r="GJ59" s="192"/>
      <c r="GK59" s="192"/>
      <c r="GL59" s="192"/>
      <c r="GM59" s="192"/>
      <c r="GN59" s="192"/>
      <c r="GO59" s="192"/>
      <c r="GP59" s="192"/>
      <c r="GQ59" s="192"/>
      <c r="GR59" s="192"/>
      <c r="GS59" s="192"/>
      <c r="GT59" s="192"/>
      <c r="GU59" s="192"/>
      <c r="GV59" s="192"/>
      <c r="GW59" s="192"/>
      <c r="GX59" s="192"/>
      <c r="GY59" s="192"/>
      <c r="GZ59" s="192"/>
      <c r="HA59" s="192"/>
      <c r="HB59" s="192"/>
      <c r="HC59" s="192"/>
      <c r="HD59" s="192"/>
      <c r="HE59" s="192"/>
      <c r="HF59" s="192"/>
      <c r="HG59" s="192"/>
      <c r="HH59" s="192"/>
      <c r="HI59" s="192"/>
      <c r="HJ59" s="192"/>
      <c r="HK59" s="192"/>
      <c r="HL59" s="192"/>
      <c r="HM59" s="192"/>
      <c r="HN59" s="192"/>
      <c r="HO59" s="192"/>
      <c r="HP59" s="192"/>
      <c r="HQ59" s="192"/>
      <c r="HR59" s="192"/>
      <c r="HS59" s="192"/>
      <c r="HT59" s="192"/>
      <c r="HU59" s="192"/>
      <c r="HV59" s="192"/>
      <c r="HW59" s="192"/>
      <c r="HX59" s="192"/>
      <c r="HY59" s="192"/>
      <c r="HZ59" s="192"/>
      <c r="IA59" s="192"/>
      <c r="IB59" s="192"/>
      <c r="IC59" s="192"/>
      <c r="ID59" s="192"/>
      <c r="IE59" s="192"/>
      <c r="IF59" s="192"/>
      <c r="IG59" s="192"/>
      <c r="IH59" s="192"/>
      <c r="II59" s="192"/>
      <c r="IJ59" s="192"/>
      <c r="IK59" s="192"/>
      <c r="IL59" s="192"/>
      <c r="IM59" s="192"/>
      <c r="IN59" s="192"/>
      <c r="IO59" s="192"/>
      <c r="IP59" s="192"/>
      <c r="IQ59" s="192"/>
    </row>
    <row r="60" spans="1:251" s="157" customFormat="1" ht="21.75" customHeight="1">
      <c r="A60" s="196">
        <v>53</v>
      </c>
      <c r="B60" s="277" t="s">
        <v>290</v>
      </c>
      <c r="C60" s="278" t="s">
        <v>193</v>
      </c>
      <c r="D60" s="271">
        <v>63</v>
      </c>
      <c r="E60" s="271"/>
      <c r="F60" s="278" t="s">
        <v>285</v>
      </c>
      <c r="G60" s="271" t="s">
        <v>286</v>
      </c>
      <c r="H60" s="285" t="s">
        <v>266</v>
      </c>
      <c r="I60" s="197">
        <f t="shared" si="4"/>
        <v>97500</v>
      </c>
      <c r="J60" s="286" t="s">
        <v>272</v>
      </c>
      <c r="K60" s="200">
        <f t="shared" si="5"/>
        <v>75000</v>
      </c>
      <c r="L60" s="286" t="s">
        <v>56</v>
      </c>
      <c r="M60" s="198">
        <f t="shared" si="6"/>
        <v>0</v>
      </c>
      <c r="N60" s="198">
        <f t="shared" si="7"/>
        <v>172500</v>
      </c>
      <c r="O60" s="192"/>
      <c r="P60" s="192"/>
      <c r="Q60" s="192"/>
      <c r="R60" s="192"/>
      <c r="S60" s="192"/>
      <c r="T60" s="192"/>
      <c r="U60" s="192"/>
      <c r="V60" s="192"/>
      <c r="W60" s="192"/>
      <c r="X60" s="192"/>
      <c r="Y60" s="192"/>
      <c r="Z60" s="192"/>
      <c r="AA60" s="192"/>
      <c r="AB60" s="192"/>
      <c r="AC60" s="192"/>
      <c r="AD60" s="192"/>
      <c r="AE60" s="192"/>
      <c r="AF60" s="192"/>
      <c r="AG60" s="192"/>
      <c r="AH60" s="192"/>
      <c r="AI60" s="192"/>
      <c r="AJ60" s="192"/>
      <c r="AK60" s="192"/>
      <c r="AL60" s="192"/>
      <c r="AM60" s="192"/>
      <c r="AN60" s="192"/>
      <c r="AO60" s="192"/>
      <c r="AP60" s="192"/>
      <c r="AQ60" s="192"/>
      <c r="AR60" s="192"/>
      <c r="AS60" s="192"/>
      <c r="AT60" s="192"/>
      <c r="AU60" s="192"/>
      <c r="AV60" s="192"/>
      <c r="AW60" s="192"/>
      <c r="AX60" s="192"/>
      <c r="AY60" s="192"/>
      <c r="AZ60" s="192"/>
      <c r="BA60" s="192"/>
      <c r="BB60" s="192"/>
      <c r="BC60" s="192"/>
      <c r="BD60" s="192"/>
      <c r="BE60" s="192"/>
      <c r="BF60" s="192"/>
      <c r="BG60" s="192"/>
      <c r="BH60" s="192"/>
      <c r="BI60" s="192"/>
      <c r="BJ60" s="192"/>
      <c r="BK60" s="192"/>
      <c r="BL60" s="192"/>
      <c r="BM60" s="192"/>
      <c r="BN60" s="192"/>
      <c r="BO60" s="192"/>
      <c r="BP60" s="192"/>
      <c r="BQ60" s="192"/>
      <c r="BR60" s="192"/>
      <c r="BS60" s="192"/>
      <c r="BT60" s="192"/>
      <c r="BU60" s="192"/>
      <c r="BV60" s="192"/>
      <c r="BW60" s="192"/>
      <c r="BX60" s="192"/>
      <c r="BY60" s="192"/>
      <c r="BZ60" s="192"/>
      <c r="CA60" s="192"/>
      <c r="CB60" s="192"/>
      <c r="CC60" s="192"/>
      <c r="CD60" s="192"/>
      <c r="CE60" s="192"/>
      <c r="CF60" s="192"/>
      <c r="CG60" s="192"/>
      <c r="CH60" s="192"/>
      <c r="CI60" s="192"/>
      <c r="CJ60" s="192"/>
      <c r="CK60" s="192"/>
      <c r="CL60" s="192"/>
      <c r="CM60" s="192"/>
      <c r="CN60" s="192"/>
      <c r="CO60" s="192"/>
      <c r="CP60" s="192"/>
      <c r="CQ60" s="192"/>
      <c r="CR60" s="192"/>
      <c r="CS60" s="192"/>
      <c r="CT60" s="192"/>
      <c r="CU60" s="192"/>
      <c r="CV60" s="192"/>
      <c r="CW60" s="192"/>
      <c r="CX60" s="192"/>
      <c r="CY60" s="192"/>
      <c r="CZ60" s="192"/>
      <c r="DA60" s="192"/>
      <c r="DB60" s="192"/>
      <c r="DC60" s="192"/>
      <c r="DD60" s="192"/>
      <c r="DE60" s="192"/>
      <c r="DF60" s="192"/>
      <c r="DG60" s="192"/>
      <c r="DH60" s="192"/>
      <c r="DI60" s="192"/>
      <c r="DJ60" s="192"/>
      <c r="DK60" s="192"/>
      <c r="DL60" s="192"/>
      <c r="DM60" s="192"/>
      <c r="DN60" s="192"/>
      <c r="DO60" s="192"/>
      <c r="DP60" s="192"/>
      <c r="DQ60" s="192"/>
      <c r="DR60" s="192"/>
      <c r="DS60" s="192"/>
      <c r="DT60" s="192"/>
      <c r="DU60" s="192"/>
      <c r="DV60" s="192"/>
      <c r="DW60" s="192"/>
      <c r="DX60" s="192"/>
      <c r="DY60" s="192"/>
      <c r="DZ60" s="192"/>
      <c r="EA60" s="192"/>
      <c r="EB60" s="192"/>
      <c r="EC60" s="192"/>
      <c r="ED60" s="192"/>
      <c r="EE60" s="192"/>
      <c r="EF60" s="192"/>
      <c r="EG60" s="192"/>
      <c r="EH60" s="192"/>
      <c r="EI60" s="192"/>
      <c r="EJ60" s="192"/>
      <c r="EK60" s="192"/>
      <c r="EL60" s="192"/>
      <c r="EM60" s="192"/>
      <c r="EN60" s="192"/>
      <c r="EO60" s="192"/>
      <c r="EP60" s="192"/>
      <c r="EQ60" s="192"/>
      <c r="ER60" s="192"/>
      <c r="ES60" s="192"/>
      <c r="ET60" s="192"/>
      <c r="EU60" s="192"/>
      <c r="EV60" s="192"/>
      <c r="EW60" s="192"/>
      <c r="EX60" s="192"/>
      <c r="EY60" s="192"/>
      <c r="EZ60" s="192"/>
      <c r="FA60" s="192"/>
      <c r="FB60" s="192"/>
      <c r="FC60" s="192"/>
      <c r="FD60" s="192"/>
      <c r="FE60" s="192"/>
      <c r="FF60" s="192"/>
      <c r="FG60" s="192"/>
      <c r="FH60" s="192"/>
      <c r="FI60" s="192"/>
      <c r="FJ60" s="192"/>
      <c r="FK60" s="192"/>
      <c r="FL60" s="192"/>
      <c r="FM60" s="192"/>
      <c r="FN60" s="192"/>
      <c r="FO60" s="192"/>
      <c r="FP60" s="192"/>
      <c r="FQ60" s="192"/>
      <c r="FR60" s="192"/>
      <c r="FS60" s="192"/>
      <c r="FT60" s="192"/>
      <c r="FU60" s="192"/>
      <c r="FV60" s="192"/>
      <c r="FW60" s="192"/>
      <c r="FX60" s="192"/>
      <c r="FY60" s="192"/>
      <c r="FZ60" s="192"/>
      <c r="GA60" s="192"/>
      <c r="GB60" s="192"/>
      <c r="GC60" s="192"/>
      <c r="GD60" s="192"/>
      <c r="GE60" s="192"/>
      <c r="GF60" s="192"/>
      <c r="GG60" s="192"/>
      <c r="GH60" s="192"/>
      <c r="GI60" s="192"/>
      <c r="GJ60" s="192"/>
      <c r="GK60" s="192"/>
      <c r="GL60" s="192"/>
      <c r="GM60" s="192"/>
      <c r="GN60" s="192"/>
      <c r="GO60" s="192"/>
      <c r="GP60" s="192"/>
      <c r="GQ60" s="192"/>
      <c r="GR60" s="192"/>
      <c r="GS60" s="192"/>
      <c r="GT60" s="192"/>
      <c r="GU60" s="192"/>
      <c r="GV60" s="192"/>
      <c r="GW60" s="192"/>
      <c r="GX60" s="192"/>
      <c r="GY60" s="192"/>
      <c r="GZ60" s="192"/>
      <c r="HA60" s="192"/>
      <c r="HB60" s="192"/>
      <c r="HC60" s="192"/>
      <c r="HD60" s="192"/>
      <c r="HE60" s="192"/>
      <c r="HF60" s="192"/>
      <c r="HG60" s="192"/>
      <c r="HH60" s="192"/>
      <c r="HI60" s="192"/>
      <c r="HJ60" s="192"/>
      <c r="HK60" s="192"/>
      <c r="HL60" s="192"/>
      <c r="HM60" s="192"/>
      <c r="HN60" s="192"/>
      <c r="HO60" s="192"/>
      <c r="HP60" s="192"/>
      <c r="HQ60" s="192"/>
      <c r="HR60" s="192"/>
      <c r="HS60" s="192"/>
      <c r="HT60" s="192"/>
      <c r="HU60" s="192"/>
      <c r="HV60" s="192"/>
      <c r="HW60" s="192"/>
      <c r="HX60" s="192"/>
      <c r="HY60" s="192"/>
      <c r="HZ60" s="192"/>
      <c r="IA60" s="192"/>
      <c r="IB60" s="192"/>
      <c r="IC60" s="192"/>
      <c r="ID60" s="192"/>
      <c r="IE60" s="192"/>
      <c r="IF60" s="192"/>
      <c r="IG60" s="192"/>
      <c r="IH60" s="192"/>
      <c r="II60" s="192"/>
      <c r="IJ60" s="192"/>
      <c r="IK60" s="192"/>
      <c r="IL60" s="192"/>
      <c r="IM60" s="192"/>
      <c r="IN60" s="192"/>
      <c r="IO60" s="192"/>
      <c r="IP60" s="192"/>
      <c r="IQ60" s="192"/>
    </row>
    <row r="61" spans="1:251" s="157" customFormat="1" ht="21.75" customHeight="1">
      <c r="A61" s="196">
        <v>54</v>
      </c>
      <c r="B61" s="277" t="s">
        <v>290</v>
      </c>
      <c r="C61" s="278" t="s">
        <v>291</v>
      </c>
      <c r="D61" s="271"/>
      <c r="E61" s="271">
        <v>61</v>
      </c>
      <c r="F61" s="278" t="s">
        <v>285</v>
      </c>
      <c r="G61" s="271" t="s">
        <v>286</v>
      </c>
      <c r="H61" s="285" t="s">
        <v>269</v>
      </c>
      <c r="I61" s="197">
        <f t="shared" si="4"/>
        <v>97500</v>
      </c>
      <c r="J61" s="286" t="s">
        <v>275</v>
      </c>
      <c r="K61" s="200">
        <f t="shared" si="5"/>
        <v>75000</v>
      </c>
      <c r="L61" s="286" t="s">
        <v>56</v>
      </c>
      <c r="M61" s="198">
        <f t="shared" si="6"/>
        <v>0</v>
      </c>
      <c r="N61" s="198">
        <f t="shared" si="7"/>
        <v>172500</v>
      </c>
      <c r="O61" s="192"/>
      <c r="P61" s="192"/>
      <c r="Q61" s="192"/>
      <c r="R61" s="192"/>
      <c r="S61" s="192"/>
      <c r="T61" s="192"/>
      <c r="U61" s="192"/>
      <c r="V61" s="192"/>
      <c r="W61" s="192"/>
      <c r="X61" s="192"/>
      <c r="Y61" s="192"/>
      <c r="Z61" s="192"/>
      <c r="AA61" s="192"/>
      <c r="AB61" s="192"/>
      <c r="AC61" s="192"/>
      <c r="AD61" s="192"/>
      <c r="AE61" s="192"/>
      <c r="AF61" s="192"/>
      <c r="AG61" s="192"/>
      <c r="AH61" s="192"/>
      <c r="AI61" s="192"/>
      <c r="AJ61" s="192"/>
      <c r="AK61" s="192"/>
      <c r="AL61" s="192"/>
      <c r="AM61" s="192"/>
      <c r="AN61" s="192"/>
      <c r="AO61" s="192"/>
      <c r="AP61" s="192"/>
      <c r="AQ61" s="192"/>
      <c r="AR61" s="192"/>
      <c r="AS61" s="192"/>
      <c r="AT61" s="192"/>
      <c r="AU61" s="192"/>
      <c r="AV61" s="192"/>
      <c r="AW61" s="192"/>
      <c r="AX61" s="192"/>
      <c r="AY61" s="192"/>
      <c r="AZ61" s="192"/>
      <c r="BA61" s="192"/>
      <c r="BB61" s="192"/>
      <c r="BC61" s="192"/>
      <c r="BD61" s="192"/>
      <c r="BE61" s="192"/>
      <c r="BF61" s="192"/>
      <c r="BG61" s="192"/>
      <c r="BH61" s="192"/>
      <c r="BI61" s="192"/>
      <c r="BJ61" s="192"/>
      <c r="BK61" s="192"/>
      <c r="BL61" s="192"/>
      <c r="BM61" s="192"/>
      <c r="BN61" s="192"/>
      <c r="BO61" s="192"/>
      <c r="BP61" s="192"/>
      <c r="BQ61" s="192"/>
      <c r="BR61" s="192"/>
      <c r="BS61" s="192"/>
      <c r="BT61" s="192"/>
      <c r="BU61" s="192"/>
      <c r="BV61" s="192"/>
      <c r="BW61" s="192"/>
      <c r="BX61" s="192"/>
      <c r="BY61" s="192"/>
      <c r="BZ61" s="192"/>
      <c r="CA61" s="192"/>
      <c r="CB61" s="192"/>
      <c r="CC61" s="192"/>
      <c r="CD61" s="192"/>
      <c r="CE61" s="192"/>
      <c r="CF61" s="192"/>
      <c r="CG61" s="192"/>
      <c r="CH61" s="192"/>
      <c r="CI61" s="192"/>
      <c r="CJ61" s="192"/>
      <c r="CK61" s="192"/>
      <c r="CL61" s="192"/>
      <c r="CM61" s="192"/>
      <c r="CN61" s="192"/>
      <c r="CO61" s="192"/>
      <c r="CP61" s="192"/>
      <c r="CQ61" s="192"/>
      <c r="CR61" s="192"/>
      <c r="CS61" s="192"/>
      <c r="CT61" s="192"/>
      <c r="CU61" s="192"/>
      <c r="CV61" s="192"/>
      <c r="CW61" s="192"/>
      <c r="CX61" s="192"/>
      <c r="CY61" s="192"/>
      <c r="CZ61" s="192"/>
      <c r="DA61" s="192"/>
      <c r="DB61" s="192"/>
      <c r="DC61" s="192"/>
      <c r="DD61" s="192"/>
      <c r="DE61" s="192"/>
      <c r="DF61" s="192"/>
      <c r="DG61" s="192"/>
      <c r="DH61" s="192"/>
      <c r="DI61" s="192"/>
      <c r="DJ61" s="192"/>
      <c r="DK61" s="192"/>
      <c r="DL61" s="192"/>
      <c r="DM61" s="192"/>
      <c r="DN61" s="192"/>
      <c r="DO61" s="192"/>
      <c r="DP61" s="192"/>
      <c r="DQ61" s="192"/>
      <c r="DR61" s="192"/>
      <c r="DS61" s="192"/>
      <c r="DT61" s="192"/>
      <c r="DU61" s="192"/>
      <c r="DV61" s="192"/>
      <c r="DW61" s="192"/>
      <c r="DX61" s="192"/>
      <c r="DY61" s="192"/>
      <c r="DZ61" s="192"/>
      <c r="EA61" s="192"/>
      <c r="EB61" s="192"/>
      <c r="EC61" s="192"/>
      <c r="ED61" s="192"/>
      <c r="EE61" s="192"/>
      <c r="EF61" s="192"/>
      <c r="EG61" s="192"/>
      <c r="EH61" s="192"/>
      <c r="EI61" s="192"/>
      <c r="EJ61" s="192"/>
      <c r="EK61" s="192"/>
      <c r="EL61" s="192"/>
      <c r="EM61" s="192"/>
      <c r="EN61" s="192"/>
      <c r="EO61" s="192"/>
      <c r="EP61" s="192"/>
      <c r="EQ61" s="192"/>
      <c r="ER61" s="192"/>
      <c r="ES61" s="192"/>
      <c r="ET61" s="192"/>
      <c r="EU61" s="192"/>
      <c r="EV61" s="192"/>
      <c r="EW61" s="192"/>
      <c r="EX61" s="192"/>
      <c r="EY61" s="192"/>
      <c r="EZ61" s="192"/>
      <c r="FA61" s="192"/>
      <c r="FB61" s="192"/>
      <c r="FC61" s="192"/>
      <c r="FD61" s="192"/>
      <c r="FE61" s="192"/>
      <c r="FF61" s="192"/>
      <c r="FG61" s="192"/>
      <c r="FH61" s="192"/>
      <c r="FI61" s="192"/>
      <c r="FJ61" s="192"/>
      <c r="FK61" s="192"/>
      <c r="FL61" s="192"/>
      <c r="FM61" s="192"/>
      <c r="FN61" s="192"/>
      <c r="FO61" s="192"/>
      <c r="FP61" s="192"/>
      <c r="FQ61" s="192"/>
      <c r="FR61" s="192"/>
      <c r="FS61" s="192"/>
      <c r="FT61" s="192"/>
      <c r="FU61" s="192"/>
      <c r="FV61" s="192"/>
      <c r="FW61" s="192"/>
      <c r="FX61" s="192"/>
      <c r="FY61" s="192"/>
      <c r="FZ61" s="192"/>
      <c r="GA61" s="192"/>
      <c r="GB61" s="192"/>
      <c r="GC61" s="192"/>
      <c r="GD61" s="192"/>
      <c r="GE61" s="192"/>
      <c r="GF61" s="192"/>
      <c r="GG61" s="192"/>
      <c r="GH61" s="192"/>
      <c r="GI61" s="192"/>
      <c r="GJ61" s="192"/>
      <c r="GK61" s="192"/>
      <c r="GL61" s="192"/>
      <c r="GM61" s="192"/>
      <c r="GN61" s="192"/>
      <c r="GO61" s="192"/>
      <c r="GP61" s="192"/>
      <c r="GQ61" s="192"/>
      <c r="GR61" s="192"/>
      <c r="GS61" s="192"/>
      <c r="GT61" s="192"/>
      <c r="GU61" s="192"/>
      <c r="GV61" s="192"/>
      <c r="GW61" s="192"/>
      <c r="GX61" s="192"/>
      <c r="GY61" s="192"/>
      <c r="GZ61" s="192"/>
      <c r="HA61" s="192"/>
      <c r="HB61" s="192"/>
      <c r="HC61" s="192"/>
      <c r="HD61" s="192"/>
      <c r="HE61" s="192"/>
      <c r="HF61" s="192"/>
      <c r="HG61" s="192"/>
      <c r="HH61" s="192"/>
      <c r="HI61" s="192"/>
      <c r="HJ61" s="192"/>
      <c r="HK61" s="192"/>
      <c r="HL61" s="192"/>
      <c r="HM61" s="192"/>
      <c r="HN61" s="192"/>
      <c r="HO61" s="192"/>
      <c r="HP61" s="192"/>
      <c r="HQ61" s="192"/>
      <c r="HR61" s="192"/>
      <c r="HS61" s="192"/>
      <c r="HT61" s="192"/>
      <c r="HU61" s="192"/>
      <c r="HV61" s="192"/>
      <c r="HW61" s="192"/>
      <c r="HX61" s="192"/>
      <c r="HY61" s="192"/>
      <c r="HZ61" s="192"/>
      <c r="IA61" s="192"/>
      <c r="IB61" s="192"/>
      <c r="IC61" s="192"/>
      <c r="ID61" s="192"/>
      <c r="IE61" s="192"/>
      <c r="IF61" s="192"/>
      <c r="IG61" s="192"/>
      <c r="IH61" s="192"/>
      <c r="II61" s="192"/>
      <c r="IJ61" s="192"/>
      <c r="IK61" s="192"/>
      <c r="IL61" s="192"/>
      <c r="IM61" s="192"/>
      <c r="IN61" s="192"/>
      <c r="IO61" s="192"/>
      <c r="IP61" s="192"/>
      <c r="IQ61" s="192"/>
    </row>
    <row r="62" spans="1:251" s="157" customFormat="1" ht="21.75" customHeight="1">
      <c r="A62" s="196">
        <v>55</v>
      </c>
      <c r="B62" s="277" t="s">
        <v>145</v>
      </c>
      <c r="C62" s="278" t="s">
        <v>292</v>
      </c>
      <c r="D62" s="271">
        <v>42</v>
      </c>
      <c r="E62" s="271"/>
      <c r="F62" s="278" t="s">
        <v>293</v>
      </c>
      <c r="G62" s="271" t="s">
        <v>286</v>
      </c>
      <c r="H62" s="285" t="s">
        <v>266</v>
      </c>
      <c r="I62" s="197">
        <f t="shared" si="4"/>
        <v>97500</v>
      </c>
      <c r="J62" s="286" t="s">
        <v>272</v>
      </c>
      <c r="K62" s="200">
        <f t="shared" si="5"/>
        <v>75000</v>
      </c>
      <c r="L62" s="286" t="s">
        <v>56</v>
      </c>
      <c r="M62" s="198">
        <f t="shared" si="6"/>
        <v>0</v>
      </c>
      <c r="N62" s="198">
        <f t="shared" si="7"/>
        <v>172500</v>
      </c>
      <c r="O62" s="192"/>
      <c r="P62" s="192"/>
      <c r="Q62" s="192"/>
      <c r="R62" s="192"/>
      <c r="S62" s="192"/>
      <c r="T62" s="192"/>
      <c r="U62" s="192"/>
      <c r="V62" s="192"/>
      <c r="W62" s="192"/>
      <c r="X62" s="192"/>
      <c r="Y62" s="192"/>
      <c r="Z62" s="192"/>
      <c r="AA62" s="192"/>
      <c r="AB62" s="192"/>
      <c r="AC62" s="192"/>
      <c r="AD62" s="192"/>
      <c r="AE62" s="192"/>
      <c r="AF62" s="192"/>
      <c r="AG62" s="192"/>
      <c r="AH62" s="192"/>
      <c r="AI62" s="192"/>
      <c r="AJ62" s="192"/>
      <c r="AK62" s="192"/>
      <c r="AL62" s="192"/>
      <c r="AM62" s="192"/>
      <c r="AN62" s="192"/>
      <c r="AO62" s="192"/>
      <c r="AP62" s="192"/>
      <c r="AQ62" s="192"/>
      <c r="AR62" s="192"/>
      <c r="AS62" s="192"/>
      <c r="AT62" s="192"/>
      <c r="AU62" s="192"/>
      <c r="AV62" s="192"/>
      <c r="AW62" s="192"/>
      <c r="AX62" s="192"/>
      <c r="AY62" s="192"/>
      <c r="AZ62" s="192"/>
      <c r="BA62" s="192"/>
      <c r="BB62" s="192"/>
      <c r="BC62" s="192"/>
      <c r="BD62" s="192"/>
      <c r="BE62" s="192"/>
      <c r="BF62" s="192"/>
      <c r="BG62" s="192"/>
      <c r="BH62" s="192"/>
      <c r="BI62" s="192"/>
      <c r="BJ62" s="192"/>
      <c r="BK62" s="192"/>
      <c r="BL62" s="192"/>
      <c r="BM62" s="192"/>
      <c r="BN62" s="192"/>
      <c r="BO62" s="192"/>
      <c r="BP62" s="192"/>
      <c r="BQ62" s="192"/>
      <c r="BR62" s="192"/>
      <c r="BS62" s="192"/>
      <c r="BT62" s="192"/>
      <c r="BU62" s="192"/>
      <c r="BV62" s="192"/>
      <c r="BW62" s="192"/>
      <c r="BX62" s="192"/>
      <c r="BY62" s="192"/>
      <c r="BZ62" s="192"/>
      <c r="CA62" s="192"/>
      <c r="CB62" s="192"/>
      <c r="CC62" s="192"/>
      <c r="CD62" s="192"/>
      <c r="CE62" s="192"/>
      <c r="CF62" s="192"/>
      <c r="CG62" s="192"/>
      <c r="CH62" s="192"/>
      <c r="CI62" s="192"/>
      <c r="CJ62" s="192"/>
      <c r="CK62" s="192"/>
      <c r="CL62" s="192"/>
      <c r="CM62" s="192"/>
      <c r="CN62" s="192"/>
      <c r="CO62" s="192"/>
      <c r="CP62" s="192"/>
      <c r="CQ62" s="192"/>
      <c r="CR62" s="192"/>
      <c r="CS62" s="192"/>
      <c r="CT62" s="192"/>
      <c r="CU62" s="192"/>
      <c r="CV62" s="192"/>
      <c r="CW62" s="192"/>
      <c r="CX62" s="192"/>
      <c r="CY62" s="192"/>
      <c r="CZ62" s="192"/>
      <c r="DA62" s="192"/>
      <c r="DB62" s="192"/>
      <c r="DC62" s="192"/>
      <c r="DD62" s="192"/>
      <c r="DE62" s="192"/>
      <c r="DF62" s="192"/>
      <c r="DG62" s="192"/>
      <c r="DH62" s="192"/>
      <c r="DI62" s="192"/>
      <c r="DJ62" s="192"/>
      <c r="DK62" s="192"/>
      <c r="DL62" s="192"/>
      <c r="DM62" s="192"/>
      <c r="DN62" s="192"/>
      <c r="DO62" s="192"/>
      <c r="DP62" s="192"/>
      <c r="DQ62" s="192"/>
      <c r="DR62" s="192"/>
      <c r="DS62" s="192"/>
      <c r="DT62" s="192"/>
      <c r="DU62" s="192"/>
      <c r="DV62" s="192"/>
      <c r="DW62" s="192"/>
      <c r="DX62" s="192"/>
      <c r="DY62" s="192"/>
      <c r="DZ62" s="192"/>
      <c r="EA62" s="192"/>
      <c r="EB62" s="192"/>
      <c r="EC62" s="192"/>
      <c r="ED62" s="192"/>
      <c r="EE62" s="192"/>
      <c r="EF62" s="192"/>
      <c r="EG62" s="192"/>
      <c r="EH62" s="192"/>
      <c r="EI62" s="192"/>
      <c r="EJ62" s="192"/>
      <c r="EK62" s="192"/>
      <c r="EL62" s="192"/>
      <c r="EM62" s="192"/>
      <c r="EN62" s="192"/>
      <c r="EO62" s="192"/>
      <c r="EP62" s="192"/>
      <c r="EQ62" s="192"/>
      <c r="ER62" s="192"/>
      <c r="ES62" s="192"/>
      <c r="ET62" s="192"/>
      <c r="EU62" s="192"/>
      <c r="EV62" s="192"/>
      <c r="EW62" s="192"/>
      <c r="EX62" s="192"/>
      <c r="EY62" s="192"/>
      <c r="EZ62" s="192"/>
      <c r="FA62" s="192"/>
      <c r="FB62" s="192"/>
      <c r="FC62" s="192"/>
      <c r="FD62" s="192"/>
      <c r="FE62" s="192"/>
      <c r="FF62" s="192"/>
      <c r="FG62" s="192"/>
      <c r="FH62" s="192"/>
      <c r="FI62" s="192"/>
      <c r="FJ62" s="192"/>
      <c r="FK62" s="192"/>
      <c r="FL62" s="192"/>
      <c r="FM62" s="192"/>
      <c r="FN62" s="192"/>
      <c r="FO62" s="192"/>
      <c r="FP62" s="192"/>
      <c r="FQ62" s="192"/>
      <c r="FR62" s="192"/>
      <c r="FS62" s="192"/>
      <c r="FT62" s="192"/>
      <c r="FU62" s="192"/>
      <c r="FV62" s="192"/>
      <c r="FW62" s="192"/>
      <c r="FX62" s="192"/>
      <c r="FY62" s="192"/>
      <c r="FZ62" s="192"/>
      <c r="GA62" s="192"/>
      <c r="GB62" s="192"/>
      <c r="GC62" s="192"/>
      <c r="GD62" s="192"/>
      <c r="GE62" s="192"/>
      <c r="GF62" s="192"/>
      <c r="GG62" s="192"/>
      <c r="GH62" s="192"/>
      <c r="GI62" s="192"/>
      <c r="GJ62" s="192"/>
      <c r="GK62" s="192"/>
      <c r="GL62" s="192"/>
      <c r="GM62" s="192"/>
      <c r="GN62" s="192"/>
      <c r="GO62" s="192"/>
      <c r="GP62" s="192"/>
      <c r="GQ62" s="192"/>
      <c r="GR62" s="192"/>
      <c r="GS62" s="192"/>
      <c r="GT62" s="192"/>
      <c r="GU62" s="192"/>
      <c r="GV62" s="192"/>
      <c r="GW62" s="192"/>
      <c r="GX62" s="192"/>
      <c r="GY62" s="192"/>
      <c r="GZ62" s="192"/>
      <c r="HA62" s="192"/>
      <c r="HB62" s="192"/>
      <c r="HC62" s="192"/>
      <c r="HD62" s="192"/>
      <c r="HE62" s="192"/>
      <c r="HF62" s="192"/>
      <c r="HG62" s="192"/>
      <c r="HH62" s="192"/>
      <c r="HI62" s="192"/>
      <c r="HJ62" s="192"/>
      <c r="HK62" s="192"/>
      <c r="HL62" s="192"/>
      <c r="HM62" s="192"/>
      <c r="HN62" s="192"/>
      <c r="HO62" s="192"/>
      <c r="HP62" s="192"/>
      <c r="HQ62" s="192"/>
      <c r="HR62" s="192"/>
      <c r="HS62" s="192"/>
      <c r="HT62" s="192"/>
      <c r="HU62" s="192"/>
      <c r="HV62" s="192"/>
      <c r="HW62" s="192"/>
      <c r="HX62" s="192"/>
      <c r="HY62" s="192"/>
      <c r="HZ62" s="192"/>
      <c r="IA62" s="192"/>
      <c r="IB62" s="192"/>
      <c r="IC62" s="192"/>
      <c r="ID62" s="192"/>
      <c r="IE62" s="192"/>
      <c r="IF62" s="192"/>
      <c r="IG62" s="192"/>
      <c r="IH62" s="192"/>
      <c r="II62" s="192"/>
      <c r="IJ62" s="192"/>
      <c r="IK62" s="192"/>
      <c r="IL62" s="192"/>
      <c r="IM62" s="192"/>
      <c r="IN62" s="192"/>
      <c r="IO62" s="192"/>
      <c r="IP62" s="192"/>
      <c r="IQ62" s="192"/>
    </row>
    <row r="63" spans="1:251" s="157" customFormat="1" ht="21.75" customHeight="1">
      <c r="A63" s="196">
        <v>56</v>
      </c>
      <c r="B63" s="277" t="s">
        <v>180</v>
      </c>
      <c r="C63" s="278" t="s">
        <v>294</v>
      </c>
      <c r="D63" s="271"/>
      <c r="E63" s="271">
        <v>55</v>
      </c>
      <c r="F63" s="278" t="s">
        <v>285</v>
      </c>
      <c r="G63" s="271" t="s">
        <v>288</v>
      </c>
      <c r="H63" s="285" t="s">
        <v>269</v>
      </c>
      <c r="I63" s="197">
        <f t="shared" si="4"/>
        <v>97500</v>
      </c>
      <c r="J63" s="286" t="s">
        <v>275</v>
      </c>
      <c r="K63" s="200">
        <f t="shared" si="5"/>
        <v>75000</v>
      </c>
      <c r="L63" s="286" t="s">
        <v>56</v>
      </c>
      <c r="M63" s="198">
        <f t="shared" si="6"/>
        <v>0</v>
      </c>
      <c r="N63" s="198">
        <f t="shared" si="7"/>
        <v>172500</v>
      </c>
      <c r="O63" s="192"/>
      <c r="P63" s="192"/>
      <c r="Q63" s="192"/>
      <c r="R63" s="192"/>
      <c r="S63" s="192"/>
      <c r="T63" s="192"/>
      <c r="U63" s="192"/>
      <c r="V63" s="192"/>
      <c r="W63" s="192"/>
      <c r="X63" s="192"/>
      <c r="Y63" s="192"/>
      <c r="Z63" s="192"/>
      <c r="AA63" s="192"/>
      <c r="AB63" s="192"/>
      <c r="AC63" s="192"/>
      <c r="AD63" s="192"/>
      <c r="AE63" s="192"/>
      <c r="AF63" s="192"/>
      <c r="AG63" s="192"/>
      <c r="AH63" s="192"/>
      <c r="AI63" s="192"/>
      <c r="AJ63" s="192"/>
      <c r="AK63" s="192"/>
      <c r="AL63" s="192"/>
      <c r="AM63" s="192"/>
      <c r="AN63" s="192"/>
      <c r="AO63" s="192"/>
      <c r="AP63" s="192"/>
      <c r="AQ63" s="192"/>
      <c r="AR63" s="192"/>
      <c r="AS63" s="192"/>
      <c r="AT63" s="192"/>
      <c r="AU63" s="192"/>
      <c r="AV63" s="192"/>
      <c r="AW63" s="192"/>
      <c r="AX63" s="192"/>
      <c r="AY63" s="192"/>
      <c r="AZ63" s="192"/>
      <c r="BA63" s="192"/>
      <c r="BB63" s="192"/>
      <c r="BC63" s="192"/>
      <c r="BD63" s="192"/>
      <c r="BE63" s="192"/>
      <c r="BF63" s="192"/>
      <c r="BG63" s="192"/>
      <c r="BH63" s="192"/>
      <c r="BI63" s="192"/>
      <c r="BJ63" s="192"/>
      <c r="BK63" s="192"/>
      <c r="BL63" s="192"/>
      <c r="BM63" s="192"/>
      <c r="BN63" s="192"/>
      <c r="BO63" s="192"/>
      <c r="BP63" s="192"/>
      <c r="BQ63" s="192"/>
      <c r="BR63" s="192"/>
      <c r="BS63" s="192"/>
      <c r="BT63" s="192"/>
      <c r="BU63" s="192"/>
      <c r="BV63" s="192"/>
      <c r="BW63" s="192"/>
      <c r="BX63" s="192"/>
      <c r="BY63" s="192"/>
      <c r="BZ63" s="192"/>
      <c r="CA63" s="192"/>
      <c r="CB63" s="192"/>
      <c r="CC63" s="192"/>
      <c r="CD63" s="192"/>
      <c r="CE63" s="192"/>
      <c r="CF63" s="192"/>
      <c r="CG63" s="192"/>
      <c r="CH63" s="192"/>
      <c r="CI63" s="192"/>
      <c r="CJ63" s="192"/>
      <c r="CK63" s="192"/>
      <c r="CL63" s="192"/>
      <c r="CM63" s="192"/>
      <c r="CN63" s="192"/>
      <c r="CO63" s="192"/>
      <c r="CP63" s="192"/>
      <c r="CQ63" s="192"/>
      <c r="CR63" s="192"/>
      <c r="CS63" s="192"/>
      <c r="CT63" s="192"/>
      <c r="CU63" s="192"/>
      <c r="CV63" s="192"/>
      <c r="CW63" s="192"/>
      <c r="CX63" s="192"/>
      <c r="CY63" s="192"/>
      <c r="CZ63" s="192"/>
      <c r="DA63" s="192"/>
      <c r="DB63" s="192"/>
      <c r="DC63" s="192"/>
      <c r="DD63" s="192"/>
      <c r="DE63" s="192"/>
      <c r="DF63" s="192"/>
      <c r="DG63" s="192"/>
      <c r="DH63" s="192"/>
      <c r="DI63" s="192"/>
      <c r="DJ63" s="192"/>
      <c r="DK63" s="192"/>
      <c r="DL63" s="192"/>
      <c r="DM63" s="192"/>
      <c r="DN63" s="192"/>
      <c r="DO63" s="192"/>
      <c r="DP63" s="192"/>
      <c r="DQ63" s="192"/>
      <c r="DR63" s="192"/>
      <c r="DS63" s="192"/>
      <c r="DT63" s="192"/>
      <c r="DU63" s="192"/>
      <c r="DV63" s="192"/>
      <c r="DW63" s="192"/>
      <c r="DX63" s="192"/>
      <c r="DY63" s="192"/>
      <c r="DZ63" s="192"/>
      <c r="EA63" s="192"/>
      <c r="EB63" s="192"/>
      <c r="EC63" s="192"/>
      <c r="ED63" s="192"/>
      <c r="EE63" s="192"/>
      <c r="EF63" s="192"/>
      <c r="EG63" s="192"/>
      <c r="EH63" s="192"/>
      <c r="EI63" s="192"/>
      <c r="EJ63" s="192"/>
      <c r="EK63" s="192"/>
      <c r="EL63" s="192"/>
      <c r="EM63" s="192"/>
      <c r="EN63" s="192"/>
      <c r="EO63" s="192"/>
      <c r="EP63" s="192"/>
      <c r="EQ63" s="192"/>
      <c r="ER63" s="192"/>
      <c r="ES63" s="192"/>
      <c r="ET63" s="192"/>
      <c r="EU63" s="192"/>
      <c r="EV63" s="192"/>
      <c r="EW63" s="192"/>
      <c r="EX63" s="192"/>
      <c r="EY63" s="192"/>
      <c r="EZ63" s="192"/>
      <c r="FA63" s="192"/>
      <c r="FB63" s="192"/>
      <c r="FC63" s="192"/>
      <c r="FD63" s="192"/>
      <c r="FE63" s="192"/>
      <c r="FF63" s="192"/>
      <c r="FG63" s="192"/>
      <c r="FH63" s="192"/>
      <c r="FI63" s="192"/>
      <c r="FJ63" s="192"/>
      <c r="FK63" s="192"/>
      <c r="FL63" s="192"/>
      <c r="FM63" s="192"/>
      <c r="FN63" s="192"/>
      <c r="FO63" s="192"/>
      <c r="FP63" s="192"/>
      <c r="FQ63" s="192"/>
      <c r="FR63" s="192"/>
      <c r="FS63" s="192"/>
      <c r="FT63" s="192"/>
      <c r="FU63" s="192"/>
      <c r="FV63" s="192"/>
      <c r="FW63" s="192"/>
      <c r="FX63" s="192"/>
      <c r="FY63" s="192"/>
      <c r="FZ63" s="192"/>
      <c r="GA63" s="192"/>
      <c r="GB63" s="192"/>
      <c r="GC63" s="192"/>
      <c r="GD63" s="192"/>
      <c r="GE63" s="192"/>
      <c r="GF63" s="192"/>
      <c r="GG63" s="192"/>
      <c r="GH63" s="192"/>
      <c r="GI63" s="192"/>
      <c r="GJ63" s="192"/>
      <c r="GK63" s="192"/>
      <c r="GL63" s="192"/>
      <c r="GM63" s="192"/>
      <c r="GN63" s="192"/>
      <c r="GO63" s="192"/>
      <c r="GP63" s="192"/>
      <c r="GQ63" s="192"/>
      <c r="GR63" s="192"/>
      <c r="GS63" s="192"/>
      <c r="GT63" s="192"/>
      <c r="GU63" s="192"/>
      <c r="GV63" s="192"/>
      <c r="GW63" s="192"/>
      <c r="GX63" s="192"/>
      <c r="GY63" s="192"/>
      <c r="GZ63" s="192"/>
      <c r="HA63" s="192"/>
      <c r="HB63" s="192"/>
      <c r="HC63" s="192"/>
      <c r="HD63" s="192"/>
      <c r="HE63" s="192"/>
      <c r="HF63" s="192"/>
      <c r="HG63" s="192"/>
      <c r="HH63" s="192"/>
      <c r="HI63" s="192"/>
      <c r="HJ63" s="192"/>
      <c r="HK63" s="192"/>
      <c r="HL63" s="192"/>
      <c r="HM63" s="192"/>
      <c r="HN63" s="192"/>
      <c r="HO63" s="192"/>
      <c r="HP63" s="192"/>
      <c r="HQ63" s="192"/>
      <c r="HR63" s="192"/>
      <c r="HS63" s="192"/>
      <c r="HT63" s="192"/>
      <c r="HU63" s="192"/>
      <c r="HV63" s="192"/>
      <c r="HW63" s="192"/>
      <c r="HX63" s="192"/>
      <c r="HY63" s="192"/>
      <c r="HZ63" s="192"/>
      <c r="IA63" s="192"/>
      <c r="IB63" s="192"/>
      <c r="IC63" s="192"/>
      <c r="ID63" s="192"/>
      <c r="IE63" s="192"/>
      <c r="IF63" s="192"/>
      <c r="IG63" s="192"/>
      <c r="IH63" s="192"/>
      <c r="II63" s="192"/>
      <c r="IJ63" s="192"/>
      <c r="IK63" s="192"/>
      <c r="IL63" s="192"/>
      <c r="IM63" s="192"/>
      <c r="IN63" s="192"/>
      <c r="IO63" s="192"/>
      <c r="IP63" s="192"/>
      <c r="IQ63" s="192"/>
    </row>
    <row r="64" spans="1:251" s="157" customFormat="1" ht="21.75" customHeight="1">
      <c r="A64" s="196">
        <v>57</v>
      </c>
      <c r="B64" s="277" t="s">
        <v>180</v>
      </c>
      <c r="C64" s="278" t="s">
        <v>193</v>
      </c>
      <c r="D64" s="271">
        <v>63</v>
      </c>
      <c r="E64" s="271"/>
      <c r="F64" s="278" t="s">
        <v>285</v>
      </c>
      <c r="G64" s="271" t="s">
        <v>288</v>
      </c>
      <c r="H64" s="285" t="s">
        <v>266</v>
      </c>
      <c r="I64" s="197">
        <f t="shared" si="4"/>
        <v>97500</v>
      </c>
      <c r="J64" s="286" t="s">
        <v>276</v>
      </c>
      <c r="K64" s="200">
        <f t="shared" si="5"/>
        <v>75000</v>
      </c>
      <c r="L64" s="286" t="s">
        <v>56</v>
      </c>
      <c r="M64" s="198">
        <f t="shared" si="6"/>
        <v>0</v>
      </c>
      <c r="N64" s="198">
        <f t="shared" si="7"/>
        <v>172500</v>
      </c>
      <c r="O64" s="192"/>
      <c r="P64" s="192"/>
      <c r="Q64" s="192"/>
      <c r="R64" s="192"/>
      <c r="S64" s="192"/>
      <c r="T64" s="192"/>
      <c r="U64" s="192"/>
      <c r="V64" s="192"/>
      <c r="W64" s="192"/>
      <c r="X64" s="192"/>
      <c r="Y64" s="192"/>
      <c r="Z64" s="192"/>
      <c r="AA64" s="192"/>
      <c r="AB64" s="192"/>
      <c r="AC64" s="192"/>
      <c r="AD64" s="192"/>
      <c r="AE64" s="192"/>
      <c r="AF64" s="192"/>
      <c r="AG64" s="192"/>
      <c r="AH64" s="192"/>
      <c r="AI64" s="192"/>
      <c r="AJ64" s="192"/>
      <c r="AK64" s="192"/>
      <c r="AL64" s="192"/>
      <c r="AM64" s="192"/>
      <c r="AN64" s="192"/>
      <c r="AO64" s="192"/>
      <c r="AP64" s="192"/>
      <c r="AQ64" s="192"/>
      <c r="AR64" s="192"/>
      <c r="AS64" s="192"/>
      <c r="AT64" s="192"/>
      <c r="AU64" s="192"/>
      <c r="AV64" s="192"/>
      <c r="AW64" s="192"/>
      <c r="AX64" s="192"/>
      <c r="AY64" s="192"/>
      <c r="AZ64" s="192"/>
      <c r="BA64" s="192"/>
      <c r="BB64" s="192"/>
      <c r="BC64" s="192"/>
      <c r="BD64" s="192"/>
      <c r="BE64" s="192"/>
      <c r="BF64" s="192"/>
      <c r="BG64" s="192"/>
      <c r="BH64" s="192"/>
      <c r="BI64" s="192"/>
      <c r="BJ64" s="192"/>
      <c r="BK64" s="192"/>
      <c r="BL64" s="192"/>
      <c r="BM64" s="192"/>
      <c r="BN64" s="192"/>
      <c r="BO64" s="192"/>
      <c r="BP64" s="192"/>
      <c r="BQ64" s="192"/>
      <c r="BR64" s="192"/>
      <c r="BS64" s="192"/>
      <c r="BT64" s="192"/>
      <c r="BU64" s="192"/>
      <c r="BV64" s="192"/>
      <c r="BW64" s="192"/>
      <c r="BX64" s="192"/>
      <c r="BY64" s="192"/>
      <c r="BZ64" s="192"/>
      <c r="CA64" s="192"/>
      <c r="CB64" s="192"/>
      <c r="CC64" s="192"/>
      <c r="CD64" s="192"/>
      <c r="CE64" s="192"/>
      <c r="CF64" s="192"/>
      <c r="CG64" s="192"/>
      <c r="CH64" s="192"/>
      <c r="CI64" s="192"/>
      <c r="CJ64" s="192"/>
      <c r="CK64" s="192"/>
      <c r="CL64" s="192"/>
      <c r="CM64" s="192"/>
      <c r="CN64" s="192"/>
      <c r="CO64" s="192"/>
      <c r="CP64" s="192"/>
      <c r="CQ64" s="192"/>
      <c r="CR64" s="192"/>
      <c r="CS64" s="192"/>
      <c r="CT64" s="192"/>
      <c r="CU64" s="192"/>
      <c r="CV64" s="192"/>
      <c r="CW64" s="192"/>
      <c r="CX64" s="192"/>
      <c r="CY64" s="192"/>
      <c r="CZ64" s="192"/>
      <c r="DA64" s="192"/>
      <c r="DB64" s="192"/>
      <c r="DC64" s="192"/>
      <c r="DD64" s="192"/>
      <c r="DE64" s="192"/>
      <c r="DF64" s="192"/>
      <c r="DG64" s="192"/>
      <c r="DH64" s="192"/>
      <c r="DI64" s="192"/>
      <c r="DJ64" s="192"/>
      <c r="DK64" s="192"/>
      <c r="DL64" s="192"/>
      <c r="DM64" s="192"/>
      <c r="DN64" s="192"/>
      <c r="DO64" s="192"/>
      <c r="DP64" s="192"/>
      <c r="DQ64" s="192"/>
      <c r="DR64" s="192"/>
      <c r="DS64" s="192"/>
      <c r="DT64" s="192"/>
      <c r="DU64" s="192"/>
      <c r="DV64" s="192"/>
      <c r="DW64" s="192"/>
      <c r="DX64" s="192"/>
      <c r="DY64" s="192"/>
      <c r="DZ64" s="192"/>
      <c r="EA64" s="192"/>
      <c r="EB64" s="192"/>
      <c r="EC64" s="192"/>
      <c r="ED64" s="192"/>
      <c r="EE64" s="192"/>
      <c r="EF64" s="192"/>
      <c r="EG64" s="192"/>
      <c r="EH64" s="192"/>
      <c r="EI64" s="192"/>
      <c r="EJ64" s="192"/>
      <c r="EK64" s="192"/>
      <c r="EL64" s="192"/>
      <c r="EM64" s="192"/>
      <c r="EN64" s="192"/>
      <c r="EO64" s="192"/>
      <c r="EP64" s="192"/>
      <c r="EQ64" s="192"/>
      <c r="ER64" s="192"/>
      <c r="ES64" s="192"/>
      <c r="ET64" s="192"/>
      <c r="EU64" s="192"/>
      <c r="EV64" s="192"/>
      <c r="EW64" s="192"/>
      <c r="EX64" s="192"/>
      <c r="EY64" s="192"/>
      <c r="EZ64" s="192"/>
      <c r="FA64" s="192"/>
      <c r="FB64" s="192"/>
      <c r="FC64" s="192"/>
      <c r="FD64" s="192"/>
      <c r="FE64" s="192"/>
      <c r="FF64" s="192"/>
      <c r="FG64" s="192"/>
      <c r="FH64" s="192"/>
      <c r="FI64" s="192"/>
      <c r="FJ64" s="192"/>
      <c r="FK64" s="192"/>
      <c r="FL64" s="192"/>
      <c r="FM64" s="192"/>
      <c r="FN64" s="192"/>
      <c r="FO64" s="192"/>
      <c r="FP64" s="192"/>
      <c r="FQ64" s="192"/>
      <c r="FR64" s="192"/>
      <c r="FS64" s="192"/>
      <c r="FT64" s="192"/>
      <c r="FU64" s="192"/>
      <c r="FV64" s="192"/>
      <c r="FW64" s="192"/>
      <c r="FX64" s="192"/>
      <c r="FY64" s="192"/>
      <c r="FZ64" s="192"/>
      <c r="GA64" s="192"/>
      <c r="GB64" s="192"/>
      <c r="GC64" s="192"/>
      <c r="GD64" s="192"/>
      <c r="GE64" s="192"/>
      <c r="GF64" s="192"/>
      <c r="GG64" s="192"/>
      <c r="GH64" s="192"/>
      <c r="GI64" s="192"/>
      <c r="GJ64" s="192"/>
      <c r="GK64" s="192"/>
      <c r="GL64" s="192"/>
      <c r="GM64" s="192"/>
      <c r="GN64" s="192"/>
      <c r="GO64" s="192"/>
      <c r="GP64" s="192"/>
      <c r="GQ64" s="192"/>
      <c r="GR64" s="192"/>
      <c r="GS64" s="192"/>
      <c r="GT64" s="192"/>
      <c r="GU64" s="192"/>
      <c r="GV64" s="192"/>
      <c r="GW64" s="192"/>
      <c r="GX64" s="192"/>
      <c r="GY64" s="192"/>
      <c r="GZ64" s="192"/>
      <c r="HA64" s="192"/>
      <c r="HB64" s="192"/>
      <c r="HC64" s="192"/>
      <c r="HD64" s="192"/>
      <c r="HE64" s="192"/>
      <c r="HF64" s="192"/>
      <c r="HG64" s="192"/>
      <c r="HH64" s="192"/>
      <c r="HI64" s="192"/>
      <c r="HJ64" s="192"/>
      <c r="HK64" s="192"/>
      <c r="HL64" s="192"/>
      <c r="HM64" s="192"/>
      <c r="HN64" s="192"/>
      <c r="HO64" s="192"/>
      <c r="HP64" s="192"/>
      <c r="HQ64" s="192"/>
      <c r="HR64" s="192"/>
      <c r="HS64" s="192"/>
      <c r="HT64" s="192"/>
      <c r="HU64" s="192"/>
      <c r="HV64" s="192"/>
      <c r="HW64" s="192"/>
      <c r="HX64" s="192"/>
      <c r="HY64" s="192"/>
      <c r="HZ64" s="192"/>
      <c r="IA64" s="192"/>
      <c r="IB64" s="192"/>
      <c r="IC64" s="192"/>
      <c r="ID64" s="192"/>
      <c r="IE64" s="192"/>
      <c r="IF64" s="192"/>
      <c r="IG64" s="192"/>
      <c r="IH64" s="192"/>
      <c r="II64" s="192"/>
      <c r="IJ64" s="192"/>
      <c r="IK64" s="192"/>
      <c r="IL64" s="192"/>
      <c r="IM64" s="192"/>
      <c r="IN64" s="192"/>
      <c r="IO64" s="192"/>
      <c r="IP64" s="192"/>
      <c r="IQ64" s="192"/>
    </row>
    <row r="65" spans="1:251" s="157" customFormat="1" ht="21.75" customHeight="1">
      <c r="A65" s="196">
        <v>58</v>
      </c>
      <c r="B65" s="277" t="s">
        <v>180</v>
      </c>
      <c r="C65" s="278" t="s">
        <v>284</v>
      </c>
      <c r="D65" s="271">
        <v>42</v>
      </c>
      <c r="E65" s="271"/>
      <c r="F65" s="278" t="s">
        <v>295</v>
      </c>
      <c r="G65" s="271" t="s">
        <v>288</v>
      </c>
      <c r="H65" s="285" t="s">
        <v>266</v>
      </c>
      <c r="I65" s="197">
        <f t="shared" si="4"/>
        <v>97500</v>
      </c>
      <c r="J65" s="286" t="s">
        <v>276</v>
      </c>
      <c r="K65" s="200">
        <f t="shared" si="5"/>
        <v>75000</v>
      </c>
      <c r="L65" s="286" t="s">
        <v>56</v>
      </c>
      <c r="M65" s="198">
        <f t="shared" si="6"/>
        <v>0</v>
      </c>
      <c r="N65" s="198">
        <f t="shared" si="7"/>
        <v>172500</v>
      </c>
      <c r="O65" s="192"/>
      <c r="P65" s="192"/>
      <c r="Q65" s="192"/>
      <c r="R65" s="192"/>
      <c r="S65" s="192"/>
      <c r="T65" s="192"/>
      <c r="U65" s="192"/>
      <c r="V65" s="192"/>
      <c r="W65" s="192"/>
      <c r="X65" s="192"/>
      <c r="Y65" s="192"/>
      <c r="Z65" s="192"/>
      <c r="AA65" s="192"/>
      <c r="AB65" s="192"/>
      <c r="AC65" s="192"/>
      <c r="AD65" s="192"/>
      <c r="AE65" s="192"/>
      <c r="AF65" s="192"/>
      <c r="AG65" s="192"/>
      <c r="AH65" s="192"/>
      <c r="AI65" s="192"/>
      <c r="AJ65" s="192"/>
      <c r="AK65" s="192"/>
      <c r="AL65" s="192"/>
      <c r="AM65" s="192"/>
      <c r="AN65" s="192"/>
      <c r="AO65" s="192"/>
      <c r="AP65" s="192"/>
      <c r="AQ65" s="192"/>
      <c r="AR65" s="192"/>
      <c r="AS65" s="192"/>
      <c r="AT65" s="192"/>
      <c r="AU65" s="192"/>
      <c r="AV65" s="192"/>
      <c r="AW65" s="192"/>
      <c r="AX65" s="192"/>
      <c r="AY65" s="192"/>
      <c r="AZ65" s="192"/>
      <c r="BA65" s="192"/>
      <c r="BB65" s="192"/>
      <c r="BC65" s="192"/>
      <c r="BD65" s="192"/>
      <c r="BE65" s="192"/>
      <c r="BF65" s="192"/>
      <c r="BG65" s="192"/>
      <c r="BH65" s="192"/>
      <c r="BI65" s="192"/>
      <c r="BJ65" s="192"/>
      <c r="BK65" s="192"/>
      <c r="BL65" s="192"/>
      <c r="BM65" s="192"/>
      <c r="BN65" s="192"/>
      <c r="BO65" s="192"/>
      <c r="BP65" s="192"/>
      <c r="BQ65" s="192"/>
      <c r="BR65" s="192"/>
      <c r="BS65" s="192"/>
      <c r="BT65" s="192"/>
      <c r="BU65" s="192"/>
      <c r="BV65" s="192"/>
      <c r="BW65" s="192"/>
      <c r="BX65" s="192"/>
      <c r="BY65" s="192"/>
      <c r="BZ65" s="192"/>
      <c r="CA65" s="192"/>
      <c r="CB65" s="192"/>
      <c r="CC65" s="192"/>
      <c r="CD65" s="192"/>
      <c r="CE65" s="192"/>
      <c r="CF65" s="192"/>
      <c r="CG65" s="192"/>
      <c r="CH65" s="192"/>
      <c r="CI65" s="192"/>
      <c r="CJ65" s="192"/>
      <c r="CK65" s="192"/>
      <c r="CL65" s="192"/>
      <c r="CM65" s="192"/>
      <c r="CN65" s="192"/>
      <c r="CO65" s="192"/>
      <c r="CP65" s="192"/>
      <c r="CQ65" s="192"/>
      <c r="CR65" s="192"/>
      <c r="CS65" s="192"/>
      <c r="CT65" s="192"/>
      <c r="CU65" s="192"/>
      <c r="CV65" s="192"/>
      <c r="CW65" s="192"/>
      <c r="CX65" s="192"/>
      <c r="CY65" s="192"/>
      <c r="CZ65" s="192"/>
      <c r="DA65" s="192"/>
      <c r="DB65" s="192"/>
      <c r="DC65" s="192"/>
      <c r="DD65" s="192"/>
      <c r="DE65" s="192"/>
      <c r="DF65" s="192"/>
      <c r="DG65" s="192"/>
      <c r="DH65" s="192"/>
      <c r="DI65" s="192"/>
      <c r="DJ65" s="192"/>
      <c r="DK65" s="192"/>
      <c r="DL65" s="192"/>
      <c r="DM65" s="192"/>
      <c r="DN65" s="192"/>
      <c r="DO65" s="192"/>
      <c r="DP65" s="192"/>
      <c r="DQ65" s="192"/>
      <c r="DR65" s="192"/>
      <c r="DS65" s="192"/>
      <c r="DT65" s="192"/>
      <c r="DU65" s="192"/>
      <c r="DV65" s="192"/>
      <c r="DW65" s="192"/>
      <c r="DX65" s="192"/>
      <c r="DY65" s="192"/>
      <c r="DZ65" s="192"/>
      <c r="EA65" s="192"/>
      <c r="EB65" s="192"/>
      <c r="EC65" s="192"/>
      <c r="ED65" s="192"/>
      <c r="EE65" s="192"/>
      <c r="EF65" s="192"/>
      <c r="EG65" s="192"/>
      <c r="EH65" s="192"/>
      <c r="EI65" s="192"/>
      <c r="EJ65" s="192"/>
      <c r="EK65" s="192"/>
      <c r="EL65" s="192"/>
      <c r="EM65" s="192"/>
      <c r="EN65" s="192"/>
      <c r="EO65" s="192"/>
      <c r="EP65" s="192"/>
      <c r="EQ65" s="192"/>
      <c r="ER65" s="192"/>
      <c r="ES65" s="192"/>
      <c r="ET65" s="192"/>
      <c r="EU65" s="192"/>
      <c r="EV65" s="192"/>
      <c r="EW65" s="192"/>
      <c r="EX65" s="192"/>
      <c r="EY65" s="192"/>
      <c r="EZ65" s="192"/>
      <c r="FA65" s="192"/>
      <c r="FB65" s="192"/>
      <c r="FC65" s="192"/>
      <c r="FD65" s="192"/>
      <c r="FE65" s="192"/>
      <c r="FF65" s="192"/>
      <c r="FG65" s="192"/>
      <c r="FH65" s="192"/>
      <c r="FI65" s="192"/>
      <c r="FJ65" s="192"/>
      <c r="FK65" s="192"/>
      <c r="FL65" s="192"/>
      <c r="FM65" s="192"/>
      <c r="FN65" s="192"/>
      <c r="FO65" s="192"/>
      <c r="FP65" s="192"/>
      <c r="FQ65" s="192"/>
      <c r="FR65" s="192"/>
      <c r="FS65" s="192"/>
      <c r="FT65" s="192"/>
      <c r="FU65" s="192"/>
      <c r="FV65" s="192"/>
      <c r="FW65" s="192"/>
      <c r="FX65" s="192"/>
      <c r="FY65" s="192"/>
      <c r="FZ65" s="192"/>
      <c r="GA65" s="192"/>
      <c r="GB65" s="192"/>
      <c r="GC65" s="192"/>
      <c r="GD65" s="192"/>
      <c r="GE65" s="192"/>
      <c r="GF65" s="192"/>
      <c r="GG65" s="192"/>
      <c r="GH65" s="192"/>
      <c r="GI65" s="192"/>
      <c r="GJ65" s="192"/>
      <c r="GK65" s="192"/>
      <c r="GL65" s="192"/>
      <c r="GM65" s="192"/>
      <c r="GN65" s="192"/>
      <c r="GO65" s="192"/>
      <c r="GP65" s="192"/>
      <c r="GQ65" s="192"/>
      <c r="GR65" s="192"/>
      <c r="GS65" s="192"/>
      <c r="GT65" s="192"/>
      <c r="GU65" s="192"/>
      <c r="GV65" s="192"/>
      <c r="GW65" s="192"/>
      <c r="GX65" s="192"/>
      <c r="GY65" s="192"/>
      <c r="GZ65" s="192"/>
      <c r="HA65" s="192"/>
      <c r="HB65" s="192"/>
      <c r="HC65" s="192"/>
      <c r="HD65" s="192"/>
      <c r="HE65" s="192"/>
      <c r="HF65" s="192"/>
      <c r="HG65" s="192"/>
      <c r="HH65" s="192"/>
      <c r="HI65" s="192"/>
      <c r="HJ65" s="192"/>
      <c r="HK65" s="192"/>
      <c r="HL65" s="192"/>
      <c r="HM65" s="192"/>
      <c r="HN65" s="192"/>
      <c r="HO65" s="192"/>
      <c r="HP65" s="192"/>
      <c r="HQ65" s="192"/>
      <c r="HR65" s="192"/>
      <c r="HS65" s="192"/>
      <c r="HT65" s="192"/>
      <c r="HU65" s="192"/>
      <c r="HV65" s="192"/>
      <c r="HW65" s="192"/>
      <c r="HX65" s="192"/>
      <c r="HY65" s="192"/>
      <c r="HZ65" s="192"/>
      <c r="IA65" s="192"/>
      <c r="IB65" s="192"/>
      <c r="IC65" s="192"/>
      <c r="ID65" s="192"/>
      <c r="IE65" s="192"/>
      <c r="IF65" s="192"/>
      <c r="IG65" s="192"/>
      <c r="IH65" s="192"/>
      <c r="II65" s="192"/>
      <c r="IJ65" s="192"/>
      <c r="IK65" s="192"/>
      <c r="IL65" s="192"/>
      <c r="IM65" s="192"/>
      <c r="IN65" s="192"/>
      <c r="IO65" s="192"/>
      <c r="IP65" s="192"/>
      <c r="IQ65" s="192"/>
    </row>
    <row r="66" spans="1:251" s="157" customFormat="1" ht="21.75" customHeight="1">
      <c r="A66" s="196">
        <v>59</v>
      </c>
      <c r="B66" s="277" t="s">
        <v>189</v>
      </c>
      <c r="C66" s="278" t="s">
        <v>292</v>
      </c>
      <c r="D66" s="271">
        <v>42</v>
      </c>
      <c r="E66" s="271"/>
      <c r="F66" s="278" t="s">
        <v>285</v>
      </c>
      <c r="G66" s="271" t="s">
        <v>288</v>
      </c>
      <c r="H66" s="285" t="s">
        <v>266</v>
      </c>
      <c r="I66" s="197">
        <f t="shared" si="4"/>
        <v>97500</v>
      </c>
      <c r="J66" s="286" t="s">
        <v>273</v>
      </c>
      <c r="K66" s="200">
        <f t="shared" si="5"/>
        <v>75000</v>
      </c>
      <c r="L66" s="286" t="s">
        <v>56</v>
      </c>
      <c r="M66" s="198">
        <f t="shared" si="6"/>
        <v>0</v>
      </c>
      <c r="N66" s="198">
        <f t="shared" si="7"/>
        <v>172500</v>
      </c>
      <c r="O66" s="192"/>
      <c r="P66" s="192"/>
      <c r="Q66" s="192"/>
      <c r="R66" s="192"/>
      <c r="S66" s="192"/>
      <c r="T66" s="192"/>
      <c r="U66" s="192"/>
      <c r="V66" s="192"/>
      <c r="W66" s="192"/>
      <c r="X66" s="192"/>
      <c r="Y66" s="192"/>
      <c r="Z66" s="192"/>
      <c r="AA66" s="192"/>
      <c r="AB66" s="192"/>
      <c r="AC66" s="192"/>
      <c r="AD66" s="192"/>
      <c r="AE66" s="192"/>
      <c r="AF66" s="192"/>
      <c r="AG66" s="192"/>
      <c r="AH66" s="192"/>
      <c r="AI66" s="192"/>
      <c r="AJ66" s="192"/>
      <c r="AK66" s="192"/>
      <c r="AL66" s="192"/>
      <c r="AM66" s="192"/>
      <c r="AN66" s="192"/>
      <c r="AO66" s="192"/>
      <c r="AP66" s="192"/>
      <c r="AQ66" s="192"/>
      <c r="AR66" s="192"/>
      <c r="AS66" s="192"/>
      <c r="AT66" s="192"/>
      <c r="AU66" s="192"/>
      <c r="AV66" s="192"/>
      <c r="AW66" s="192"/>
      <c r="AX66" s="192"/>
      <c r="AY66" s="192"/>
      <c r="AZ66" s="192"/>
      <c r="BA66" s="192"/>
      <c r="BB66" s="192"/>
      <c r="BC66" s="192"/>
      <c r="BD66" s="192"/>
      <c r="BE66" s="192"/>
      <c r="BF66" s="192"/>
      <c r="BG66" s="192"/>
      <c r="BH66" s="192"/>
      <c r="BI66" s="192"/>
      <c r="BJ66" s="192"/>
      <c r="BK66" s="192"/>
      <c r="BL66" s="192"/>
      <c r="BM66" s="192"/>
      <c r="BN66" s="192"/>
      <c r="BO66" s="192"/>
      <c r="BP66" s="192"/>
      <c r="BQ66" s="192"/>
      <c r="BR66" s="192"/>
      <c r="BS66" s="192"/>
      <c r="BT66" s="192"/>
      <c r="BU66" s="192"/>
      <c r="BV66" s="192"/>
      <c r="BW66" s="192"/>
      <c r="BX66" s="192"/>
      <c r="BY66" s="192"/>
      <c r="BZ66" s="192"/>
      <c r="CA66" s="192"/>
      <c r="CB66" s="192"/>
      <c r="CC66" s="192"/>
      <c r="CD66" s="192"/>
      <c r="CE66" s="192"/>
      <c r="CF66" s="192"/>
      <c r="CG66" s="192"/>
      <c r="CH66" s="192"/>
      <c r="CI66" s="192"/>
      <c r="CJ66" s="192"/>
      <c r="CK66" s="192"/>
      <c r="CL66" s="192"/>
      <c r="CM66" s="192"/>
      <c r="CN66" s="192"/>
      <c r="CO66" s="192"/>
      <c r="CP66" s="192"/>
      <c r="CQ66" s="192"/>
      <c r="CR66" s="192"/>
      <c r="CS66" s="192"/>
      <c r="CT66" s="192"/>
      <c r="CU66" s="192"/>
      <c r="CV66" s="192"/>
      <c r="CW66" s="192"/>
      <c r="CX66" s="192"/>
      <c r="CY66" s="192"/>
      <c r="CZ66" s="192"/>
      <c r="DA66" s="192"/>
      <c r="DB66" s="192"/>
      <c r="DC66" s="192"/>
      <c r="DD66" s="192"/>
      <c r="DE66" s="192"/>
      <c r="DF66" s="192"/>
      <c r="DG66" s="192"/>
      <c r="DH66" s="192"/>
      <c r="DI66" s="192"/>
      <c r="DJ66" s="192"/>
      <c r="DK66" s="192"/>
      <c r="DL66" s="192"/>
      <c r="DM66" s="192"/>
      <c r="DN66" s="192"/>
      <c r="DO66" s="192"/>
      <c r="DP66" s="192"/>
      <c r="DQ66" s="192"/>
      <c r="DR66" s="192"/>
      <c r="DS66" s="192"/>
      <c r="DT66" s="192"/>
      <c r="DU66" s="192"/>
      <c r="DV66" s="192"/>
      <c r="DW66" s="192"/>
      <c r="DX66" s="192"/>
      <c r="DY66" s="192"/>
      <c r="DZ66" s="192"/>
      <c r="EA66" s="192"/>
      <c r="EB66" s="192"/>
      <c r="EC66" s="192"/>
      <c r="ED66" s="192"/>
      <c r="EE66" s="192"/>
      <c r="EF66" s="192"/>
      <c r="EG66" s="192"/>
      <c r="EH66" s="192"/>
      <c r="EI66" s="192"/>
      <c r="EJ66" s="192"/>
      <c r="EK66" s="192"/>
      <c r="EL66" s="192"/>
      <c r="EM66" s="192"/>
      <c r="EN66" s="192"/>
      <c r="EO66" s="192"/>
      <c r="EP66" s="192"/>
      <c r="EQ66" s="192"/>
      <c r="ER66" s="192"/>
      <c r="ES66" s="192"/>
      <c r="ET66" s="192"/>
      <c r="EU66" s="192"/>
      <c r="EV66" s="192"/>
      <c r="EW66" s="192"/>
      <c r="EX66" s="192"/>
      <c r="EY66" s="192"/>
      <c r="EZ66" s="192"/>
      <c r="FA66" s="192"/>
      <c r="FB66" s="192"/>
      <c r="FC66" s="192"/>
      <c r="FD66" s="192"/>
      <c r="FE66" s="192"/>
      <c r="FF66" s="192"/>
      <c r="FG66" s="192"/>
      <c r="FH66" s="192"/>
      <c r="FI66" s="192"/>
      <c r="FJ66" s="192"/>
      <c r="FK66" s="192"/>
      <c r="FL66" s="192"/>
      <c r="FM66" s="192"/>
      <c r="FN66" s="192"/>
      <c r="FO66" s="192"/>
      <c r="FP66" s="192"/>
      <c r="FQ66" s="192"/>
      <c r="FR66" s="192"/>
      <c r="FS66" s="192"/>
      <c r="FT66" s="192"/>
      <c r="FU66" s="192"/>
      <c r="FV66" s="192"/>
      <c r="FW66" s="192"/>
      <c r="FX66" s="192"/>
      <c r="FY66" s="192"/>
      <c r="FZ66" s="192"/>
      <c r="GA66" s="192"/>
      <c r="GB66" s="192"/>
      <c r="GC66" s="192"/>
      <c r="GD66" s="192"/>
      <c r="GE66" s="192"/>
      <c r="GF66" s="192"/>
      <c r="GG66" s="192"/>
      <c r="GH66" s="192"/>
      <c r="GI66" s="192"/>
      <c r="GJ66" s="192"/>
      <c r="GK66" s="192"/>
      <c r="GL66" s="192"/>
      <c r="GM66" s="192"/>
      <c r="GN66" s="192"/>
      <c r="GO66" s="192"/>
      <c r="GP66" s="192"/>
      <c r="GQ66" s="192"/>
      <c r="GR66" s="192"/>
      <c r="GS66" s="192"/>
      <c r="GT66" s="192"/>
      <c r="GU66" s="192"/>
      <c r="GV66" s="192"/>
      <c r="GW66" s="192"/>
      <c r="GX66" s="192"/>
      <c r="GY66" s="192"/>
      <c r="GZ66" s="192"/>
      <c r="HA66" s="192"/>
      <c r="HB66" s="192"/>
      <c r="HC66" s="192"/>
      <c r="HD66" s="192"/>
      <c r="HE66" s="192"/>
      <c r="HF66" s="192"/>
      <c r="HG66" s="192"/>
      <c r="HH66" s="192"/>
      <c r="HI66" s="192"/>
      <c r="HJ66" s="192"/>
      <c r="HK66" s="192"/>
      <c r="HL66" s="192"/>
      <c r="HM66" s="192"/>
      <c r="HN66" s="192"/>
      <c r="HO66" s="192"/>
      <c r="HP66" s="192"/>
      <c r="HQ66" s="192"/>
      <c r="HR66" s="192"/>
      <c r="HS66" s="192"/>
      <c r="HT66" s="192"/>
      <c r="HU66" s="192"/>
      <c r="HV66" s="192"/>
      <c r="HW66" s="192"/>
      <c r="HX66" s="192"/>
      <c r="HY66" s="192"/>
      <c r="HZ66" s="192"/>
      <c r="IA66" s="192"/>
      <c r="IB66" s="192"/>
      <c r="IC66" s="192"/>
      <c r="ID66" s="192"/>
      <c r="IE66" s="192"/>
      <c r="IF66" s="192"/>
      <c r="IG66" s="192"/>
      <c r="IH66" s="192"/>
      <c r="II66" s="192"/>
      <c r="IJ66" s="192"/>
      <c r="IK66" s="192"/>
      <c r="IL66" s="192"/>
      <c r="IM66" s="192"/>
      <c r="IN66" s="192"/>
      <c r="IO66" s="192"/>
      <c r="IP66" s="192"/>
      <c r="IQ66" s="192"/>
    </row>
    <row r="67" spans="1:251" s="157" customFormat="1" ht="21.75" customHeight="1">
      <c r="A67" s="196">
        <v>60</v>
      </c>
      <c r="B67" s="277" t="s">
        <v>189</v>
      </c>
      <c r="C67" s="278" t="s">
        <v>296</v>
      </c>
      <c r="D67" s="271"/>
      <c r="E67" s="271">
        <v>78</v>
      </c>
      <c r="F67" s="278" t="s">
        <v>285</v>
      </c>
      <c r="G67" s="271" t="s">
        <v>286</v>
      </c>
      <c r="H67" s="285" t="s">
        <v>265</v>
      </c>
      <c r="I67" s="197">
        <f t="shared" si="4"/>
        <v>97500</v>
      </c>
      <c r="J67" s="286" t="s">
        <v>267</v>
      </c>
      <c r="K67" s="200">
        <f t="shared" si="5"/>
        <v>75000</v>
      </c>
      <c r="L67" s="286" t="s">
        <v>56</v>
      </c>
      <c r="M67" s="198">
        <f t="shared" si="6"/>
        <v>0</v>
      </c>
      <c r="N67" s="198">
        <f t="shared" si="7"/>
        <v>172500</v>
      </c>
      <c r="O67" s="192"/>
      <c r="P67" s="192"/>
      <c r="Q67" s="192"/>
      <c r="R67" s="192"/>
      <c r="S67" s="192"/>
      <c r="T67" s="192"/>
      <c r="U67" s="192"/>
      <c r="V67" s="192"/>
      <c r="W67" s="192"/>
      <c r="X67" s="192"/>
      <c r="Y67" s="192"/>
      <c r="Z67" s="192"/>
      <c r="AA67" s="192"/>
      <c r="AB67" s="192"/>
      <c r="AC67" s="192"/>
      <c r="AD67" s="192"/>
      <c r="AE67" s="192"/>
      <c r="AF67" s="192"/>
      <c r="AG67" s="192"/>
      <c r="AH67" s="192"/>
      <c r="AI67" s="192"/>
      <c r="AJ67" s="192"/>
      <c r="AK67" s="192"/>
      <c r="AL67" s="192"/>
      <c r="AM67" s="192"/>
      <c r="AN67" s="192"/>
      <c r="AO67" s="192"/>
      <c r="AP67" s="192"/>
      <c r="AQ67" s="192"/>
      <c r="AR67" s="192"/>
      <c r="AS67" s="192"/>
      <c r="AT67" s="192"/>
      <c r="AU67" s="192"/>
      <c r="AV67" s="192"/>
      <c r="AW67" s="192"/>
      <c r="AX67" s="192"/>
      <c r="AY67" s="192"/>
      <c r="AZ67" s="192"/>
      <c r="BA67" s="192"/>
      <c r="BB67" s="192"/>
      <c r="BC67" s="192"/>
      <c r="BD67" s="192"/>
      <c r="BE67" s="192"/>
      <c r="BF67" s="192"/>
      <c r="BG67" s="192"/>
      <c r="BH67" s="192"/>
      <c r="BI67" s="192"/>
      <c r="BJ67" s="192"/>
      <c r="BK67" s="192"/>
      <c r="BL67" s="192"/>
      <c r="BM67" s="192"/>
      <c r="BN67" s="192"/>
      <c r="BO67" s="192"/>
      <c r="BP67" s="192"/>
      <c r="BQ67" s="192"/>
      <c r="BR67" s="192"/>
      <c r="BS67" s="192"/>
      <c r="BT67" s="192"/>
      <c r="BU67" s="192"/>
      <c r="BV67" s="192"/>
      <c r="BW67" s="192"/>
      <c r="BX67" s="192"/>
      <c r="BY67" s="192"/>
      <c r="BZ67" s="192"/>
      <c r="CA67" s="192"/>
      <c r="CB67" s="192"/>
      <c r="CC67" s="192"/>
      <c r="CD67" s="192"/>
      <c r="CE67" s="192"/>
      <c r="CF67" s="192"/>
      <c r="CG67" s="192"/>
      <c r="CH67" s="192"/>
      <c r="CI67" s="192"/>
      <c r="CJ67" s="192"/>
      <c r="CK67" s="192"/>
      <c r="CL67" s="192"/>
      <c r="CM67" s="192"/>
      <c r="CN67" s="192"/>
      <c r="CO67" s="192"/>
      <c r="CP67" s="192"/>
      <c r="CQ67" s="192"/>
      <c r="CR67" s="192"/>
      <c r="CS67" s="192"/>
      <c r="CT67" s="192"/>
      <c r="CU67" s="192"/>
      <c r="CV67" s="192"/>
      <c r="CW67" s="192"/>
      <c r="CX67" s="192"/>
      <c r="CY67" s="192"/>
      <c r="CZ67" s="192"/>
      <c r="DA67" s="192"/>
      <c r="DB67" s="192"/>
      <c r="DC67" s="192"/>
      <c r="DD67" s="192"/>
      <c r="DE67" s="192"/>
      <c r="DF67" s="192"/>
      <c r="DG67" s="192"/>
      <c r="DH67" s="192"/>
      <c r="DI67" s="192"/>
      <c r="DJ67" s="192"/>
      <c r="DK67" s="192"/>
      <c r="DL67" s="192"/>
      <c r="DM67" s="192"/>
      <c r="DN67" s="192"/>
      <c r="DO67" s="192"/>
      <c r="DP67" s="192"/>
      <c r="DQ67" s="192"/>
      <c r="DR67" s="192"/>
      <c r="DS67" s="192"/>
      <c r="DT67" s="192"/>
      <c r="DU67" s="192"/>
      <c r="DV67" s="192"/>
      <c r="DW67" s="192"/>
      <c r="DX67" s="192"/>
      <c r="DY67" s="192"/>
      <c r="DZ67" s="192"/>
      <c r="EA67" s="192"/>
      <c r="EB67" s="192"/>
      <c r="EC67" s="192"/>
      <c r="ED67" s="192"/>
      <c r="EE67" s="192"/>
      <c r="EF67" s="192"/>
      <c r="EG67" s="192"/>
      <c r="EH67" s="192"/>
      <c r="EI67" s="192"/>
      <c r="EJ67" s="192"/>
      <c r="EK67" s="192"/>
      <c r="EL67" s="192"/>
      <c r="EM67" s="192"/>
      <c r="EN67" s="192"/>
      <c r="EO67" s="192"/>
      <c r="EP67" s="192"/>
      <c r="EQ67" s="192"/>
      <c r="ER67" s="192"/>
      <c r="ES67" s="192"/>
      <c r="ET67" s="192"/>
      <c r="EU67" s="192"/>
      <c r="EV67" s="192"/>
      <c r="EW67" s="192"/>
      <c r="EX67" s="192"/>
      <c r="EY67" s="192"/>
      <c r="EZ67" s="192"/>
      <c r="FA67" s="192"/>
      <c r="FB67" s="192"/>
      <c r="FC67" s="192"/>
      <c r="FD67" s="192"/>
      <c r="FE67" s="192"/>
      <c r="FF67" s="192"/>
      <c r="FG67" s="192"/>
      <c r="FH67" s="192"/>
      <c r="FI67" s="192"/>
      <c r="FJ67" s="192"/>
      <c r="FK67" s="192"/>
      <c r="FL67" s="192"/>
      <c r="FM67" s="192"/>
      <c r="FN67" s="192"/>
      <c r="FO67" s="192"/>
      <c r="FP67" s="192"/>
      <c r="FQ67" s="192"/>
      <c r="FR67" s="192"/>
      <c r="FS67" s="192"/>
      <c r="FT67" s="192"/>
      <c r="FU67" s="192"/>
      <c r="FV67" s="192"/>
      <c r="FW67" s="192"/>
      <c r="FX67" s="192"/>
      <c r="FY67" s="192"/>
      <c r="FZ67" s="192"/>
      <c r="GA67" s="192"/>
      <c r="GB67" s="192"/>
      <c r="GC67" s="192"/>
      <c r="GD67" s="192"/>
      <c r="GE67" s="192"/>
      <c r="GF67" s="192"/>
      <c r="GG67" s="192"/>
      <c r="GH67" s="192"/>
      <c r="GI67" s="192"/>
      <c r="GJ67" s="192"/>
      <c r="GK67" s="192"/>
      <c r="GL67" s="192"/>
      <c r="GM67" s="192"/>
      <c r="GN67" s="192"/>
      <c r="GO67" s="192"/>
      <c r="GP67" s="192"/>
      <c r="GQ67" s="192"/>
      <c r="GR67" s="192"/>
      <c r="GS67" s="192"/>
      <c r="GT67" s="192"/>
      <c r="GU67" s="192"/>
      <c r="GV67" s="192"/>
      <c r="GW67" s="192"/>
      <c r="GX67" s="192"/>
      <c r="GY67" s="192"/>
      <c r="GZ67" s="192"/>
      <c r="HA67" s="192"/>
      <c r="HB67" s="192"/>
      <c r="HC67" s="192"/>
      <c r="HD67" s="192"/>
      <c r="HE67" s="192"/>
      <c r="HF67" s="192"/>
      <c r="HG67" s="192"/>
      <c r="HH67" s="192"/>
      <c r="HI67" s="192"/>
      <c r="HJ67" s="192"/>
      <c r="HK67" s="192"/>
      <c r="HL67" s="192"/>
      <c r="HM67" s="192"/>
      <c r="HN67" s="192"/>
      <c r="HO67" s="192"/>
      <c r="HP67" s="192"/>
      <c r="HQ67" s="192"/>
      <c r="HR67" s="192"/>
      <c r="HS67" s="192"/>
      <c r="HT67" s="192"/>
      <c r="HU67" s="192"/>
      <c r="HV67" s="192"/>
      <c r="HW67" s="192"/>
      <c r="HX67" s="192"/>
      <c r="HY67" s="192"/>
      <c r="HZ67" s="192"/>
      <c r="IA67" s="192"/>
      <c r="IB67" s="192"/>
      <c r="IC67" s="192"/>
      <c r="ID67" s="192"/>
      <c r="IE67" s="192"/>
      <c r="IF67" s="192"/>
      <c r="IG67" s="192"/>
      <c r="IH67" s="192"/>
      <c r="II67" s="192"/>
      <c r="IJ67" s="192"/>
      <c r="IK67" s="192"/>
      <c r="IL67" s="192"/>
      <c r="IM67" s="192"/>
      <c r="IN67" s="192"/>
      <c r="IO67" s="192"/>
      <c r="IP67" s="192"/>
      <c r="IQ67" s="192"/>
    </row>
    <row r="68" spans="1:251" s="157" customFormat="1" ht="21.75" customHeight="1">
      <c r="A68" s="196">
        <v>61</v>
      </c>
      <c r="B68" s="277" t="s">
        <v>189</v>
      </c>
      <c r="C68" s="278" t="s">
        <v>297</v>
      </c>
      <c r="D68" s="271">
        <v>22</v>
      </c>
      <c r="E68" s="271"/>
      <c r="F68" s="278" t="s">
        <v>298</v>
      </c>
      <c r="G68" s="271" t="s">
        <v>286</v>
      </c>
      <c r="H68" s="285" t="s">
        <v>265</v>
      </c>
      <c r="I68" s="197">
        <f t="shared" si="4"/>
        <v>97500</v>
      </c>
      <c r="J68" s="286" t="s">
        <v>280</v>
      </c>
      <c r="K68" s="200">
        <f t="shared" si="5"/>
        <v>75000</v>
      </c>
      <c r="L68" s="286" t="s">
        <v>56</v>
      </c>
      <c r="M68" s="198">
        <f t="shared" si="6"/>
        <v>0</v>
      </c>
      <c r="N68" s="198">
        <f t="shared" si="7"/>
        <v>172500</v>
      </c>
      <c r="O68" s="192"/>
      <c r="P68" s="192"/>
      <c r="Q68" s="192"/>
      <c r="R68" s="192"/>
      <c r="S68" s="192"/>
      <c r="T68" s="192"/>
      <c r="U68" s="192"/>
      <c r="V68" s="192"/>
      <c r="W68" s="192"/>
      <c r="X68" s="192"/>
      <c r="Y68" s="192"/>
      <c r="Z68" s="192"/>
      <c r="AA68" s="192"/>
      <c r="AB68" s="192"/>
      <c r="AC68" s="192"/>
      <c r="AD68" s="192"/>
      <c r="AE68" s="192"/>
      <c r="AF68" s="192"/>
      <c r="AG68" s="192"/>
      <c r="AH68" s="192"/>
      <c r="AI68" s="192"/>
      <c r="AJ68" s="192"/>
      <c r="AK68" s="192"/>
      <c r="AL68" s="192"/>
      <c r="AM68" s="192"/>
      <c r="AN68" s="192"/>
      <c r="AO68" s="192"/>
      <c r="AP68" s="192"/>
      <c r="AQ68" s="192"/>
      <c r="AR68" s="192"/>
      <c r="AS68" s="192"/>
      <c r="AT68" s="192"/>
      <c r="AU68" s="192"/>
      <c r="AV68" s="192"/>
      <c r="AW68" s="192"/>
      <c r="AX68" s="192"/>
      <c r="AY68" s="192"/>
      <c r="AZ68" s="192"/>
      <c r="BA68" s="192"/>
      <c r="BB68" s="192"/>
      <c r="BC68" s="192"/>
      <c r="BD68" s="192"/>
      <c r="BE68" s="192"/>
      <c r="BF68" s="192"/>
      <c r="BG68" s="192"/>
      <c r="BH68" s="192"/>
      <c r="BI68" s="192"/>
      <c r="BJ68" s="192"/>
      <c r="BK68" s="192"/>
      <c r="BL68" s="192"/>
      <c r="BM68" s="192"/>
      <c r="BN68" s="192"/>
      <c r="BO68" s="192"/>
      <c r="BP68" s="192"/>
      <c r="BQ68" s="192"/>
      <c r="BR68" s="192"/>
      <c r="BS68" s="192"/>
      <c r="BT68" s="192"/>
      <c r="BU68" s="192"/>
      <c r="BV68" s="192"/>
      <c r="BW68" s="192"/>
      <c r="BX68" s="192"/>
      <c r="BY68" s="192"/>
      <c r="BZ68" s="192"/>
      <c r="CA68" s="192"/>
      <c r="CB68" s="192"/>
      <c r="CC68" s="192"/>
      <c r="CD68" s="192"/>
      <c r="CE68" s="192"/>
      <c r="CF68" s="192"/>
      <c r="CG68" s="192"/>
      <c r="CH68" s="192"/>
      <c r="CI68" s="192"/>
      <c r="CJ68" s="192"/>
      <c r="CK68" s="192"/>
      <c r="CL68" s="192"/>
      <c r="CM68" s="192"/>
      <c r="CN68" s="192"/>
      <c r="CO68" s="192"/>
      <c r="CP68" s="192"/>
      <c r="CQ68" s="192"/>
      <c r="CR68" s="192"/>
      <c r="CS68" s="192"/>
      <c r="CT68" s="192"/>
      <c r="CU68" s="192"/>
      <c r="CV68" s="192"/>
      <c r="CW68" s="192"/>
      <c r="CX68" s="192"/>
      <c r="CY68" s="192"/>
      <c r="CZ68" s="192"/>
      <c r="DA68" s="192"/>
      <c r="DB68" s="192"/>
      <c r="DC68" s="192"/>
      <c r="DD68" s="192"/>
      <c r="DE68" s="192"/>
      <c r="DF68" s="192"/>
      <c r="DG68" s="192"/>
      <c r="DH68" s="192"/>
      <c r="DI68" s="192"/>
      <c r="DJ68" s="192"/>
      <c r="DK68" s="192"/>
      <c r="DL68" s="192"/>
      <c r="DM68" s="192"/>
      <c r="DN68" s="192"/>
      <c r="DO68" s="192"/>
      <c r="DP68" s="192"/>
      <c r="DQ68" s="192"/>
      <c r="DR68" s="192"/>
      <c r="DS68" s="192"/>
      <c r="DT68" s="192"/>
      <c r="DU68" s="192"/>
      <c r="DV68" s="192"/>
      <c r="DW68" s="192"/>
      <c r="DX68" s="192"/>
      <c r="DY68" s="192"/>
      <c r="DZ68" s="192"/>
      <c r="EA68" s="192"/>
      <c r="EB68" s="192"/>
      <c r="EC68" s="192"/>
      <c r="ED68" s="192"/>
      <c r="EE68" s="192"/>
      <c r="EF68" s="192"/>
      <c r="EG68" s="192"/>
      <c r="EH68" s="192"/>
      <c r="EI68" s="192"/>
      <c r="EJ68" s="192"/>
      <c r="EK68" s="192"/>
      <c r="EL68" s="192"/>
      <c r="EM68" s="192"/>
      <c r="EN68" s="192"/>
      <c r="EO68" s="192"/>
      <c r="EP68" s="192"/>
      <c r="EQ68" s="192"/>
      <c r="ER68" s="192"/>
      <c r="ES68" s="192"/>
      <c r="ET68" s="192"/>
      <c r="EU68" s="192"/>
      <c r="EV68" s="192"/>
      <c r="EW68" s="192"/>
      <c r="EX68" s="192"/>
      <c r="EY68" s="192"/>
      <c r="EZ68" s="192"/>
      <c r="FA68" s="192"/>
      <c r="FB68" s="192"/>
      <c r="FC68" s="192"/>
      <c r="FD68" s="192"/>
      <c r="FE68" s="192"/>
      <c r="FF68" s="192"/>
      <c r="FG68" s="192"/>
      <c r="FH68" s="192"/>
      <c r="FI68" s="192"/>
      <c r="FJ68" s="192"/>
      <c r="FK68" s="192"/>
      <c r="FL68" s="192"/>
      <c r="FM68" s="192"/>
      <c r="FN68" s="192"/>
      <c r="FO68" s="192"/>
      <c r="FP68" s="192"/>
      <c r="FQ68" s="192"/>
      <c r="FR68" s="192"/>
      <c r="FS68" s="192"/>
      <c r="FT68" s="192"/>
      <c r="FU68" s="192"/>
      <c r="FV68" s="192"/>
      <c r="FW68" s="192"/>
      <c r="FX68" s="192"/>
      <c r="FY68" s="192"/>
      <c r="FZ68" s="192"/>
      <c r="GA68" s="192"/>
      <c r="GB68" s="192"/>
      <c r="GC68" s="192"/>
      <c r="GD68" s="192"/>
      <c r="GE68" s="192"/>
      <c r="GF68" s="192"/>
      <c r="GG68" s="192"/>
      <c r="GH68" s="192"/>
      <c r="GI68" s="192"/>
      <c r="GJ68" s="192"/>
      <c r="GK68" s="192"/>
      <c r="GL68" s="192"/>
      <c r="GM68" s="192"/>
      <c r="GN68" s="192"/>
      <c r="GO68" s="192"/>
      <c r="GP68" s="192"/>
      <c r="GQ68" s="192"/>
      <c r="GR68" s="192"/>
      <c r="GS68" s="192"/>
      <c r="GT68" s="192"/>
      <c r="GU68" s="192"/>
      <c r="GV68" s="192"/>
      <c r="GW68" s="192"/>
      <c r="GX68" s="192"/>
      <c r="GY68" s="192"/>
      <c r="GZ68" s="192"/>
      <c r="HA68" s="192"/>
      <c r="HB68" s="192"/>
      <c r="HC68" s="192"/>
      <c r="HD68" s="192"/>
      <c r="HE68" s="192"/>
      <c r="HF68" s="192"/>
      <c r="HG68" s="192"/>
      <c r="HH68" s="192"/>
      <c r="HI68" s="192"/>
      <c r="HJ68" s="192"/>
      <c r="HK68" s="192"/>
      <c r="HL68" s="192"/>
      <c r="HM68" s="192"/>
      <c r="HN68" s="192"/>
      <c r="HO68" s="192"/>
      <c r="HP68" s="192"/>
      <c r="HQ68" s="192"/>
      <c r="HR68" s="192"/>
      <c r="HS68" s="192"/>
      <c r="HT68" s="192"/>
      <c r="HU68" s="192"/>
      <c r="HV68" s="192"/>
      <c r="HW68" s="192"/>
      <c r="HX68" s="192"/>
      <c r="HY68" s="192"/>
      <c r="HZ68" s="192"/>
      <c r="IA68" s="192"/>
      <c r="IB68" s="192"/>
      <c r="IC68" s="192"/>
      <c r="ID68" s="192"/>
      <c r="IE68" s="192"/>
      <c r="IF68" s="192"/>
      <c r="IG68" s="192"/>
      <c r="IH68" s="192"/>
      <c r="II68" s="192"/>
      <c r="IJ68" s="192"/>
      <c r="IK68" s="192"/>
      <c r="IL68" s="192"/>
      <c r="IM68" s="192"/>
      <c r="IN68" s="192"/>
      <c r="IO68" s="192"/>
      <c r="IP68" s="192"/>
      <c r="IQ68" s="192"/>
    </row>
    <row r="69" spans="1:251" s="157" customFormat="1" ht="21.75" customHeight="1">
      <c r="A69" s="196">
        <v>62</v>
      </c>
      <c r="B69" s="277" t="s">
        <v>195</v>
      </c>
      <c r="C69" s="278" t="s">
        <v>299</v>
      </c>
      <c r="D69" s="271">
        <v>62</v>
      </c>
      <c r="E69" s="271"/>
      <c r="F69" s="278" t="s">
        <v>300</v>
      </c>
      <c r="G69" s="271" t="s">
        <v>286</v>
      </c>
      <c r="H69" s="285" t="s">
        <v>266</v>
      </c>
      <c r="I69" s="197">
        <f t="shared" si="4"/>
        <v>97500</v>
      </c>
      <c r="J69" s="286" t="s">
        <v>280</v>
      </c>
      <c r="K69" s="200">
        <f t="shared" si="5"/>
        <v>75000</v>
      </c>
      <c r="L69" s="286" t="s">
        <v>56</v>
      </c>
      <c r="M69" s="198">
        <f t="shared" si="6"/>
        <v>0</v>
      </c>
      <c r="N69" s="198">
        <f t="shared" si="7"/>
        <v>172500</v>
      </c>
      <c r="O69" s="192"/>
      <c r="P69" s="192"/>
      <c r="Q69" s="192"/>
      <c r="R69" s="192"/>
      <c r="S69" s="192"/>
      <c r="T69" s="192"/>
      <c r="U69" s="192"/>
      <c r="V69" s="192"/>
      <c r="W69" s="192"/>
      <c r="X69" s="192"/>
      <c r="Y69" s="192"/>
      <c r="Z69" s="192"/>
      <c r="AA69" s="192"/>
      <c r="AB69" s="192"/>
      <c r="AC69" s="192"/>
      <c r="AD69" s="192"/>
      <c r="AE69" s="192"/>
      <c r="AF69" s="192"/>
      <c r="AG69" s="192"/>
      <c r="AH69" s="192"/>
      <c r="AI69" s="192"/>
      <c r="AJ69" s="192"/>
      <c r="AK69" s="192"/>
      <c r="AL69" s="192"/>
      <c r="AM69" s="192"/>
      <c r="AN69" s="192"/>
      <c r="AO69" s="192"/>
      <c r="AP69" s="192"/>
      <c r="AQ69" s="192"/>
      <c r="AR69" s="192"/>
      <c r="AS69" s="192"/>
      <c r="AT69" s="192"/>
      <c r="AU69" s="192"/>
      <c r="AV69" s="192"/>
      <c r="AW69" s="192"/>
      <c r="AX69" s="192"/>
      <c r="AY69" s="192"/>
      <c r="AZ69" s="192"/>
      <c r="BA69" s="192"/>
      <c r="BB69" s="192"/>
      <c r="BC69" s="192"/>
      <c r="BD69" s="192"/>
      <c r="BE69" s="192"/>
      <c r="BF69" s="192"/>
      <c r="BG69" s="192"/>
      <c r="BH69" s="192"/>
      <c r="BI69" s="192"/>
      <c r="BJ69" s="192"/>
      <c r="BK69" s="192"/>
      <c r="BL69" s="192"/>
      <c r="BM69" s="192"/>
      <c r="BN69" s="192"/>
      <c r="BO69" s="192"/>
      <c r="BP69" s="192"/>
      <c r="BQ69" s="192"/>
      <c r="BR69" s="192"/>
      <c r="BS69" s="192"/>
      <c r="BT69" s="192"/>
      <c r="BU69" s="192"/>
      <c r="BV69" s="192"/>
      <c r="BW69" s="192"/>
      <c r="BX69" s="192"/>
      <c r="BY69" s="192"/>
      <c r="BZ69" s="192"/>
      <c r="CA69" s="192"/>
      <c r="CB69" s="192"/>
      <c r="CC69" s="192"/>
      <c r="CD69" s="192"/>
      <c r="CE69" s="192"/>
      <c r="CF69" s="192"/>
      <c r="CG69" s="192"/>
      <c r="CH69" s="192"/>
      <c r="CI69" s="192"/>
      <c r="CJ69" s="192"/>
      <c r="CK69" s="192"/>
      <c r="CL69" s="192"/>
      <c r="CM69" s="192"/>
      <c r="CN69" s="192"/>
      <c r="CO69" s="192"/>
      <c r="CP69" s="192"/>
      <c r="CQ69" s="192"/>
      <c r="CR69" s="192"/>
      <c r="CS69" s="192"/>
      <c r="CT69" s="192"/>
      <c r="CU69" s="192"/>
      <c r="CV69" s="192"/>
      <c r="CW69" s="192"/>
      <c r="CX69" s="192"/>
      <c r="CY69" s="192"/>
      <c r="CZ69" s="192"/>
      <c r="DA69" s="192"/>
      <c r="DB69" s="192"/>
      <c r="DC69" s="192"/>
      <c r="DD69" s="192"/>
      <c r="DE69" s="192"/>
      <c r="DF69" s="192"/>
      <c r="DG69" s="192"/>
      <c r="DH69" s="192"/>
      <c r="DI69" s="192"/>
      <c r="DJ69" s="192"/>
      <c r="DK69" s="192"/>
      <c r="DL69" s="192"/>
      <c r="DM69" s="192"/>
      <c r="DN69" s="192"/>
      <c r="DO69" s="192"/>
      <c r="DP69" s="192"/>
      <c r="DQ69" s="192"/>
      <c r="DR69" s="192"/>
      <c r="DS69" s="192"/>
      <c r="DT69" s="192"/>
      <c r="DU69" s="192"/>
      <c r="DV69" s="192"/>
      <c r="DW69" s="192"/>
      <c r="DX69" s="192"/>
      <c r="DY69" s="192"/>
      <c r="DZ69" s="192"/>
      <c r="EA69" s="192"/>
      <c r="EB69" s="192"/>
      <c r="EC69" s="192"/>
      <c r="ED69" s="192"/>
      <c r="EE69" s="192"/>
      <c r="EF69" s="192"/>
      <c r="EG69" s="192"/>
      <c r="EH69" s="192"/>
      <c r="EI69" s="192"/>
      <c r="EJ69" s="192"/>
      <c r="EK69" s="192"/>
      <c r="EL69" s="192"/>
      <c r="EM69" s="192"/>
      <c r="EN69" s="192"/>
      <c r="EO69" s="192"/>
      <c r="EP69" s="192"/>
      <c r="EQ69" s="192"/>
      <c r="ER69" s="192"/>
      <c r="ES69" s="192"/>
      <c r="ET69" s="192"/>
      <c r="EU69" s="192"/>
      <c r="EV69" s="192"/>
      <c r="EW69" s="192"/>
      <c r="EX69" s="192"/>
      <c r="EY69" s="192"/>
      <c r="EZ69" s="192"/>
      <c r="FA69" s="192"/>
      <c r="FB69" s="192"/>
      <c r="FC69" s="192"/>
      <c r="FD69" s="192"/>
      <c r="FE69" s="192"/>
      <c r="FF69" s="192"/>
      <c r="FG69" s="192"/>
      <c r="FH69" s="192"/>
      <c r="FI69" s="192"/>
      <c r="FJ69" s="192"/>
      <c r="FK69" s="192"/>
      <c r="FL69" s="192"/>
      <c r="FM69" s="192"/>
      <c r="FN69" s="192"/>
      <c r="FO69" s="192"/>
      <c r="FP69" s="192"/>
      <c r="FQ69" s="192"/>
      <c r="FR69" s="192"/>
      <c r="FS69" s="192"/>
      <c r="FT69" s="192"/>
      <c r="FU69" s="192"/>
      <c r="FV69" s="192"/>
      <c r="FW69" s="192"/>
      <c r="FX69" s="192"/>
      <c r="FY69" s="192"/>
      <c r="FZ69" s="192"/>
      <c r="GA69" s="192"/>
      <c r="GB69" s="192"/>
      <c r="GC69" s="192"/>
      <c r="GD69" s="192"/>
      <c r="GE69" s="192"/>
      <c r="GF69" s="192"/>
      <c r="GG69" s="192"/>
      <c r="GH69" s="192"/>
      <c r="GI69" s="192"/>
      <c r="GJ69" s="192"/>
      <c r="GK69" s="192"/>
      <c r="GL69" s="192"/>
      <c r="GM69" s="192"/>
      <c r="GN69" s="192"/>
      <c r="GO69" s="192"/>
      <c r="GP69" s="192"/>
      <c r="GQ69" s="192"/>
      <c r="GR69" s="192"/>
      <c r="GS69" s="192"/>
      <c r="GT69" s="192"/>
      <c r="GU69" s="192"/>
      <c r="GV69" s="192"/>
      <c r="GW69" s="192"/>
      <c r="GX69" s="192"/>
      <c r="GY69" s="192"/>
      <c r="GZ69" s="192"/>
      <c r="HA69" s="192"/>
      <c r="HB69" s="192"/>
      <c r="HC69" s="192"/>
      <c r="HD69" s="192"/>
      <c r="HE69" s="192"/>
      <c r="HF69" s="192"/>
      <c r="HG69" s="192"/>
      <c r="HH69" s="192"/>
      <c r="HI69" s="192"/>
      <c r="HJ69" s="192"/>
      <c r="HK69" s="192"/>
      <c r="HL69" s="192"/>
      <c r="HM69" s="192"/>
      <c r="HN69" s="192"/>
      <c r="HO69" s="192"/>
      <c r="HP69" s="192"/>
      <c r="HQ69" s="192"/>
      <c r="HR69" s="192"/>
      <c r="HS69" s="192"/>
      <c r="HT69" s="192"/>
      <c r="HU69" s="192"/>
      <c r="HV69" s="192"/>
      <c r="HW69" s="192"/>
      <c r="HX69" s="192"/>
      <c r="HY69" s="192"/>
      <c r="HZ69" s="192"/>
      <c r="IA69" s="192"/>
      <c r="IB69" s="192"/>
      <c r="IC69" s="192"/>
      <c r="ID69" s="192"/>
      <c r="IE69" s="192"/>
      <c r="IF69" s="192"/>
      <c r="IG69" s="192"/>
      <c r="IH69" s="192"/>
      <c r="II69" s="192"/>
      <c r="IJ69" s="192"/>
      <c r="IK69" s="192"/>
      <c r="IL69" s="192"/>
      <c r="IM69" s="192"/>
      <c r="IN69" s="192"/>
      <c r="IO69" s="192"/>
      <c r="IP69" s="192"/>
      <c r="IQ69" s="192"/>
    </row>
    <row r="70" spans="1:251" s="157" customFormat="1" ht="21.75" customHeight="1">
      <c r="A70" s="196">
        <v>63</v>
      </c>
      <c r="B70" s="277" t="s">
        <v>195</v>
      </c>
      <c r="C70" s="278" t="s">
        <v>294</v>
      </c>
      <c r="D70" s="271"/>
      <c r="E70" s="271">
        <v>55</v>
      </c>
      <c r="F70" s="278" t="s">
        <v>301</v>
      </c>
      <c r="G70" s="271" t="s">
        <v>288</v>
      </c>
      <c r="H70" s="285" t="s">
        <v>269</v>
      </c>
      <c r="I70" s="197">
        <f t="shared" si="4"/>
        <v>97500</v>
      </c>
      <c r="J70" s="286" t="s">
        <v>274</v>
      </c>
      <c r="K70" s="200">
        <f t="shared" si="5"/>
        <v>75000</v>
      </c>
      <c r="L70" s="286" t="s">
        <v>56</v>
      </c>
      <c r="M70" s="198">
        <f t="shared" si="6"/>
        <v>0</v>
      </c>
      <c r="N70" s="198">
        <f t="shared" si="7"/>
        <v>172500</v>
      </c>
      <c r="O70" s="192"/>
      <c r="P70" s="192"/>
      <c r="Q70" s="192"/>
      <c r="R70" s="192"/>
      <c r="S70" s="192"/>
      <c r="T70" s="192"/>
      <c r="U70" s="192"/>
      <c r="V70" s="192"/>
      <c r="W70" s="192"/>
      <c r="X70" s="192"/>
      <c r="Y70" s="192"/>
      <c r="Z70" s="192"/>
      <c r="AA70" s="192"/>
      <c r="AB70" s="192"/>
      <c r="AC70" s="192"/>
      <c r="AD70" s="192"/>
      <c r="AE70" s="192"/>
      <c r="AF70" s="192"/>
      <c r="AG70" s="192"/>
      <c r="AH70" s="192"/>
      <c r="AI70" s="192"/>
      <c r="AJ70" s="192"/>
      <c r="AK70" s="192"/>
      <c r="AL70" s="192"/>
      <c r="AM70" s="192"/>
      <c r="AN70" s="192"/>
      <c r="AO70" s="192"/>
      <c r="AP70" s="192"/>
      <c r="AQ70" s="192"/>
      <c r="AR70" s="192"/>
      <c r="AS70" s="192"/>
      <c r="AT70" s="192"/>
      <c r="AU70" s="192"/>
      <c r="AV70" s="192"/>
      <c r="AW70" s="192"/>
      <c r="AX70" s="192"/>
      <c r="AY70" s="192"/>
      <c r="AZ70" s="192"/>
      <c r="BA70" s="192"/>
      <c r="BB70" s="192"/>
      <c r="BC70" s="192"/>
      <c r="BD70" s="192"/>
      <c r="BE70" s="192"/>
      <c r="BF70" s="192"/>
      <c r="BG70" s="192"/>
      <c r="BH70" s="192"/>
      <c r="BI70" s="192"/>
      <c r="BJ70" s="192"/>
      <c r="BK70" s="192"/>
      <c r="BL70" s="192"/>
      <c r="BM70" s="192"/>
      <c r="BN70" s="192"/>
      <c r="BO70" s="192"/>
      <c r="BP70" s="192"/>
      <c r="BQ70" s="192"/>
      <c r="BR70" s="192"/>
      <c r="BS70" s="192"/>
      <c r="BT70" s="192"/>
      <c r="BU70" s="192"/>
      <c r="BV70" s="192"/>
      <c r="BW70" s="192"/>
      <c r="BX70" s="192"/>
      <c r="BY70" s="192"/>
      <c r="BZ70" s="192"/>
      <c r="CA70" s="192"/>
      <c r="CB70" s="192"/>
      <c r="CC70" s="192"/>
      <c r="CD70" s="192"/>
      <c r="CE70" s="192"/>
      <c r="CF70" s="192"/>
      <c r="CG70" s="192"/>
      <c r="CH70" s="192"/>
      <c r="CI70" s="192"/>
      <c r="CJ70" s="192"/>
      <c r="CK70" s="192"/>
      <c r="CL70" s="192"/>
      <c r="CM70" s="192"/>
      <c r="CN70" s="192"/>
      <c r="CO70" s="192"/>
      <c r="CP70" s="192"/>
      <c r="CQ70" s="192"/>
      <c r="CR70" s="192"/>
      <c r="CS70" s="192"/>
      <c r="CT70" s="192"/>
      <c r="CU70" s="192"/>
      <c r="CV70" s="192"/>
      <c r="CW70" s="192"/>
      <c r="CX70" s="192"/>
      <c r="CY70" s="192"/>
      <c r="CZ70" s="192"/>
      <c r="DA70" s="192"/>
      <c r="DB70" s="192"/>
      <c r="DC70" s="192"/>
      <c r="DD70" s="192"/>
      <c r="DE70" s="192"/>
      <c r="DF70" s="192"/>
      <c r="DG70" s="192"/>
      <c r="DH70" s="192"/>
      <c r="DI70" s="192"/>
      <c r="DJ70" s="192"/>
      <c r="DK70" s="192"/>
      <c r="DL70" s="192"/>
      <c r="DM70" s="192"/>
      <c r="DN70" s="192"/>
      <c r="DO70" s="192"/>
      <c r="DP70" s="192"/>
      <c r="DQ70" s="192"/>
      <c r="DR70" s="192"/>
      <c r="DS70" s="192"/>
      <c r="DT70" s="192"/>
      <c r="DU70" s="192"/>
      <c r="DV70" s="192"/>
      <c r="DW70" s="192"/>
      <c r="DX70" s="192"/>
      <c r="DY70" s="192"/>
      <c r="DZ70" s="192"/>
      <c r="EA70" s="192"/>
      <c r="EB70" s="192"/>
      <c r="EC70" s="192"/>
      <c r="ED70" s="192"/>
      <c r="EE70" s="192"/>
      <c r="EF70" s="192"/>
      <c r="EG70" s="192"/>
      <c r="EH70" s="192"/>
      <c r="EI70" s="192"/>
      <c r="EJ70" s="192"/>
      <c r="EK70" s="192"/>
      <c r="EL70" s="192"/>
      <c r="EM70" s="192"/>
      <c r="EN70" s="192"/>
      <c r="EO70" s="192"/>
      <c r="EP70" s="192"/>
      <c r="EQ70" s="192"/>
      <c r="ER70" s="192"/>
      <c r="ES70" s="192"/>
      <c r="ET70" s="192"/>
      <c r="EU70" s="192"/>
      <c r="EV70" s="192"/>
      <c r="EW70" s="192"/>
      <c r="EX70" s="192"/>
      <c r="EY70" s="192"/>
      <c r="EZ70" s="192"/>
      <c r="FA70" s="192"/>
      <c r="FB70" s="192"/>
      <c r="FC70" s="192"/>
      <c r="FD70" s="192"/>
      <c r="FE70" s="192"/>
      <c r="FF70" s="192"/>
      <c r="FG70" s="192"/>
      <c r="FH70" s="192"/>
      <c r="FI70" s="192"/>
      <c r="FJ70" s="192"/>
      <c r="FK70" s="192"/>
      <c r="FL70" s="192"/>
      <c r="FM70" s="192"/>
      <c r="FN70" s="192"/>
      <c r="FO70" s="192"/>
      <c r="FP70" s="192"/>
      <c r="FQ70" s="192"/>
      <c r="FR70" s="192"/>
      <c r="FS70" s="192"/>
      <c r="FT70" s="192"/>
      <c r="FU70" s="192"/>
      <c r="FV70" s="192"/>
      <c r="FW70" s="192"/>
      <c r="FX70" s="192"/>
      <c r="FY70" s="192"/>
      <c r="FZ70" s="192"/>
      <c r="GA70" s="192"/>
      <c r="GB70" s="192"/>
      <c r="GC70" s="192"/>
      <c r="GD70" s="192"/>
      <c r="GE70" s="192"/>
      <c r="GF70" s="192"/>
      <c r="GG70" s="192"/>
      <c r="GH70" s="192"/>
      <c r="GI70" s="192"/>
      <c r="GJ70" s="192"/>
      <c r="GK70" s="192"/>
      <c r="GL70" s="192"/>
      <c r="GM70" s="192"/>
      <c r="GN70" s="192"/>
      <c r="GO70" s="192"/>
      <c r="GP70" s="192"/>
      <c r="GQ70" s="192"/>
      <c r="GR70" s="192"/>
      <c r="GS70" s="192"/>
      <c r="GT70" s="192"/>
      <c r="GU70" s="192"/>
      <c r="GV70" s="192"/>
      <c r="GW70" s="192"/>
      <c r="GX70" s="192"/>
      <c r="GY70" s="192"/>
      <c r="GZ70" s="192"/>
      <c r="HA70" s="192"/>
      <c r="HB70" s="192"/>
      <c r="HC70" s="192"/>
      <c r="HD70" s="192"/>
      <c r="HE70" s="192"/>
      <c r="HF70" s="192"/>
      <c r="HG70" s="192"/>
      <c r="HH70" s="192"/>
      <c r="HI70" s="192"/>
      <c r="HJ70" s="192"/>
      <c r="HK70" s="192"/>
      <c r="HL70" s="192"/>
      <c r="HM70" s="192"/>
      <c r="HN70" s="192"/>
      <c r="HO70" s="192"/>
      <c r="HP70" s="192"/>
      <c r="HQ70" s="192"/>
      <c r="HR70" s="192"/>
      <c r="HS70" s="192"/>
      <c r="HT70" s="192"/>
      <c r="HU70" s="192"/>
      <c r="HV70" s="192"/>
      <c r="HW70" s="192"/>
      <c r="HX70" s="192"/>
      <c r="HY70" s="192"/>
      <c r="HZ70" s="192"/>
      <c r="IA70" s="192"/>
      <c r="IB70" s="192"/>
      <c r="IC70" s="192"/>
      <c r="ID70" s="192"/>
      <c r="IE70" s="192"/>
      <c r="IF70" s="192"/>
      <c r="IG70" s="192"/>
      <c r="IH70" s="192"/>
      <c r="II70" s="192"/>
      <c r="IJ70" s="192"/>
      <c r="IK70" s="192"/>
      <c r="IL70" s="192"/>
      <c r="IM70" s="192"/>
      <c r="IN70" s="192"/>
      <c r="IO70" s="192"/>
      <c r="IP70" s="192"/>
      <c r="IQ70" s="192"/>
    </row>
    <row r="71" spans="1:251" s="157" customFormat="1" ht="21.75" customHeight="1">
      <c r="A71" s="196">
        <v>64</v>
      </c>
      <c r="B71" s="277" t="s">
        <v>302</v>
      </c>
      <c r="C71" s="278" t="s">
        <v>303</v>
      </c>
      <c r="D71" s="271"/>
      <c r="E71" s="271">
        <v>72</v>
      </c>
      <c r="F71" s="278" t="s">
        <v>304</v>
      </c>
      <c r="G71" s="271" t="s">
        <v>288</v>
      </c>
      <c r="H71" s="285" t="s">
        <v>268</v>
      </c>
      <c r="I71" s="197">
        <f t="shared" si="4"/>
        <v>97500</v>
      </c>
      <c r="J71" s="286" t="s">
        <v>274</v>
      </c>
      <c r="K71" s="200">
        <f t="shared" si="5"/>
        <v>75000</v>
      </c>
      <c r="L71" s="286" t="s">
        <v>56</v>
      </c>
      <c r="M71" s="198">
        <f t="shared" si="6"/>
        <v>0</v>
      </c>
      <c r="N71" s="198">
        <f t="shared" si="7"/>
        <v>172500</v>
      </c>
      <c r="O71" s="192"/>
      <c r="P71" s="192"/>
      <c r="Q71" s="192"/>
      <c r="R71" s="192"/>
      <c r="S71" s="192"/>
      <c r="T71" s="192"/>
      <c r="U71" s="192"/>
      <c r="V71" s="192"/>
      <c r="W71" s="192"/>
      <c r="X71" s="192"/>
      <c r="Y71" s="192"/>
      <c r="Z71" s="192"/>
      <c r="AA71" s="192"/>
      <c r="AB71" s="192"/>
      <c r="AC71" s="192"/>
      <c r="AD71" s="192"/>
      <c r="AE71" s="192"/>
      <c r="AF71" s="192"/>
      <c r="AG71" s="192"/>
      <c r="AH71" s="192"/>
      <c r="AI71" s="192"/>
      <c r="AJ71" s="192"/>
      <c r="AK71" s="192"/>
      <c r="AL71" s="192"/>
      <c r="AM71" s="192"/>
      <c r="AN71" s="192"/>
      <c r="AO71" s="192"/>
      <c r="AP71" s="192"/>
      <c r="AQ71" s="192"/>
      <c r="AR71" s="192"/>
      <c r="AS71" s="192"/>
      <c r="AT71" s="192"/>
      <c r="AU71" s="192"/>
      <c r="AV71" s="192"/>
      <c r="AW71" s="192"/>
      <c r="AX71" s="192"/>
      <c r="AY71" s="192"/>
      <c r="AZ71" s="192"/>
      <c r="BA71" s="192"/>
      <c r="BB71" s="192"/>
      <c r="BC71" s="192"/>
      <c r="BD71" s="192"/>
      <c r="BE71" s="192"/>
      <c r="BF71" s="192"/>
      <c r="BG71" s="192"/>
      <c r="BH71" s="192"/>
      <c r="BI71" s="192"/>
      <c r="BJ71" s="192"/>
      <c r="BK71" s="192"/>
      <c r="BL71" s="192"/>
      <c r="BM71" s="192"/>
      <c r="BN71" s="192"/>
      <c r="BO71" s="192"/>
      <c r="BP71" s="192"/>
      <c r="BQ71" s="192"/>
      <c r="BR71" s="192"/>
      <c r="BS71" s="192"/>
      <c r="BT71" s="192"/>
      <c r="BU71" s="192"/>
      <c r="BV71" s="192"/>
      <c r="BW71" s="192"/>
      <c r="BX71" s="192"/>
      <c r="BY71" s="192"/>
      <c r="BZ71" s="192"/>
      <c r="CA71" s="192"/>
      <c r="CB71" s="192"/>
      <c r="CC71" s="192"/>
      <c r="CD71" s="192"/>
      <c r="CE71" s="192"/>
      <c r="CF71" s="192"/>
      <c r="CG71" s="192"/>
      <c r="CH71" s="192"/>
      <c r="CI71" s="192"/>
      <c r="CJ71" s="192"/>
      <c r="CK71" s="192"/>
      <c r="CL71" s="192"/>
      <c r="CM71" s="192"/>
      <c r="CN71" s="192"/>
      <c r="CO71" s="192"/>
      <c r="CP71" s="192"/>
      <c r="CQ71" s="192"/>
      <c r="CR71" s="192"/>
      <c r="CS71" s="192"/>
      <c r="CT71" s="192"/>
      <c r="CU71" s="192"/>
      <c r="CV71" s="192"/>
      <c r="CW71" s="192"/>
      <c r="CX71" s="192"/>
      <c r="CY71" s="192"/>
      <c r="CZ71" s="192"/>
      <c r="DA71" s="192"/>
      <c r="DB71" s="192"/>
      <c r="DC71" s="192"/>
      <c r="DD71" s="192"/>
      <c r="DE71" s="192"/>
      <c r="DF71" s="192"/>
      <c r="DG71" s="192"/>
      <c r="DH71" s="192"/>
      <c r="DI71" s="192"/>
      <c r="DJ71" s="192"/>
      <c r="DK71" s="192"/>
      <c r="DL71" s="192"/>
      <c r="DM71" s="192"/>
      <c r="DN71" s="192"/>
      <c r="DO71" s="192"/>
      <c r="DP71" s="192"/>
      <c r="DQ71" s="192"/>
      <c r="DR71" s="192"/>
      <c r="DS71" s="192"/>
      <c r="DT71" s="192"/>
      <c r="DU71" s="192"/>
      <c r="DV71" s="192"/>
      <c r="DW71" s="192"/>
      <c r="DX71" s="192"/>
      <c r="DY71" s="192"/>
      <c r="DZ71" s="192"/>
      <c r="EA71" s="192"/>
      <c r="EB71" s="192"/>
      <c r="EC71" s="192"/>
      <c r="ED71" s="192"/>
      <c r="EE71" s="192"/>
      <c r="EF71" s="192"/>
      <c r="EG71" s="192"/>
      <c r="EH71" s="192"/>
      <c r="EI71" s="192"/>
      <c r="EJ71" s="192"/>
      <c r="EK71" s="192"/>
      <c r="EL71" s="192"/>
      <c r="EM71" s="192"/>
      <c r="EN71" s="192"/>
      <c r="EO71" s="192"/>
      <c r="EP71" s="192"/>
      <c r="EQ71" s="192"/>
      <c r="ER71" s="192"/>
      <c r="ES71" s="192"/>
      <c r="ET71" s="192"/>
      <c r="EU71" s="192"/>
      <c r="EV71" s="192"/>
      <c r="EW71" s="192"/>
      <c r="EX71" s="192"/>
      <c r="EY71" s="192"/>
      <c r="EZ71" s="192"/>
      <c r="FA71" s="192"/>
      <c r="FB71" s="192"/>
      <c r="FC71" s="192"/>
      <c r="FD71" s="192"/>
      <c r="FE71" s="192"/>
      <c r="FF71" s="192"/>
      <c r="FG71" s="192"/>
      <c r="FH71" s="192"/>
      <c r="FI71" s="192"/>
      <c r="FJ71" s="192"/>
      <c r="FK71" s="192"/>
      <c r="FL71" s="192"/>
      <c r="FM71" s="192"/>
      <c r="FN71" s="192"/>
      <c r="FO71" s="192"/>
      <c r="FP71" s="192"/>
      <c r="FQ71" s="192"/>
      <c r="FR71" s="192"/>
      <c r="FS71" s="192"/>
      <c r="FT71" s="192"/>
      <c r="FU71" s="192"/>
      <c r="FV71" s="192"/>
      <c r="FW71" s="192"/>
      <c r="FX71" s="192"/>
      <c r="FY71" s="192"/>
      <c r="FZ71" s="192"/>
      <c r="GA71" s="192"/>
      <c r="GB71" s="192"/>
      <c r="GC71" s="192"/>
      <c r="GD71" s="192"/>
      <c r="GE71" s="192"/>
      <c r="GF71" s="192"/>
      <c r="GG71" s="192"/>
      <c r="GH71" s="192"/>
      <c r="GI71" s="192"/>
      <c r="GJ71" s="192"/>
      <c r="GK71" s="192"/>
      <c r="GL71" s="192"/>
      <c r="GM71" s="192"/>
      <c r="GN71" s="192"/>
      <c r="GO71" s="192"/>
      <c r="GP71" s="192"/>
      <c r="GQ71" s="192"/>
      <c r="GR71" s="192"/>
      <c r="GS71" s="192"/>
      <c r="GT71" s="192"/>
      <c r="GU71" s="192"/>
      <c r="GV71" s="192"/>
      <c r="GW71" s="192"/>
      <c r="GX71" s="192"/>
      <c r="GY71" s="192"/>
      <c r="GZ71" s="192"/>
      <c r="HA71" s="192"/>
      <c r="HB71" s="192"/>
      <c r="HC71" s="192"/>
      <c r="HD71" s="192"/>
      <c r="HE71" s="192"/>
      <c r="HF71" s="192"/>
      <c r="HG71" s="192"/>
      <c r="HH71" s="192"/>
      <c r="HI71" s="192"/>
      <c r="HJ71" s="192"/>
      <c r="HK71" s="192"/>
      <c r="HL71" s="192"/>
      <c r="HM71" s="192"/>
      <c r="HN71" s="192"/>
      <c r="HO71" s="192"/>
      <c r="HP71" s="192"/>
      <c r="HQ71" s="192"/>
      <c r="HR71" s="192"/>
      <c r="HS71" s="192"/>
      <c r="HT71" s="192"/>
      <c r="HU71" s="192"/>
      <c r="HV71" s="192"/>
      <c r="HW71" s="192"/>
      <c r="HX71" s="192"/>
      <c r="HY71" s="192"/>
      <c r="HZ71" s="192"/>
      <c r="IA71" s="192"/>
      <c r="IB71" s="192"/>
      <c r="IC71" s="192"/>
      <c r="ID71" s="192"/>
      <c r="IE71" s="192"/>
      <c r="IF71" s="192"/>
      <c r="IG71" s="192"/>
      <c r="IH71" s="192"/>
      <c r="II71" s="192"/>
      <c r="IJ71" s="192"/>
      <c r="IK71" s="192"/>
      <c r="IL71" s="192"/>
      <c r="IM71" s="192"/>
      <c r="IN71" s="192"/>
      <c r="IO71" s="192"/>
      <c r="IP71" s="192"/>
      <c r="IQ71" s="192"/>
    </row>
    <row r="72" spans="1:251" s="157" customFormat="1" ht="21.75" customHeight="1">
      <c r="A72" s="196">
        <v>65</v>
      </c>
      <c r="B72" s="277" t="s">
        <v>302</v>
      </c>
      <c r="C72" s="278" t="s">
        <v>305</v>
      </c>
      <c r="D72" s="271"/>
      <c r="E72" s="271">
        <v>81</v>
      </c>
      <c r="F72" s="278" t="s">
        <v>306</v>
      </c>
      <c r="G72" s="271" t="s">
        <v>288</v>
      </c>
      <c r="H72" s="285" t="s">
        <v>268</v>
      </c>
      <c r="I72" s="197">
        <f t="shared" si="4"/>
        <v>97500</v>
      </c>
      <c r="J72" s="286" t="s">
        <v>274</v>
      </c>
      <c r="K72" s="200">
        <f t="shared" si="5"/>
        <v>75000</v>
      </c>
      <c r="L72" s="286" t="s">
        <v>56</v>
      </c>
      <c r="M72" s="198">
        <f t="shared" si="6"/>
        <v>0</v>
      </c>
      <c r="N72" s="198">
        <f t="shared" si="7"/>
        <v>172500</v>
      </c>
      <c r="O72" s="192"/>
      <c r="P72" s="192"/>
      <c r="Q72" s="192"/>
      <c r="R72" s="192"/>
      <c r="S72" s="192"/>
      <c r="T72" s="192"/>
      <c r="U72" s="192"/>
      <c r="V72" s="192"/>
      <c r="W72" s="192"/>
      <c r="X72" s="192"/>
      <c r="Y72" s="192"/>
      <c r="Z72" s="192"/>
      <c r="AA72" s="192"/>
      <c r="AB72" s="192"/>
      <c r="AC72" s="192"/>
      <c r="AD72" s="192"/>
      <c r="AE72" s="192"/>
      <c r="AF72" s="192"/>
      <c r="AG72" s="192"/>
      <c r="AH72" s="192"/>
      <c r="AI72" s="192"/>
      <c r="AJ72" s="192"/>
      <c r="AK72" s="192"/>
      <c r="AL72" s="192"/>
      <c r="AM72" s="192"/>
      <c r="AN72" s="192"/>
      <c r="AO72" s="192"/>
      <c r="AP72" s="192"/>
      <c r="AQ72" s="192"/>
      <c r="AR72" s="192"/>
      <c r="AS72" s="192"/>
      <c r="AT72" s="192"/>
      <c r="AU72" s="192"/>
      <c r="AV72" s="192"/>
      <c r="AW72" s="192"/>
      <c r="AX72" s="192"/>
      <c r="AY72" s="192"/>
      <c r="AZ72" s="192"/>
      <c r="BA72" s="192"/>
      <c r="BB72" s="192"/>
      <c r="BC72" s="192"/>
      <c r="BD72" s="192"/>
      <c r="BE72" s="192"/>
      <c r="BF72" s="192"/>
      <c r="BG72" s="192"/>
      <c r="BH72" s="192"/>
      <c r="BI72" s="192"/>
      <c r="BJ72" s="192"/>
      <c r="BK72" s="192"/>
      <c r="BL72" s="192"/>
      <c r="BM72" s="192"/>
      <c r="BN72" s="192"/>
      <c r="BO72" s="192"/>
      <c r="BP72" s="192"/>
      <c r="BQ72" s="192"/>
      <c r="BR72" s="192"/>
      <c r="BS72" s="192"/>
      <c r="BT72" s="192"/>
      <c r="BU72" s="192"/>
      <c r="BV72" s="192"/>
      <c r="BW72" s="192"/>
      <c r="BX72" s="192"/>
      <c r="BY72" s="192"/>
      <c r="BZ72" s="192"/>
      <c r="CA72" s="192"/>
      <c r="CB72" s="192"/>
      <c r="CC72" s="192"/>
      <c r="CD72" s="192"/>
      <c r="CE72" s="192"/>
      <c r="CF72" s="192"/>
      <c r="CG72" s="192"/>
      <c r="CH72" s="192"/>
      <c r="CI72" s="192"/>
      <c r="CJ72" s="192"/>
      <c r="CK72" s="192"/>
      <c r="CL72" s="192"/>
      <c r="CM72" s="192"/>
      <c r="CN72" s="192"/>
      <c r="CO72" s="192"/>
      <c r="CP72" s="192"/>
      <c r="CQ72" s="192"/>
      <c r="CR72" s="192"/>
      <c r="CS72" s="192"/>
      <c r="CT72" s="192"/>
      <c r="CU72" s="192"/>
      <c r="CV72" s="192"/>
      <c r="CW72" s="192"/>
      <c r="CX72" s="192"/>
      <c r="CY72" s="192"/>
      <c r="CZ72" s="192"/>
      <c r="DA72" s="192"/>
      <c r="DB72" s="192"/>
      <c r="DC72" s="192"/>
      <c r="DD72" s="192"/>
      <c r="DE72" s="192"/>
      <c r="DF72" s="192"/>
      <c r="DG72" s="192"/>
      <c r="DH72" s="192"/>
      <c r="DI72" s="192"/>
      <c r="DJ72" s="192"/>
      <c r="DK72" s="192"/>
      <c r="DL72" s="192"/>
      <c r="DM72" s="192"/>
      <c r="DN72" s="192"/>
      <c r="DO72" s="192"/>
      <c r="DP72" s="192"/>
      <c r="DQ72" s="192"/>
      <c r="DR72" s="192"/>
      <c r="DS72" s="192"/>
      <c r="DT72" s="192"/>
      <c r="DU72" s="192"/>
      <c r="DV72" s="192"/>
      <c r="DW72" s="192"/>
      <c r="DX72" s="192"/>
      <c r="DY72" s="192"/>
      <c r="DZ72" s="192"/>
      <c r="EA72" s="192"/>
      <c r="EB72" s="192"/>
      <c r="EC72" s="192"/>
      <c r="ED72" s="192"/>
      <c r="EE72" s="192"/>
      <c r="EF72" s="192"/>
      <c r="EG72" s="192"/>
      <c r="EH72" s="192"/>
      <c r="EI72" s="192"/>
      <c r="EJ72" s="192"/>
      <c r="EK72" s="192"/>
      <c r="EL72" s="192"/>
      <c r="EM72" s="192"/>
      <c r="EN72" s="192"/>
      <c r="EO72" s="192"/>
      <c r="EP72" s="192"/>
      <c r="EQ72" s="192"/>
      <c r="ER72" s="192"/>
      <c r="ES72" s="192"/>
      <c r="ET72" s="192"/>
      <c r="EU72" s="192"/>
      <c r="EV72" s="192"/>
      <c r="EW72" s="192"/>
      <c r="EX72" s="192"/>
      <c r="EY72" s="192"/>
      <c r="EZ72" s="192"/>
      <c r="FA72" s="192"/>
      <c r="FB72" s="192"/>
      <c r="FC72" s="192"/>
      <c r="FD72" s="192"/>
      <c r="FE72" s="192"/>
      <c r="FF72" s="192"/>
      <c r="FG72" s="192"/>
      <c r="FH72" s="192"/>
      <c r="FI72" s="192"/>
      <c r="FJ72" s="192"/>
      <c r="FK72" s="192"/>
      <c r="FL72" s="192"/>
      <c r="FM72" s="192"/>
      <c r="FN72" s="192"/>
      <c r="FO72" s="192"/>
      <c r="FP72" s="192"/>
      <c r="FQ72" s="192"/>
      <c r="FR72" s="192"/>
      <c r="FS72" s="192"/>
      <c r="FT72" s="192"/>
      <c r="FU72" s="192"/>
      <c r="FV72" s="192"/>
      <c r="FW72" s="192"/>
      <c r="FX72" s="192"/>
      <c r="FY72" s="192"/>
      <c r="FZ72" s="192"/>
      <c r="GA72" s="192"/>
      <c r="GB72" s="192"/>
      <c r="GC72" s="192"/>
      <c r="GD72" s="192"/>
      <c r="GE72" s="192"/>
      <c r="GF72" s="192"/>
      <c r="GG72" s="192"/>
      <c r="GH72" s="192"/>
      <c r="GI72" s="192"/>
      <c r="GJ72" s="192"/>
      <c r="GK72" s="192"/>
      <c r="GL72" s="192"/>
      <c r="GM72" s="192"/>
      <c r="GN72" s="192"/>
      <c r="GO72" s="192"/>
      <c r="GP72" s="192"/>
      <c r="GQ72" s="192"/>
      <c r="GR72" s="192"/>
      <c r="GS72" s="192"/>
      <c r="GT72" s="192"/>
      <c r="GU72" s="192"/>
      <c r="GV72" s="192"/>
      <c r="GW72" s="192"/>
      <c r="GX72" s="192"/>
      <c r="GY72" s="192"/>
      <c r="GZ72" s="192"/>
      <c r="HA72" s="192"/>
      <c r="HB72" s="192"/>
      <c r="HC72" s="192"/>
      <c r="HD72" s="192"/>
      <c r="HE72" s="192"/>
      <c r="HF72" s="192"/>
      <c r="HG72" s="192"/>
      <c r="HH72" s="192"/>
      <c r="HI72" s="192"/>
      <c r="HJ72" s="192"/>
      <c r="HK72" s="192"/>
      <c r="HL72" s="192"/>
      <c r="HM72" s="192"/>
      <c r="HN72" s="192"/>
      <c r="HO72" s="192"/>
      <c r="HP72" s="192"/>
      <c r="HQ72" s="192"/>
      <c r="HR72" s="192"/>
      <c r="HS72" s="192"/>
      <c r="HT72" s="192"/>
      <c r="HU72" s="192"/>
      <c r="HV72" s="192"/>
      <c r="HW72" s="192"/>
      <c r="HX72" s="192"/>
      <c r="HY72" s="192"/>
      <c r="HZ72" s="192"/>
      <c r="IA72" s="192"/>
      <c r="IB72" s="192"/>
      <c r="IC72" s="192"/>
      <c r="ID72" s="192"/>
      <c r="IE72" s="192"/>
      <c r="IF72" s="192"/>
      <c r="IG72" s="192"/>
      <c r="IH72" s="192"/>
      <c r="II72" s="192"/>
      <c r="IJ72" s="192"/>
      <c r="IK72" s="192"/>
      <c r="IL72" s="192"/>
      <c r="IM72" s="192"/>
      <c r="IN72" s="192"/>
      <c r="IO72" s="192"/>
      <c r="IP72" s="192"/>
      <c r="IQ72" s="192"/>
    </row>
    <row r="73" spans="1:251" s="157" customFormat="1" ht="21.75" customHeight="1">
      <c r="A73" s="196">
        <v>66</v>
      </c>
      <c r="B73" s="277" t="s">
        <v>200</v>
      </c>
      <c r="C73" s="278" t="s">
        <v>307</v>
      </c>
      <c r="D73" s="271"/>
      <c r="E73" s="271">
        <v>57</v>
      </c>
      <c r="F73" s="278" t="s">
        <v>308</v>
      </c>
      <c r="G73" s="271" t="s">
        <v>288</v>
      </c>
      <c r="H73" s="285" t="s">
        <v>267</v>
      </c>
      <c r="I73" s="197">
        <f t="shared" si="4"/>
        <v>97500</v>
      </c>
      <c r="J73" s="286" t="s">
        <v>273</v>
      </c>
      <c r="K73" s="200">
        <f t="shared" si="5"/>
        <v>75000</v>
      </c>
      <c r="L73" s="286" t="s">
        <v>56</v>
      </c>
      <c r="M73" s="198">
        <f t="shared" si="6"/>
        <v>0</v>
      </c>
      <c r="N73" s="198">
        <f t="shared" si="7"/>
        <v>172500</v>
      </c>
      <c r="O73" s="192"/>
      <c r="P73" s="192"/>
      <c r="Q73" s="192"/>
      <c r="R73" s="192"/>
      <c r="S73" s="192"/>
      <c r="T73" s="192"/>
      <c r="U73" s="192"/>
      <c r="V73" s="192"/>
      <c r="W73" s="192"/>
      <c r="X73" s="192"/>
      <c r="Y73" s="192"/>
      <c r="Z73" s="192"/>
      <c r="AA73" s="192"/>
      <c r="AB73" s="192"/>
      <c r="AC73" s="192"/>
      <c r="AD73" s="192"/>
      <c r="AE73" s="192"/>
      <c r="AF73" s="192"/>
      <c r="AG73" s="192"/>
      <c r="AH73" s="192"/>
      <c r="AI73" s="192"/>
      <c r="AJ73" s="192"/>
      <c r="AK73" s="192"/>
      <c r="AL73" s="192"/>
      <c r="AM73" s="192"/>
      <c r="AN73" s="192"/>
      <c r="AO73" s="192"/>
      <c r="AP73" s="192"/>
      <c r="AQ73" s="192"/>
      <c r="AR73" s="192"/>
      <c r="AS73" s="192"/>
      <c r="AT73" s="192"/>
      <c r="AU73" s="192"/>
      <c r="AV73" s="192"/>
      <c r="AW73" s="192"/>
      <c r="AX73" s="192"/>
      <c r="AY73" s="192"/>
      <c r="AZ73" s="192"/>
      <c r="BA73" s="192"/>
      <c r="BB73" s="192"/>
      <c r="BC73" s="192"/>
      <c r="BD73" s="192"/>
      <c r="BE73" s="192"/>
      <c r="BF73" s="192"/>
      <c r="BG73" s="192"/>
      <c r="BH73" s="192"/>
      <c r="BI73" s="192"/>
      <c r="BJ73" s="192"/>
      <c r="BK73" s="192"/>
      <c r="BL73" s="192"/>
      <c r="BM73" s="192"/>
      <c r="BN73" s="192"/>
      <c r="BO73" s="192"/>
      <c r="BP73" s="192"/>
      <c r="BQ73" s="192"/>
      <c r="BR73" s="192"/>
      <c r="BS73" s="192"/>
      <c r="BT73" s="192"/>
      <c r="BU73" s="192"/>
      <c r="BV73" s="192"/>
      <c r="BW73" s="192"/>
      <c r="BX73" s="192"/>
      <c r="BY73" s="192"/>
      <c r="BZ73" s="192"/>
      <c r="CA73" s="192"/>
      <c r="CB73" s="192"/>
      <c r="CC73" s="192"/>
      <c r="CD73" s="192"/>
      <c r="CE73" s="192"/>
      <c r="CF73" s="192"/>
      <c r="CG73" s="192"/>
      <c r="CH73" s="192"/>
      <c r="CI73" s="192"/>
      <c r="CJ73" s="192"/>
      <c r="CK73" s="192"/>
      <c r="CL73" s="192"/>
      <c r="CM73" s="192"/>
      <c r="CN73" s="192"/>
      <c r="CO73" s="192"/>
      <c r="CP73" s="192"/>
      <c r="CQ73" s="192"/>
      <c r="CR73" s="192"/>
      <c r="CS73" s="192"/>
      <c r="CT73" s="192"/>
      <c r="CU73" s="192"/>
      <c r="CV73" s="192"/>
      <c r="CW73" s="192"/>
      <c r="CX73" s="192"/>
      <c r="CY73" s="192"/>
      <c r="CZ73" s="192"/>
      <c r="DA73" s="192"/>
      <c r="DB73" s="192"/>
      <c r="DC73" s="192"/>
      <c r="DD73" s="192"/>
      <c r="DE73" s="192"/>
      <c r="DF73" s="192"/>
      <c r="DG73" s="192"/>
      <c r="DH73" s="192"/>
      <c r="DI73" s="192"/>
      <c r="DJ73" s="192"/>
      <c r="DK73" s="192"/>
      <c r="DL73" s="192"/>
      <c r="DM73" s="192"/>
      <c r="DN73" s="192"/>
      <c r="DO73" s="192"/>
      <c r="DP73" s="192"/>
      <c r="DQ73" s="192"/>
      <c r="DR73" s="192"/>
      <c r="DS73" s="192"/>
      <c r="DT73" s="192"/>
      <c r="DU73" s="192"/>
      <c r="DV73" s="192"/>
      <c r="DW73" s="192"/>
      <c r="DX73" s="192"/>
      <c r="DY73" s="192"/>
      <c r="DZ73" s="192"/>
      <c r="EA73" s="192"/>
      <c r="EB73" s="192"/>
      <c r="EC73" s="192"/>
      <c r="ED73" s="192"/>
      <c r="EE73" s="192"/>
      <c r="EF73" s="192"/>
      <c r="EG73" s="192"/>
      <c r="EH73" s="192"/>
      <c r="EI73" s="192"/>
      <c r="EJ73" s="192"/>
      <c r="EK73" s="192"/>
      <c r="EL73" s="192"/>
      <c r="EM73" s="192"/>
      <c r="EN73" s="192"/>
      <c r="EO73" s="192"/>
      <c r="EP73" s="192"/>
      <c r="EQ73" s="192"/>
      <c r="ER73" s="192"/>
      <c r="ES73" s="192"/>
      <c r="ET73" s="192"/>
      <c r="EU73" s="192"/>
      <c r="EV73" s="192"/>
      <c r="EW73" s="192"/>
      <c r="EX73" s="192"/>
      <c r="EY73" s="192"/>
      <c r="EZ73" s="192"/>
      <c r="FA73" s="192"/>
      <c r="FB73" s="192"/>
      <c r="FC73" s="192"/>
      <c r="FD73" s="192"/>
      <c r="FE73" s="192"/>
      <c r="FF73" s="192"/>
      <c r="FG73" s="192"/>
      <c r="FH73" s="192"/>
      <c r="FI73" s="192"/>
      <c r="FJ73" s="192"/>
      <c r="FK73" s="192"/>
      <c r="FL73" s="192"/>
      <c r="FM73" s="192"/>
      <c r="FN73" s="192"/>
      <c r="FO73" s="192"/>
      <c r="FP73" s="192"/>
      <c r="FQ73" s="192"/>
      <c r="FR73" s="192"/>
      <c r="FS73" s="192"/>
      <c r="FT73" s="192"/>
      <c r="FU73" s="192"/>
      <c r="FV73" s="192"/>
      <c r="FW73" s="192"/>
      <c r="FX73" s="192"/>
      <c r="FY73" s="192"/>
      <c r="FZ73" s="192"/>
      <c r="GA73" s="192"/>
      <c r="GB73" s="192"/>
      <c r="GC73" s="192"/>
      <c r="GD73" s="192"/>
      <c r="GE73" s="192"/>
      <c r="GF73" s="192"/>
      <c r="GG73" s="192"/>
      <c r="GH73" s="192"/>
      <c r="GI73" s="192"/>
      <c r="GJ73" s="192"/>
      <c r="GK73" s="192"/>
      <c r="GL73" s="192"/>
      <c r="GM73" s="192"/>
      <c r="GN73" s="192"/>
      <c r="GO73" s="192"/>
      <c r="GP73" s="192"/>
      <c r="GQ73" s="192"/>
      <c r="GR73" s="192"/>
      <c r="GS73" s="192"/>
      <c r="GT73" s="192"/>
      <c r="GU73" s="192"/>
      <c r="GV73" s="192"/>
      <c r="GW73" s="192"/>
      <c r="GX73" s="192"/>
      <c r="GY73" s="192"/>
      <c r="GZ73" s="192"/>
      <c r="HA73" s="192"/>
      <c r="HB73" s="192"/>
      <c r="HC73" s="192"/>
      <c r="HD73" s="192"/>
      <c r="HE73" s="192"/>
      <c r="HF73" s="192"/>
      <c r="HG73" s="192"/>
      <c r="HH73" s="192"/>
      <c r="HI73" s="192"/>
      <c r="HJ73" s="192"/>
      <c r="HK73" s="192"/>
      <c r="HL73" s="192"/>
      <c r="HM73" s="192"/>
      <c r="HN73" s="192"/>
      <c r="HO73" s="192"/>
      <c r="HP73" s="192"/>
      <c r="HQ73" s="192"/>
      <c r="HR73" s="192"/>
      <c r="HS73" s="192"/>
      <c r="HT73" s="192"/>
      <c r="HU73" s="192"/>
      <c r="HV73" s="192"/>
      <c r="HW73" s="192"/>
      <c r="HX73" s="192"/>
      <c r="HY73" s="192"/>
      <c r="HZ73" s="192"/>
      <c r="IA73" s="192"/>
      <c r="IB73" s="192"/>
      <c r="IC73" s="192"/>
      <c r="ID73" s="192"/>
      <c r="IE73" s="192"/>
      <c r="IF73" s="192"/>
      <c r="IG73" s="192"/>
      <c r="IH73" s="192"/>
      <c r="II73" s="192"/>
      <c r="IJ73" s="192"/>
      <c r="IK73" s="192"/>
      <c r="IL73" s="192"/>
      <c r="IM73" s="192"/>
      <c r="IN73" s="192"/>
      <c r="IO73" s="192"/>
      <c r="IP73" s="192"/>
      <c r="IQ73" s="192"/>
    </row>
    <row r="74" spans="1:251" s="157" customFormat="1" ht="21.75" customHeight="1">
      <c r="A74" s="196">
        <v>67</v>
      </c>
      <c r="B74" s="277" t="s">
        <v>200</v>
      </c>
      <c r="C74" s="278" t="s">
        <v>309</v>
      </c>
      <c r="D74" s="271">
        <v>26</v>
      </c>
      <c r="E74" s="271"/>
      <c r="F74" s="278" t="s">
        <v>310</v>
      </c>
      <c r="G74" s="271" t="s">
        <v>286</v>
      </c>
      <c r="H74" s="285" t="s">
        <v>265</v>
      </c>
      <c r="I74" s="197">
        <f t="shared" si="4"/>
        <v>97500</v>
      </c>
      <c r="J74" s="286" t="s">
        <v>272</v>
      </c>
      <c r="K74" s="200">
        <f t="shared" si="5"/>
        <v>75000</v>
      </c>
      <c r="L74" s="286" t="s">
        <v>56</v>
      </c>
      <c r="M74" s="198">
        <f t="shared" si="6"/>
        <v>0</v>
      </c>
      <c r="N74" s="198">
        <f t="shared" si="7"/>
        <v>172500</v>
      </c>
      <c r="O74" s="192"/>
      <c r="P74" s="192"/>
      <c r="Q74" s="192"/>
      <c r="R74" s="192"/>
      <c r="S74" s="192"/>
      <c r="T74" s="192"/>
      <c r="U74" s="192"/>
      <c r="V74" s="192"/>
      <c r="W74" s="192"/>
      <c r="X74" s="192"/>
      <c r="Y74" s="192"/>
      <c r="Z74" s="192"/>
      <c r="AA74" s="192"/>
      <c r="AB74" s="192"/>
      <c r="AC74" s="192"/>
      <c r="AD74" s="192"/>
      <c r="AE74" s="192"/>
      <c r="AF74" s="192"/>
      <c r="AG74" s="192"/>
      <c r="AH74" s="192"/>
      <c r="AI74" s="192"/>
      <c r="AJ74" s="192"/>
      <c r="AK74" s="192"/>
      <c r="AL74" s="192"/>
      <c r="AM74" s="192"/>
      <c r="AN74" s="192"/>
      <c r="AO74" s="192"/>
      <c r="AP74" s="192"/>
      <c r="AQ74" s="192"/>
      <c r="AR74" s="192"/>
      <c r="AS74" s="192"/>
      <c r="AT74" s="192"/>
      <c r="AU74" s="192"/>
      <c r="AV74" s="192"/>
      <c r="AW74" s="192"/>
      <c r="AX74" s="192"/>
      <c r="AY74" s="192"/>
      <c r="AZ74" s="192"/>
      <c r="BA74" s="192"/>
      <c r="BB74" s="192"/>
      <c r="BC74" s="192"/>
      <c r="BD74" s="192"/>
      <c r="BE74" s="192"/>
      <c r="BF74" s="192"/>
      <c r="BG74" s="192"/>
      <c r="BH74" s="192"/>
      <c r="BI74" s="192"/>
      <c r="BJ74" s="192"/>
      <c r="BK74" s="192"/>
      <c r="BL74" s="192"/>
      <c r="BM74" s="192"/>
      <c r="BN74" s="192"/>
      <c r="BO74" s="192"/>
      <c r="BP74" s="192"/>
      <c r="BQ74" s="192"/>
      <c r="BR74" s="192"/>
      <c r="BS74" s="192"/>
      <c r="BT74" s="192"/>
      <c r="BU74" s="192"/>
      <c r="BV74" s="192"/>
      <c r="BW74" s="192"/>
      <c r="BX74" s="192"/>
      <c r="BY74" s="192"/>
      <c r="BZ74" s="192"/>
      <c r="CA74" s="192"/>
      <c r="CB74" s="192"/>
      <c r="CC74" s="192"/>
      <c r="CD74" s="192"/>
      <c r="CE74" s="192"/>
      <c r="CF74" s="192"/>
      <c r="CG74" s="192"/>
      <c r="CH74" s="192"/>
      <c r="CI74" s="192"/>
      <c r="CJ74" s="192"/>
      <c r="CK74" s="192"/>
      <c r="CL74" s="192"/>
      <c r="CM74" s="192"/>
      <c r="CN74" s="192"/>
      <c r="CO74" s="192"/>
      <c r="CP74" s="192"/>
      <c r="CQ74" s="192"/>
      <c r="CR74" s="192"/>
      <c r="CS74" s="192"/>
      <c r="CT74" s="192"/>
      <c r="CU74" s="192"/>
      <c r="CV74" s="192"/>
      <c r="CW74" s="192"/>
      <c r="CX74" s="192"/>
      <c r="CY74" s="192"/>
      <c r="CZ74" s="192"/>
      <c r="DA74" s="192"/>
      <c r="DB74" s="192"/>
      <c r="DC74" s="192"/>
      <c r="DD74" s="192"/>
      <c r="DE74" s="192"/>
      <c r="DF74" s="192"/>
      <c r="DG74" s="192"/>
      <c r="DH74" s="192"/>
      <c r="DI74" s="192"/>
      <c r="DJ74" s="192"/>
      <c r="DK74" s="192"/>
      <c r="DL74" s="192"/>
      <c r="DM74" s="192"/>
      <c r="DN74" s="192"/>
      <c r="DO74" s="192"/>
      <c r="DP74" s="192"/>
      <c r="DQ74" s="192"/>
      <c r="DR74" s="192"/>
      <c r="DS74" s="192"/>
      <c r="DT74" s="192"/>
      <c r="DU74" s="192"/>
      <c r="DV74" s="192"/>
      <c r="DW74" s="192"/>
      <c r="DX74" s="192"/>
      <c r="DY74" s="192"/>
      <c r="DZ74" s="192"/>
      <c r="EA74" s="192"/>
      <c r="EB74" s="192"/>
      <c r="EC74" s="192"/>
      <c r="ED74" s="192"/>
      <c r="EE74" s="192"/>
      <c r="EF74" s="192"/>
      <c r="EG74" s="192"/>
      <c r="EH74" s="192"/>
      <c r="EI74" s="192"/>
      <c r="EJ74" s="192"/>
      <c r="EK74" s="192"/>
      <c r="EL74" s="192"/>
      <c r="EM74" s="192"/>
      <c r="EN74" s="192"/>
      <c r="EO74" s="192"/>
      <c r="EP74" s="192"/>
      <c r="EQ74" s="192"/>
      <c r="ER74" s="192"/>
      <c r="ES74" s="192"/>
      <c r="ET74" s="192"/>
      <c r="EU74" s="192"/>
      <c r="EV74" s="192"/>
      <c r="EW74" s="192"/>
      <c r="EX74" s="192"/>
      <c r="EY74" s="192"/>
      <c r="EZ74" s="192"/>
      <c r="FA74" s="192"/>
      <c r="FB74" s="192"/>
      <c r="FC74" s="192"/>
      <c r="FD74" s="192"/>
      <c r="FE74" s="192"/>
      <c r="FF74" s="192"/>
      <c r="FG74" s="192"/>
      <c r="FH74" s="192"/>
      <c r="FI74" s="192"/>
      <c r="FJ74" s="192"/>
      <c r="FK74" s="192"/>
      <c r="FL74" s="192"/>
      <c r="FM74" s="192"/>
      <c r="FN74" s="192"/>
      <c r="FO74" s="192"/>
      <c r="FP74" s="192"/>
      <c r="FQ74" s="192"/>
      <c r="FR74" s="192"/>
      <c r="FS74" s="192"/>
      <c r="FT74" s="192"/>
      <c r="FU74" s="192"/>
      <c r="FV74" s="192"/>
      <c r="FW74" s="192"/>
      <c r="FX74" s="192"/>
      <c r="FY74" s="192"/>
      <c r="FZ74" s="192"/>
      <c r="GA74" s="192"/>
      <c r="GB74" s="192"/>
      <c r="GC74" s="192"/>
      <c r="GD74" s="192"/>
      <c r="GE74" s="192"/>
      <c r="GF74" s="192"/>
      <c r="GG74" s="192"/>
      <c r="GH74" s="192"/>
      <c r="GI74" s="192"/>
      <c r="GJ74" s="192"/>
      <c r="GK74" s="192"/>
      <c r="GL74" s="192"/>
      <c r="GM74" s="192"/>
      <c r="GN74" s="192"/>
      <c r="GO74" s="192"/>
      <c r="GP74" s="192"/>
      <c r="GQ74" s="192"/>
      <c r="GR74" s="192"/>
      <c r="GS74" s="192"/>
      <c r="GT74" s="192"/>
      <c r="GU74" s="192"/>
      <c r="GV74" s="192"/>
      <c r="GW74" s="192"/>
      <c r="GX74" s="192"/>
      <c r="GY74" s="192"/>
      <c r="GZ74" s="192"/>
      <c r="HA74" s="192"/>
      <c r="HB74" s="192"/>
      <c r="HC74" s="192"/>
      <c r="HD74" s="192"/>
      <c r="HE74" s="192"/>
      <c r="HF74" s="192"/>
      <c r="HG74" s="192"/>
      <c r="HH74" s="192"/>
      <c r="HI74" s="192"/>
      <c r="HJ74" s="192"/>
      <c r="HK74" s="192"/>
      <c r="HL74" s="192"/>
      <c r="HM74" s="192"/>
      <c r="HN74" s="192"/>
      <c r="HO74" s="192"/>
      <c r="HP74" s="192"/>
      <c r="HQ74" s="192"/>
      <c r="HR74" s="192"/>
      <c r="HS74" s="192"/>
      <c r="HT74" s="192"/>
      <c r="HU74" s="192"/>
      <c r="HV74" s="192"/>
      <c r="HW74" s="192"/>
      <c r="HX74" s="192"/>
      <c r="HY74" s="192"/>
      <c r="HZ74" s="192"/>
      <c r="IA74" s="192"/>
      <c r="IB74" s="192"/>
      <c r="IC74" s="192"/>
      <c r="ID74" s="192"/>
      <c r="IE74" s="192"/>
      <c r="IF74" s="192"/>
      <c r="IG74" s="192"/>
      <c r="IH74" s="192"/>
      <c r="II74" s="192"/>
      <c r="IJ74" s="192"/>
      <c r="IK74" s="192"/>
      <c r="IL74" s="192"/>
      <c r="IM74" s="192"/>
      <c r="IN74" s="192"/>
      <c r="IO74" s="192"/>
      <c r="IP74" s="192"/>
      <c r="IQ74" s="192"/>
    </row>
    <row r="75" spans="1:251" s="157" customFormat="1" ht="21.75" customHeight="1">
      <c r="A75" s="196">
        <v>68</v>
      </c>
      <c r="B75" s="277" t="s">
        <v>200</v>
      </c>
      <c r="C75" s="278" t="s">
        <v>296</v>
      </c>
      <c r="D75" s="271"/>
      <c r="E75" s="271">
        <v>78</v>
      </c>
      <c r="F75" s="278" t="s">
        <v>308</v>
      </c>
      <c r="G75" s="271" t="s">
        <v>288</v>
      </c>
      <c r="H75" s="285" t="s">
        <v>267</v>
      </c>
      <c r="I75" s="197">
        <f t="shared" si="4"/>
        <v>97500</v>
      </c>
      <c r="J75" s="286" t="s">
        <v>274</v>
      </c>
      <c r="K75" s="200">
        <f t="shared" si="5"/>
        <v>75000</v>
      </c>
      <c r="L75" s="286" t="s">
        <v>56</v>
      </c>
      <c r="M75" s="198">
        <f t="shared" si="6"/>
        <v>0</v>
      </c>
      <c r="N75" s="198">
        <f t="shared" si="7"/>
        <v>172500</v>
      </c>
      <c r="O75" s="192"/>
      <c r="P75" s="192"/>
      <c r="Q75" s="192"/>
      <c r="R75" s="192"/>
      <c r="S75" s="192"/>
      <c r="T75" s="192"/>
      <c r="U75" s="192"/>
      <c r="V75" s="192"/>
      <c r="W75" s="192"/>
      <c r="X75" s="192"/>
      <c r="Y75" s="192"/>
      <c r="Z75" s="192"/>
      <c r="AA75" s="192"/>
      <c r="AB75" s="192"/>
      <c r="AC75" s="192"/>
      <c r="AD75" s="192"/>
      <c r="AE75" s="192"/>
      <c r="AF75" s="192"/>
      <c r="AG75" s="192"/>
      <c r="AH75" s="192"/>
      <c r="AI75" s="192"/>
      <c r="AJ75" s="192"/>
      <c r="AK75" s="192"/>
      <c r="AL75" s="192"/>
      <c r="AM75" s="192"/>
      <c r="AN75" s="192"/>
      <c r="AO75" s="192"/>
      <c r="AP75" s="192"/>
      <c r="AQ75" s="192"/>
      <c r="AR75" s="192"/>
      <c r="AS75" s="192"/>
      <c r="AT75" s="192"/>
      <c r="AU75" s="192"/>
      <c r="AV75" s="192"/>
      <c r="AW75" s="192"/>
      <c r="AX75" s="192"/>
      <c r="AY75" s="192"/>
      <c r="AZ75" s="192"/>
      <c r="BA75" s="192"/>
      <c r="BB75" s="192"/>
      <c r="BC75" s="192"/>
      <c r="BD75" s="192"/>
      <c r="BE75" s="192"/>
      <c r="BF75" s="192"/>
      <c r="BG75" s="192"/>
      <c r="BH75" s="192"/>
      <c r="BI75" s="192"/>
      <c r="BJ75" s="192"/>
      <c r="BK75" s="192"/>
      <c r="BL75" s="192"/>
      <c r="BM75" s="192"/>
      <c r="BN75" s="192"/>
      <c r="BO75" s="192"/>
      <c r="BP75" s="192"/>
      <c r="BQ75" s="192"/>
      <c r="BR75" s="192"/>
      <c r="BS75" s="192"/>
      <c r="BT75" s="192"/>
      <c r="BU75" s="192"/>
      <c r="BV75" s="192"/>
      <c r="BW75" s="192"/>
      <c r="BX75" s="192"/>
      <c r="BY75" s="192"/>
      <c r="BZ75" s="192"/>
      <c r="CA75" s="192"/>
      <c r="CB75" s="192"/>
      <c r="CC75" s="192"/>
      <c r="CD75" s="192"/>
      <c r="CE75" s="192"/>
      <c r="CF75" s="192"/>
      <c r="CG75" s="192"/>
      <c r="CH75" s="192"/>
      <c r="CI75" s="192"/>
      <c r="CJ75" s="192"/>
      <c r="CK75" s="192"/>
      <c r="CL75" s="192"/>
      <c r="CM75" s="192"/>
      <c r="CN75" s="192"/>
      <c r="CO75" s="192"/>
      <c r="CP75" s="192"/>
      <c r="CQ75" s="192"/>
      <c r="CR75" s="192"/>
      <c r="CS75" s="192"/>
      <c r="CT75" s="192"/>
      <c r="CU75" s="192"/>
      <c r="CV75" s="192"/>
      <c r="CW75" s="192"/>
      <c r="CX75" s="192"/>
      <c r="CY75" s="192"/>
      <c r="CZ75" s="192"/>
      <c r="DA75" s="192"/>
      <c r="DB75" s="192"/>
      <c r="DC75" s="192"/>
      <c r="DD75" s="192"/>
      <c r="DE75" s="192"/>
      <c r="DF75" s="192"/>
      <c r="DG75" s="192"/>
      <c r="DH75" s="192"/>
      <c r="DI75" s="192"/>
      <c r="DJ75" s="192"/>
      <c r="DK75" s="192"/>
      <c r="DL75" s="192"/>
      <c r="DM75" s="192"/>
      <c r="DN75" s="192"/>
      <c r="DO75" s="192"/>
      <c r="DP75" s="192"/>
      <c r="DQ75" s="192"/>
      <c r="DR75" s="192"/>
      <c r="DS75" s="192"/>
      <c r="DT75" s="192"/>
      <c r="DU75" s="192"/>
      <c r="DV75" s="192"/>
      <c r="DW75" s="192"/>
      <c r="DX75" s="192"/>
      <c r="DY75" s="192"/>
      <c r="DZ75" s="192"/>
      <c r="EA75" s="192"/>
      <c r="EB75" s="192"/>
      <c r="EC75" s="192"/>
      <c r="ED75" s="192"/>
      <c r="EE75" s="192"/>
      <c r="EF75" s="192"/>
      <c r="EG75" s="192"/>
      <c r="EH75" s="192"/>
      <c r="EI75" s="192"/>
      <c r="EJ75" s="192"/>
      <c r="EK75" s="192"/>
      <c r="EL75" s="192"/>
      <c r="EM75" s="192"/>
      <c r="EN75" s="192"/>
      <c r="EO75" s="192"/>
      <c r="EP75" s="192"/>
      <c r="EQ75" s="192"/>
      <c r="ER75" s="192"/>
      <c r="ES75" s="192"/>
      <c r="ET75" s="192"/>
      <c r="EU75" s="192"/>
      <c r="EV75" s="192"/>
      <c r="EW75" s="192"/>
      <c r="EX75" s="192"/>
      <c r="EY75" s="192"/>
      <c r="EZ75" s="192"/>
      <c r="FA75" s="192"/>
      <c r="FB75" s="192"/>
      <c r="FC75" s="192"/>
      <c r="FD75" s="192"/>
      <c r="FE75" s="192"/>
      <c r="FF75" s="192"/>
      <c r="FG75" s="192"/>
      <c r="FH75" s="192"/>
      <c r="FI75" s="192"/>
      <c r="FJ75" s="192"/>
      <c r="FK75" s="192"/>
      <c r="FL75" s="192"/>
      <c r="FM75" s="192"/>
      <c r="FN75" s="192"/>
      <c r="FO75" s="192"/>
      <c r="FP75" s="192"/>
      <c r="FQ75" s="192"/>
      <c r="FR75" s="192"/>
      <c r="FS75" s="192"/>
      <c r="FT75" s="192"/>
      <c r="FU75" s="192"/>
      <c r="FV75" s="192"/>
      <c r="FW75" s="192"/>
      <c r="FX75" s="192"/>
      <c r="FY75" s="192"/>
      <c r="FZ75" s="192"/>
      <c r="GA75" s="192"/>
      <c r="GB75" s="192"/>
      <c r="GC75" s="192"/>
      <c r="GD75" s="192"/>
      <c r="GE75" s="192"/>
      <c r="GF75" s="192"/>
      <c r="GG75" s="192"/>
      <c r="GH75" s="192"/>
      <c r="GI75" s="192"/>
      <c r="GJ75" s="192"/>
      <c r="GK75" s="192"/>
      <c r="GL75" s="192"/>
      <c r="GM75" s="192"/>
      <c r="GN75" s="192"/>
      <c r="GO75" s="192"/>
      <c r="GP75" s="192"/>
      <c r="GQ75" s="192"/>
      <c r="GR75" s="192"/>
      <c r="GS75" s="192"/>
      <c r="GT75" s="192"/>
      <c r="GU75" s="192"/>
      <c r="GV75" s="192"/>
      <c r="GW75" s="192"/>
      <c r="GX75" s="192"/>
      <c r="GY75" s="192"/>
      <c r="GZ75" s="192"/>
      <c r="HA75" s="192"/>
      <c r="HB75" s="192"/>
      <c r="HC75" s="192"/>
      <c r="HD75" s="192"/>
      <c r="HE75" s="192"/>
      <c r="HF75" s="192"/>
      <c r="HG75" s="192"/>
      <c r="HH75" s="192"/>
      <c r="HI75" s="192"/>
      <c r="HJ75" s="192"/>
      <c r="HK75" s="192"/>
      <c r="HL75" s="192"/>
      <c r="HM75" s="192"/>
      <c r="HN75" s="192"/>
      <c r="HO75" s="192"/>
      <c r="HP75" s="192"/>
      <c r="HQ75" s="192"/>
      <c r="HR75" s="192"/>
      <c r="HS75" s="192"/>
      <c r="HT75" s="192"/>
      <c r="HU75" s="192"/>
      <c r="HV75" s="192"/>
      <c r="HW75" s="192"/>
      <c r="HX75" s="192"/>
      <c r="HY75" s="192"/>
      <c r="HZ75" s="192"/>
      <c r="IA75" s="192"/>
      <c r="IB75" s="192"/>
      <c r="IC75" s="192"/>
      <c r="ID75" s="192"/>
      <c r="IE75" s="192"/>
      <c r="IF75" s="192"/>
      <c r="IG75" s="192"/>
      <c r="IH75" s="192"/>
      <c r="II75" s="192"/>
      <c r="IJ75" s="192"/>
      <c r="IK75" s="192"/>
      <c r="IL75" s="192"/>
      <c r="IM75" s="192"/>
      <c r="IN75" s="192"/>
      <c r="IO75" s="192"/>
      <c r="IP75" s="192"/>
      <c r="IQ75" s="192"/>
    </row>
    <row r="76" spans="1:251" s="157" customFormat="1" ht="21.75" customHeight="1">
      <c r="A76" s="196">
        <v>69</v>
      </c>
      <c r="B76" s="277" t="s">
        <v>200</v>
      </c>
      <c r="C76" s="278" t="s">
        <v>287</v>
      </c>
      <c r="D76" s="271">
        <v>83</v>
      </c>
      <c r="E76" s="271"/>
      <c r="F76" s="278" t="s">
        <v>308</v>
      </c>
      <c r="G76" s="271" t="s">
        <v>288</v>
      </c>
      <c r="H76" s="285" t="s">
        <v>264</v>
      </c>
      <c r="I76" s="197">
        <f t="shared" si="4"/>
        <v>97500</v>
      </c>
      <c r="J76" s="286" t="s">
        <v>278</v>
      </c>
      <c r="K76" s="200">
        <f t="shared" si="5"/>
        <v>75000</v>
      </c>
      <c r="L76" s="286" t="s">
        <v>56</v>
      </c>
      <c r="M76" s="198">
        <f t="shared" si="6"/>
        <v>0</v>
      </c>
      <c r="N76" s="198">
        <f t="shared" si="7"/>
        <v>172500</v>
      </c>
      <c r="O76" s="192"/>
      <c r="P76" s="192"/>
      <c r="Q76" s="192"/>
      <c r="R76" s="192"/>
      <c r="S76" s="192"/>
      <c r="T76" s="192"/>
      <c r="U76" s="192"/>
      <c r="V76" s="192"/>
      <c r="W76" s="192"/>
      <c r="X76" s="192"/>
      <c r="Y76" s="192"/>
      <c r="Z76" s="192"/>
      <c r="AA76" s="192"/>
      <c r="AB76" s="192"/>
      <c r="AC76" s="192"/>
      <c r="AD76" s="192"/>
      <c r="AE76" s="192"/>
      <c r="AF76" s="192"/>
      <c r="AG76" s="192"/>
      <c r="AH76" s="192"/>
      <c r="AI76" s="192"/>
      <c r="AJ76" s="192"/>
      <c r="AK76" s="192"/>
      <c r="AL76" s="192"/>
      <c r="AM76" s="192"/>
      <c r="AN76" s="192"/>
      <c r="AO76" s="192"/>
      <c r="AP76" s="192"/>
      <c r="AQ76" s="192"/>
      <c r="AR76" s="192"/>
      <c r="AS76" s="192"/>
      <c r="AT76" s="192"/>
      <c r="AU76" s="192"/>
      <c r="AV76" s="192"/>
      <c r="AW76" s="192"/>
      <c r="AX76" s="192"/>
      <c r="AY76" s="192"/>
      <c r="AZ76" s="192"/>
      <c r="BA76" s="192"/>
      <c r="BB76" s="192"/>
      <c r="BC76" s="192"/>
      <c r="BD76" s="192"/>
      <c r="BE76" s="192"/>
      <c r="BF76" s="192"/>
      <c r="BG76" s="192"/>
      <c r="BH76" s="192"/>
      <c r="BI76" s="192"/>
      <c r="BJ76" s="192"/>
      <c r="BK76" s="192"/>
      <c r="BL76" s="192"/>
      <c r="BM76" s="192"/>
      <c r="BN76" s="192"/>
      <c r="BO76" s="192"/>
      <c r="BP76" s="192"/>
      <c r="BQ76" s="192"/>
      <c r="BR76" s="192"/>
      <c r="BS76" s="192"/>
      <c r="BT76" s="192"/>
      <c r="BU76" s="192"/>
      <c r="BV76" s="192"/>
      <c r="BW76" s="192"/>
      <c r="BX76" s="192"/>
      <c r="BY76" s="192"/>
      <c r="BZ76" s="192"/>
      <c r="CA76" s="192"/>
      <c r="CB76" s="192"/>
      <c r="CC76" s="192"/>
      <c r="CD76" s="192"/>
      <c r="CE76" s="192"/>
      <c r="CF76" s="192"/>
      <c r="CG76" s="192"/>
      <c r="CH76" s="192"/>
      <c r="CI76" s="192"/>
      <c r="CJ76" s="192"/>
      <c r="CK76" s="192"/>
      <c r="CL76" s="192"/>
      <c r="CM76" s="192"/>
      <c r="CN76" s="192"/>
      <c r="CO76" s="192"/>
      <c r="CP76" s="192"/>
      <c r="CQ76" s="192"/>
      <c r="CR76" s="192"/>
      <c r="CS76" s="192"/>
      <c r="CT76" s="192"/>
      <c r="CU76" s="192"/>
      <c r="CV76" s="192"/>
      <c r="CW76" s="192"/>
      <c r="CX76" s="192"/>
      <c r="CY76" s="192"/>
      <c r="CZ76" s="192"/>
      <c r="DA76" s="192"/>
      <c r="DB76" s="192"/>
      <c r="DC76" s="192"/>
      <c r="DD76" s="192"/>
      <c r="DE76" s="192"/>
      <c r="DF76" s="192"/>
      <c r="DG76" s="192"/>
      <c r="DH76" s="192"/>
      <c r="DI76" s="192"/>
      <c r="DJ76" s="192"/>
      <c r="DK76" s="192"/>
      <c r="DL76" s="192"/>
      <c r="DM76" s="192"/>
      <c r="DN76" s="192"/>
      <c r="DO76" s="192"/>
      <c r="DP76" s="192"/>
      <c r="DQ76" s="192"/>
      <c r="DR76" s="192"/>
      <c r="DS76" s="192"/>
      <c r="DT76" s="192"/>
      <c r="DU76" s="192"/>
      <c r="DV76" s="192"/>
      <c r="DW76" s="192"/>
      <c r="DX76" s="192"/>
      <c r="DY76" s="192"/>
      <c r="DZ76" s="192"/>
      <c r="EA76" s="192"/>
      <c r="EB76" s="192"/>
      <c r="EC76" s="192"/>
      <c r="ED76" s="192"/>
      <c r="EE76" s="192"/>
      <c r="EF76" s="192"/>
      <c r="EG76" s="192"/>
      <c r="EH76" s="192"/>
      <c r="EI76" s="192"/>
      <c r="EJ76" s="192"/>
      <c r="EK76" s="192"/>
      <c r="EL76" s="192"/>
      <c r="EM76" s="192"/>
      <c r="EN76" s="192"/>
      <c r="EO76" s="192"/>
      <c r="EP76" s="192"/>
      <c r="EQ76" s="192"/>
      <c r="ER76" s="192"/>
      <c r="ES76" s="192"/>
      <c r="ET76" s="192"/>
      <c r="EU76" s="192"/>
      <c r="EV76" s="192"/>
      <c r="EW76" s="192"/>
      <c r="EX76" s="192"/>
      <c r="EY76" s="192"/>
      <c r="EZ76" s="192"/>
      <c r="FA76" s="192"/>
      <c r="FB76" s="192"/>
      <c r="FC76" s="192"/>
      <c r="FD76" s="192"/>
      <c r="FE76" s="192"/>
      <c r="FF76" s="192"/>
      <c r="FG76" s="192"/>
      <c r="FH76" s="192"/>
      <c r="FI76" s="192"/>
      <c r="FJ76" s="192"/>
      <c r="FK76" s="192"/>
      <c r="FL76" s="192"/>
      <c r="FM76" s="192"/>
      <c r="FN76" s="192"/>
      <c r="FO76" s="192"/>
      <c r="FP76" s="192"/>
      <c r="FQ76" s="192"/>
      <c r="FR76" s="192"/>
      <c r="FS76" s="192"/>
      <c r="FT76" s="192"/>
      <c r="FU76" s="192"/>
      <c r="FV76" s="192"/>
      <c r="FW76" s="192"/>
      <c r="FX76" s="192"/>
      <c r="FY76" s="192"/>
      <c r="FZ76" s="192"/>
      <c r="GA76" s="192"/>
      <c r="GB76" s="192"/>
      <c r="GC76" s="192"/>
      <c r="GD76" s="192"/>
      <c r="GE76" s="192"/>
      <c r="GF76" s="192"/>
      <c r="GG76" s="192"/>
      <c r="GH76" s="192"/>
      <c r="GI76" s="192"/>
      <c r="GJ76" s="192"/>
      <c r="GK76" s="192"/>
      <c r="GL76" s="192"/>
      <c r="GM76" s="192"/>
      <c r="GN76" s="192"/>
      <c r="GO76" s="192"/>
      <c r="GP76" s="192"/>
      <c r="GQ76" s="192"/>
      <c r="GR76" s="192"/>
      <c r="GS76" s="192"/>
      <c r="GT76" s="192"/>
      <c r="GU76" s="192"/>
      <c r="GV76" s="192"/>
      <c r="GW76" s="192"/>
      <c r="GX76" s="192"/>
      <c r="GY76" s="192"/>
      <c r="GZ76" s="192"/>
      <c r="HA76" s="192"/>
      <c r="HB76" s="192"/>
      <c r="HC76" s="192"/>
      <c r="HD76" s="192"/>
      <c r="HE76" s="192"/>
      <c r="HF76" s="192"/>
      <c r="HG76" s="192"/>
      <c r="HH76" s="192"/>
      <c r="HI76" s="192"/>
      <c r="HJ76" s="192"/>
      <c r="HK76" s="192"/>
      <c r="HL76" s="192"/>
      <c r="HM76" s="192"/>
      <c r="HN76" s="192"/>
      <c r="HO76" s="192"/>
      <c r="HP76" s="192"/>
      <c r="HQ76" s="192"/>
      <c r="HR76" s="192"/>
      <c r="HS76" s="192"/>
      <c r="HT76" s="192"/>
      <c r="HU76" s="192"/>
      <c r="HV76" s="192"/>
      <c r="HW76" s="192"/>
      <c r="HX76" s="192"/>
      <c r="HY76" s="192"/>
      <c r="HZ76" s="192"/>
      <c r="IA76" s="192"/>
      <c r="IB76" s="192"/>
      <c r="IC76" s="192"/>
      <c r="ID76" s="192"/>
      <c r="IE76" s="192"/>
      <c r="IF76" s="192"/>
      <c r="IG76" s="192"/>
      <c r="IH76" s="192"/>
      <c r="II76" s="192"/>
      <c r="IJ76" s="192"/>
      <c r="IK76" s="192"/>
      <c r="IL76" s="192"/>
      <c r="IM76" s="192"/>
      <c r="IN76" s="192"/>
      <c r="IO76" s="192"/>
      <c r="IP76" s="192"/>
      <c r="IQ76" s="192"/>
    </row>
    <row r="77" spans="1:251" s="157" customFormat="1" ht="21.75" customHeight="1">
      <c r="A77" s="196">
        <v>70</v>
      </c>
      <c r="B77" s="277" t="s">
        <v>200</v>
      </c>
      <c r="C77" s="278" t="s">
        <v>311</v>
      </c>
      <c r="D77" s="271">
        <v>72</v>
      </c>
      <c r="E77" s="271"/>
      <c r="F77" s="278" t="s">
        <v>308</v>
      </c>
      <c r="G77" s="271" t="s">
        <v>286</v>
      </c>
      <c r="H77" s="285" t="s">
        <v>267</v>
      </c>
      <c r="I77" s="197">
        <f t="shared" si="4"/>
        <v>97500</v>
      </c>
      <c r="J77" s="286" t="s">
        <v>274</v>
      </c>
      <c r="K77" s="200">
        <f t="shared" si="5"/>
        <v>75000</v>
      </c>
      <c r="L77" s="286" t="s">
        <v>56</v>
      </c>
      <c r="M77" s="198">
        <f t="shared" si="6"/>
        <v>0</v>
      </c>
      <c r="N77" s="198">
        <f t="shared" si="7"/>
        <v>172500</v>
      </c>
      <c r="O77" s="192"/>
      <c r="P77" s="192"/>
      <c r="Q77" s="192"/>
      <c r="R77" s="192"/>
      <c r="S77" s="192"/>
      <c r="T77" s="192"/>
      <c r="U77" s="192"/>
      <c r="V77" s="192"/>
      <c r="W77" s="192"/>
      <c r="X77" s="192"/>
      <c r="Y77" s="192"/>
      <c r="Z77" s="192"/>
      <c r="AA77" s="192"/>
      <c r="AB77" s="192"/>
      <c r="AC77" s="192"/>
      <c r="AD77" s="192"/>
      <c r="AE77" s="192"/>
      <c r="AF77" s="192"/>
      <c r="AG77" s="192"/>
      <c r="AH77" s="192"/>
      <c r="AI77" s="192"/>
      <c r="AJ77" s="192"/>
      <c r="AK77" s="192"/>
      <c r="AL77" s="192"/>
      <c r="AM77" s="192"/>
      <c r="AN77" s="192"/>
      <c r="AO77" s="192"/>
      <c r="AP77" s="192"/>
      <c r="AQ77" s="192"/>
      <c r="AR77" s="192"/>
      <c r="AS77" s="192"/>
      <c r="AT77" s="192"/>
      <c r="AU77" s="192"/>
      <c r="AV77" s="192"/>
      <c r="AW77" s="192"/>
      <c r="AX77" s="192"/>
      <c r="AY77" s="192"/>
      <c r="AZ77" s="192"/>
      <c r="BA77" s="192"/>
      <c r="BB77" s="192"/>
      <c r="BC77" s="192"/>
      <c r="BD77" s="192"/>
      <c r="BE77" s="192"/>
      <c r="BF77" s="192"/>
      <c r="BG77" s="192"/>
      <c r="BH77" s="192"/>
      <c r="BI77" s="192"/>
      <c r="BJ77" s="192"/>
      <c r="BK77" s="192"/>
      <c r="BL77" s="192"/>
      <c r="BM77" s="192"/>
      <c r="BN77" s="192"/>
      <c r="BO77" s="192"/>
      <c r="BP77" s="192"/>
      <c r="BQ77" s="192"/>
      <c r="BR77" s="192"/>
      <c r="BS77" s="192"/>
      <c r="BT77" s="192"/>
      <c r="BU77" s="192"/>
      <c r="BV77" s="192"/>
      <c r="BW77" s="192"/>
      <c r="BX77" s="192"/>
      <c r="BY77" s="192"/>
      <c r="BZ77" s="192"/>
      <c r="CA77" s="192"/>
      <c r="CB77" s="192"/>
      <c r="CC77" s="192"/>
      <c r="CD77" s="192"/>
      <c r="CE77" s="192"/>
      <c r="CF77" s="192"/>
      <c r="CG77" s="192"/>
      <c r="CH77" s="192"/>
      <c r="CI77" s="192"/>
      <c r="CJ77" s="192"/>
      <c r="CK77" s="192"/>
      <c r="CL77" s="192"/>
      <c r="CM77" s="192"/>
      <c r="CN77" s="192"/>
      <c r="CO77" s="192"/>
      <c r="CP77" s="192"/>
      <c r="CQ77" s="192"/>
      <c r="CR77" s="192"/>
      <c r="CS77" s="192"/>
      <c r="CT77" s="192"/>
      <c r="CU77" s="192"/>
      <c r="CV77" s="192"/>
      <c r="CW77" s="192"/>
      <c r="CX77" s="192"/>
      <c r="CY77" s="192"/>
      <c r="CZ77" s="192"/>
      <c r="DA77" s="192"/>
      <c r="DB77" s="192"/>
      <c r="DC77" s="192"/>
      <c r="DD77" s="192"/>
      <c r="DE77" s="192"/>
      <c r="DF77" s="192"/>
      <c r="DG77" s="192"/>
      <c r="DH77" s="192"/>
      <c r="DI77" s="192"/>
      <c r="DJ77" s="192"/>
      <c r="DK77" s="192"/>
      <c r="DL77" s="192"/>
      <c r="DM77" s="192"/>
      <c r="DN77" s="192"/>
      <c r="DO77" s="192"/>
      <c r="DP77" s="192"/>
      <c r="DQ77" s="192"/>
      <c r="DR77" s="192"/>
      <c r="DS77" s="192"/>
      <c r="DT77" s="192"/>
      <c r="DU77" s="192"/>
      <c r="DV77" s="192"/>
      <c r="DW77" s="192"/>
      <c r="DX77" s="192"/>
      <c r="DY77" s="192"/>
      <c r="DZ77" s="192"/>
      <c r="EA77" s="192"/>
      <c r="EB77" s="192"/>
      <c r="EC77" s="192"/>
      <c r="ED77" s="192"/>
      <c r="EE77" s="192"/>
      <c r="EF77" s="192"/>
      <c r="EG77" s="192"/>
      <c r="EH77" s="192"/>
      <c r="EI77" s="192"/>
      <c r="EJ77" s="192"/>
      <c r="EK77" s="192"/>
      <c r="EL77" s="192"/>
      <c r="EM77" s="192"/>
      <c r="EN77" s="192"/>
      <c r="EO77" s="192"/>
      <c r="EP77" s="192"/>
      <c r="EQ77" s="192"/>
      <c r="ER77" s="192"/>
      <c r="ES77" s="192"/>
      <c r="ET77" s="192"/>
      <c r="EU77" s="192"/>
      <c r="EV77" s="192"/>
      <c r="EW77" s="192"/>
      <c r="EX77" s="192"/>
      <c r="EY77" s="192"/>
      <c r="EZ77" s="192"/>
      <c r="FA77" s="192"/>
      <c r="FB77" s="192"/>
      <c r="FC77" s="192"/>
      <c r="FD77" s="192"/>
      <c r="FE77" s="192"/>
      <c r="FF77" s="192"/>
      <c r="FG77" s="192"/>
      <c r="FH77" s="192"/>
      <c r="FI77" s="192"/>
      <c r="FJ77" s="192"/>
      <c r="FK77" s="192"/>
      <c r="FL77" s="192"/>
      <c r="FM77" s="192"/>
      <c r="FN77" s="192"/>
      <c r="FO77" s="192"/>
      <c r="FP77" s="192"/>
      <c r="FQ77" s="192"/>
      <c r="FR77" s="192"/>
      <c r="FS77" s="192"/>
      <c r="FT77" s="192"/>
      <c r="FU77" s="192"/>
      <c r="FV77" s="192"/>
      <c r="FW77" s="192"/>
      <c r="FX77" s="192"/>
      <c r="FY77" s="192"/>
      <c r="FZ77" s="192"/>
      <c r="GA77" s="192"/>
      <c r="GB77" s="192"/>
      <c r="GC77" s="192"/>
      <c r="GD77" s="192"/>
      <c r="GE77" s="192"/>
      <c r="GF77" s="192"/>
      <c r="GG77" s="192"/>
      <c r="GH77" s="192"/>
      <c r="GI77" s="192"/>
      <c r="GJ77" s="192"/>
      <c r="GK77" s="192"/>
      <c r="GL77" s="192"/>
      <c r="GM77" s="192"/>
      <c r="GN77" s="192"/>
      <c r="GO77" s="192"/>
      <c r="GP77" s="192"/>
      <c r="GQ77" s="192"/>
      <c r="GR77" s="192"/>
      <c r="GS77" s="192"/>
      <c r="GT77" s="192"/>
      <c r="GU77" s="192"/>
      <c r="GV77" s="192"/>
      <c r="GW77" s="192"/>
      <c r="GX77" s="192"/>
      <c r="GY77" s="192"/>
      <c r="GZ77" s="192"/>
      <c r="HA77" s="192"/>
      <c r="HB77" s="192"/>
      <c r="HC77" s="192"/>
      <c r="HD77" s="192"/>
      <c r="HE77" s="192"/>
      <c r="HF77" s="192"/>
      <c r="HG77" s="192"/>
      <c r="HH77" s="192"/>
      <c r="HI77" s="192"/>
      <c r="HJ77" s="192"/>
      <c r="HK77" s="192"/>
      <c r="HL77" s="192"/>
      <c r="HM77" s="192"/>
      <c r="HN77" s="192"/>
      <c r="HO77" s="192"/>
      <c r="HP77" s="192"/>
      <c r="HQ77" s="192"/>
      <c r="HR77" s="192"/>
      <c r="HS77" s="192"/>
      <c r="HT77" s="192"/>
      <c r="HU77" s="192"/>
      <c r="HV77" s="192"/>
      <c r="HW77" s="192"/>
      <c r="HX77" s="192"/>
      <c r="HY77" s="192"/>
      <c r="HZ77" s="192"/>
      <c r="IA77" s="192"/>
      <c r="IB77" s="192"/>
      <c r="IC77" s="192"/>
      <c r="ID77" s="192"/>
      <c r="IE77" s="192"/>
      <c r="IF77" s="192"/>
      <c r="IG77" s="192"/>
      <c r="IH77" s="192"/>
      <c r="II77" s="192"/>
      <c r="IJ77" s="192"/>
      <c r="IK77" s="192"/>
      <c r="IL77" s="192"/>
      <c r="IM77" s="192"/>
      <c r="IN77" s="192"/>
      <c r="IO77" s="192"/>
      <c r="IP77" s="192"/>
      <c r="IQ77" s="192"/>
    </row>
    <row r="78" spans="1:251" s="157" customFormat="1" ht="21.75" customHeight="1">
      <c r="A78" s="196">
        <v>71</v>
      </c>
      <c r="B78" s="277" t="s">
        <v>200</v>
      </c>
      <c r="C78" s="278" t="s">
        <v>291</v>
      </c>
      <c r="D78" s="271"/>
      <c r="E78" s="271">
        <v>62</v>
      </c>
      <c r="F78" s="278" t="s">
        <v>308</v>
      </c>
      <c r="G78" s="271" t="s">
        <v>286</v>
      </c>
      <c r="H78" s="285" t="s">
        <v>267</v>
      </c>
      <c r="I78" s="197">
        <f t="shared" si="4"/>
        <v>97500</v>
      </c>
      <c r="J78" s="286" t="s">
        <v>274</v>
      </c>
      <c r="K78" s="200">
        <f t="shared" si="5"/>
        <v>75000</v>
      </c>
      <c r="L78" s="286" t="s">
        <v>56</v>
      </c>
      <c r="M78" s="198">
        <f t="shared" si="6"/>
        <v>0</v>
      </c>
      <c r="N78" s="198">
        <f t="shared" si="7"/>
        <v>172500</v>
      </c>
      <c r="O78" s="192"/>
      <c r="P78" s="192"/>
      <c r="Q78" s="192"/>
      <c r="R78" s="192"/>
      <c r="S78" s="192"/>
      <c r="T78" s="192"/>
      <c r="U78" s="192"/>
      <c r="V78" s="192"/>
      <c r="W78" s="192"/>
      <c r="X78" s="192"/>
      <c r="Y78" s="192"/>
      <c r="Z78" s="192"/>
      <c r="AA78" s="192"/>
      <c r="AB78" s="192"/>
      <c r="AC78" s="192"/>
      <c r="AD78" s="192"/>
      <c r="AE78" s="192"/>
      <c r="AF78" s="192"/>
      <c r="AG78" s="192"/>
      <c r="AH78" s="192"/>
      <c r="AI78" s="192"/>
      <c r="AJ78" s="192"/>
      <c r="AK78" s="192"/>
      <c r="AL78" s="192"/>
      <c r="AM78" s="192"/>
      <c r="AN78" s="192"/>
      <c r="AO78" s="192"/>
      <c r="AP78" s="192"/>
      <c r="AQ78" s="192"/>
      <c r="AR78" s="192"/>
      <c r="AS78" s="192"/>
      <c r="AT78" s="192"/>
      <c r="AU78" s="192"/>
      <c r="AV78" s="192"/>
      <c r="AW78" s="192"/>
      <c r="AX78" s="192"/>
      <c r="AY78" s="192"/>
      <c r="AZ78" s="192"/>
      <c r="BA78" s="192"/>
      <c r="BB78" s="192"/>
      <c r="BC78" s="192"/>
      <c r="BD78" s="192"/>
      <c r="BE78" s="192"/>
      <c r="BF78" s="192"/>
      <c r="BG78" s="192"/>
      <c r="BH78" s="192"/>
      <c r="BI78" s="192"/>
      <c r="BJ78" s="192"/>
      <c r="BK78" s="192"/>
      <c r="BL78" s="192"/>
      <c r="BM78" s="192"/>
      <c r="BN78" s="192"/>
      <c r="BO78" s="192"/>
      <c r="BP78" s="192"/>
      <c r="BQ78" s="192"/>
      <c r="BR78" s="192"/>
      <c r="BS78" s="192"/>
      <c r="BT78" s="192"/>
      <c r="BU78" s="192"/>
      <c r="BV78" s="192"/>
      <c r="BW78" s="192"/>
      <c r="BX78" s="192"/>
      <c r="BY78" s="192"/>
      <c r="BZ78" s="192"/>
      <c r="CA78" s="192"/>
      <c r="CB78" s="192"/>
      <c r="CC78" s="192"/>
      <c r="CD78" s="192"/>
      <c r="CE78" s="192"/>
      <c r="CF78" s="192"/>
      <c r="CG78" s="192"/>
      <c r="CH78" s="192"/>
      <c r="CI78" s="192"/>
      <c r="CJ78" s="192"/>
      <c r="CK78" s="192"/>
      <c r="CL78" s="192"/>
      <c r="CM78" s="192"/>
      <c r="CN78" s="192"/>
      <c r="CO78" s="192"/>
      <c r="CP78" s="192"/>
      <c r="CQ78" s="192"/>
      <c r="CR78" s="192"/>
      <c r="CS78" s="192"/>
      <c r="CT78" s="192"/>
      <c r="CU78" s="192"/>
      <c r="CV78" s="192"/>
      <c r="CW78" s="192"/>
      <c r="CX78" s="192"/>
      <c r="CY78" s="192"/>
      <c r="CZ78" s="192"/>
      <c r="DA78" s="192"/>
      <c r="DB78" s="192"/>
      <c r="DC78" s="192"/>
      <c r="DD78" s="192"/>
      <c r="DE78" s="192"/>
      <c r="DF78" s="192"/>
      <c r="DG78" s="192"/>
      <c r="DH78" s="192"/>
      <c r="DI78" s="192"/>
      <c r="DJ78" s="192"/>
      <c r="DK78" s="192"/>
      <c r="DL78" s="192"/>
      <c r="DM78" s="192"/>
      <c r="DN78" s="192"/>
      <c r="DO78" s="192"/>
      <c r="DP78" s="192"/>
      <c r="DQ78" s="192"/>
      <c r="DR78" s="192"/>
      <c r="DS78" s="192"/>
      <c r="DT78" s="192"/>
      <c r="DU78" s="192"/>
      <c r="DV78" s="192"/>
      <c r="DW78" s="192"/>
      <c r="DX78" s="192"/>
      <c r="DY78" s="192"/>
      <c r="DZ78" s="192"/>
      <c r="EA78" s="192"/>
      <c r="EB78" s="192"/>
      <c r="EC78" s="192"/>
      <c r="ED78" s="192"/>
      <c r="EE78" s="192"/>
      <c r="EF78" s="192"/>
      <c r="EG78" s="192"/>
      <c r="EH78" s="192"/>
      <c r="EI78" s="192"/>
      <c r="EJ78" s="192"/>
      <c r="EK78" s="192"/>
      <c r="EL78" s="192"/>
      <c r="EM78" s="192"/>
      <c r="EN78" s="192"/>
      <c r="EO78" s="192"/>
      <c r="EP78" s="192"/>
      <c r="EQ78" s="192"/>
      <c r="ER78" s="192"/>
      <c r="ES78" s="192"/>
      <c r="ET78" s="192"/>
      <c r="EU78" s="192"/>
      <c r="EV78" s="192"/>
      <c r="EW78" s="192"/>
      <c r="EX78" s="192"/>
      <c r="EY78" s="192"/>
      <c r="EZ78" s="192"/>
      <c r="FA78" s="192"/>
      <c r="FB78" s="192"/>
      <c r="FC78" s="192"/>
      <c r="FD78" s="192"/>
      <c r="FE78" s="192"/>
      <c r="FF78" s="192"/>
      <c r="FG78" s="192"/>
      <c r="FH78" s="192"/>
      <c r="FI78" s="192"/>
      <c r="FJ78" s="192"/>
      <c r="FK78" s="192"/>
      <c r="FL78" s="192"/>
      <c r="FM78" s="192"/>
      <c r="FN78" s="192"/>
      <c r="FO78" s="192"/>
      <c r="FP78" s="192"/>
      <c r="FQ78" s="192"/>
      <c r="FR78" s="192"/>
      <c r="FS78" s="192"/>
      <c r="FT78" s="192"/>
      <c r="FU78" s="192"/>
      <c r="FV78" s="192"/>
      <c r="FW78" s="192"/>
      <c r="FX78" s="192"/>
      <c r="FY78" s="192"/>
      <c r="FZ78" s="192"/>
      <c r="GA78" s="192"/>
      <c r="GB78" s="192"/>
      <c r="GC78" s="192"/>
      <c r="GD78" s="192"/>
      <c r="GE78" s="192"/>
      <c r="GF78" s="192"/>
      <c r="GG78" s="192"/>
      <c r="GH78" s="192"/>
      <c r="GI78" s="192"/>
      <c r="GJ78" s="192"/>
      <c r="GK78" s="192"/>
      <c r="GL78" s="192"/>
      <c r="GM78" s="192"/>
      <c r="GN78" s="192"/>
      <c r="GO78" s="192"/>
      <c r="GP78" s="192"/>
      <c r="GQ78" s="192"/>
      <c r="GR78" s="192"/>
      <c r="GS78" s="192"/>
      <c r="GT78" s="192"/>
      <c r="GU78" s="192"/>
      <c r="GV78" s="192"/>
      <c r="GW78" s="192"/>
      <c r="GX78" s="192"/>
      <c r="GY78" s="192"/>
      <c r="GZ78" s="192"/>
      <c r="HA78" s="192"/>
      <c r="HB78" s="192"/>
      <c r="HC78" s="192"/>
      <c r="HD78" s="192"/>
      <c r="HE78" s="192"/>
      <c r="HF78" s="192"/>
      <c r="HG78" s="192"/>
      <c r="HH78" s="192"/>
      <c r="HI78" s="192"/>
      <c r="HJ78" s="192"/>
      <c r="HK78" s="192"/>
      <c r="HL78" s="192"/>
      <c r="HM78" s="192"/>
      <c r="HN78" s="192"/>
      <c r="HO78" s="192"/>
      <c r="HP78" s="192"/>
      <c r="HQ78" s="192"/>
      <c r="HR78" s="192"/>
      <c r="HS78" s="192"/>
      <c r="HT78" s="192"/>
      <c r="HU78" s="192"/>
      <c r="HV78" s="192"/>
      <c r="HW78" s="192"/>
      <c r="HX78" s="192"/>
      <c r="HY78" s="192"/>
      <c r="HZ78" s="192"/>
      <c r="IA78" s="192"/>
      <c r="IB78" s="192"/>
      <c r="IC78" s="192"/>
      <c r="ID78" s="192"/>
      <c r="IE78" s="192"/>
      <c r="IF78" s="192"/>
      <c r="IG78" s="192"/>
      <c r="IH78" s="192"/>
      <c r="II78" s="192"/>
      <c r="IJ78" s="192"/>
      <c r="IK78" s="192"/>
      <c r="IL78" s="192"/>
      <c r="IM78" s="192"/>
      <c r="IN78" s="192"/>
      <c r="IO78" s="192"/>
      <c r="IP78" s="192"/>
      <c r="IQ78" s="192"/>
    </row>
    <row r="79" spans="1:251" s="157" customFormat="1" ht="21.75" customHeight="1">
      <c r="A79" s="196">
        <v>72</v>
      </c>
      <c r="B79" s="277" t="s">
        <v>200</v>
      </c>
      <c r="C79" s="278" t="s">
        <v>312</v>
      </c>
      <c r="D79" s="271">
        <v>49</v>
      </c>
      <c r="E79" s="271"/>
      <c r="F79" s="278" t="s">
        <v>313</v>
      </c>
      <c r="G79" s="271" t="s">
        <v>288</v>
      </c>
      <c r="H79" s="285" t="s">
        <v>265</v>
      </c>
      <c r="I79" s="197">
        <f t="shared" si="4"/>
        <v>97500</v>
      </c>
      <c r="J79" s="286" t="s">
        <v>267</v>
      </c>
      <c r="K79" s="200">
        <f t="shared" si="5"/>
        <v>75000</v>
      </c>
      <c r="L79" s="286" t="s">
        <v>56</v>
      </c>
      <c r="M79" s="198">
        <f t="shared" si="6"/>
        <v>0</v>
      </c>
      <c r="N79" s="198">
        <f t="shared" si="7"/>
        <v>172500</v>
      </c>
      <c r="O79" s="192"/>
      <c r="P79" s="192"/>
      <c r="Q79" s="192"/>
      <c r="R79" s="192"/>
      <c r="S79" s="192"/>
      <c r="T79" s="192"/>
      <c r="U79" s="192"/>
      <c r="V79" s="192"/>
      <c r="W79" s="192"/>
      <c r="X79" s="192"/>
      <c r="Y79" s="192"/>
      <c r="Z79" s="192"/>
      <c r="AA79" s="192"/>
      <c r="AB79" s="192"/>
      <c r="AC79" s="192"/>
      <c r="AD79" s="192"/>
      <c r="AE79" s="192"/>
      <c r="AF79" s="192"/>
      <c r="AG79" s="192"/>
      <c r="AH79" s="192"/>
      <c r="AI79" s="192"/>
      <c r="AJ79" s="192"/>
      <c r="AK79" s="192"/>
      <c r="AL79" s="192"/>
      <c r="AM79" s="192"/>
      <c r="AN79" s="192"/>
      <c r="AO79" s="192"/>
      <c r="AP79" s="192"/>
      <c r="AQ79" s="192"/>
      <c r="AR79" s="192"/>
      <c r="AS79" s="192"/>
      <c r="AT79" s="192"/>
      <c r="AU79" s="192"/>
      <c r="AV79" s="192"/>
      <c r="AW79" s="192"/>
      <c r="AX79" s="192"/>
      <c r="AY79" s="192"/>
      <c r="AZ79" s="192"/>
      <c r="BA79" s="192"/>
      <c r="BB79" s="192"/>
      <c r="BC79" s="192"/>
      <c r="BD79" s="192"/>
      <c r="BE79" s="192"/>
      <c r="BF79" s="192"/>
      <c r="BG79" s="192"/>
      <c r="BH79" s="192"/>
      <c r="BI79" s="192"/>
      <c r="BJ79" s="192"/>
      <c r="BK79" s="192"/>
      <c r="BL79" s="192"/>
      <c r="BM79" s="192"/>
      <c r="BN79" s="192"/>
      <c r="BO79" s="192"/>
      <c r="BP79" s="192"/>
      <c r="BQ79" s="192"/>
      <c r="BR79" s="192"/>
      <c r="BS79" s="192"/>
      <c r="BT79" s="192"/>
      <c r="BU79" s="192"/>
      <c r="BV79" s="192"/>
      <c r="BW79" s="192"/>
      <c r="BX79" s="192"/>
      <c r="BY79" s="192"/>
      <c r="BZ79" s="192"/>
      <c r="CA79" s="192"/>
      <c r="CB79" s="192"/>
      <c r="CC79" s="192"/>
      <c r="CD79" s="192"/>
      <c r="CE79" s="192"/>
      <c r="CF79" s="192"/>
      <c r="CG79" s="192"/>
      <c r="CH79" s="192"/>
      <c r="CI79" s="192"/>
      <c r="CJ79" s="192"/>
      <c r="CK79" s="192"/>
      <c r="CL79" s="192"/>
      <c r="CM79" s="192"/>
      <c r="CN79" s="192"/>
      <c r="CO79" s="192"/>
      <c r="CP79" s="192"/>
      <c r="CQ79" s="192"/>
      <c r="CR79" s="192"/>
      <c r="CS79" s="192"/>
      <c r="CT79" s="192"/>
      <c r="CU79" s="192"/>
      <c r="CV79" s="192"/>
      <c r="CW79" s="192"/>
      <c r="CX79" s="192"/>
      <c r="CY79" s="192"/>
      <c r="CZ79" s="192"/>
      <c r="DA79" s="192"/>
      <c r="DB79" s="192"/>
      <c r="DC79" s="192"/>
      <c r="DD79" s="192"/>
      <c r="DE79" s="192"/>
      <c r="DF79" s="192"/>
      <c r="DG79" s="192"/>
      <c r="DH79" s="192"/>
      <c r="DI79" s="192"/>
      <c r="DJ79" s="192"/>
      <c r="DK79" s="192"/>
      <c r="DL79" s="192"/>
      <c r="DM79" s="192"/>
      <c r="DN79" s="192"/>
      <c r="DO79" s="192"/>
      <c r="DP79" s="192"/>
      <c r="DQ79" s="192"/>
      <c r="DR79" s="192"/>
      <c r="DS79" s="192"/>
      <c r="DT79" s="192"/>
      <c r="DU79" s="192"/>
      <c r="DV79" s="192"/>
      <c r="DW79" s="192"/>
      <c r="DX79" s="192"/>
      <c r="DY79" s="192"/>
      <c r="DZ79" s="192"/>
      <c r="EA79" s="192"/>
      <c r="EB79" s="192"/>
      <c r="EC79" s="192"/>
      <c r="ED79" s="192"/>
      <c r="EE79" s="192"/>
      <c r="EF79" s="192"/>
      <c r="EG79" s="192"/>
      <c r="EH79" s="192"/>
      <c r="EI79" s="192"/>
      <c r="EJ79" s="192"/>
      <c r="EK79" s="192"/>
      <c r="EL79" s="192"/>
      <c r="EM79" s="192"/>
      <c r="EN79" s="192"/>
      <c r="EO79" s="192"/>
      <c r="EP79" s="192"/>
      <c r="EQ79" s="192"/>
      <c r="ER79" s="192"/>
      <c r="ES79" s="192"/>
      <c r="ET79" s="192"/>
      <c r="EU79" s="192"/>
      <c r="EV79" s="192"/>
      <c r="EW79" s="192"/>
      <c r="EX79" s="192"/>
      <c r="EY79" s="192"/>
      <c r="EZ79" s="192"/>
      <c r="FA79" s="192"/>
      <c r="FB79" s="192"/>
      <c r="FC79" s="192"/>
      <c r="FD79" s="192"/>
      <c r="FE79" s="192"/>
      <c r="FF79" s="192"/>
      <c r="FG79" s="192"/>
      <c r="FH79" s="192"/>
      <c r="FI79" s="192"/>
      <c r="FJ79" s="192"/>
      <c r="FK79" s="192"/>
      <c r="FL79" s="192"/>
      <c r="FM79" s="192"/>
      <c r="FN79" s="192"/>
      <c r="FO79" s="192"/>
      <c r="FP79" s="192"/>
      <c r="FQ79" s="192"/>
      <c r="FR79" s="192"/>
      <c r="FS79" s="192"/>
      <c r="FT79" s="192"/>
      <c r="FU79" s="192"/>
      <c r="FV79" s="192"/>
      <c r="FW79" s="192"/>
      <c r="FX79" s="192"/>
      <c r="FY79" s="192"/>
      <c r="FZ79" s="192"/>
      <c r="GA79" s="192"/>
      <c r="GB79" s="192"/>
      <c r="GC79" s="192"/>
      <c r="GD79" s="192"/>
      <c r="GE79" s="192"/>
      <c r="GF79" s="192"/>
      <c r="GG79" s="192"/>
      <c r="GH79" s="192"/>
      <c r="GI79" s="192"/>
      <c r="GJ79" s="192"/>
      <c r="GK79" s="192"/>
      <c r="GL79" s="192"/>
      <c r="GM79" s="192"/>
      <c r="GN79" s="192"/>
      <c r="GO79" s="192"/>
      <c r="GP79" s="192"/>
      <c r="GQ79" s="192"/>
      <c r="GR79" s="192"/>
      <c r="GS79" s="192"/>
      <c r="GT79" s="192"/>
      <c r="GU79" s="192"/>
      <c r="GV79" s="192"/>
      <c r="GW79" s="192"/>
      <c r="GX79" s="192"/>
      <c r="GY79" s="192"/>
      <c r="GZ79" s="192"/>
      <c r="HA79" s="192"/>
      <c r="HB79" s="192"/>
      <c r="HC79" s="192"/>
      <c r="HD79" s="192"/>
      <c r="HE79" s="192"/>
      <c r="HF79" s="192"/>
      <c r="HG79" s="192"/>
      <c r="HH79" s="192"/>
      <c r="HI79" s="192"/>
      <c r="HJ79" s="192"/>
      <c r="HK79" s="192"/>
      <c r="HL79" s="192"/>
      <c r="HM79" s="192"/>
      <c r="HN79" s="192"/>
      <c r="HO79" s="192"/>
      <c r="HP79" s="192"/>
      <c r="HQ79" s="192"/>
      <c r="HR79" s="192"/>
      <c r="HS79" s="192"/>
      <c r="HT79" s="192"/>
      <c r="HU79" s="192"/>
      <c r="HV79" s="192"/>
      <c r="HW79" s="192"/>
      <c r="HX79" s="192"/>
      <c r="HY79" s="192"/>
      <c r="HZ79" s="192"/>
      <c r="IA79" s="192"/>
      <c r="IB79" s="192"/>
      <c r="IC79" s="192"/>
      <c r="ID79" s="192"/>
      <c r="IE79" s="192"/>
      <c r="IF79" s="192"/>
      <c r="IG79" s="192"/>
      <c r="IH79" s="192"/>
      <c r="II79" s="192"/>
      <c r="IJ79" s="192"/>
      <c r="IK79" s="192"/>
      <c r="IL79" s="192"/>
      <c r="IM79" s="192"/>
      <c r="IN79" s="192"/>
      <c r="IO79" s="192"/>
      <c r="IP79" s="192"/>
      <c r="IQ79" s="192"/>
    </row>
    <row r="80" spans="1:251" s="157" customFormat="1" ht="21.75" customHeight="1">
      <c r="A80" s="196">
        <v>73</v>
      </c>
      <c r="B80" s="277" t="s">
        <v>209</v>
      </c>
      <c r="C80" s="278" t="s">
        <v>314</v>
      </c>
      <c r="D80" s="271"/>
      <c r="E80" s="271">
        <v>28</v>
      </c>
      <c r="F80" s="278" t="s">
        <v>300</v>
      </c>
      <c r="G80" s="271" t="s">
        <v>286</v>
      </c>
      <c r="H80" s="285" t="s">
        <v>266</v>
      </c>
      <c r="I80" s="197">
        <f t="shared" si="4"/>
        <v>97500</v>
      </c>
      <c r="J80" s="286" t="s">
        <v>280</v>
      </c>
      <c r="K80" s="200">
        <f t="shared" si="5"/>
        <v>75000</v>
      </c>
      <c r="L80" s="286" t="s">
        <v>56</v>
      </c>
      <c r="M80" s="198">
        <f t="shared" si="6"/>
        <v>0</v>
      </c>
      <c r="N80" s="198">
        <f t="shared" si="7"/>
        <v>172500</v>
      </c>
      <c r="O80" s="192"/>
      <c r="P80" s="192"/>
      <c r="Q80" s="192"/>
      <c r="R80" s="192"/>
      <c r="S80" s="192"/>
      <c r="T80" s="192"/>
      <c r="U80" s="192"/>
      <c r="V80" s="192"/>
      <c r="W80" s="192"/>
      <c r="X80" s="192"/>
      <c r="Y80" s="192"/>
      <c r="Z80" s="192"/>
      <c r="AA80" s="192"/>
      <c r="AB80" s="192"/>
      <c r="AC80" s="192"/>
      <c r="AD80" s="192"/>
      <c r="AE80" s="192"/>
      <c r="AF80" s="192"/>
      <c r="AG80" s="192"/>
      <c r="AH80" s="192"/>
      <c r="AI80" s="192"/>
      <c r="AJ80" s="192"/>
      <c r="AK80" s="192"/>
      <c r="AL80" s="192"/>
      <c r="AM80" s="192"/>
      <c r="AN80" s="192"/>
      <c r="AO80" s="192"/>
      <c r="AP80" s="192"/>
      <c r="AQ80" s="192"/>
      <c r="AR80" s="192"/>
      <c r="AS80" s="192"/>
      <c r="AT80" s="192"/>
      <c r="AU80" s="192"/>
      <c r="AV80" s="192"/>
      <c r="AW80" s="192"/>
      <c r="AX80" s="192"/>
      <c r="AY80" s="192"/>
      <c r="AZ80" s="192"/>
      <c r="BA80" s="192"/>
      <c r="BB80" s="192"/>
      <c r="BC80" s="192"/>
      <c r="BD80" s="192"/>
      <c r="BE80" s="192"/>
      <c r="BF80" s="192"/>
      <c r="BG80" s="192"/>
      <c r="BH80" s="192"/>
      <c r="BI80" s="192"/>
      <c r="BJ80" s="192"/>
      <c r="BK80" s="192"/>
      <c r="BL80" s="192"/>
      <c r="BM80" s="192"/>
      <c r="BN80" s="192"/>
      <c r="BO80" s="192"/>
      <c r="BP80" s="192"/>
      <c r="BQ80" s="192"/>
      <c r="BR80" s="192"/>
      <c r="BS80" s="192"/>
      <c r="BT80" s="192"/>
      <c r="BU80" s="192"/>
      <c r="BV80" s="192"/>
      <c r="BW80" s="192"/>
      <c r="BX80" s="192"/>
      <c r="BY80" s="192"/>
      <c r="BZ80" s="192"/>
      <c r="CA80" s="192"/>
      <c r="CB80" s="192"/>
      <c r="CC80" s="192"/>
      <c r="CD80" s="192"/>
      <c r="CE80" s="192"/>
      <c r="CF80" s="192"/>
      <c r="CG80" s="192"/>
      <c r="CH80" s="192"/>
      <c r="CI80" s="192"/>
      <c r="CJ80" s="192"/>
      <c r="CK80" s="192"/>
      <c r="CL80" s="192"/>
      <c r="CM80" s="192"/>
      <c r="CN80" s="192"/>
      <c r="CO80" s="192"/>
      <c r="CP80" s="192"/>
      <c r="CQ80" s="192"/>
      <c r="CR80" s="192"/>
      <c r="CS80" s="192"/>
      <c r="CT80" s="192"/>
      <c r="CU80" s="192"/>
      <c r="CV80" s="192"/>
      <c r="CW80" s="192"/>
      <c r="CX80" s="192"/>
      <c r="CY80" s="192"/>
      <c r="CZ80" s="192"/>
      <c r="DA80" s="192"/>
      <c r="DB80" s="192"/>
      <c r="DC80" s="192"/>
      <c r="DD80" s="192"/>
      <c r="DE80" s="192"/>
      <c r="DF80" s="192"/>
      <c r="DG80" s="192"/>
      <c r="DH80" s="192"/>
      <c r="DI80" s="192"/>
      <c r="DJ80" s="192"/>
      <c r="DK80" s="192"/>
      <c r="DL80" s="192"/>
      <c r="DM80" s="192"/>
      <c r="DN80" s="192"/>
      <c r="DO80" s="192"/>
      <c r="DP80" s="192"/>
      <c r="DQ80" s="192"/>
      <c r="DR80" s="192"/>
      <c r="DS80" s="192"/>
      <c r="DT80" s="192"/>
      <c r="DU80" s="192"/>
      <c r="DV80" s="192"/>
      <c r="DW80" s="192"/>
      <c r="DX80" s="192"/>
      <c r="DY80" s="192"/>
      <c r="DZ80" s="192"/>
      <c r="EA80" s="192"/>
      <c r="EB80" s="192"/>
      <c r="EC80" s="192"/>
      <c r="ED80" s="192"/>
      <c r="EE80" s="192"/>
      <c r="EF80" s="192"/>
      <c r="EG80" s="192"/>
      <c r="EH80" s="192"/>
      <c r="EI80" s="192"/>
      <c r="EJ80" s="192"/>
      <c r="EK80" s="192"/>
      <c r="EL80" s="192"/>
      <c r="EM80" s="192"/>
      <c r="EN80" s="192"/>
      <c r="EO80" s="192"/>
      <c r="EP80" s="192"/>
      <c r="EQ80" s="192"/>
      <c r="ER80" s="192"/>
      <c r="ES80" s="192"/>
      <c r="ET80" s="192"/>
      <c r="EU80" s="192"/>
      <c r="EV80" s="192"/>
      <c r="EW80" s="192"/>
      <c r="EX80" s="192"/>
      <c r="EY80" s="192"/>
      <c r="EZ80" s="192"/>
      <c r="FA80" s="192"/>
      <c r="FB80" s="192"/>
      <c r="FC80" s="192"/>
      <c r="FD80" s="192"/>
      <c r="FE80" s="192"/>
      <c r="FF80" s="192"/>
      <c r="FG80" s="192"/>
      <c r="FH80" s="192"/>
      <c r="FI80" s="192"/>
      <c r="FJ80" s="192"/>
      <c r="FK80" s="192"/>
      <c r="FL80" s="192"/>
      <c r="FM80" s="192"/>
      <c r="FN80" s="192"/>
      <c r="FO80" s="192"/>
      <c r="FP80" s="192"/>
      <c r="FQ80" s="192"/>
      <c r="FR80" s="192"/>
      <c r="FS80" s="192"/>
      <c r="FT80" s="192"/>
      <c r="FU80" s="192"/>
      <c r="FV80" s="192"/>
      <c r="FW80" s="192"/>
      <c r="FX80" s="192"/>
      <c r="FY80" s="192"/>
      <c r="FZ80" s="192"/>
      <c r="GA80" s="192"/>
      <c r="GB80" s="192"/>
      <c r="GC80" s="192"/>
      <c r="GD80" s="192"/>
      <c r="GE80" s="192"/>
      <c r="GF80" s="192"/>
      <c r="GG80" s="192"/>
      <c r="GH80" s="192"/>
      <c r="GI80" s="192"/>
      <c r="GJ80" s="192"/>
      <c r="GK80" s="192"/>
      <c r="GL80" s="192"/>
      <c r="GM80" s="192"/>
      <c r="GN80" s="192"/>
      <c r="GO80" s="192"/>
      <c r="GP80" s="192"/>
      <c r="GQ80" s="192"/>
      <c r="GR80" s="192"/>
      <c r="GS80" s="192"/>
      <c r="GT80" s="192"/>
      <c r="GU80" s="192"/>
      <c r="GV80" s="192"/>
      <c r="GW80" s="192"/>
      <c r="GX80" s="192"/>
      <c r="GY80" s="192"/>
      <c r="GZ80" s="192"/>
      <c r="HA80" s="192"/>
      <c r="HB80" s="192"/>
      <c r="HC80" s="192"/>
      <c r="HD80" s="192"/>
      <c r="HE80" s="192"/>
      <c r="HF80" s="192"/>
      <c r="HG80" s="192"/>
      <c r="HH80" s="192"/>
      <c r="HI80" s="192"/>
      <c r="HJ80" s="192"/>
      <c r="HK80" s="192"/>
      <c r="HL80" s="192"/>
      <c r="HM80" s="192"/>
      <c r="HN80" s="192"/>
      <c r="HO80" s="192"/>
      <c r="HP80" s="192"/>
      <c r="HQ80" s="192"/>
      <c r="HR80" s="192"/>
      <c r="HS80" s="192"/>
      <c r="HT80" s="192"/>
      <c r="HU80" s="192"/>
      <c r="HV80" s="192"/>
      <c r="HW80" s="192"/>
      <c r="HX80" s="192"/>
      <c r="HY80" s="192"/>
      <c r="HZ80" s="192"/>
      <c r="IA80" s="192"/>
      <c r="IB80" s="192"/>
      <c r="IC80" s="192"/>
      <c r="ID80" s="192"/>
      <c r="IE80" s="192"/>
      <c r="IF80" s="192"/>
      <c r="IG80" s="192"/>
      <c r="IH80" s="192"/>
      <c r="II80" s="192"/>
      <c r="IJ80" s="192"/>
      <c r="IK80" s="192"/>
      <c r="IL80" s="192"/>
      <c r="IM80" s="192"/>
      <c r="IN80" s="192"/>
      <c r="IO80" s="192"/>
      <c r="IP80" s="192"/>
      <c r="IQ80" s="192"/>
    </row>
    <row r="81" spans="1:251" s="157" customFormat="1" ht="21.75" customHeight="1">
      <c r="A81" s="196">
        <v>74</v>
      </c>
      <c r="B81" s="277" t="s">
        <v>212</v>
      </c>
      <c r="C81" s="278" t="s">
        <v>307</v>
      </c>
      <c r="D81" s="271"/>
      <c r="E81" s="271">
        <v>57</v>
      </c>
      <c r="F81" s="278" t="s">
        <v>306</v>
      </c>
      <c r="G81" s="271" t="s">
        <v>288</v>
      </c>
      <c r="H81" s="285" t="s">
        <v>267</v>
      </c>
      <c r="I81" s="197">
        <f t="shared" si="4"/>
        <v>97500</v>
      </c>
      <c r="J81" s="286" t="s">
        <v>273</v>
      </c>
      <c r="K81" s="200">
        <f t="shared" si="5"/>
        <v>75000</v>
      </c>
      <c r="L81" s="286" t="s">
        <v>56</v>
      </c>
      <c r="M81" s="198">
        <f t="shared" si="6"/>
        <v>0</v>
      </c>
      <c r="N81" s="198">
        <f t="shared" si="7"/>
        <v>172500</v>
      </c>
      <c r="O81" s="192"/>
      <c r="P81" s="192"/>
      <c r="Q81" s="192"/>
      <c r="R81" s="192"/>
      <c r="S81" s="192"/>
      <c r="T81" s="192"/>
      <c r="U81" s="192"/>
      <c r="V81" s="192"/>
      <c r="W81" s="192"/>
      <c r="X81" s="192"/>
      <c r="Y81" s="192"/>
      <c r="Z81" s="192"/>
      <c r="AA81" s="192"/>
      <c r="AB81" s="192"/>
      <c r="AC81" s="192"/>
      <c r="AD81" s="192"/>
      <c r="AE81" s="192"/>
      <c r="AF81" s="192"/>
      <c r="AG81" s="192"/>
      <c r="AH81" s="192"/>
      <c r="AI81" s="192"/>
      <c r="AJ81" s="192"/>
      <c r="AK81" s="192"/>
      <c r="AL81" s="192"/>
      <c r="AM81" s="192"/>
      <c r="AN81" s="192"/>
      <c r="AO81" s="192"/>
      <c r="AP81" s="192"/>
      <c r="AQ81" s="192"/>
      <c r="AR81" s="192"/>
      <c r="AS81" s="192"/>
      <c r="AT81" s="192"/>
      <c r="AU81" s="192"/>
      <c r="AV81" s="192"/>
      <c r="AW81" s="192"/>
      <c r="AX81" s="192"/>
      <c r="AY81" s="192"/>
      <c r="AZ81" s="192"/>
      <c r="BA81" s="192"/>
      <c r="BB81" s="192"/>
      <c r="BC81" s="192"/>
      <c r="BD81" s="192"/>
      <c r="BE81" s="192"/>
      <c r="BF81" s="192"/>
      <c r="BG81" s="192"/>
      <c r="BH81" s="192"/>
      <c r="BI81" s="192"/>
      <c r="BJ81" s="192"/>
      <c r="BK81" s="192"/>
      <c r="BL81" s="192"/>
      <c r="BM81" s="192"/>
      <c r="BN81" s="192"/>
      <c r="BO81" s="192"/>
      <c r="BP81" s="192"/>
      <c r="BQ81" s="192"/>
      <c r="BR81" s="192"/>
      <c r="BS81" s="192"/>
      <c r="BT81" s="192"/>
      <c r="BU81" s="192"/>
      <c r="BV81" s="192"/>
      <c r="BW81" s="192"/>
      <c r="BX81" s="192"/>
      <c r="BY81" s="192"/>
      <c r="BZ81" s="192"/>
      <c r="CA81" s="192"/>
      <c r="CB81" s="192"/>
      <c r="CC81" s="192"/>
      <c r="CD81" s="192"/>
      <c r="CE81" s="192"/>
      <c r="CF81" s="192"/>
      <c r="CG81" s="192"/>
      <c r="CH81" s="192"/>
      <c r="CI81" s="192"/>
      <c r="CJ81" s="192"/>
      <c r="CK81" s="192"/>
      <c r="CL81" s="192"/>
      <c r="CM81" s="192"/>
      <c r="CN81" s="192"/>
      <c r="CO81" s="192"/>
      <c r="CP81" s="192"/>
      <c r="CQ81" s="192"/>
      <c r="CR81" s="192"/>
      <c r="CS81" s="192"/>
      <c r="CT81" s="192"/>
      <c r="CU81" s="192"/>
      <c r="CV81" s="192"/>
      <c r="CW81" s="192"/>
      <c r="CX81" s="192"/>
      <c r="CY81" s="192"/>
      <c r="CZ81" s="192"/>
      <c r="DA81" s="192"/>
      <c r="DB81" s="192"/>
      <c r="DC81" s="192"/>
      <c r="DD81" s="192"/>
      <c r="DE81" s="192"/>
      <c r="DF81" s="192"/>
      <c r="DG81" s="192"/>
      <c r="DH81" s="192"/>
      <c r="DI81" s="192"/>
      <c r="DJ81" s="192"/>
      <c r="DK81" s="192"/>
      <c r="DL81" s="192"/>
      <c r="DM81" s="192"/>
      <c r="DN81" s="192"/>
      <c r="DO81" s="192"/>
      <c r="DP81" s="192"/>
      <c r="DQ81" s="192"/>
      <c r="DR81" s="192"/>
      <c r="DS81" s="192"/>
      <c r="DT81" s="192"/>
      <c r="DU81" s="192"/>
      <c r="DV81" s="192"/>
      <c r="DW81" s="192"/>
      <c r="DX81" s="192"/>
      <c r="DY81" s="192"/>
      <c r="DZ81" s="192"/>
      <c r="EA81" s="192"/>
      <c r="EB81" s="192"/>
      <c r="EC81" s="192"/>
      <c r="ED81" s="192"/>
      <c r="EE81" s="192"/>
      <c r="EF81" s="192"/>
      <c r="EG81" s="192"/>
      <c r="EH81" s="192"/>
      <c r="EI81" s="192"/>
      <c r="EJ81" s="192"/>
      <c r="EK81" s="192"/>
      <c r="EL81" s="192"/>
      <c r="EM81" s="192"/>
      <c r="EN81" s="192"/>
      <c r="EO81" s="192"/>
      <c r="EP81" s="192"/>
      <c r="EQ81" s="192"/>
      <c r="ER81" s="192"/>
      <c r="ES81" s="192"/>
      <c r="ET81" s="192"/>
      <c r="EU81" s="192"/>
      <c r="EV81" s="192"/>
      <c r="EW81" s="192"/>
      <c r="EX81" s="192"/>
      <c r="EY81" s="192"/>
      <c r="EZ81" s="192"/>
      <c r="FA81" s="192"/>
      <c r="FB81" s="192"/>
      <c r="FC81" s="192"/>
      <c r="FD81" s="192"/>
      <c r="FE81" s="192"/>
      <c r="FF81" s="192"/>
      <c r="FG81" s="192"/>
      <c r="FH81" s="192"/>
      <c r="FI81" s="192"/>
      <c r="FJ81" s="192"/>
      <c r="FK81" s="192"/>
      <c r="FL81" s="192"/>
      <c r="FM81" s="192"/>
      <c r="FN81" s="192"/>
      <c r="FO81" s="192"/>
      <c r="FP81" s="192"/>
      <c r="FQ81" s="192"/>
      <c r="FR81" s="192"/>
      <c r="FS81" s="192"/>
      <c r="FT81" s="192"/>
      <c r="FU81" s="192"/>
      <c r="FV81" s="192"/>
      <c r="FW81" s="192"/>
      <c r="FX81" s="192"/>
      <c r="FY81" s="192"/>
      <c r="FZ81" s="192"/>
      <c r="GA81" s="192"/>
      <c r="GB81" s="192"/>
      <c r="GC81" s="192"/>
      <c r="GD81" s="192"/>
      <c r="GE81" s="192"/>
      <c r="GF81" s="192"/>
      <c r="GG81" s="192"/>
      <c r="GH81" s="192"/>
      <c r="GI81" s="192"/>
      <c r="GJ81" s="192"/>
      <c r="GK81" s="192"/>
      <c r="GL81" s="192"/>
      <c r="GM81" s="192"/>
      <c r="GN81" s="192"/>
      <c r="GO81" s="192"/>
      <c r="GP81" s="192"/>
      <c r="GQ81" s="192"/>
      <c r="GR81" s="192"/>
      <c r="GS81" s="192"/>
      <c r="GT81" s="192"/>
      <c r="GU81" s="192"/>
      <c r="GV81" s="192"/>
      <c r="GW81" s="192"/>
      <c r="GX81" s="192"/>
      <c r="GY81" s="192"/>
      <c r="GZ81" s="192"/>
      <c r="HA81" s="192"/>
      <c r="HB81" s="192"/>
      <c r="HC81" s="192"/>
      <c r="HD81" s="192"/>
      <c r="HE81" s="192"/>
      <c r="HF81" s="192"/>
      <c r="HG81" s="192"/>
      <c r="HH81" s="192"/>
      <c r="HI81" s="192"/>
      <c r="HJ81" s="192"/>
      <c r="HK81" s="192"/>
      <c r="HL81" s="192"/>
      <c r="HM81" s="192"/>
      <c r="HN81" s="192"/>
      <c r="HO81" s="192"/>
      <c r="HP81" s="192"/>
      <c r="HQ81" s="192"/>
      <c r="HR81" s="192"/>
      <c r="HS81" s="192"/>
      <c r="HT81" s="192"/>
      <c r="HU81" s="192"/>
      <c r="HV81" s="192"/>
      <c r="HW81" s="192"/>
      <c r="HX81" s="192"/>
      <c r="HY81" s="192"/>
      <c r="HZ81" s="192"/>
      <c r="IA81" s="192"/>
      <c r="IB81" s="192"/>
      <c r="IC81" s="192"/>
      <c r="ID81" s="192"/>
      <c r="IE81" s="192"/>
      <c r="IF81" s="192"/>
      <c r="IG81" s="192"/>
      <c r="IH81" s="192"/>
      <c r="II81" s="192"/>
      <c r="IJ81" s="192"/>
      <c r="IK81" s="192"/>
      <c r="IL81" s="192"/>
      <c r="IM81" s="192"/>
      <c r="IN81" s="192"/>
      <c r="IO81" s="192"/>
      <c r="IP81" s="192"/>
      <c r="IQ81" s="192"/>
    </row>
    <row r="82" spans="1:251" s="157" customFormat="1" ht="21.75" customHeight="1">
      <c r="A82" s="196">
        <v>75</v>
      </c>
      <c r="B82" s="277" t="s">
        <v>212</v>
      </c>
      <c r="C82" s="278" t="s">
        <v>296</v>
      </c>
      <c r="D82" s="271"/>
      <c r="E82" s="271">
        <v>78</v>
      </c>
      <c r="F82" s="278" t="s">
        <v>315</v>
      </c>
      <c r="G82" s="271" t="s">
        <v>286</v>
      </c>
      <c r="H82" s="285" t="s">
        <v>267</v>
      </c>
      <c r="I82" s="197">
        <f t="shared" si="4"/>
        <v>97500</v>
      </c>
      <c r="J82" s="286" t="s">
        <v>274</v>
      </c>
      <c r="K82" s="200">
        <f t="shared" si="5"/>
        <v>75000</v>
      </c>
      <c r="L82" s="286" t="s">
        <v>56</v>
      </c>
      <c r="M82" s="198">
        <f t="shared" si="6"/>
        <v>0</v>
      </c>
      <c r="N82" s="198">
        <f t="shared" si="7"/>
        <v>172500</v>
      </c>
      <c r="O82" s="192"/>
      <c r="P82" s="192"/>
      <c r="Q82" s="192"/>
      <c r="R82" s="192"/>
      <c r="S82" s="192"/>
      <c r="T82" s="192"/>
      <c r="U82" s="192"/>
      <c r="V82" s="192"/>
      <c r="W82" s="192"/>
      <c r="X82" s="192"/>
      <c r="Y82" s="192"/>
      <c r="Z82" s="192"/>
      <c r="AA82" s="192"/>
      <c r="AB82" s="192"/>
      <c r="AC82" s="192"/>
      <c r="AD82" s="192"/>
      <c r="AE82" s="192"/>
      <c r="AF82" s="192"/>
      <c r="AG82" s="192"/>
      <c r="AH82" s="192"/>
      <c r="AI82" s="192"/>
      <c r="AJ82" s="192"/>
      <c r="AK82" s="192"/>
      <c r="AL82" s="192"/>
      <c r="AM82" s="192"/>
      <c r="AN82" s="192"/>
      <c r="AO82" s="192"/>
      <c r="AP82" s="192"/>
      <c r="AQ82" s="192"/>
      <c r="AR82" s="192"/>
      <c r="AS82" s="192"/>
      <c r="AT82" s="192"/>
      <c r="AU82" s="192"/>
      <c r="AV82" s="192"/>
      <c r="AW82" s="192"/>
      <c r="AX82" s="192"/>
      <c r="AY82" s="192"/>
      <c r="AZ82" s="192"/>
      <c r="BA82" s="192"/>
      <c r="BB82" s="192"/>
      <c r="BC82" s="192"/>
      <c r="BD82" s="192"/>
      <c r="BE82" s="192"/>
      <c r="BF82" s="192"/>
      <c r="BG82" s="192"/>
      <c r="BH82" s="192"/>
      <c r="BI82" s="192"/>
      <c r="BJ82" s="192"/>
      <c r="BK82" s="192"/>
      <c r="BL82" s="192"/>
      <c r="BM82" s="192"/>
      <c r="BN82" s="192"/>
      <c r="BO82" s="192"/>
      <c r="BP82" s="192"/>
      <c r="BQ82" s="192"/>
      <c r="BR82" s="192"/>
      <c r="BS82" s="192"/>
      <c r="BT82" s="192"/>
      <c r="BU82" s="192"/>
      <c r="BV82" s="192"/>
      <c r="BW82" s="192"/>
      <c r="BX82" s="192"/>
      <c r="BY82" s="192"/>
      <c r="BZ82" s="192"/>
      <c r="CA82" s="192"/>
      <c r="CB82" s="192"/>
      <c r="CC82" s="192"/>
      <c r="CD82" s="192"/>
      <c r="CE82" s="192"/>
      <c r="CF82" s="192"/>
      <c r="CG82" s="192"/>
      <c r="CH82" s="192"/>
      <c r="CI82" s="192"/>
      <c r="CJ82" s="192"/>
      <c r="CK82" s="192"/>
      <c r="CL82" s="192"/>
      <c r="CM82" s="192"/>
      <c r="CN82" s="192"/>
      <c r="CO82" s="192"/>
      <c r="CP82" s="192"/>
      <c r="CQ82" s="192"/>
      <c r="CR82" s="192"/>
      <c r="CS82" s="192"/>
      <c r="CT82" s="192"/>
      <c r="CU82" s="192"/>
      <c r="CV82" s="192"/>
      <c r="CW82" s="192"/>
      <c r="CX82" s="192"/>
      <c r="CY82" s="192"/>
      <c r="CZ82" s="192"/>
      <c r="DA82" s="192"/>
      <c r="DB82" s="192"/>
      <c r="DC82" s="192"/>
      <c r="DD82" s="192"/>
      <c r="DE82" s="192"/>
      <c r="DF82" s="192"/>
      <c r="DG82" s="192"/>
      <c r="DH82" s="192"/>
      <c r="DI82" s="192"/>
      <c r="DJ82" s="192"/>
      <c r="DK82" s="192"/>
      <c r="DL82" s="192"/>
      <c r="DM82" s="192"/>
      <c r="DN82" s="192"/>
      <c r="DO82" s="192"/>
      <c r="DP82" s="192"/>
      <c r="DQ82" s="192"/>
      <c r="DR82" s="192"/>
      <c r="DS82" s="192"/>
      <c r="DT82" s="192"/>
      <c r="DU82" s="192"/>
      <c r="DV82" s="192"/>
      <c r="DW82" s="192"/>
      <c r="DX82" s="192"/>
      <c r="DY82" s="192"/>
      <c r="DZ82" s="192"/>
      <c r="EA82" s="192"/>
      <c r="EB82" s="192"/>
      <c r="EC82" s="192"/>
      <c r="ED82" s="192"/>
      <c r="EE82" s="192"/>
      <c r="EF82" s="192"/>
      <c r="EG82" s="192"/>
      <c r="EH82" s="192"/>
      <c r="EI82" s="192"/>
      <c r="EJ82" s="192"/>
      <c r="EK82" s="192"/>
      <c r="EL82" s="192"/>
      <c r="EM82" s="192"/>
      <c r="EN82" s="192"/>
      <c r="EO82" s="192"/>
      <c r="EP82" s="192"/>
      <c r="EQ82" s="192"/>
      <c r="ER82" s="192"/>
      <c r="ES82" s="192"/>
      <c r="ET82" s="192"/>
      <c r="EU82" s="192"/>
      <c r="EV82" s="192"/>
      <c r="EW82" s="192"/>
      <c r="EX82" s="192"/>
      <c r="EY82" s="192"/>
      <c r="EZ82" s="192"/>
      <c r="FA82" s="192"/>
      <c r="FB82" s="192"/>
      <c r="FC82" s="192"/>
      <c r="FD82" s="192"/>
      <c r="FE82" s="192"/>
      <c r="FF82" s="192"/>
      <c r="FG82" s="192"/>
      <c r="FH82" s="192"/>
      <c r="FI82" s="192"/>
      <c r="FJ82" s="192"/>
      <c r="FK82" s="192"/>
      <c r="FL82" s="192"/>
      <c r="FM82" s="192"/>
      <c r="FN82" s="192"/>
      <c r="FO82" s="192"/>
      <c r="FP82" s="192"/>
      <c r="FQ82" s="192"/>
      <c r="FR82" s="192"/>
      <c r="FS82" s="192"/>
      <c r="FT82" s="192"/>
      <c r="FU82" s="192"/>
      <c r="FV82" s="192"/>
      <c r="FW82" s="192"/>
      <c r="FX82" s="192"/>
      <c r="FY82" s="192"/>
      <c r="FZ82" s="192"/>
      <c r="GA82" s="192"/>
      <c r="GB82" s="192"/>
      <c r="GC82" s="192"/>
      <c r="GD82" s="192"/>
      <c r="GE82" s="192"/>
      <c r="GF82" s="192"/>
      <c r="GG82" s="192"/>
      <c r="GH82" s="192"/>
      <c r="GI82" s="192"/>
      <c r="GJ82" s="192"/>
      <c r="GK82" s="192"/>
      <c r="GL82" s="192"/>
      <c r="GM82" s="192"/>
      <c r="GN82" s="192"/>
      <c r="GO82" s="192"/>
      <c r="GP82" s="192"/>
      <c r="GQ82" s="192"/>
      <c r="GR82" s="192"/>
      <c r="GS82" s="192"/>
      <c r="GT82" s="192"/>
      <c r="GU82" s="192"/>
      <c r="GV82" s="192"/>
      <c r="GW82" s="192"/>
      <c r="GX82" s="192"/>
      <c r="GY82" s="192"/>
      <c r="GZ82" s="192"/>
      <c r="HA82" s="192"/>
      <c r="HB82" s="192"/>
      <c r="HC82" s="192"/>
      <c r="HD82" s="192"/>
      <c r="HE82" s="192"/>
      <c r="HF82" s="192"/>
      <c r="HG82" s="192"/>
      <c r="HH82" s="192"/>
      <c r="HI82" s="192"/>
      <c r="HJ82" s="192"/>
      <c r="HK82" s="192"/>
      <c r="HL82" s="192"/>
      <c r="HM82" s="192"/>
      <c r="HN82" s="192"/>
      <c r="HO82" s="192"/>
      <c r="HP82" s="192"/>
      <c r="HQ82" s="192"/>
      <c r="HR82" s="192"/>
      <c r="HS82" s="192"/>
      <c r="HT82" s="192"/>
      <c r="HU82" s="192"/>
      <c r="HV82" s="192"/>
      <c r="HW82" s="192"/>
      <c r="HX82" s="192"/>
      <c r="HY82" s="192"/>
      <c r="HZ82" s="192"/>
      <c r="IA82" s="192"/>
      <c r="IB82" s="192"/>
      <c r="IC82" s="192"/>
      <c r="ID82" s="192"/>
      <c r="IE82" s="192"/>
      <c r="IF82" s="192"/>
      <c r="IG82" s="192"/>
      <c r="IH82" s="192"/>
      <c r="II82" s="192"/>
      <c r="IJ82" s="192"/>
      <c r="IK82" s="192"/>
      <c r="IL82" s="192"/>
      <c r="IM82" s="192"/>
      <c r="IN82" s="192"/>
      <c r="IO82" s="192"/>
      <c r="IP82" s="192"/>
      <c r="IQ82" s="192"/>
    </row>
    <row r="83" spans="1:251" s="157" customFormat="1" ht="21.75" customHeight="1">
      <c r="A83" s="196">
        <v>76</v>
      </c>
      <c r="B83" s="277" t="s">
        <v>215</v>
      </c>
      <c r="C83" s="278" t="s">
        <v>305</v>
      </c>
      <c r="D83" s="271"/>
      <c r="E83" s="271">
        <v>81</v>
      </c>
      <c r="F83" s="278" t="s">
        <v>308</v>
      </c>
      <c r="G83" s="271" t="s">
        <v>288</v>
      </c>
      <c r="H83" s="285" t="s">
        <v>268</v>
      </c>
      <c r="I83" s="197">
        <f t="shared" si="4"/>
        <v>97500</v>
      </c>
      <c r="J83" s="286" t="s">
        <v>274</v>
      </c>
      <c r="K83" s="200">
        <f t="shared" si="5"/>
        <v>75000</v>
      </c>
      <c r="L83" s="286" t="s">
        <v>56</v>
      </c>
      <c r="M83" s="198">
        <f t="shared" si="6"/>
        <v>0</v>
      </c>
      <c r="N83" s="198">
        <f t="shared" si="7"/>
        <v>172500</v>
      </c>
      <c r="O83" s="192"/>
      <c r="P83" s="192"/>
      <c r="Q83" s="192"/>
      <c r="R83" s="192"/>
      <c r="S83" s="192"/>
      <c r="T83" s="192"/>
      <c r="U83" s="192"/>
      <c r="V83" s="192"/>
      <c r="W83" s="192"/>
      <c r="X83" s="192"/>
      <c r="Y83" s="192"/>
      <c r="Z83" s="192"/>
      <c r="AA83" s="192"/>
      <c r="AB83" s="192"/>
      <c r="AC83" s="192"/>
      <c r="AD83" s="192"/>
      <c r="AE83" s="192"/>
      <c r="AF83" s="192"/>
      <c r="AG83" s="192"/>
      <c r="AH83" s="192"/>
      <c r="AI83" s="192"/>
      <c r="AJ83" s="192"/>
      <c r="AK83" s="192"/>
      <c r="AL83" s="192"/>
      <c r="AM83" s="192"/>
      <c r="AN83" s="192"/>
      <c r="AO83" s="192"/>
      <c r="AP83" s="192"/>
      <c r="AQ83" s="192"/>
      <c r="AR83" s="192"/>
      <c r="AS83" s="192"/>
      <c r="AT83" s="192"/>
      <c r="AU83" s="192"/>
      <c r="AV83" s="192"/>
      <c r="AW83" s="192"/>
      <c r="AX83" s="192"/>
      <c r="AY83" s="192"/>
      <c r="AZ83" s="192"/>
      <c r="BA83" s="192"/>
      <c r="BB83" s="192"/>
      <c r="BC83" s="192"/>
      <c r="BD83" s="192"/>
      <c r="BE83" s="192"/>
      <c r="BF83" s="192"/>
      <c r="BG83" s="192"/>
      <c r="BH83" s="192"/>
      <c r="BI83" s="192"/>
      <c r="BJ83" s="192"/>
      <c r="BK83" s="192"/>
      <c r="BL83" s="192"/>
      <c r="BM83" s="192"/>
      <c r="BN83" s="192"/>
      <c r="BO83" s="192"/>
      <c r="BP83" s="192"/>
      <c r="BQ83" s="192"/>
      <c r="BR83" s="192"/>
      <c r="BS83" s="192"/>
      <c r="BT83" s="192"/>
      <c r="BU83" s="192"/>
      <c r="BV83" s="192"/>
      <c r="BW83" s="192"/>
      <c r="BX83" s="192"/>
      <c r="BY83" s="192"/>
      <c r="BZ83" s="192"/>
      <c r="CA83" s="192"/>
      <c r="CB83" s="192"/>
      <c r="CC83" s="192"/>
      <c r="CD83" s="192"/>
      <c r="CE83" s="192"/>
      <c r="CF83" s="192"/>
      <c r="CG83" s="192"/>
      <c r="CH83" s="192"/>
      <c r="CI83" s="192"/>
      <c r="CJ83" s="192"/>
      <c r="CK83" s="192"/>
      <c r="CL83" s="192"/>
      <c r="CM83" s="192"/>
      <c r="CN83" s="192"/>
      <c r="CO83" s="192"/>
      <c r="CP83" s="192"/>
      <c r="CQ83" s="192"/>
      <c r="CR83" s="192"/>
      <c r="CS83" s="192"/>
      <c r="CT83" s="192"/>
      <c r="CU83" s="192"/>
      <c r="CV83" s="192"/>
      <c r="CW83" s="192"/>
      <c r="CX83" s="192"/>
      <c r="CY83" s="192"/>
      <c r="CZ83" s="192"/>
      <c r="DA83" s="192"/>
      <c r="DB83" s="192"/>
      <c r="DC83" s="192"/>
      <c r="DD83" s="192"/>
      <c r="DE83" s="192"/>
      <c r="DF83" s="192"/>
      <c r="DG83" s="192"/>
      <c r="DH83" s="192"/>
      <c r="DI83" s="192"/>
      <c r="DJ83" s="192"/>
      <c r="DK83" s="192"/>
      <c r="DL83" s="192"/>
      <c r="DM83" s="192"/>
      <c r="DN83" s="192"/>
      <c r="DO83" s="192"/>
      <c r="DP83" s="192"/>
      <c r="DQ83" s="192"/>
      <c r="DR83" s="192"/>
      <c r="DS83" s="192"/>
      <c r="DT83" s="192"/>
      <c r="DU83" s="192"/>
      <c r="DV83" s="192"/>
      <c r="DW83" s="192"/>
      <c r="DX83" s="192"/>
      <c r="DY83" s="192"/>
      <c r="DZ83" s="192"/>
      <c r="EA83" s="192"/>
      <c r="EB83" s="192"/>
      <c r="EC83" s="192"/>
      <c r="ED83" s="192"/>
      <c r="EE83" s="192"/>
      <c r="EF83" s="192"/>
      <c r="EG83" s="192"/>
      <c r="EH83" s="192"/>
      <c r="EI83" s="192"/>
      <c r="EJ83" s="192"/>
      <c r="EK83" s="192"/>
      <c r="EL83" s="192"/>
      <c r="EM83" s="192"/>
      <c r="EN83" s="192"/>
      <c r="EO83" s="192"/>
      <c r="EP83" s="192"/>
      <c r="EQ83" s="192"/>
      <c r="ER83" s="192"/>
      <c r="ES83" s="192"/>
      <c r="ET83" s="192"/>
      <c r="EU83" s="192"/>
      <c r="EV83" s="192"/>
      <c r="EW83" s="192"/>
      <c r="EX83" s="192"/>
      <c r="EY83" s="192"/>
      <c r="EZ83" s="192"/>
      <c r="FA83" s="192"/>
      <c r="FB83" s="192"/>
      <c r="FC83" s="192"/>
      <c r="FD83" s="192"/>
      <c r="FE83" s="192"/>
      <c r="FF83" s="192"/>
      <c r="FG83" s="192"/>
      <c r="FH83" s="192"/>
      <c r="FI83" s="192"/>
      <c r="FJ83" s="192"/>
      <c r="FK83" s="192"/>
      <c r="FL83" s="192"/>
      <c r="FM83" s="192"/>
      <c r="FN83" s="192"/>
      <c r="FO83" s="192"/>
      <c r="FP83" s="192"/>
      <c r="FQ83" s="192"/>
      <c r="FR83" s="192"/>
      <c r="FS83" s="192"/>
      <c r="FT83" s="192"/>
      <c r="FU83" s="192"/>
      <c r="FV83" s="192"/>
      <c r="FW83" s="192"/>
      <c r="FX83" s="192"/>
      <c r="FY83" s="192"/>
      <c r="FZ83" s="192"/>
      <c r="GA83" s="192"/>
      <c r="GB83" s="192"/>
      <c r="GC83" s="192"/>
      <c r="GD83" s="192"/>
      <c r="GE83" s="192"/>
      <c r="GF83" s="192"/>
      <c r="GG83" s="192"/>
      <c r="GH83" s="192"/>
      <c r="GI83" s="192"/>
      <c r="GJ83" s="192"/>
      <c r="GK83" s="192"/>
      <c r="GL83" s="192"/>
      <c r="GM83" s="192"/>
      <c r="GN83" s="192"/>
      <c r="GO83" s="192"/>
      <c r="GP83" s="192"/>
      <c r="GQ83" s="192"/>
      <c r="GR83" s="192"/>
      <c r="GS83" s="192"/>
      <c r="GT83" s="192"/>
      <c r="GU83" s="192"/>
      <c r="GV83" s="192"/>
      <c r="GW83" s="192"/>
      <c r="GX83" s="192"/>
      <c r="GY83" s="192"/>
      <c r="GZ83" s="192"/>
      <c r="HA83" s="192"/>
      <c r="HB83" s="192"/>
      <c r="HC83" s="192"/>
      <c r="HD83" s="192"/>
      <c r="HE83" s="192"/>
      <c r="HF83" s="192"/>
      <c r="HG83" s="192"/>
      <c r="HH83" s="192"/>
      <c r="HI83" s="192"/>
      <c r="HJ83" s="192"/>
      <c r="HK83" s="192"/>
      <c r="HL83" s="192"/>
      <c r="HM83" s="192"/>
      <c r="HN83" s="192"/>
      <c r="HO83" s="192"/>
      <c r="HP83" s="192"/>
      <c r="HQ83" s="192"/>
      <c r="HR83" s="192"/>
      <c r="HS83" s="192"/>
      <c r="HT83" s="192"/>
      <c r="HU83" s="192"/>
      <c r="HV83" s="192"/>
      <c r="HW83" s="192"/>
      <c r="HX83" s="192"/>
      <c r="HY83" s="192"/>
      <c r="HZ83" s="192"/>
      <c r="IA83" s="192"/>
      <c r="IB83" s="192"/>
      <c r="IC83" s="192"/>
      <c r="ID83" s="192"/>
      <c r="IE83" s="192"/>
      <c r="IF83" s="192"/>
      <c r="IG83" s="192"/>
      <c r="IH83" s="192"/>
      <c r="II83" s="192"/>
      <c r="IJ83" s="192"/>
      <c r="IK83" s="192"/>
      <c r="IL83" s="192"/>
      <c r="IM83" s="192"/>
      <c r="IN83" s="192"/>
      <c r="IO83" s="192"/>
      <c r="IP83" s="192"/>
      <c r="IQ83" s="192"/>
    </row>
    <row r="84" spans="1:251" s="157" customFormat="1" ht="21.75" customHeight="1">
      <c r="A84" s="196">
        <v>77</v>
      </c>
      <c r="B84" s="277" t="s">
        <v>215</v>
      </c>
      <c r="C84" s="278" t="s">
        <v>316</v>
      </c>
      <c r="D84" s="271">
        <v>42</v>
      </c>
      <c r="E84" s="271"/>
      <c r="F84" s="278" t="s">
        <v>317</v>
      </c>
      <c r="G84" s="271" t="s">
        <v>286</v>
      </c>
      <c r="H84" s="285" t="s">
        <v>265</v>
      </c>
      <c r="I84" s="197">
        <f t="shared" si="4"/>
        <v>97500</v>
      </c>
      <c r="J84" s="286" t="s">
        <v>272</v>
      </c>
      <c r="K84" s="200">
        <f t="shared" si="5"/>
        <v>75000</v>
      </c>
      <c r="L84" s="286" t="s">
        <v>56</v>
      </c>
      <c r="M84" s="198">
        <f t="shared" si="6"/>
        <v>0</v>
      </c>
      <c r="N84" s="198">
        <f t="shared" si="7"/>
        <v>172500</v>
      </c>
      <c r="O84" s="192"/>
      <c r="P84" s="192"/>
      <c r="Q84" s="192"/>
      <c r="R84" s="192"/>
      <c r="S84" s="192"/>
      <c r="T84" s="192"/>
      <c r="U84" s="192"/>
      <c r="V84" s="192"/>
      <c r="W84" s="192"/>
      <c r="X84" s="192"/>
      <c r="Y84" s="192"/>
      <c r="Z84" s="192"/>
      <c r="AA84" s="192"/>
      <c r="AB84" s="192"/>
      <c r="AC84" s="192"/>
      <c r="AD84" s="192"/>
      <c r="AE84" s="192"/>
      <c r="AF84" s="192"/>
      <c r="AG84" s="192"/>
      <c r="AH84" s="192"/>
      <c r="AI84" s="192"/>
      <c r="AJ84" s="192"/>
      <c r="AK84" s="192"/>
      <c r="AL84" s="192"/>
      <c r="AM84" s="192"/>
      <c r="AN84" s="192"/>
      <c r="AO84" s="192"/>
      <c r="AP84" s="192"/>
      <c r="AQ84" s="192"/>
      <c r="AR84" s="192"/>
      <c r="AS84" s="192"/>
      <c r="AT84" s="192"/>
      <c r="AU84" s="192"/>
      <c r="AV84" s="192"/>
      <c r="AW84" s="192"/>
      <c r="AX84" s="192"/>
      <c r="AY84" s="192"/>
      <c r="AZ84" s="192"/>
      <c r="BA84" s="192"/>
      <c r="BB84" s="192"/>
      <c r="BC84" s="192"/>
      <c r="BD84" s="192"/>
      <c r="BE84" s="192"/>
      <c r="BF84" s="192"/>
      <c r="BG84" s="192"/>
      <c r="BH84" s="192"/>
      <c r="BI84" s="192"/>
      <c r="BJ84" s="192"/>
      <c r="BK84" s="192"/>
      <c r="BL84" s="192"/>
      <c r="BM84" s="192"/>
      <c r="BN84" s="192"/>
      <c r="BO84" s="192"/>
      <c r="BP84" s="192"/>
      <c r="BQ84" s="192"/>
      <c r="BR84" s="192"/>
      <c r="BS84" s="192"/>
      <c r="BT84" s="192"/>
      <c r="BU84" s="192"/>
      <c r="BV84" s="192"/>
      <c r="BW84" s="192"/>
      <c r="BX84" s="192"/>
      <c r="BY84" s="192"/>
      <c r="BZ84" s="192"/>
      <c r="CA84" s="192"/>
      <c r="CB84" s="192"/>
      <c r="CC84" s="192"/>
      <c r="CD84" s="192"/>
      <c r="CE84" s="192"/>
      <c r="CF84" s="192"/>
      <c r="CG84" s="192"/>
      <c r="CH84" s="192"/>
      <c r="CI84" s="192"/>
      <c r="CJ84" s="192"/>
      <c r="CK84" s="192"/>
      <c r="CL84" s="192"/>
      <c r="CM84" s="192"/>
      <c r="CN84" s="192"/>
      <c r="CO84" s="192"/>
      <c r="CP84" s="192"/>
      <c r="CQ84" s="192"/>
      <c r="CR84" s="192"/>
      <c r="CS84" s="192"/>
      <c r="CT84" s="192"/>
      <c r="CU84" s="192"/>
      <c r="CV84" s="192"/>
      <c r="CW84" s="192"/>
      <c r="CX84" s="192"/>
      <c r="CY84" s="192"/>
      <c r="CZ84" s="192"/>
      <c r="DA84" s="192"/>
      <c r="DB84" s="192"/>
      <c r="DC84" s="192"/>
      <c r="DD84" s="192"/>
      <c r="DE84" s="192"/>
      <c r="DF84" s="192"/>
      <c r="DG84" s="192"/>
      <c r="DH84" s="192"/>
      <c r="DI84" s="192"/>
      <c r="DJ84" s="192"/>
      <c r="DK84" s="192"/>
      <c r="DL84" s="192"/>
      <c r="DM84" s="192"/>
      <c r="DN84" s="192"/>
      <c r="DO84" s="192"/>
      <c r="DP84" s="192"/>
      <c r="DQ84" s="192"/>
      <c r="DR84" s="192"/>
      <c r="DS84" s="192"/>
      <c r="DT84" s="192"/>
      <c r="DU84" s="192"/>
      <c r="DV84" s="192"/>
      <c r="DW84" s="192"/>
      <c r="DX84" s="192"/>
      <c r="DY84" s="192"/>
      <c r="DZ84" s="192"/>
      <c r="EA84" s="192"/>
      <c r="EB84" s="192"/>
      <c r="EC84" s="192"/>
      <c r="ED84" s="192"/>
      <c r="EE84" s="192"/>
      <c r="EF84" s="192"/>
      <c r="EG84" s="192"/>
      <c r="EH84" s="192"/>
      <c r="EI84" s="192"/>
      <c r="EJ84" s="192"/>
      <c r="EK84" s="192"/>
      <c r="EL84" s="192"/>
      <c r="EM84" s="192"/>
      <c r="EN84" s="192"/>
      <c r="EO84" s="192"/>
      <c r="EP84" s="192"/>
      <c r="EQ84" s="192"/>
      <c r="ER84" s="192"/>
      <c r="ES84" s="192"/>
      <c r="ET84" s="192"/>
      <c r="EU84" s="192"/>
      <c r="EV84" s="192"/>
      <c r="EW84" s="192"/>
      <c r="EX84" s="192"/>
      <c r="EY84" s="192"/>
      <c r="EZ84" s="192"/>
      <c r="FA84" s="192"/>
      <c r="FB84" s="192"/>
      <c r="FC84" s="192"/>
      <c r="FD84" s="192"/>
      <c r="FE84" s="192"/>
      <c r="FF84" s="192"/>
      <c r="FG84" s="192"/>
      <c r="FH84" s="192"/>
      <c r="FI84" s="192"/>
      <c r="FJ84" s="192"/>
      <c r="FK84" s="192"/>
      <c r="FL84" s="192"/>
      <c r="FM84" s="192"/>
      <c r="FN84" s="192"/>
      <c r="FO84" s="192"/>
      <c r="FP84" s="192"/>
      <c r="FQ84" s="192"/>
      <c r="FR84" s="192"/>
      <c r="FS84" s="192"/>
      <c r="FT84" s="192"/>
      <c r="FU84" s="192"/>
      <c r="FV84" s="192"/>
      <c r="FW84" s="192"/>
      <c r="FX84" s="192"/>
      <c r="FY84" s="192"/>
      <c r="FZ84" s="192"/>
      <c r="GA84" s="192"/>
      <c r="GB84" s="192"/>
      <c r="GC84" s="192"/>
      <c r="GD84" s="192"/>
      <c r="GE84" s="192"/>
      <c r="GF84" s="192"/>
      <c r="GG84" s="192"/>
      <c r="GH84" s="192"/>
      <c r="GI84" s="192"/>
      <c r="GJ84" s="192"/>
      <c r="GK84" s="192"/>
      <c r="GL84" s="192"/>
      <c r="GM84" s="192"/>
      <c r="GN84" s="192"/>
      <c r="GO84" s="192"/>
      <c r="GP84" s="192"/>
      <c r="GQ84" s="192"/>
      <c r="GR84" s="192"/>
      <c r="GS84" s="192"/>
      <c r="GT84" s="192"/>
      <c r="GU84" s="192"/>
      <c r="GV84" s="192"/>
      <c r="GW84" s="192"/>
      <c r="GX84" s="192"/>
      <c r="GY84" s="192"/>
      <c r="GZ84" s="192"/>
      <c r="HA84" s="192"/>
      <c r="HB84" s="192"/>
      <c r="HC84" s="192"/>
      <c r="HD84" s="192"/>
      <c r="HE84" s="192"/>
      <c r="HF84" s="192"/>
      <c r="HG84" s="192"/>
      <c r="HH84" s="192"/>
      <c r="HI84" s="192"/>
      <c r="HJ84" s="192"/>
      <c r="HK84" s="192"/>
      <c r="HL84" s="192"/>
      <c r="HM84" s="192"/>
      <c r="HN84" s="192"/>
      <c r="HO84" s="192"/>
      <c r="HP84" s="192"/>
      <c r="HQ84" s="192"/>
      <c r="HR84" s="192"/>
      <c r="HS84" s="192"/>
      <c r="HT84" s="192"/>
      <c r="HU84" s="192"/>
      <c r="HV84" s="192"/>
      <c r="HW84" s="192"/>
      <c r="HX84" s="192"/>
      <c r="HY84" s="192"/>
      <c r="HZ84" s="192"/>
      <c r="IA84" s="192"/>
      <c r="IB84" s="192"/>
      <c r="IC84" s="192"/>
      <c r="ID84" s="192"/>
      <c r="IE84" s="192"/>
      <c r="IF84" s="192"/>
      <c r="IG84" s="192"/>
      <c r="IH84" s="192"/>
      <c r="II84" s="192"/>
      <c r="IJ84" s="192"/>
      <c r="IK84" s="192"/>
      <c r="IL84" s="192"/>
      <c r="IM84" s="192"/>
      <c r="IN84" s="192"/>
      <c r="IO84" s="192"/>
      <c r="IP84" s="192"/>
      <c r="IQ84" s="192"/>
    </row>
    <row r="85" spans="1:251" s="157" customFormat="1" ht="21.75" customHeight="1">
      <c r="A85" s="196">
        <v>78</v>
      </c>
      <c r="B85" s="277" t="s">
        <v>215</v>
      </c>
      <c r="C85" s="278" t="s">
        <v>312</v>
      </c>
      <c r="D85" s="271">
        <v>49</v>
      </c>
      <c r="E85" s="271"/>
      <c r="F85" s="278" t="s">
        <v>313</v>
      </c>
      <c r="G85" s="271" t="s">
        <v>288</v>
      </c>
      <c r="H85" s="285" t="s">
        <v>265</v>
      </c>
      <c r="I85" s="197">
        <f t="shared" si="4"/>
        <v>97500</v>
      </c>
      <c r="J85" s="286" t="s">
        <v>272</v>
      </c>
      <c r="K85" s="200">
        <f t="shared" si="5"/>
        <v>75000</v>
      </c>
      <c r="L85" s="286" t="s">
        <v>56</v>
      </c>
      <c r="M85" s="198">
        <f t="shared" si="6"/>
        <v>0</v>
      </c>
      <c r="N85" s="198">
        <f t="shared" si="7"/>
        <v>172500</v>
      </c>
      <c r="O85" s="192"/>
      <c r="P85" s="192"/>
      <c r="Q85" s="192"/>
      <c r="R85" s="192"/>
      <c r="S85" s="192"/>
      <c r="T85" s="192"/>
      <c r="U85" s="192"/>
      <c r="V85" s="192"/>
      <c r="W85" s="192"/>
      <c r="X85" s="192"/>
      <c r="Y85" s="192"/>
      <c r="Z85" s="192"/>
      <c r="AA85" s="192"/>
      <c r="AB85" s="192"/>
      <c r="AC85" s="192"/>
      <c r="AD85" s="192"/>
      <c r="AE85" s="192"/>
      <c r="AF85" s="192"/>
      <c r="AG85" s="192"/>
      <c r="AH85" s="192"/>
      <c r="AI85" s="192"/>
      <c r="AJ85" s="192"/>
      <c r="AK85" s="192"/>
      <c r="AL85" s="192"/>
      <c r="AM85" s="192"/>
      <c r="AN85" s="192"/>
      <c r="AO85" s="192"/>
      <c r="AP85" s="192"/>
      <c r="AQ85" s="192"/>
      <c r="AR85" s="192"/>
      <c r="AS85" s="192"/>
      <c r="AT85" s="192"/>
      <c r="AU85" s="192"/>
      <c r="AV85" s="192"/>
      <c r="AW85" s="192"/>
      <c r="AX85" s="192"/>
      <c r="AY85" s="192"/>
      <c r="AZ85" s="192"/>
      <c r="BA85" s="192"/>
      <c r="BB85" s="192"/>
      <c r="BC85" s="192"/>
      <c r="BD85" s="192"/>
      <c r="BE85" s="192"/>
      <c r="BF85" s="192"/>
      <c r="BG85" s="192"/>
      <c r="BH85" s="192"/>
      <c r="BI85" s="192"/>
      <c r="BJ85" s="192"/>
      <c r="BK85" s="192"/>
      <c r="BL85" s="192"/>
      <c r="BM85" s="192"/>
      <c r="BN85" s="192"/>
      <c r="BO85" s="192"/>
      <c r="BP85" s="192"/>
      <c r="BQ85" s="192"/>
      <c r="BR85" s="192"/>
      <c r="BS85" s="192"/>
      <c r="BT85" s="192"/>
      <c r="BU85" s="192"/>
      <c r="BV85" s="192"/>
      <c r="BW85" s="192"/>
      <c r="BX85" s="192"/>
      <c r="BY85" s="192"/>
      <c r="BZ85" s="192"/>
      <c r="CA85" s="192"/>
      <c r="CB85" s="192"/>
      <c r="CC85" s="192"/>
      <c r="CD85" s="192"/>
      <c r="CE85" s="192"/>
      <c r="CF85" s="192"/>
      <c r="CG85" s="192"/>
      <c r="CH85" s="192"/>
      <c r="CI85" s="192"/>
      <c r="CJ85" s="192"/>
      <c r="CK85" s="192"/>
      <c r="CL85" s="192"/>
      <c r="CM85" s="192"/>
      <c r="CN85" s="192"/>
      <c r="CO85" s="192"/>
      <c r="CP85" s="192"/>
      <c r="CQ85" s="192"/>
      <c r="CR85" s="192"/>
      <c r="CS85" s="192"/>
      <c r="CT85" s="192"/>
      <c r="CU85" s="192"/>
      <c r="CV85" s="192"/>
      <c r="CW85" s="192"/>
      <c r="CX85" s="192"/>
      <c r="CY85" s="192"/>
      <c r="CZ85" s="192"/>
      <c r="DA85" s="192"/>
      <c r="DB85" s="192"/>
      <c r="DC85" s="192"/>
      <c r="DD85" s="192"/>
      <c r="DE85" s="192"/>
      <c r="DF85" s="192"/>
      <c r="DG85" s="192"/>
      <c r="DH85" s="192"/>
      <c r="DI85" s="192"/>
      <c r="DJ85" s="192"/>
      <c r="DK85" s="192"/>
      <c r="DL85" s="192"/>
      <c r="DM85" s="192"/>
      <c r="DN85" s="192"/>
      <c r="DO85" s="192"/>
      <c r="DP85" s="192"/>
      <c r="DQ85" s="192"/>
      <c r="DR85" s="192"/>
      <c r="DS85" s="192"/>
      <c r="DT85" s="192"/>
      <c r="DU85" s="192"/>
      <c r="DV85" s="192"/>
      <c r="DW85" s="192"/>
      <c r="DX85" s="192"/>
      <c r="DY85" s="192"/>
      <c r="DZ85" s="192"/>
      <c r="EA85" s="192"/>
      <c r="EB85" s="192"/>
      <c r="EC85" s="192"/>
      <c r="ED85" s="192"/>
      <c r="EE85" s="192"/>
      <c r="EF85" s="192"/>
      <c r="EG85" s="192"/>
      <c r="EH85" s="192"/>
      <c r="EI85" s="192"/>
      <c r="EJ85" s="192"/>
      <c r="EK85" s="192"/>
      <c r="EL85" s="192"/>
      <c r="EM85" s="192"/>
      <c r="EN85" s="192"/>
      <c r="EO85" s="192"/>
      <c r="EP85" s="192"/>
      <c r="EQ85" s="192"/>
      <c r="ER85" s="192"/>
      <c r="ES85" s="192"/>
      <c r="ET85" s="192"/>
      <c r="EU85" s="192"/>
      <c r="EV85" s="192"/>
      <c r="EW85" s="192"/>
      <c r="EX85" s="192"/>
      <c r="EY85" s="192"/>
      <c r="EZ85" s="192"/>
      <c r="FA85" s="192"/>
      <c r="FB85" s="192"/>
      <c r="FC85" s="192"/>
      <c r="FD85" s="192"/>
      <c r="FE85" s="192"/>
      <c r="FF85" s="192"/>
      <c r="FG85" s="192"/>
      <c r="FH85" s="192"/>
      <c r="FI85" s="192"/>
      <c r="FJ85" s="192"/>
      <c r="FK85" s="192"/>
      <c r="FL85" s="192"/>
      <c r="FM85" s="192"/>
      <c r="FN85" s="192"/>
      <c r="FO85" s="192"/>
      <c r="FP85" s="192"/>
      <c r="FQ85" s="192"/>
      <c r="FR85" s="192"/>
      <c r="FS85" s="192"/>
      <c r="FT85" s="192"/>
      <c r="FU85" s="192"/>
      <c r="FV85" s="192"/>
      <c r="FW85" s="192"/>
      <c r="FX85" s="192"/>
      <c r="FY85" s="192"/>
      <c r="FZ85" s="192"/>
      <c r="GA85" s="192"/>
      <c r="GB85" s="192"/>
      <c r="GC85" s="192"/>
      <c r="GD85" s="192"/>
      <c r="GE85" s="192"/>
      <c r="GF85" s="192"/>
      <c r="GG85" s="192"/>
      <c r="GH85" s="192"/>
      <c r="GI85" s="192"/>
      <c r="GJ85" s="192"/>
      <c r="GK85" s="192"/>
      <c r="GL85" s="192"/>
      <c r="GM85" s="192"/>
      <c r="GN85" s="192"/>
      <c r="GO85" s="192"/>
      <c r="GP85" s="192"/>
      <c r="GQ85" s="192"/>
      <c r="GR85" s="192"/>
      <c r="GS85" s="192"/>
      <c r="GT85" s="192"/>
      <c r="GU85" s="192"/>
      <c r="GV85" s="192"/>
      <c r="GW85" s="192"/>
      <c r="GX85" s="192"/>
      <c r="GY85" s="192"/>
      <c r="GZ85" s="192"/>
      <c r="HA85" s="192"/>
      <c r="HB85" s="192"/>
      <c r="HC85" s="192"/>
      <c r="HD85" s="192"/>
      <c r="HE85" s="192"/>
      <c r="HF85" s="192"/>
      <c r="HG85" s="192"/>
      <c r="HH85" s="192"/>
      <c r="HI85" s="192"/>
      <c r="HJ85" s="192"/>
      <c r="HK85" s="192"/>
      <c r="HL85" s="192"/>
      <c r="HM85" s="192"/>
      <c r="HN85" s="192"/>
      <c r="HO85" s="192"/>
      <c r="HP85" s="192"/>
      <c r="HQ85" s="192"/>
      <c r="HR85" s="192"/>
      <c r="HS85" s="192"/>
      <c r="HT85" s="192"/>
      <c r="HU85" s="192"/>
      <c r="HV85" s="192"/>
      <c r="HW85" s="192"/>
      <c r="HX85" s="192"/>
      <c r="HY85" s="192"/>
      <c r="HZ85" s="192"/>
      <c r="IA85" s="192"/>
      <c r="IB85" s="192"/>
      <c r="IC85" s="192"/>
      <c r="ID85" s="192"/>
      <c r="IE85" s="192"/>
      <c r="IF85" s="192"/>
      <c r="IG85" s="192"/>
      <c r="IH85" s="192"/>
      <c r="II85" s="192"/>
      <c r="IJ85" s="192"/>
      <c r="IK85" s="192"/>
      <c r="IL85" s="192"/>
      <c r="IM85" s="192"/>
      <c r="IN85" s="192"/>
      <c r="IO85" s="192"/>
      <c r="IP85" s="192"/>
      <c r="IQ85" s="192"/>
    </row>
    <row r="86" spans="1:251" s="157" customFormat="1" ht="21.75" customHeight="1">
      <c r="A86" s="196">
        <v>79</v>
      </c>
      <c r="B86" s="277" t="s">
        <v>318</v>
      </c>
      <c r="C86" s="278" t="s">
        <v>307</v>
      </c>
      <c r="D86" s="271"/>
      <c r="E86" s="271">
        <v>57</v>
      </c>
      <c r="F86" s="278" t="s">
        <v>319</v>
      </c>
      <c r="G86" s="271" t="s">
        <v>288</v>
      </c>
      <c r="H86" s="285" t="s">
        <v>267</v>
      </c>
      <c r="I86" s="197">
        <f t="shared" si="4"/>
        <v>97500</v>
      </c>
      <c r="J86" s="286" t="s">
        <v>275</v>
      </c>
      <c r="K86" s="200">
        <f t="shared" si="5"/>
        <v>75000</v>
      </c>
      <c r="L86" s="286" t="s">
        <v>56</v>
      </c>
      <c r="M86" s="198">
        <f t="shared" si="6"/>
        <v>0</v>
      </c>
      <c r="N86" s="198">
        <f t="shared" si="7"/>
        <v>172500</v>
      </c>
      <c r="O86" s="192"/>
      <c r="P86" s="192"/>
      <c r="Q86" s="192"/>
      <c r="R86" s="192"/>
      <c r="S86" s="192"/>
      <c r="T86" s="192"/>
      <c r="U86" s="192"/>
      <c r="V86" s="192"/>
      <c r="W86" s="192"/>
      <c r="X86" s="192"/>
      <c r="Y86" s="192"/>
      <c r="Z86" s="192"/>
      <c r="AA86" s="192"/>
      <c r="AB86" s="192"/>
      <c r="AC86" s="192"/>
      <c r="AD86" s="192"/>
      <c r="AE86" s="192"/>
      <c r="AF86" s="192"/>
      <c r="AG86" s="192"/>
      <c r="AH86" s="192"/>
      <c r="AI86" s="192"/>
      <c r="AJ86" s="192"/>
      <c r="AK86" s="192"/>
      <c r="AL86" s="192"/>
      <c r="AM86" s="192"/>
      <c r="AN86" s="192"/>
      <c r="AO86" s="192"/>
      <c r="AP86" s="192"/>
      <c r="AQ86" s="192"/>
      <c r="AR86" s="192"/>
      <c r="AS86" s="192"/>
      <c r="AT86" s="192"/>
      <c r="AU86" s="192"/>
      <c r="AV86" s="192"/>
      <c r="AW86" s="192"/>
      <c r="AX86" s="192"/>
      <c r="AY86" s="192"/>
      <c r="AZ86" s="192"/>
      <c r="BA86" s="192"/>
      <c r="BB86" s="192"/>
      <c r="BC86" s="192"/>
      <c r="BD86" s="192"/>
      <c r="BE86" s="192"/>
      <c r="BF86" s="192"/>
      <c r="BG86" s="192"/>
      <c r="BH86" s="192"/>
      <c r="BI86" s="192"/>
      <c r="BJ86" s="192"/>
      <c r="BK86" s="192"/>
      <c r="BL86" s="192"/>
      <c r="BM86" s="192"/>
      <c r="BN86" s="192"/>
      <c r="BO86" s="192"/>
      <c r="BP86" s="192"/>
      <c r="BQ86" s="192"/>
      <c r="BR86" s="192"/>
      <c r="BS86" s="192"/>
      <c r="BT86" s="192"/>
      <c r="BU86" s="192"/>
      <c r="BV86" s="192"/>
      <c r="BW86" s="192"/>
      <c r="BX86" s="192"/>
      <c r="BY86" s="192"/>
      <c r="BZ86" s="192"/>
      <c r="CA86" s="192"/>
      <c r="CB86" s="192"/>
      <c r="CC86" s="192"/>
      <c r="CD86" s="192"/>
      <c r="CE86" s="192"/>
      <c r="CF86" s="192"/>
      <c r="CG86" s="192"/>
      <c r="CH86" s="192"/>
      <c r="CI86" s="192"/>
      <c r="CJ86" s="192"/>
      <c r="CK86" s="192"/>
      <c r="CL86" s="192"/>
      <c r="CM86" s="192"/>
      <c r="CN86" s="192"/>
      <c r="CO86" s="192"/>
      <c r="CP86" s="192"/>
      <c r="CQ86" s="192"/>
      <c r="CR86" s="192"/>
      <c r="CS86" s="192"/>
      <c r="CT86" s="192"/>
      <c r="CU86" s="192"/>
      <c r="CV86" s="192"/>
      <c r="CW86" s="192"/>
      <c r="CX86" s="192"/>
      <c r="CY86" s="192"/>
      <c r="CZ86" s="192"/>
      <c r="DA86" s="192"/>
      <c r="DB86" s="192"/>
      <c r="DC86" s="192"/>
      <c r="DD86" s="192"/>
      <c r="DE86" s="192"/>
      <c r="DF86" s="192"/>
      <c r="DG86" s="192"/>
      <c r="DH86" s="192"/>
      <c r="DI86" s="192"/>
      <c r="DJ86" s="192"/>
      <c r="DK86" s="192"/>
      <c r="DL86" s="192"/>
      <c r="DM86" s="192"/>
      <c r="DN86" s="192"/>
      <c r="DO86" s="192"/>
      <c r="DP86" s="192"/>
      <c r="DQ86" s="192"/>
      <c r="DR86" s="192"/>
      <c r="DS86" s="192"/>
      <c r="DT86" s="192"/>
      <c r="DU86" s="192"/>
      <c r="DV86" s="192"/>
      <c r="DW86" s="192"/>
      <c r="DX86" s="192"/>
      <c r="DY86" s="192"/>
      <c r="DZ86" s="192"/>
      <c r="EA86" s="192"/>
      <c r="EB86" s="192"/>
      <c r="EC86" s="192"/>
      <c r="ED86" s="192"/>
      <c r="EE86" s="192"/>
      <c r="EF86" s="192"/>
      <c r="EG86" s="192"/>
      <c r="EH86" s="192"/>
      <c r="EI86" s="192"/>
      <c r="EJ86" s="192"/>
      <c r="EK86" s="192"/>
      <c r="EL86" s="192"/>
      <c r="EM86" s="192"/>
      <c r="EN86" s="192"/>
      <c r="EO86" s="192"/>
      <c r="EP86" s="192"/>
      <c r="EQ86" s="192"/>
      <c r="ER86" s="192"/>
      <c r="ES86" s="192"/>
      <c r="ET86" s="192"/>
      <c r="EU86" s="192"/>
      <c r="EV86" s="192"/>
      <c r="EW86" s="192"/>
      <c r="EX86" s="192"/>
      <c r="EY86" s="192"/>
      <c r="EZ86" s="192"/>
      <c r="FA86" s="192"/>
      <c r="FB86" s="192"/>
      <c r="FC86" s="192"/>
      <c r="FD86" s="192"/>
      <c r="FE86" s="192"/>
      <c r="FF86" s="192"/>
      <c r="FG86" s="192"/>
      <c r="FH86" s="192"/>
      <c r="FI86" s="192"/>
      <c r="FJ86" s="192"/>
      <c r="FK86" s="192"/>
      <c r="FL86" s="192"/>
      <c r="FM86" s="192"/>
      <c r="FN86" s="192"/>
      <c r="FO86" s="192"/>
      <c r="FP86" s="192"/>
      <c r="FQ86" s="192"/>
      <c r="FR86" s="192"/>
      <c r="FS86" s="192"/>
      <c r="FT86" s="192"/>
      <c r="FU86" s="192"/>
      <c r="FV86" s="192"/>
      <c r="FW86" s="192"/>
      <c r="FX86" s="192"/>
      <c r="FY86" s="192"/>
      <c r="FZ86" s="192"/>
      <c r="GA86" s="192"/>
      <c r="GB86" s="192"/>
      <c r="GC86" s="192"/>
      <c r="GD86" s="192"/>
      <c r="GE86" s="192"/>
      <c r="GF86" s="192"/>
      <c r="GG86" s="192"/>
      <c r="GH86" s="192"/>
      <c r="GI86" s="192"/>
      <c r="GJ86" s="192"/>
      <c r="GK86" s="192"/>
      <c r="GL86" s="192"/>
      <c r="GM86" s="192"/>
      <c r="GN86" s="192"/>
      <c r="GO86" s="192"/>
      <c r="GP86" s="192"/>
      <c r="GQ86" s="192"/>
      <c r="GR86" s="192"/>
      <c r="GS86" s="192"/>
      <c r="GT86" s="192"/>
      <c r="GU86" s="192"/>
      <c r="GV86" s="192"/>
      <c r="GW86" s="192"/>
      <c r="GX86" s="192"/>
      <c r="GY86" s="192"/>
      <c r="GZ86" s="192"/>
      <c r="HA86" s="192"/>
      <c r="HB86" s="192"/>
      <c r="HC86" s="192"/>
      <c r="HD86" s="192"/>
      <c r="HE86" s="192"/>
      <c r="HF86" s="192"/>
      <c r="HG86" s="192"/>
      <c r="HH86" s="192"/>
      <c r="HI86" s="192"/>
      <c r="HJ86" s="192"/>
      <c r="HK86" s="192"/>
      <c r="HL86" s="192"/>
      <c r="HM86" s="192"/>
      <c r="HN86" s="192"/>
      <c r="HO86" s="192"/>
      <c r="HP86" s="192"/>
      <c r="HQ86" s="192"/>
      <c r="HR86" s="192"/>
      <c r="HS86" s="192"/>
      <c r="HT86" s="192"/>
      <c r="HU86" s="192"/>
      <c r="HV86" s="192"/>
      <c r="HW86" s="192"/>
      <c r="HX86" s="192"/>
      <c r="HY86" s="192"/>
      <c r="HZ86" s="192"/>
      <c r="IA86" s="192"/>
      <c r="IB86" s="192"/>
      <c r="IC86" s="192"/>
      <c r="ID86" s="192"/>
      <c r="IE86" s="192"/>
      <c r="IF86" s="192"/>
      <c r="IG86" s="192"/>
      <c r="IH86" s="192"/>
      <c r="II86" s="192"/>
      <c r="IJ86" s="192"/>
      <c r="IK86" s="192"/>
      <c r="IL86" s="192"/>
      <c r="IM86" s="192"/>
      <c r="IN86" s="192"/>
      <c r="IO86" s="192"/>
      <c r="IP86" s="192"/>
      <c r="IQ86" s="192"/>
    </row>
    <row r="87" spans="1:251" s="157" customFormat="1" ht="21.75" customHeight="1">
      <c r="A87" s="196">
        <v>80</v>
      </c>
      <c r="B87" s="277" t="s">
        <v>233</v>
      </c>
      <c r="C87" s="278" t="s">
        <v>320</v>
      </c>
      <c r="D87" s="271">
        <v>49</v>
      </c>
      <c r="E87" s="271"/>
      <c r="F87" s="278" t="s">
        <v>300</v>
      </c>
      <c r="G87" s="271" t="s">
        <v>286</v>
      </c>
      <c r="H87" s="285" t="s">
        <v>271</v>
      </c>
      <c r="I87" s="197">
        <f t="shared" si="4"/>
        <v>97500</v>
      </c>
      <c r="J87" s="286" t="s">
        <v>265</v>
      </c>
      <c r="K87" s="200">
        <f t="shared" si="5"/>
        <v>75000</v>
      </c>
      <c r="L87" s="286" t="s">
        <v>56</v>
      </c>
      <c r="M87" s="198">
        <f t="shared" si="6"/>
        <v>0</v>
      </c>
      <c r="N87" s="198">
        <f t="shared" si="7"/>
        <v>172500</v>
      </c>
      <c r="O87" s="192"/>
      <c r="P87" s="192"/>
      <c r="Q87" s="192"/>
      <c r="R87" s="192"/>
      <c r="S87" s="192"/>
      <c r="T87" s="192"/>
      <c r="U87" s="192"/>
      <c r="V87" s="192"/>
      <c r="W87" s="192"/>
      <c r="X87" s="192"/>
      <c r="Y87" s="192"/>
      <c r="Z87" s="192"/>
      <c r="AA87" s="192"/>
      <c r="AB87" s="192"/>
      <c r="AC87" s="192"/>
      <c r="AD87" s="192"/>
      <c r="AE87" s="192"/>
      <c r="AF87" s="192"/>
      <c r="AG87" s="192"/>
      <c r="AH87" s="192"/>
      <c r="AI87" s="192"/>
      <c r="AJ87" s="192"/>
      <c r="AK87" s="192"/>
      <c r="AL87" s="192"/>
      <c r="AM87" s="192"/>
      <c r="AN87" s="192"/>
      <c r="AO87" s="192"/>
      <c r="AP87" s="192"/>
      <c r="AQ87" s="192"/>
      <c r="AR87" s="192"/>
      <c r="AS87" s="192"/>
      <c r="AT87" s="192"/>
      <c r="AU87" s="192"/>
      <c r="AV87" s="192"/>
      <c r="AW87" s="192"/>
      <c r="AX87" s="192"/>
      <c r="AY87" s="192"/>
      <c r="AZ87" s="192"/>
      <c r="BA87" s="192"/>
      <c r="BB87" s="192"/>
      <c r="BC87" s="192"/>
      <c r="BD87" s="192"/>
      <c r="BE87" s="192"/>
      <c r="BF87" s="192"/>
      <c r="BG87" s="192"/>
      <c r="BH87" s="192"/>
      <c r="BI87" s="192"/>
      <c r="BJ87" s="192"/>
      <c r="BK87" s="192"/>
      <c r="BL87" s="192"/>
      <c r="BM87" s="192"/>
      <c r="BN87" s="192"/>
      <c r="BO87" s="192"/>
      <c r="BP87" s="192"/>
      <c r="BQ87" s="192"/>
      <c r="BR87" s="192"/>
      <c r="BS87" s="192"/>
      <c r="BT87" s="192"/>
      <c r="BU87" s="192"/>
      <c r="BV87" s="192"/>
      <c r="BW87" s="192"/>
      <c r="BX87" s="192"/>
      <c r="BY87" s="192"/>
      <c r="BZ87" s="192"/>
      <c r="CA87" s="192"/>
      <c r="CB87" s="192"/>
      <c r="CC87" s="192"/>
      <c r="CD87" s="192"/>
      <c r="CE87" s="192"/>
      <c r="CF87" s="192"/>
      <c r="CG87" s="192"/>
      <c r="CH87" s="192"/>
      <c r="CI87" s="192"/>
      <c r="CJ87" s="192"/>
      <c r="CK87" s="192"/>
      <c r="CL87" s="192"/>
      <c r="CM87" s="192"/>
      <c r="CN87" s="192"/>
      <c r="CO87" s="192"/>
      <c r="CP87" s="192"/>
      <c r="CQ87" s="192"/>
      <c r="CR87" s="192"/>
      <c r="CS87" s="192"/>
      <c r="CT87" s="192"/>
      <c r="CU87" s="192"/>
      <c r="CV87" s="192"/>
      <c r="CW87" s="192"/>
      <c r="CX87" s="192"/>
      <c r="CY87" s="192"/>
      <c r="CZ87" s="192"/>
      <c r="DA87" s="192"/>
      <c r="DB87" s="192"/>
      <c r="DC87" s="192"/>
      <c r="DD87" s="192"/>
      <c r="DE87" s="192"/>
      <c r="DF87" s="192"/>
      <c r="DG87" s="192"/>
      <c r="DH87" s="192"/>
      <c r="DI87" s="192"/>
      <c r="DJ87" s="192"/>
      <c r="DK87" s="192"/>
      <c r="DL87" s="192"/>
      <c r="DM87" s="192"/>
      <c r="DN87" s="192"/>
      <c r="DO87" s="192"/>
      <c r="DP87" s="192"/>
      <c r="DQ87" s="192"/>
      <c r="DR87" s="192"/>
      <c r="DS87" s="192"/>
      <c r="DT87" s="192"/>
      <c r="DU87" s="192"/>
      <c r="DV87" s="192"/>
      <c r="DW87" s="192"/>
      <c r="DX87" s="192"/>
      <c r="DY87" s="192"/>
      <c r="DZ87" s="192"/>
      <c r="EA87" s="192"/>
      <c r="EB87" s="192"/>
      <c r="EC87" s="192"/>
      <c r="ED87" s="192"/>
      <c r="EE87" s="192"/>
      <c r="EF87" s="192"/>
      <c r="EG87" s="192"/>
      <c r="EH87" s="192"/>
      <c r="EI87" s="192"/>
      <c r="EJ87" s="192"/>
      <c r="EK87" s="192"/>
      <c r="EL87" s="192"/>
      <c r="EM87" s="192"/>
      <c r="EN87" s="192"/>
      <c r="EO87" s="192"/>
      <c r="EP87" s="192"/>
      <c r="EQ87" s="192"/>
      <c r="ER87" s="192"/>
      <c r="ES87" s="192"/>
      <c r="ET87" s="192"/>
      <c r="EU87" s="192"/>
      <c r="EV87" s="192"/>
      <c r="EW87" s="192"/>
      <c r="EX87" s="192"/>
      <c r="EY87" s="192"/>
      <c r="EZ87" s="192"/>
      <c r="FA87" s="192"/>
      <c r="FB87" s="192"/>
      <c r="FC87" s="192"/>
      <c r="FD87" s="192"/>
      <c r="FE87" s="192"/>
      <c r="FF87" s="192"/>
      <c r="FG87" s="192"/>
      <c r="FH87" s="192"/>
      <c r="FI87" s="192"/>
      <c r="FJ87" s="192"/>
      <c r="FK87" s="192"/>
      <c r="FL87" s="192"/>
      <c r="FM87" s="192"/>
      <c r="FN87" s="192"/>
      <c r="FO87" s="192"/>
      <c r="FP87" s="192"/>
      <c r="FQ87" s="192"/>
      <c r="FR87" s="192"/>
      <c r="FS87" s="192"/>
      <c r="FT87" s="192"/>
      <c r="FU87" s="192"/>
      <c r="FV87" s="192"/>
      <c r="FW87" s="192"/>
      <c r="FX87" s="192"/>
      <c r="FY87" s="192"/>
      <c r="FZ87" s="192"/>
      <c r="GA87" s="192"/>
      <c r="GB87" s="192"/>
      <c r="GC87" s="192"/>
      <c r="GD87" s="192"/>
      <c r="GE87" s="192"/>
      <c r="GF87" s="192"/>
      <c r="GG87" s="192"/>
      <c r="GH87" s="192"/>
      <c r="GI87" s="192"/>
      <c r="GJ87" s="192"/>
      <c r="GK87" s="192"/>
      <c r="GL87" s="192"/>
      <c r="GM87" s="192"/>
      <c r="GN87" s="192"/>
      <c r="GO87" s="192"/>
      <c r="GP87" s="192"/>
      <c r="GQ87" s="192"/>
      <c r="GR87" s="192"/>
      <c r="GS87" s="192"/>
      <c r="GT87" s="192"/>
      <c r="GU87" s="192"/>
      <c r="GV87" s="192"/>
      <c r="GW87" s="192"/>
      <c r="GX87" s="192"/>
      <c r="GY87" s="192"/>
      <c r="GZ87" s="192"/>
      <c r="HA87" s="192"/>
      <c r="HB87" s="192"/>
      <c r="HC87" s="192"/>
      <c r="HD87" s="192"/>
      <c r="HE87" s="192"/>
      <c r="HF87" s="192"/>
      <c r="HG87" s="192"/>
      <c r="HH87" s="192"/>
      <c r="HI87" s="192"/>
      <c r="HJ87" s="192"/>
      <c r="HK87" s="192"/>
      <c r="HL87" s="192"/>
      <c r="HM87" s="192"/>
      <c r="HN87" s="192"/>
      <c r="HO87" s="192"/>
      <c r="HP87" s="192"/>
      <c r="HQ87" s="192"/>
      <c r="HR87" s="192"/>
      <c r="HS87" s="192"/>
      <c r="HT87" s="192"/>
      <c r="HU87" s="192"/>
      <c r="HV87" s="192"/>
      <c r="HW87" s="192"/>
      <c r="HX87" s="192"/>
      <c r="HY87" s="192"/>
      <c r="HZ87" s="192"/>
      <c r="IA87" s="192"/>
      <c r="IB87" s="192"/>
      <c r="IC87" s="192"/>
      <c r="ID87" s="192"/>
      <c r="IE87" s="192"/>
      <c r="IF87" s="192"/>
      <c r="IG87" s="192"/>
      <c r="IH87" s="192"/>
      <c r="II87" s="192"/>
      <c r="IJ87" s="192"/>
      <c r="IK87" s="192"/>
      <c r="IL87" s="192"/>
      <c r="IM87" s="192"/>
      <c r="IN87" s="192"/>
      <c r="IO87" s="192"/>
      <c r="IP87" s="192"/>
      <c r="IQ87" s="192"/>
    </row>
    <row r="88" spans="1:251" s="157" customFormat="1" ht="21.75" customHeight="1">
      <c r="A88" s="196">
        <v>81</v>
      </c>
      <c r="B88" s="277" t="s">
        <v>233</v>
      </c>
      <c r="C88" s="278" t="s">
        <v>305</v>
      </c>
      <c r="D88" s="271"/>
      <c r="E88" s="271">
        <v>81</v>
      </c>
      <c r="F88" s="278" t="s">
        <v>308</v>
      </c>
      <c r="G88" s="271" t="s">
        <v>288</v>
      </c>
      <c r="H88" s="285" t="s">
        <v>268</v>
      </c>
      <c r="I88" s="197">
        <f t="shared" si="4"/>
        <v>97500</v>
      </c>
      <c r="J88" s="286" t="s">
        <v>275</v>
      </c>
      <c r="K88" s="200">
        <f t="shared" si="5"/>
        <v>75000</v>
      </c>
      <c r="L88" s="286" t="s">
        <v>56</v>
      </c>
      <c r="M88" s="198">
        <f t="shared" si="6"/>
        <v>0</v>
      </c>
      <c r="N88" s="198">
        <f t="shared" si="7"/>
        <v>172500</v>
      </c>
      <c r="O88" s="192"/>
      <c r="P88" s="192"/>
      <c r="Q88" s="192"/>
      <c r="R88" s="192"/>
      <c r="S88" s="192"/>
      <c r="T88" s="192"/>
      <c r="U88" s="192"/>
      <c r="V88" s="192"/>
      <c r="W88" s="192"/>
      <c r="X88" s="192"/>
      <c r="Y88" s="192"/>
      <c r="Z88" s="192"/>
      <c r="AA88" s="192"/>
      <c r="AB88" s="192"/>
      <c r="AC88" s="192"/>
      <c r="AD88" s="192"/>
      <c r="AE88" s="192"/>
      <c r="AF88" s="192"/>
      <c r="AG88" s="192"/>
      <c r="AH88" s="192"/>
      <c r="AI88" s="192"/>
      <c r="AJ88" s="192"/>
      <c r="AK88" s="192"/>
      <c r="AL88" s="192"/>
      <c r="AM88" s="192"/>
      <c r="AN88" s="192"/>
      <c r="AO88" s="192"/>
      <c r="AP88" s="192"/>
      <c r="AQ88" s="192"/>
      <c r="AR88" s="192"/>
      <c r="AS88" s="192"/>
      <c r="AT88" s="192"/>
      <c r="AU88" s="192"/>
      <c r="AV88" s="192"/>
      <c r="AW88" s="192"/>
      <c r="AX88" s="192"/>
      <c r="AY88" s="192"/>
      <c r="AZ88" s="192"/>
      <c r="BA88" s="192"/>
      <c r="BB88" s="192"/>
      <c r="BC88" s="192"/>
      <c r="BD88" s="192"/>
      <c r="BE88" s="192"/>
      <c r="BF88" s="192"/>
      <c r="BG88" s="192"/>
      <c r="BH88" s="192"/>
      <c r="BI88" s="192"/>
      <c r="BJ88" s="192"/>
      <c r="BK88" s="192"/>
      <c r="BL88" s="192"/>
      <c r="BM88" s="192"/>
      <c r="BN88" s="192"/>
      <c r="BO88" s="192"/>
      <c r="BP88" s="192"/>
      <c r="BQ88" s="192"/>
      <c r="BR88" s="192"/>
      <c r="BS88" s="192"/>
      <c r="BT88" s="192"/>
      <c r="BU88" s="192"/>
      <c r="BV88" s="192"/>
      <c r="BW88" s="192"/>
      <c r="BX88" s="192"/>
      <c r="BY88" s="192"/>
      <c r="BZ88" s="192"/>
      <c r="CA88" s="192"/>
      <c r="CB88" s="192"/>
      <c r="CC88" s="192"/>
      <c r="CD88" s="192"/>
      <c r="CE88" s="192"/>
      <c r="CF88" s="192"/>
      <c r="CG88" s="192"/>
      <c r="CH88" s="192"/>
      <c r="CI88" s="192"/>
      <c r="CJ88" s="192"/>
      <c r="CK88" s="192"/>
      <c r="CL88" s="192"/>
      <c r="CM88" s="192"/>
      <c r="CN88" s="192"/>
      <c r="CO88" s="192"/>
      <c r="CP88" s="192"/>
      <c r="CQ88" s="192"/>
      <c r="CR88" s="192"/>
      <c r="CS88" s="192"/>
      <c r="CT88" s="192"/>
      <c r="CU88" s="192"/>
      <c r="CV88" s="192"/>
      <c r="CW88" s="192"/>
      <c r="CX88" s="192"/>
      <c r="CY88" s="192"/>
      <c r="CZ88" s="192"/>
      <c r="DA88" s="192"/>
      <c r="DB88" s="192"/>
      <c r="DC88" s="192"/>
      <c r="DD88" s="192"/>
      <c r="DE88" s="192"/>
      <c r="DF88" s="192"/>
      <c r="DG88" s="192"/>
      <c r="DH88" s="192"/>
      <c r="DI88" s="192"/>
      <c r="DJ88" s="192"/>
      <c r="DK88" s="192"/>
      <c r="DL88" s="192"/>
      <c r="DM88" s="192"/>
      <c r="DN88" s="192"/>
      <c r="DO88" s="192"/>
      <c r="DP88" s="192"/>
      <c r="DQ88" s="192"/>
      <c r="DR88" s="192"/>
      <c r="DS88" s="192"/>
      <c r="DT88" s="192"/>
      <c r="DU88" s="192"/>
      <c r="DV88" s="192"/>
      <c r="DW88" s="192"/>
      <c r="DX88" s="192"/>
      <c r="DY88" s="192"/>
      <c r="DZ88" s="192"/>
      <c r="EA88" s="192"/>
      <c r="EB88" s="192"/>
      <c r="EC88" s="192"/>
      <c r="ED88" s="192"/>
      <c r="EE88" s="192"/>
      <c r="EF88" s="192"/>
      <c r="EG88" s="192"/>
      <c r="EH88" s="192"/>
      <c r="EI88" s="192"/>
      <c r="EJ88" s="192"/>
      <c r="EK88" s="192"/>
      <c r="EL88" s="192"/>
      <c r="EM88" s="192"/>
      <c r="EN88" s="192"/>
      <c r="EO88" s="192"/>
      <c r="EP88" s="192"/>
      <c r="EQ88" s="192"/>
      <c r="ER88" s="192"/>
      <c r="ES88" s="192"/>
      <c r="ET88" s="192"/>
      <c r="EU88" s="192"/>
      <c r="EV88" s="192"/>
      <c r="EW88" s="192"/>
      <c r="EX88" s="192"/>
      <c r="EY88" s="192"/>
      <c r="EZ88" s="192"/>
      <c r="FA88" s="192"/>
      <c r="FB88" s="192"/>
      <c r="FC88" s="192"/>
      <c r="FD88" s="192"/>
      <c r="FE88" s="192"/>
      <c r="FF88" s="192"/>
      <c r="FG88" s="192"/>
      <c r="FH88" s="192"/>
      <c r="FI88" s="192"/>
      <c r="FJ88" s="192"/>
      <c r="FK88" s="192"/>
      <c r="FL88" s="192"/>
      <c r="FM88" s="192"/>
      <c r="FN88" s="192"/>
      <c r="FO88" s="192"/>
      <c r="FP88" s="192"/>
      <c r="FQ88" s="192"/>
      <c r="FR88" s="192"/>
      <c r="FS88" s="192"/>
      <c r="FT88" s="192"/>
      <c r="FU88" s="192"/>
      <c r="FV88" s="192"/>
      <c r="FW88" s="192"/>
      <c r="FX88" s="192"/>
      <c r="FY88" s="192"/>
      <c r="FZ88" s="192"/>
      <c r="GA88" s="192"/>
      <c r="GB88" s="192"/>
      <c r="GC88" s="192"/>
      <c r="GD88" s="192"/>
      <c r="GE88" s="192"/>
      <c r="GF88" s="192"/>
      <c r="GG88" s="192"/>
      <c r="GH88" s="192"/>
      <c r="GI88" s="192"/>
      <c r="GJ88" s="192"/>
      <c r="GK88" s="192"/>
      <c r="GL88" s="192"/>
      <c r="GM88" s="192"/>
      <c r="GN88" s="192"/>
      <c r="GO88" s="192"/>
      <c r="GP88" s="192"/>
      <c r="GQ88" s="192"/>
      <c r="GR88" s="192"/>
      <c r="GS88" s="192"/>
      <c r="GT88" s="192"/>
      <c r="GU88" s="192"/>
      <c r="GV88" s="192"/>
      <c r="GW88" s="192"/>
      <c r="GX88" s="192"/>
      <c r="GY88" s="192"/>
      <c r="GZ88" s="192"/>
      <c r="HA88" s="192"/>
      <c r="HB88" s="192"/>
      <c r="HC88" s="192"/>
      <c r="HD88" s="192"/>
      <c r="HE88" s="192"/>
      <c r="HF88" s="192"/>
      <c r="HG88" s="192"/>
      <c r="HH88" s="192"/>
      <c r="HI88" s="192"/>
      <c r="HJ88" s="192"/>
      <c r="HK88" s="192"/>
      <c r="HL88" s="192"/>
      <c r="HM88" s="192"/>
      <c r="HN88" s="192"/>
      <c r="HO88" s="192"/>
      <c r="HP88" s="192"/>
      <c r="HQ88" s="192"/>
      <c r="HR88" s="192"/>
      <c r="HS88" s="192"/>
      <c r="HT88" s="192"/>
      <c r="HU88" s="192"/>
      <c r="HV88" s="192"/>
      <c r="HW88" s="192"/>
      <c r="HX88" s="192"/>
      <c r="HY88" s="192"/>
      <c r="HZ88" s="192"/>
      <c r="IA88" s="192"/>
      <c r="IB88" s="192"/>
      <c r="IC88" s="192"/>
      <c r="ID88" s="192"/>
      <c r="IE88" s="192"/>
      <c r="IF88" s="192"/>
      <c r="IG88" s="192"/>
      <c r="IH88" s="192"/>
      <c r="II88" s="192"/>
      <c r="IJ88" s="192"/>
      <c r="IK88" s="192"/>
      <c r="IL88" s="192"/>
      <c r="IM88" s="192"/>
      <c r="IN88" s="192"/>
      <c r="IO88" s="192"/>
      <c r="IP88" s="192"/>
      <c r="IQ88" s="192"/>
    </row>
    <row r="89" spans="1:251" s="157" customFormat="1" ht="21.75" customHeight="1">
      <c r="A89" s="196">
        <v>82</v>
      </c>
      <c r="B89" s="277" t="s">
        <v>236</v>
      </c>
      <c r="C89" s="278" t="s">
        <v>321</v>
      </c>
      <c r="D89" s="271"/>
      <c r="E89" s="271">
        <v>19</v>
      </c>
      <c r="F89" s="278" t="s">
        <v>306</v>
      </c>
      <c r="G89" s="271" t="s">
        <v>286</v>
      </c>
      <c r="H89" s="285" t="s">
        <v>268</v>
      </c>
      <c r="I89" s="197">
        <f t="shared" si="4"/>
        <v>97500</v>
      </c>
      <c r="J89" s="286" t="s">
        <v>281</v>
      </c>
      <c r="K89" s="200">
        <f t="shared" si="5"/>
        <v>75000</v>
      </c>
      <c r="L89" s="286" t="s">
        <v>56</v>
      </c>
      <c r="M89" s="198">
        <f t="shared" si="6"/>
        <v>0</v>
      </c>
      <c r="N89" s="198">
        <f t="shared" si="7"/>
        <v>172500</v>
      </c>
      <c r="O89" s="192"/>
      <c r="P89" s="192"/>
      <c r="Q89" s="192"/>
      <c r="R89" s="192"/>
      <c r="S89" s="192"/>
      <c r="T89" s="192"/>
      <c r="U89" s="192"/>
      <c r="V89" s="192"/>
      <c r="W89" s="192"/>
      <c r="X89" s="192"/>
      <c r="Y89" s="192"/>
      <c r="Z89" s="192"/>
      <c r="AA89" s="192"/>
      <c r="AB89" s="192"/>
      <c r="AC89" s="192"/>
      <c r="AD89" s="192"/>
      <c r="AE89" s="192"/>
      <c r="AF89" s="192"/>
      <c r="AG89" s="192"/>
      <c r="AH89" s="192"/>
      <c r="AI89" s="192"/>
      <c r="AJ89" s="192"/>
      <c r="AK89" s="192"/>
      <c r="AL89" s="192"/>
      <c r="AM89" s="192"/>
      <c r="AN89" s="192"/>
      <c r="AO89" s="192"/>
      <c r="AP89" s="192"/>
      <c r="AQ89" s="192"/>
      <c r="AR89" s="192"/>
      <c r="AS89" s="192"/>
      <c r="AT89" s="192"/>
      <c r="AU89" s="192"/>
      <c r="AV89" s="192"/>
      <c r="AW89" s="192"/>
      <c r="AX89" s="192"/>
      <c r="AY89" s="192"/>
      <c r="AZ89" s="192"/>
      <c r="BA89" s="192"/>
      <c r="BB89" s="192"/>
      <c r="BC89" s="192"/>
      <c r="BD89" s="192"/>
      <c r="BE89" s="192"/>
      <c r="BF89" s="192"/>
      <c r="BG89" s="192"/>
      <c r="BH89" s="192"/>
      <c r="BI89" s="192"/>
      <c r="BJ89" s="192"/>
      <c r="BK89" s="192"/>
      <c r="BL89" s="192"/>
      <c r="BM89" s="192"/>
      <c r="BN89" s="192"/>
      <c r="BO89" s="192"/>
      <c r="BP89" s="192"/>
      <c r="BQ89" s="192"/>
      <c r="BR89" s="192"/>
      <c r="BS89" s="192"/>
      <c r="BT89" s="192"/>
      <c r="BU89" s="192"/>
      <c r="BV89" s="192"/>
      <c r="BW89" s="192"/>
      <c r="BX89" s="192"/>
      <c r="BY89" s="192"/>
      <c r="BZ89" s="192"/>
      <c r="CA89" s="192"/>
      <c r="CB89" s="192"/>
      <c r="CC89" s="192"/>
      <c r="CD89" s="192"/>
      <c r="CE89" s="192"/>
      <c r="CF89" s="192"/>
      <c r="CG89" s="192"/>
      <c r="CH89" s="192"/>
      <c r="CI89" s="192"/>
      <c r="CJ89" s="192"/>
      <c r="CK89" s="192"/>
      <c r="CL89" s="192"/>
      <c r="CM89" s="192"/>
      <c r="CN89" s="192"/>
      <c r="CO89" s="192"/>
      <c r="CP89" s="192"/>
      <c r="CQ89" s="192"/>
      <c r="CR89" s="192"/>
      <c r="CS89" s="192"/>
      <c r="CT89" s="192"/>
      <c r="CU89" s="192"/>
      <c r="CV89" s="192"/>
      <c r="CW89" s="192"/>
      <c r="CX89" s="192"/>
      <c r="CY89" s="192"/>
      <c r="CZ89" s="192"/>
      <c r="DA89" s="192"/>
      <c r="DB89" s="192"/>
      <c r="DC89" s="192"/>
      <c r="DD89" s="192"/>
      <c r="DE89" s="192"/>
      <c r="DF89" s="192"/>
      <c r="DG89" s="192"/>
      <c r="DH89" s="192"/>
      <c r="DI89" s="192"/>
      <c r="DJ89" s="192"/>
      <c r="DK89" s="192"/>
      <c r="DL89" s="192"/>
      <c r="DM89" s="192"/>
      <c r="DN89" s="192"/>
      <c r="DO89" s="192"/>
      <c r="DP89" s="192"/>
      <c r="DQ89" s="192"/>
      <c r="DR89" s="192"/>
      <c r="DS89" s="192"/>
      <c r="DT89" s="192"/>
      <c r="DU89" s="192"/>
      <c r="DV89" s="192"/>
      <c r="DW89" s="192"/>
      <c r="DX89" s="192"/>
      <c r="DY89" s="192"/>
      <c r="DZ89" s="192"/>
      <c r="EA89" s="192"/>
      <c r="EB89" s="192"/>
      <c r="EC89" s="192"/>
      <c r="ED89" s="192"/>
      <c r="EE89" s="192"/>
      <c r="EF89" s="192"/>
      <c r="EG89" s="192"/>
      <c r="EH89" s="192"/>
      <c r="EI89" s="192"/>
      <c r="EJ89" s="192"/>
      <c r="EK89" s="192"/>
      <c r="EL89" s="192"/>
      <c r="EM89" s="192"/>
      <c r="EN89" s="192"/>
      <c r="EO89" s="192"/>
      <c r="EP89" s="192"/>
      <c r="EQ89" s="192"/>
      <c r="ER89" s="192"/>
      <c r="ES89" s="192"/>
      <c r="ET89" s="192"/>
      <c r="EU89" s="192"/>
      <c r="EV89" s="192"/>
      <c r="EW89" s="192"/>
      <c r="EX89" s="192"/>
      <c r="EY89" s="192"/>
      <c r="EZ89" s="192"/>
      <c r="FA89" s="192"/>
      <c r="FB89" s="192"/>
      <c r="FC89" s="192"/>
      <c r="FD89" s="192"/>
      <c r="FE89" s="192"/>
      <c r="FF89" s="192"/>
      <c r="FG89" s="192"/>
      <c r="FH89" s="192"/>
      <c r="FI89" s="192"/>
      <c r="FJ89" s="192"/>
      <c r="FK89" s="192"/>
      <c r="FL89" s="192"/>
      <c r="FM89" s="192"/>
      <c r="FN89" s="192"/>
      <c r="FO89" s="192"/>
      <c r="FP89" s="192"/>
      <c r="FQ89" s="192"/>
      <c r="FR89" s="192"/>
      <c r="FS89" s="192"/>
      <c r="FT89" s="192"/>
      <c r="FU89" s="192"/>
      <c r="FV89" s="192"/>
      <c r="FW89" s="192"/>
      <c r="FX89" s="192"/>
      <c r="FY89" s="192"/>
      <c r="FZ89" s="192"/>
      <c r="GA89" s="192"/>
      <c r="GB89" s="192"/>
      <c r="GC89" s="192"/>
      <c r="GD89" s="192"/>
      <c r="GE89" s="192"/>
      <c r="GF89" s="192"/>
      <c r="GG89" s="192"/>
      <c r="GH89" s="192"/>
      <c r="GI89" s="192"/>
      <c r="GJ89" s="192"/>
      <c r="GK89" s="192"/>
      <c r="GL89" s="192"/>
      <c r="GM89" s="192"/>
      <c r="GN89" s="192"/>
      <c r="GO89" s="192"/>
      <c r="GP89" s="192"/>
      <c r="GQ89" s="192"/>
      <c r="GR89" s="192"/>
      <c r="GS89" s="192"/>
      <c r="GT89" s="192"/>
      <c r="GU89" s="192"/>
      <c r="GV89" s="192"/>
      <c r="GW89" s="192"/>
      <c r="GX89" s="192"/>
      <c r="GY89" s="192"/>
      <c r="GZ89" s="192"/>
      <c r="HA89" s="192"/>
      <c r="HB89" s="192"/>
      <c r="HC89" s="192"/>
      <c r="HD89" s="192"/>
      <c r="HE89" s="192"/>
      <c r="HF89" s="192"/>
      <c r="HG89" s="192"/>
      <c r="HH89" s="192"/>
      <c r="HI89" s="192"/>
      <c r="HJ89" s="192"/>
      <c r="HK89" s="192"/>
      <c r="HL89" s="192"/>
      <c r="HM89" s="192"/>
      <c r="HN89" s="192"/>
      <c r="HO89" s="192"/>
      <c r="HP89" s="192"/>
      <c r="HQ89" s="192"/>
      <c r="HR89" s="192"/>
      <c r="HS89" s="192"/>
      <c r="HT89" s="192"/>
      <c r="HU89" s="192"/>
      <c r="HV89" s="192"/>
      <c r="HW89" s="192"/>
      <c r="HX89" s="192"/>
      <c r="HY89" s="192"/>
      <c r="HZ89" s="192"/>
      <c r="IA89" s="192"/>
      <c r="IB89" s="192"/>
      <c r="IC89" s="192"/>
      <c r="ID89" s="192"/>
      <c r="IE89" s="192"/>
      <c r="IF89" s="192"/>
      <c r="IG89" s="192"/>
      <c r="IH89" s="192"/>
      <c r="II89" s="192"/>
      <c r="IJ89" s="192"/>
      <c r="IK89" s="192"/>
      <c r="IL89" s="192"/>
      <c r="IM89" s="192"/>
      <c r="IN89" s="192"/>
      <c r="IO89" s="192"/>
      <c r="IP89" s="192"/>
      <c r="IQ89" s="192"/>
    </row>
    <row r="90" spans="1:251" s="157" customFormat="1" ht="21.75" customHeight="1">
      <c r="A90" s="196">
        <v>83</v>
      </c>
      <c r="B90" s="277" t="s">
        <v>244</v>
      </c>
      <c r="C90" s="278" t="s">
        <v>322</v>
      </c>
      <c r="D90" s="271">
        <v>37</v>
      </c>
      <c r="E90" s="271"/>
      <c r="F90" s="278" t="s">
        <v>308</v>
      </c>
      <c r="G90" s="271" t="s">
        <v>288</v>
      </c>
      <c r="H90" s="285" t="s">
        <v>269</v>
      </c>
      <c r="I90" s="197">
        <f t="shared" si="4"/>
        <v>97500</v>
      </c>
      <c r="J90" s="286" t="s">
        <v>278</v>
      </c>
      <c r="K90" s="200">
        <f t="shared" si="5"/>
        <v>75000</v>
      </c>
      <c r="L90" s="286" t="s">
        <v>56</v>
      </c>
      <c r="M90" s="198">
        <f t="shared" si="6"/>
        <v>0</v>
      </c>
      <c r="N90" s="198">
        <f t="shared" si="7"/>
        <v>172500</v>
      </c>
      <c r="O90" s="192"/>
      <c r="P90" s="192"/>
      <c r="Q90" s="192"/>
      <c r="R90" s="192"/>
      <c r="S90" s="192"/>
      <c r="T90" s="192"/>
      <c r="U90" s="192"/>
      <c r="V90" s="192"/>
      <c r="W90" s="192"/>
      <c r="X90" s="192"/>
      <c r="Y90" s="192"/>
      <c r="Z90" s="192"/>
      <c r="AA90" s="192"/>
      <c r="AB90" s="192"/>
      <c r="AC90" s="192"/>
      <c r="AD90" s="192"/>
      <c r="AE90" s="192"/>
      <c r="AF90" s="192"/>
      <c r="AG90" s="192"/>
      <c r="AH90" s="192"/>
      <c r="AI90" s="192"/>
      <c r="AJ90" s="192"/>
      <c r="AK90" s="192"/>
      <c r="AL90" s="192"/>
      <c r="AM90" s="192"/>
      <c r="AN90" s="192"/>
      <c r="AO90" s="192"/>
      <c r="AP90" s="192"/>
      <c r="AQ90" s="192"/>
      <c r="AR90" s="192"/>
      <c r="AS90" s="192"/>
      <c r="AT90" s="192"/>
      <c r="AU90" s="192"/>
      <c r="AV90" s="192"/>
      <c r="AW90" s="192"/>
      <c r="AX90" s="192"/>
      <c r="AY90" s="192"/>
      <c r="AZ90" s="192"/>
      <c r="BA90" s="192"/>
      <c r="BB90" s="192"/>
      <c r="BC90" s="192"/>
      <c r="BD90" s="192"/>
      <c r="BE90" s="192"/>
      <c r="BF90" s="192"/>
      <c r="BG90" s="192"/>
      <c r="BH90" s="192"/>
      <c r="BI90" s="192"/>
      <c r="BJ90" s="192"/>
      <c r="BK90" s="192"/>
      <c r="BL90" s="192"/>
      <c r="BM90" s="192"/>
      <c r="BN90" s="192"/>
      <c r="BO90" s="192"/>
      <c r="BP90" s="192"/>
      <c r="BQ90" s="192"/>
      <c r="BR90" s="192"/>
      <c r="BS90" s="192"/>
      <c r="BT90" s="192"/>
      <c r="BU90" s="192"/>
      <c r="BV90" s="192"/>
      <c r="BW90" s="192"/>
      <c r="BX90" s="192"/>
      <c r="BY90" s="192"/>
      <c r="BZ90" s="192"/>
      <c r="CA90" s="192"/>
      <c r="CB90" s="192"/>
      <c r="CC90" s="192"/>
      <c r="CD90" s="192"/>
      <c r="CE90" s="192"/>
      <c r="CF90" s="192"/>
      <c r="CG90" s="192"/>
      <c r="CH90" s="192"/>
      <c r="CI90" s="192"/>
      <c r="CJ90" s="192"/>
      <c r="CK90" s="192"/>
      <c r="CL90" s="192"/>
      <c r="CM90" s="192"/>
      <c r="CN90" s="192"/>
      <c r="CO90" s="192"/>
      <c r="CP90" s="192"/>
      <c r="CQ90" s="192"/>
      <c r="CR90" s="192"/>
      <c r="CS90" s="192"/>
      <c r="CT90" s="192"/>
      <c r="CU90" s="192"/>
      <c r="CV90" s="192"/>
      <c r="CW90" s="192"/>
      <c r="CX90" s="192"/>
      <c r="CY90" s="192"/>
      <c r="CZ90" s="192"/>
      <c r="DA90" s="192"/>
      <c r="DB90" s="192"/>
      <c r="DC90" s="192"/>
      <c r="DD90" s="192"/>
      <c r="DE90" s="192"/>
      <c r="DF90" s="192"/>
      <c r="DG90" s="192"/>
      <c r="DH90" s="192"/>
      <c r="DI90" s="192"/>
      <c r="DJ90" s="192"/>
      <c r="DK90" s="192"/>
      <c r="DL90" s="192"/>
      <c r="DM90" s="192"/>
      <c r="DN90" s="192"/>
      <c r="DO90" s="192"/>
      <c r="DP90" s="192"/>
      <c r="DQ90" s="192"/>
      <c r="DR90" s="192"/>
      <c r="DS90" s="192"/>
      <c r="DT90" s="192"/>
      <c r="DU90" s="192"/>
      <c r="DV90" s="192"/>
      <c r="DW90" s="192"/>
      <c r="DX90" s="192"/>
      <c r="DY90" s="192"/>
      <c r="DZ90" s="192"/>
      <c r="EA90" s="192"/>
      <c r="EB90" s="192"/>
      <c r="EC90" s="192"/>
      <c r="ED90" s="192"/>
      <c r="EE90" s="192"/>
      <c r="EF90" s="192"/>
      <c r="EG90" s="192"/>
      <c r="EH90" s="192"/>
      <c r="EI90" s="192"/>
      <c r="EJ90" s="192"/>
      <c r="EK90" s="192"/>
      <c r="EL90" s="192"/>
      <c r="EM90" s="192"/>
      <c r="EN90" s="192"/>
      <c r="EO90" s="192"/>
      <c r="EP90" s="192"/>
      <c r="EQ90" s="192"/>
      <c r="ER90" s="192"/>
      <c r="ES90" s="192"/>
      <c r="ET90" s="192"/>
      <c r="EU90" s="192"/>
      <c r="EV90" s="192"/>
      <c r="EW90" s="192"/>
      <c r="EX90" s="192"/>
      <c r="EY90" s="192"/>
      <c r="EZ90" s="192"/>
      <c r="FA90" s="192"/>
      <c r="FB90" s="192"/>
      <c r="FC90" s="192"/>
      <c r="FD90" s="192"/>
      <c r="FE90" s="192"/>
      <c r="FF90" s="192"/>
      <c r="FG90" s="192"/>
      <c r="FH90" s="192"/>
      <c r="FI90" s="192"/>
      <c r="FJ90" s="192"/>
      <c r="FK90" s="192"/>
      <c r="FL90" s="192"/>
      <c r="FM90" s="192"/>
      <c r="FN90" s="192"/>
      <c r="FO90" s="192"/>
      <c r="FP90" s="192"/>
      <c r="FQ90" s="192"/>
      <c r="FR90" s="192"/>
      <c r="FS90" s="192"/>
      <c r="FT90" s="192"/>
      <c r="FU90" s="192"/>
      <c r="FV90" s="192"/>
      <c r="FW90" s="192"/>
      <c r="FX90" s="192"/>
      <c r="FY90" s="192"/>
      <c r="FZ90" s="192"/>
      <c r="GA90" s="192"/>
      <c r="GB90" s="192"/>
      <c r="GC90" s="192"/>
      <c r="GD90" s="192"/>
      <c r="GE90" s="192"/>
      <c r="GF90" s="192"/>
      <c r="GG90" s="192"/>
      <c r="GH90" s="192"/>
      <c r="GI90" s="192"/>
      <c r="GJ90" s="192"/>
      <c r="GK90" s="192"/>
      <c r="GL90" s="192"/>
      <c r="GM90" s="192"/>
      <c r="GN90" s="192"/>
      <c r="GO90" s="192"/>
      <c r="GP90" s="192"/>
      <c r="GQ90" s="192"/>
      <c r="GR90" s="192"/>
      <c r="GS90" s="192"/>
      <c r="GT90" s="192"/>
      <c r="GU90" s="192"/>
      <c r="GV90" s="192"/>
      <c r="GW90" s="192"/>
      <c r="GX90" s="192"/>
      <c r="GY90" s="192"/>
      <c r="GZ90" s="192"/>
      <c r="HA90" s="192"/>
      <c r="HB90" s="192"/>
      <c r="HC90" s="192"/>
      <c r="HD90" s="192"/>
      <c r="HE90" s="192"/>
      <c r="HF90" s="192"/>
      <c r="HG90" s="192"/>
      <c r="HH90" s="192"/>
      <c r="HI90" s="192"/>
      <c r="HJ90" s="192"/>
      <c r="HK90" s="192"/>
      <c r="HL90" s="192"/>
      <c r="HM90" s="192"/>
      <c r="HN90" s="192"/>
      <c r="HO90" s="192"/>
      <c r="HP90" s="192"/>
      <c r="HQ90" s="192"/>
      <c r="HR90" s="192"/>
      <c r="HS90" s="192"/>
      <c r="HT90" s="192"/>
      <c r="HU90" s="192"/>
      <c r="HV90" s="192"/>
      <c r="HW90" s="192"/>
      <c r="HX90" s="192"/>
      <c r="HY90" s="192"/>
      <c r="HZ90" s="192"/>
      <c r="IA90" s="192"/>
      <c r="IB90" s="192"/>
      <c r="IC90" s="192"/>
      <c r="ID90" s="192"/>
      <c r="IE90" s="192"/>
      <c r="IF90" s="192"/>
      <c r="IG90" s="192"/>
      <c r="IH90" s="192"/>
      <c r="II90" s="192"/>
      <c r="IJ90" s="192"/>
      <c r="IK90" s="192"/>
      <c r="IL90" s="192"/>
      <c r="IM90" s="192"/>
      <c r="IN90" s="192"/>
      <c r="IO90" s="192"/>
      <c r="IP90" s="192"/>
      <c r="IQ90" s="192"/>
    </row>
    <row r="91" spans="1:251" s="157" customFormat="1" ht="21.75" customHeight="1">
      <c r="A91" s="196">
        <v>84</v>
      </c>
      <c r="B91" s="277" t="s">
        <v>247</v>
      </c>
      <c r="C91" s="278" t="s">
        <v>323</v>
      </c>
      <c r="D91" s="271"/>
      <c r="E91" s="271">
        <v>75</v>
      </c>
      <c r="F91" s="278" t="s">
        <v>308</v>
      </c>
      <c r="G91" s="271" t="s">
        <v>288</v>
      </c>
      <c r="H91" s="285" t="s">
        <v>267</v>
      </c>
      <c r="I91" s="197">
        <f t="shared" si="4"/>
        <v>97500</v>
      </c>
      <c r="J91" s="286" t="s">
        <v>273</v>
      </c>
      <c r="K91" s="200">
        <f t="shared" si="5"/>
        <v>75000</v>
      </c>
      <c r="L91" s="286" t="s">
        <v>56</v>
      </c>
      <c r="M91" s="198">
        <f t="shared" si="6"/>
        <v>0</v>
      </c>
      <c r="N91" s="198">
        <f t="shared" si="7"/>
        <v>172500</v>
      </c>
      <c r="O91" s="192"/>
      <c r="P91" s="192"/>
      <c r="Q91" s="192"/>
      <c r="R91" s="192"/>
      <c r="S91" s="192"/>
      <c r="T91" s="192"/>
      <c r="U91" s="192"/>
      <c r="V91" s="192"/>
      <c r="W91" s="192"/>
      <c r="X91" s="192"/>
      <c r="Y91" s="192"/>
      <c r="Z91" s="192"/>
      <c r="AA91" s="192"/>
      <c r="AB91" s="192"/>
      <c r="AC91" s="192"/>
      <c r="AD91" s="192"/>
      <c r="AE91" s="192"/>
      <c r="AF91" s="192"/>
      <c r="AG91" s="192"/>
      <c r="AH91" s="192"/>
      <c r="AI91" s="192"/>
      <c r="AJ91" s="192"/>
      <c r="AK91" s="192"/>
      <c r="AL91" s="192"/>
      <c r="AM91" s="192"/>
      <c r="AN91" s="192"/>
      <c r="AO91" s="192"/>
      <c r="AP91" s="192"/>
      <c r="AQ91" s="192"/>
      <c r="AR91" s="192"/>
      <c r="AS91" s="192"/>
      <c r="AT91" s="192"/>
      <c r="AU91" s="192"/>
      <c r="AV91" s="192"/>
      <c r="AW91" s="192"/>
      <c r="AX91" s="192"/>
      <c r="AY91" s="192"/>
      <c r="AZ91" s="192"/>
      <c r="BA91" s="192"/>
      <c r="BB91" s="192"/>
      <c r="BC91" s="192"/>
      <c r="BD91" s="192"/>
      <c r="BE91" s="192"/>
      <c r="BF91" s="192"/>
      <c r="BG91" s="192"/>
      <c r="BH91" s="192"/>
      <c r="BI91" s="192"/>
      <c r="BJ91" s="192"/>
      <c r="BK91" s="192"/>
      <c r="BL91" s="192"/>
      <c r="BM91" s="192"/>
      <c r="BN91" s="192"/>
      <c r="BO91" s="192"/>
      <c r="BP91" s="192"/>
      <c r="BQ91" s="192"/>
      <c r="BR91" s="192"/>
      <c r="BS91" s="192"/>
      <c r="BT91" s="192"/>
      <c r="BU91" s="192"/>
      <c r="BV91" s="192"/>
      <c r="BW91" s="192"/>
      <c r="BX91" s="192"/>
      <c r="BY91" s="192"/>
      <c r="BZ91" s="192"/>
      <c r="CA91" s="192"/>
      <c r="CB91" s="192"/>
      <c r="CC91" s="192"/>
      <c r="CD91" s="192"/>
      <c r="CE91" s="192"/>
      <c r="CF91" s="192"/>
      <c r="CG91" s="192"/>
      <c r="CH91" s="192"/>
      <c r="CI91" s="192"/>
      <c r="CJ91" s="192"/>
      <c r="CK91" s="192"/>
      <c r="CL91" s="192"/>
      <c r="CM91" s="192"/>
      <c r="CN91" s="192"/>
      <c r="CO91" s="192"/>
      <c r="CP91" s="192"/>
      <c r="CQ91" s="192"/>
      <c r="CR91" s="192"/>
      <c r="CS91" s="192"/>
      <c r="CT91" s="192"/>
      <c r="CU91" s="192"/>
      <c r="CV91" s="192"/>
      <c r="CW91" s="192"/>
      <c r="CX91" s="192"/>
      <c r="CY91" s="192"/>
      <c r="CZ91" s="192"/>
      <c r="DA91" s="192"/>
      <c r="DB91" s="192"/>
      <c r="DC91" s="192"/>
      <c r="DD91" s="192"/>
      <c r="DE91" s="192"/>
      <c r="DF91" s="192"/>
      <c r="DG91" s="192"/>
      <c r="DH91" s="192"/>
      <c r="DI91" s="192"/>
      <c r="DJ91" s="192"/>
      <c r="DK91" s="192"/>
      <c r="DL91" s="192"/>
      <c r="DM91" s="192"/>
      <c r="DN91" s="192"/>
      <c r="DO91" s="192"/>
      <c r="DP91" s="192"/>
      <c r="DQ91" s="192"/>
      <c r="DR91" s="192"/>
      <c r="DS91" s="192"/>
      <c r="DT91" s="192"/>
      <c r="DU91" s="192"/>
      <c r="DV91" s="192"/>
      <c r="DW91" s="192"/>
      <c r="DX91" s="192"/>
      <c r="DY91" s="192"/>
      <c r="DZ91" s="192"/>
      <c r="EA91" s="192"/>
      <c r="EB91" s="192"/>
      <c r="EC91" s="192"/>
      <c r="ED91" s="192"/>
      <c r="EE91" s="192"/>
      <c r="EF91" s="192"/>
      <c r="EG91" s="192"/>
      <c r="EH91" s="192"/>
      <c r="EI91" s="192"/>
      <c r="EJ91" s="192"/>
      <c r="EK91" s="192"/>
      <c r="EL91" s="192"/>
      <c r="EM91" s="192"/>
      <c r="EN91" s="192"/>
      <c r="EO91" s="192"/>
      <c r="EP91" s="192"/>
      <c r="EQ91" s="192"/>
      <c r="ER91" s="192"/>
      <c r="ES91" s="192"/>
      <c r="ET91" s="192"/>
      <c r="EU91" s="192"/>
      <c r="EV91" s="192"/>
      <c r="EW91" s="192"/>
      <c r="EX91" s="192"/>
      <c r="EY91" s="192"/>
      <c r="EZ91" s="192"/>
      <c r="FA91" s="192"/>
      <c r="FB91" s="192"/>
      <c r="FC91" s="192"/>
      <c r="FD91" s="192"/>
      <c r="FE91" s="192"/>
      <c r="FF91" s="192"/>
      <c r="FG91" s="192"/>
      <c r="FH91" s="192"/>
      <c r="FI91" s="192"/>
      <c r="FJ91" s="192"/>
      <c r="FK91" s="192"/>
      <c r="FL91" s="192"/>
      <c r="FM91" s="192"/>
      <c r="FN91" s="192"/>
      <c r="FO91" s="192"/>
      <c r="FP91" s="192"/>
      <c r="FQ91" s="192"/>
      <c r="FR91" s="192"/>
      <c r="FS91" s="192"/>
      <c r="FT91" s="192"/>
      <c r="FU91" s="192"/>
      <c r="FV91" s="192"/>
      <c r="FW91" s="192"/>
      <c r="FX91" s="192"/>
      <c r="FY91" s="192"/>
      <c r="FZ91" s="192"/>
      <c r="GA91" s="192"/>
      <c r="GB91" s="192"/>
      <c r="GC91" s="192"/>
      <c r="GD91" s="192"/>
      <c r="GE91" s="192"/>
      <c r="GF91" s="192"/>
      <c r="GG91" s="192"/>
      <c r="GH91" s="192"/>
      <c r="GI91" s="192"/>
      <c r="GJ91" s="192"/>
      <c r="GK91" s="192"/>
      <c r="GL91" s="192"/>
      <c r="GM91" s="192"/>
      <c r="GN91" s="192"/>
      <c r="GO91" s="192"/>
      <c r="GP91" s="192"/>
      <c r="GQ91" s="192"/>
      <c r="GR91" s="192"/>
      <c r="GS91" s="192"/>
      <c r="GT91" s="192"/>
      <c r="GU91" s="192"/>
      <c r="GV91" s="192"/>
      <c r="GW91" s="192"/>
      <c r="GX91" s="192"/>
      <c r="GY91" s="192"/>
      <c r="GZ91" s="192"/>
      <c r="HA91" s="192"/>
      <c r="HB91" s="192"/>
      <c r="HC91" s="192"/>
      <c r="HD91" s="192"/>
      <c r="HE91" s="192"/>
      <c r="HF91" s="192"/>
      <c r="HG91" s="192"/>
      <c r="HH91" s="192"/>
      <c r="HI91" s="192"/>
      <c r="HJ91" s="192"/>
      <c r="HK91" s="192"/>
      <c r="HL91" s="192"/>
      <c r="HM91" s="192"/>
      <c r="HN91" s="192"/>
      <c r="HO91" s="192"/>
      <c r="HP91" s="192"/>
      <c r="HQ91" s="192"/>
      <c r="HR91" s="192"/>
      <c r="HS91" s="192"/>
      <c r="HT91" s="192"/>
      <c r="HU91" s="192"/>
      <c r="HV91" s="192"/>
      <c r="HW91" s="192"/>
      <c r="HX91" s="192"/>
      <c r="HY91" s="192"/>
      <c r="HZ91" s="192"/>
      <c r="IA91" s="192"/>
      <c r="IB91" s="192"/>
      <c r="IC91" s="192"/>
      <c r="ID91" s="192"/>
      <c r="IE91" s="192"/>
      <c r="IF91" s="192"/>
      <c r="IG91" s="192"/>
      <c r="IH91" s="192"/>
      <c r="II91" s="192"/>
      <c r="IJ91" s="192"/>
      <c r="IK91" s="192"/>
      <c r="IL91" s="192"/>
      <c r="IM91" s="192"/>
      <c r="IN91" s="192"/>
      <c r="IO91" s="192"/>
      <c r="IP91" s="192"/>
      <c r="IQ91" s="192"/>
    </row>
    <row r="92" spans="1:251" s="157" customFormat="1" ht="21.75" customHeight="1">
      <c r="A92" s="196">
        <v>85</v>
      </c>
      <c r="B92" s="277" t="s">
        <v>249</v>
      </c>
      <c r="C92" s="278" t="s">
        <v>294</v>
      </c>
      <c r="D92" s="271"/>
      <c r="E92" s="271">
        <v>56</v>
      </c>
      <c r="F92" s="278" t="s">
        <v>301</v>
      </c>
      <c r="G92" s="271" t="s">
        <v>288</v>
      </c>
      <c r="H92" s="285" t="s">
        <v>269</v>
      </c>
      <c r="I92" s="197">
        <f t="shared" si="4"/>
        <v>97500</v>
      </c>
      <c r="J92" s="286" t="s">
        <v>280</v>
      </c>
      <c r="K92" s="200">
        <f t="shared" si="5"/>
        <v>75000</v>
      </c>
      <c r="L92" s="286" t="s">
        <v>56</v>
      </c>
      <c r="M92" s="198">
        <f t="shared" si="6"/>
        <v>0</v>
      </c>
      <c r="N92" s="198">
        <f t="shared" si="7"/>
        <v>172500</v>
      </c>
      <c r="O92" s="192"/>
      <c r="P92" s="192"/>
      <c r="Q92" s="192"/>
      <c r="R92" s="192"/>
      <c r="S92" s="192"/>
      <c r="T92" s="192"/>
      <c r="U92" s="192"/>
      <c r="V92" s="192"/>
      <c r="W92" s="192"/>
      <c r="X92" s="192"/>
      <c r="Y92" s="192"/>
      <c r="Z92" s="192"/>
      <c r="AA92" s="192"/>
      <c r="AB92" s="192"/>
      <c r="AC92" s="192"/>
      <c r="AD92" s="192"/>
      <c r="AE92" s="192"/>
      <c r="AF92" s="192"/>
      <c r="AG92" s="192"/>
      <c r="AH92" s="192"/>
      <c r="AI92" s="192"/>
      <c r="AJ92" s="192"/>
      <c r="AK92" s="192"/>
      <c r="AL92" s="192"/>
      <c r="AM92" s="192"/>
      <c r="AN92" s="192"/>
      <c r="AO92" s="192"/>
      <c r="AP92" s="192"/>
      <c r="AQ92" s="192"/>
      <c r="AR92" s="192"/>
      <c r="AS92" s="192"/>
      <c r="AT92" s="192"/>
      <c r="AU92" s="192"/>
      <c r="AV92" s="192"/>
      <c r="AW92" s="192"/>
      <c r="AX92" s="192"/>
      <c r="AY92" s="192"/>
      <c r="AZ92" s="192"/>
      <c r="BA92" s="192"/>
      <c r="BB92" s="192"/>
      <c r="BC92" s="192"/>
      <c r="BD92" s="192"/>
      <c r="BE92" s="192"/>
      <c r="BF92" s="192"/>
      <c r="BG92" s="192"/>
      <c r="BH92" s="192"/>
      <c r="BI92" s="192"/>
      <c r="BJ92" s="192"/>
      <c r="BK92" s="192"/>
      <c r="BL92" s="192"/>
      <c r="BM92" s="192"/>
      <c r="BN92" s="192"/>
      <c r="BO92" s="192"/>
      <c r="BP92" s="192"/>
      <c r="BQ92" s="192"/>
      <c r="BR92" s="192"/>
      <c r="BS92" s="192"/>
      <c r="BT92" s="192"/>
      <c r="BU92" s="192"/>
      <c r="BV92" s="192"/>
      <c r="BW92" s="192"/>
      <c r="BX92" s="192"/>
      <c r="BY92" s="192"/>
      <c r="BZ92" s="192"/>
      <c r="CA92" s="192"/>
      <c r="CB92" s="192"/>
      <c r="CC92" s="192"/>
      <c r="CD92" s="192"/>
      <c r="CE92" s="192"/>
      <c r="CF92" s="192"/>
      <c r="CG92" s="192"/>
      <c r="CH92" s="192"/>
      <c r="CI92" s="192"/>
      <c r="CJ92" s="192"/>
      <c r="CK92" s="192"/>
      <c r="CL92" s="192"/>
      <c r="CM92" s="192"/>
      <c r="CN92" s="192"/>
      <c r="CO92" s="192"/>
      <c r="CP92" s="192"/>
      <c r="CQ92" s="192"/>
      <c r="CR92" s="192"/>
      <c r="CS92" s="192"/>
      <c r="CT92" s="192"/>
      <c r="CU92" s="192"/>
      <c r="CV92" s="192"/>
      <c r="CW92" s="192"/>
      <c r="CX92" s="192"/>
      <c r="CY92" s="192"/>
      <c r="CZ92" s="192"/>
      <c r="DA92" s="192"/>
      <c r="DB92" s="192"/>
      <c r="DC92" s="192"/>
      <c r="DD92" s="192"/>
      <c r="DE92" s="192"/>
      <c r="DF92" s="192"/>
      <c r="DG92" s="192"/>
      <c r="DH92" s="192"/>
      <c r="DI92" s="192"/>
      <c r="DJ92" s="192"/>
      <c r="DK92" s="192"/>
      <c r="DL92" s="192"/>
      <c r="DM92" s="192"/>
      <c r="DN92" s="192"/>
      <c r="DO92" s="192"/>
      <c r="DP92" s="192"/>
      <c r="DQ92" s="192"/>
      <c r="DR92" s="192"/>
      <c r="DS92" s="192"/>
      <c r="DT92" s="192"/>
      <c r="DU92" s="192"/>
      <c r="DV92" s="192"/>
      <c r="DW92" s="192"/>
      <c r="DX92" s="192"/>
      <c r="DY92" s="192"/>
      <c r="DZ92" s="192"/>
      <c r="EA92" s="192"/>
      <c r="EB92" s="192"/>
      <c r="EC92" s="192"/>
      <c r="ED92" s="192"/>
      <c r="EE92" s="192"/>
      <c r="EF92" s="192"/>
      <c r="EG92" s="192"/>
      <c r="EH92" s="192"/>
      <c r="EI92" s="192"/>
      <c r="EJ92" s="192"/>
      <c r="EK92" s="192"/>
      <c r="EL92" s="192"/>
      <c r="EM92" s="192"/>
      <c r="EN92" s="192"/>
      <c r="EO92" s="192"/>
      <c r="EP92" s="192"/>
      <c r="EQ92" s="192"/>
      <c r="ER92" s="192"/>
      <c r="ES92" s="192"/>
      <c r="ET92" s="192"/>
      <c r="EU92" s="192"/>
      <c r="EV92" s="192"/>
      <c r="EW92" s="192"/>
      <c r="EX92" s="192"/>
      <c r="EY92" s="192"/>
      <c r="EZ92" s="192"/>
      <c r="FA92" s="192"/>
      <c r="FB92" s="192"/>
      <c r="FC92" s="192"/>
      <c r="FD92" s="192"/>
      <c r="FE92" s="192"/>
      <c r="FF92" s="192"/>
      <c r="FG92" s="192"/>
      <c r="FH92" s="192"/>
      <c r="FI92" s="192"/>
      <c r="FJ92" s="192"/>
      <c r="FK92" s="192"/>
      <c r="FL92" s="192"/>
      <c r="FM92" s="192"/>
      <c r="FN92" s="192"/>
      <c r="FO92" s="192"/>
      <c r="FP92" s="192"/>
      <c r="FQ92" s="192"/>
      <c r="FR92" s="192"/>
      <c r="FS92" s="192"/>
      <c r="FT92" s="192"/>
      <c r="FU92" s="192"/>
      <c r="FV92" s="192"/>
      <c r="FW92" s="192"/>
      <c r="FX92" s="192"/>
      <c r="FY92" s="192"/>
      <c r="FZ92" s="192"/>
      <c r="GA92" s="192"/>
      <c r="GB92" s="192"/>
      <c r="GC92" s="192"/>
      <c r="GD92" s="192"/>
      <c r="GE92" s="192"/>
      <c r="GF92" s="192"/>
      <c r="GG92" s="192"/>
      <c r="GH92" s="192"/>
      <c r="GI92" s="192"/>
      <c r="GJ92" s="192"/>
      <c r="GK92" s="192"/>
      <c r="GL92" s="192"/>
      <c r="GM92" s="192"/>
      <c r="GN92" s="192"/>
      <c r="GO92" s="192"/>
      <c r="GP92" s="192"/>
      <c r="GQ92" s="192"/>
      <c r="GR92" s="192"/>
      <c r="GS92" s="192"/>
      <c r="GT92" s="192"/>
      <c r="GU92" s="192"/>
      <c r="GV92" s="192"/>
      <c r="GW92" s="192"/>
      <c r="GX92" s="192"/>
      <c r="GY92" s="192"/>
      <c r="GZ92" s="192"/>
      <c r="HA92" s="192"/>
      <c r="HB92" s="192"/>
      <c r="HC92" s="192"/>
      <c r="HD92" s="192"/>
      <c r="HE92" s="192"/>
      <c r="HF92" s="192"/>
      <c r="HG92" s="192"/>
      <c r="HH92" s="192"/>
      <c r="HI92" s="192"/>
      <c r="HJ92" s="192"/>
      <c r="HK92" s="192"/>
      <c r="HL92" s="192"/>
      <c r="HM92" s="192"/>
      <c r="HN92" s="192"/>
      <c r="HO92" s="192"/>
      <c r="HP92" s="192"/>
      <c r="HQ92" s="192"/>
      <c r="HR92" s="192"/>
      <c r="HS92" s="192"/>
      <c r="HT92" s="192"/>
      <c r="HU92" s="192"/>
      <c r="HV92" s="192"/>
      <c r="HW92" s="192"/>
      <c r="HX92" s="192"/>
      <c r="HY92" s="192"/>
      <c r="HZ92" s="192"/>
      <c r="IA92" s="192"/>
      <c r="IB92" s="192"/>
      <c r="IC92" s="192"/>
      <c r="ID92" s="192"/>
      <c r="IE92" s="192"/>
      <c r="IF92" s="192"/>
      <c r="IG92" s="192"/>
      <c r="IH92" s="192"/>
      <c r="II92" s="192"/>
      <c r="IJ92" s="192"/>
      <c r="IK92" s="192"/>
      <c r="IL92" s="192"/>
      <c r="IM92" s="192"/>
      <c r="IN92" s="192"/>
      <c r="IO92" s="192"/>
      <c r="IP92" s="192"/>
      <c r="IQ92" s="192"/>
    </row>
    <row r="93" spans="1:251" s="157" customFormat="1" ht="21.75" customHeight="1">
      <c r="A93" s="196">
        <v>86</v>
      </c>
      <c r="B93" s="277" t="s">
        <v>251</v>
      </c>
      <c r="C93" s="278" t="s">
        <v>323</v>
      </c>
      <c r="D93" s="271"/>
      <c r="E93" s="271">
        <v>75</v>
      </c>
      <c r="F93" s="278" t="s">
        <v>306</v>
      </c>
      <c r="G93" s="271" t="s">
        <v>288</v>
      </c>
      <c r="H93" s="285" t="s">
        <v>267</v>
      </c>
      <c r="I93" s="197">
        <f t="shared" si="4"/>
        <v>97500</v>
      </c>
      <c r="J93" s="286" t="s">
        <v>275</v>
      </c>
      <c r="K93" s="200">
        <f t="shared" si="5"/>
        <v>75000</v>
      </c>
      <c r="L93" s="286" t="s">
        <v>56</v>
      </c>
      <c r="M93" s="198">
        <f t="shared" si="6"/>
        <v>0</v>
      </c>
      <c r="N93" s="198">
        <f t="shared" si="7"/>
        <v>172500</v>
      </c>
      <c r="O93" s="192"/>
      <c r="P93" s="192"/>
      <c r="Q93" s="192"/>
      <c r="R93" s="192"/>
      <c r="S93" s="192"/>
      <c r="T93" s="192"/>
      <c r="U93" s="192"/>
      <c r="V93" s="192"/>
      <c r="W93" s="192"/>
      <c r="X93" s="192"/>
      <c r="Y93" s="192"/>
      <c r="Z93" s="192"/>
      <c r="AA93" s="192"/>
      <c r="AB93" s="192"/>
      <c r="AC93" s="192"/>
      <c r="AD93" s="192"/>
      <c r="AE93" s="192"/>
      <c r="AF93" s="192"/>
      <c r="AG93" s="192"/>
      <c r="AH93" s="192"/>
      <c r="AI93" s="192"/>
      <c r="AJ93" s="192"/>
      <c r="AK93" s="192"/>
      <c r="AL93" s="192"/>
      <c r="AM93" s="192"/>
      <c r="AN93" s="192"/>
      <c r="AO93" s="192"/>
      <c r="AP93" s="192"/>
      <c r="AQ93" s="192"/>
      <c r="AR93" s="192"/>
      <c r="AS93" s="192"/>
      <c r="AT93" s="192"/>
      <c r="AU93" s="192"/>
      <c r="AV93" s="192"/>
      <c r="AW93" s="192"/>
      <c r="AX93" s="192"/>
      <c r="AY93" s="192"/>
      <c r="AZ93" s="192"/>
      <c r="BA93" s="192"/>
      <c r="BB93" s="192"/>
      <c r="BC93" s="192"/>
      <c r="BD93" s="192"/>
      <c r="BE93" s="192"/>
      <c r="BF93" s="192"/>
      <c r="BG93" s="192"/>
      <c r="BH93" s="192"/>
      <c r="BI93" s="192"/>
      <c r="BJ93" s="192"/>
      <c r="BK93" s="192"/>
      <c r="BL93" s="192"/>
      <c r="BM93" s="192"/>
      <c r="BN93" s="192"/>
      <c r="BO93" s="192"/>
      <c r="BP93" s="192"/>
      <c r="BQ93" s="192"/>
      <c r="BR93" s="192"/>
      <c r="BS93" s="192"/>
      <c r="BT93" s="192"/>
      <c r="BU93" s="192"/>
      <c r="BV93" s="192"/>
      <c r="BW93" s="192"/>
      <c r="BX93" s="192"/>
      <c r="BY93" s="192"/>
      <c r="BZ93" s="192"/>
      <c r="CA93" s="192"/>
      <c r="CB93" s="192"/>
      <c r="CC93" s="192"/>
      <c r="CD93" s="192"/>
      <c r="CE93" s="192"/>
      <c r="CF93" s="192"/>
      <c r="CG93" s="192"/>
      <c r="CH93" s="192"/>
      <c r="CI93" s="192"/>
      <c r="CJ93" s="192"/>
      <c r="CK93" s="192"/>
      <c r="CL93" s="192"/>
      <c r="CM93" s="192"/>
      <c r="CN93" s="192"/>
      <c r="CO93" s="192"/>
      <c r="CP93" s="192"/>
      <c r="CQ93" s="192"/>
      <c r="CR93" s="192"/>
      <c r="CS93" s="192"/>
      <c r="CT93" s="192"/>
      <c r="CU93" s="192"/>
      <c r="CV93" s="192"/>
      <c r="CW93" s="192"/>
      <c r="CX93" s="192"/>
      <c r="CY93" s="192"/>
      <c r="CZ93" s="192"/>
      <c r="DA93" s="192"/>
      <c r="DB93" s="192"/>
      <c r="DC93" s="192"/>
      <c r="DD93" s="192"/>
      <c r="DE93" s="192"/>
      <c r="DF93" s="192"/>
      <c r="DG93" s="192"/>
      <c r="DH93" s="192"/>
      <c r="DI93" s="192"/>
      <c r="DJ93" s="192"/>
      <c r="DK93" s="192"/>
      <c r="DL93" s="192"/>
      <c r="DM93" s="192"/>
      <c r="DN93" s="192"/>
      <c r="DO93" s="192"/>
      <c r="DP93" s="192"/>
      <c r="DQ93" s="192"/>
      <c r="DR93" s="192"/>
      <c r="DS93" s="192"/>
      <c r="DT93" s="192"/>
      <c r="DU93" s="192"/>
      <c r="DV93" s="192"/>
      <c r="DW93" s="192"/>
      <c r="DX93" s="192"/>
      <c r="DY93" s="192"/>
      <c r="DZ93" s="192"/>
      <c r="EA93" s="192"/>
      <c r="EB93" s="192"/>
      <c r="EC93" s="192"/>
      <c r="ED93" s="192"/>
      <c r="EE93" s="192"/>
      <c r="EF93" s="192"/>
      <c r="EG93" s="192"/>
      <c r="EH93" s="192"/>
      <c r="EI93" s="192"/>
      <c r="EJ93" s="192"/>
      <c r="EK93" s="192"/>
      <c r="EL93" s="192"/>
      <c r="EM93" s="192"/>
      <c r="EN93" s="192"/>
      <c r="EO93" s="192"/>
      <c r="EP93" s="192"/>
      <c r="EQ93" s="192"/>
      <c r="ER93" s="192"/>
      <c r="ES93" s="192"/>
      <c r="ET93" s="192"/>
      <c r="EU93" s="192"/>
      <c r="EV93" s="192"/>
      <c r="EW93" s="192"/>
      <c r="EX93" s="192"/>
      <c r="EY93" s="192"/>
      <c r="EZ93" s="192"/>
      <c r="FA93" s="192"/>
      <c r="FB93" s="192"/>
      <c r="FC93" s="192"/>
      <c r="FD93" s="192"/>
      <c r="FE93" s="192"/>
      <c r="FF93" s="192"/>
      <c r="FG93" s="192"/>
      <c r="FH93" s="192"/>
      <c r="FI93" s="192"/>
      <c r="FJ93" s="192"/>
      <c r="FK93" s="192"/>
      <c r="FL93" s="192"/>
      <c r="FM93" s="192"/>
      <c r="FN93" s="192"/>
      <c r="FO93" s="192"/>
      <c r="FP93" s="192"/>
      <c r="FQ93" s="192"/>
      <c r="FR93" s="192"/>
      <c r="FS93" s="192"/>
      <c r="FT93" s="192"/>
      <c r="FU93" s="192"/>
      <c r="FV93" s="192"/>
      <c r="FW93" s="192"/>
      <c r="FX93" s="192"/>
      <c r="FY93" s="192"/>
      <c r="FZ93" s="192"/>
      <c r="GA93" s="192"/>
      <c r="GB93" s="192"/>
      <c r="GC93" s="192"/>
      <c r="GD93" s="192"/>
      <c r="GE93" s="192"/>
      <c r="GF93" s="192"/>
      <c r="GG93" s="192"/>
      <c r="GH93" s="192"/>
      <c r="GI93" s="192"/>
      <c r="GJ93" s="192"/>
      <c r="GK93" s="192"/>
      <c r="GL93" s="192"/>
      <c r="GM93" s="192"/>
      <c r="GN93" s="192"/>
      <c r="GO93" s="192"/>
      <c r="GP93" s="192"/>
      <c r="GQ93" s="192"/>
      <c r="GR93" s="192"/>
      <c r="GS93" s="192"/>
      <c r="GT93" s="192"/>
      <c r="GU93" s="192"/>
      <c r="GV93" s="192"/>
      <c r="GW93" s="192"/>
      <c r="GX93" s="192"/>
      <c r="GY93" s="192"/>
      <c r="GZ93" s="192"/>
      <c r="HA93" s="192"/>
      <c r="HB93" s="192"/>
      <c r="HC93" s="192"/>
      <c r="HD93" s="192"/>
      <c r="HE93" s="192"/>
      <c r="HF93" s="192"/>
      <c r="HG93" s="192"/>
      <c r="HH93" s="192"/>
      <c r="HI93" s="192"/>
      <c r="HJ93" s="192"/>
      <c r="HK93" s="192"/>
      <c r="HL93" s="192"/>
      <c r="HM93" s="192"/>
      <c r="HN93" s="192"/>
      <c r="HO93" s="192"/>
      <c r="HP93" s="192"/>
      <c r="HQ93" s="192"/>
      <c r="HR93" s="192"/>
      <c r="HS93" s="192"/>
      <c r="HT93" s="192"/>
      <c r="HU93" s="192"/>
      <c r="HV93" s="192"/>
      <c r="HW93" s="192"/>
      <c r="HX93" s="192"/>
      <c r="HY93" s="192"/>
      <c r="HZ93" s="192"/>
      <c r="IA93" s="192"/>
      <c r="IB93" s="192"/>
      <c r="IC93" s="192"/>
      <c r="ID93" s="192"/>
      <c r="IE93" s="192"/>
      <c r="IF93" s="192"/>
      <c r="IG93" s="192"/>
      <c r="IH93" s="192"/>
      <c r="II93" s="192"/>
      <c r="IJ93" s="192"/>
      <c r="IK93" s="192"/>
      <c r="IL93" s="192"/>
      <c r="IM93" s="192"/>
      <c r="IN93" s="192"/>
      <c r="IO93" s="192"/>
      <c r="IP93" s="192"/>
      <c r="IQ93" s="192"/>
    </row>
    <row r="94" spans="1:251" s="157" customFormat="1" ht="21.75" customHeight="1">
      <c r="A94" s="196">
        <v>87</v>
      </c>
      <c r="B94" s="277" t="s">
        <v>324</v>
      </c>
      <c r="C94" s="278" t="s">
        <v>325</v>
      </c>
      <c r="D94" s="271">
        <v>21</v>
      </c>
      <c r="E94" s="271"/>
      <c r="F94" s="278" t="s">
        <v>317</v>
      </c>
      <c r="G94" s="271" t="s">
        <v>286</v>
      </c>
      <c r="H94" s="285" t="s">
        <v>268</v>
      </c>
      <c r="I94" s="197">
        <f t="shared" si="4"/>
        <v>97500</v>
      </c>
      <c r="J94" s="286" t="s">
        <v>277</v>
      </c>
      <c r="K94" s="200">
        <f t="shared" si="5"/>
        <v>75000</v>
      </c>
      <c r="L94" s="286" t="s">
        <v>56</v>
      </c>
      <c r="M94" s="198">
        <f t="shared" si="6"/>
        <v>0</v>
      </c>
      <c r="N94" s="198">
        <f t="shared" si="7"/>
        <v>172500</v>
      </c>
      <c r="O94" s="192"/>
      <c r="P94" s="192"/>
      <c r="Q94" s="192"/>
      <c r="R94" s="192"/>
      <c r="S94" s="192"/>
      <c r="T94" s="192"/>
      <c r="U94" s="192"/>
      <c r="V94" s="192"/>
      <c r="W94" s="192"/>
      <c r="X94" s="192"/>
      <c r="Y94" s="192"/>
      <c r="Z94" s="192"/>
      <c r="AA94" s="192"/>
      <c r="AB94" s="192"/>
      <c r="AC94" s="192"/>
      <c r="AD94" s="192"/>
      <c r="AE94" s="192"/>
      <c r="AF94" s="192"/>
      <c r="AG94" s="192"/>
      <c r="AH94" s="192"/>
      <c r="AI94" s="192"/>
      <c r="AJ94" s="192"/>
      <c r="AK94" s="192"/>
      <c r="AL94" s="192"/>
      <c r="AM94" s="192"/>
      <c r="AN94" s="192"/>
      <c r="AO94" s="192"/>
      <c r="AP94" s="192"/>
      <c r="AQ94" s="192"/>
      <c r="AR94" s="192"/>
      <c r="AS94" s="192"/>
      <c r="AT94" s="192"/>
      <c r="AU94" s="192"/>
      <c r="AV94" s="192"/>
      <c r="AW94" s="192"/>
      <c r="AX94" s="192"/>
      <c r="AY94" s="192"/>
      <c r="AZ94" s="192"/>
      <c r="BA94" s="192"/>
      <c r="BB94" s="192"/>
      <c r="BC94" s="192"/>
      <c r="BD94" s="192"/>
      <c r="BE94" s="192"/>
      <c r="BF94" s="192"/>
      <c r="BG94" s="192"/>
      <c r="BH94" s="192"/>
      <c r="BI94" s="192"/>
      <c r="BJ94" s="192"/>
      <c r="BK94" s="192"/>
      <c r="BL94" s="192"/>
      <c r="BM94" s="192"/>
      <c r="BN94" s="192"/>
      <c r="BO94" s="192"/>
      <c r="BP94" s="192"/>
      <c r="BQ94" s="192"/>
      <c r="BR94" s="192"/>
      <c r="BS94" s="192"/>
      <c r="BT94" s="192"/>
      <c r="BU94" s="192"/>
      <c r="BV94" s="192"/>
      <c r="BW94" s="192"/>
      <c r="BX94" s="192"/>
      <c r="BY94" s="192"/>
      <c r="BZ94" s="192"/>
      <c r="CA94" s="192"/>
      <c r="CB94" s="192"/>
      <c r="CC94" s="192"/>
      <c r="CD94" s="192"/>
      <c r="CE94" s="192"/>
      <c r="CF94" s="192"/>
      <c r="CG94" s="192"/>
      <c r="CH94" s="192"/>
      <c r="CI94" s="192"/>
      <c r="CJ94" s="192"/>
      <c r="CK94" s="192"/>
      <c r="CL94" s="192"/>
      <c r="CM94" s="192"/>
      <c r="CN94" s="192"/>
      <c r="CO94" s="192"/>
      <c r="CP94" s="192"/>
      <c r="CQ94" s="192"/>
      <c r="CR94" s="192"/>
      <c r="CS94" s="192"/>
      <c r="CT94" s="192"/>
      <c r="CU94" s="192"/>
      <c r="CV94" s="192"/>
      <c r="CW94" s="192"/>
      <c r="CX94" s="192"/>
      <c r="CY94" s="192"/>
      <c r="CZ94" s="192"/>
      <c r="DA94" s="192"/>
      <c r="DB94" s="192"/>
      <c r="DC94" s="192"/>
      <c r="DD94" s="192"/>
      <c r="DE94" s="192"/>
      <c r="DF94" s="192"/>
      <c r="DG94" s="192"/>
      <c r="DH94" s="192"/>
      <c r="DI94" s="192"/>
      <c r="DJ94" s="192"/>
      <c r="DK94" s="192"/>
      <c r="DL94" s="192"/>
      <c r="DM94" s="192"/>
      <c r="DN94" s="192"/>
      <c r="DO94" s="192"/>
      <c r="DP94" s="192"/>
      <c r="DQ94" s="192"/>
      <c r="DR94" s="192"/>
      <c r="DS94" s="192"/>
      <c r="DT94" s="192"/>
      <c r="DU94" s="192"/>
      <c r="DV94" s="192"/>
      <c r="DW94" s="192"/>
      <c r="DX94" s="192"/>
      <c r="DY94" s="192"/>
      <c r="DZ94" s="192"/>
      <c r="EA94" s="192"/>
      <c r="EB94" s="192"/>
      <c r="EC94" s="192"/>
      <c r="ED94" s="192"/>
      <c r="EE94" s="192"/>
      <c r="EF94" s="192"/>
      <c r="EG94" s="192"/>
      <c r="EH94" s="192"/>
      <c r="EI94" s="192"/>
      <c r="EJ94" s="192"/>
      <c r="EK94" s="192"/>
      <c r="EL94" s="192"/>
      <c r="EM94" s="192"/>
      <c r="EN94" s="192"/>
      <c r="EO94" s="192"/>
      <c r="EP94" s="192"/>
      <c r="EQ94" s="192"/>
      <c r="ER94" s="192"/>
      <c r="ES94" s="192"/>
      <c r="ET94" s="192"/>
      <c r="EU94" s="192"/>
      <c r="EV94" s="192"/>
      <c r="EW94" s="192"/>
      <c r="EX94" s="192"/>
      <c r="EY94" s="192"/>
      <c r="EZ94" s="192"/>
      <c r="FA94" s="192"/>
      <c r="FB94" s="192"/>
      <c r="FC94" s="192"/>
      <c r="FD94" s="192"/>
      <c r="FE94" s="192"/>
      <c r="FF94" s="192"/>
      <c r="FG94" s="192"/>
      <c r="FH94" s="192"/>
      <c r="FI94" s="192"/>
      <c r="FJ94" s="192"/>
      <c r="FK94" s="192"/>
      <c r="FL94" s="192"/>
      <c r="FM94" s="192"/>
      <c r="FN94" s="192"/>
      <c r="FO94" s="192"/>
      <c r="FP94" s="192"/>
      <c r="FQ94" s="192"/>
      <c r="FR94" s="192"/>
      <c r="FS94" s="192"/>
      <c r="FT94" s="192"/>
      <c r="FU94" s="192"/>
      <c r="FV94" s="192"/>
      <c r="FW94" s="192"/>
      <c r="FX94" s="192"/>
      <c r="FY94" s="192"/>
      <c r="FZ94" s="192"/>
      <c r="GA94" s="192"/>
      <c r="GB94" s="192"/>
      <c r="GC94" s="192"/>
      <c r="GD94" s="192"/>
      <c r="GE94" s="192"/>
      <c r="GF94" s="192"/>
      <c r="GG94" s="192"/>
      <c r="GH94" s="192"/>
      <c r="GI94" s="192"/>
      <c r="GJ94" s="192"/>
      <c r="GK94" s="192"/>
      <c r="GL94" s="192"/>
      <c r="GM94" s="192"/>
      <c r="GN94" s="192"/>
      <c r="GO94" s="192"/>
      <c r="GP94" s="192"/>
      <c r="GQ94" s="192"/>
      <c r="GR94" s="192"/>
      <c r="GS94" s="192"/>
      <c r="GT94" s="192"/>
      <c r="GU94" s="192"/>
      <c r="GV94" s="192"/>
      <c r="GW94" s="192"/>
      <c r="GX94" s="192"/>
      <c r="GY94" s="192"/>
      <c r="GZ94" s="192"/>
      <c r="HA94" s="192"/>
      <c r="HB94" s="192"/>
      <c r="HC94" s="192"/>
      <c r="HD94" s="192"/>
      <c r="HE94" s="192"/>
      <c r="HF94" s="192"/>
      <c r="HG94" s="192"/>
      <c r="HH94" s="192"/>
      <c r="HI94" s="192"/>
      <c r="HJ94" s="192"/>
      <c r="HK94" s="192"/>
      <c r="HL94" s="192"/>
      <c r="HM94" s="192"/>
      <c r="HN94" s="192"/>
      <c r="HO94" s="192"/>
      <c r="HP94" s="192"/>
      <c r="HQ94" s="192"/>
      <c r="HR94" s="192"/>
      <c r="HS94" s="192"/>
      <c r="HT94" s="192"/>
      <c r="HU94" s="192"/>
      <c r="HV94" s="192"/>
      <c r="HW94" s="192"/>
      <c r="HX94" s="192"/>
      <c r="HY94" s="192"/>
      <c r="HZ94" s="192"/>
      <c r="IA94" s="192"/>
      <c r="IB94" s="192"/>
      <c r="IC94" s="192"/>
      <c r="ID94" s="192"/>
      <c r="IE94" s="192"/>
      <c r="IF94" s="192"/>
      <c r="IG94" s="192"/>
      <c r="IH94" s="192"/>
      <c r="II94" s="192"/>
      <c r="IJ94" s="192"/>
      <c r="IK94" s="192"/>
      <c r="IL94" s="192"/>
      <c r="IM94" s="192"/>
      <c r="IN94" s="192"/>
      <c r="IO94" s="192"/>
      <c r="IP94" s="192"/>
      <c r="IQ94" s="192"/>
    </row>
    <row r="95" spans="1:251" s="157" customFormat="1" ht="21.75" customHeight="1">
      <c r="A95" s="196">
        <v>88</v>
      </c>
      <c r="B95" s="277" t="s">
        <v>324</v>
      </c>
      <c r="C95" s="278" t="s">
        <v>326</v>
      </c>
      <c r="D95" s="271">
        <v>62</v>
      </c>
      <c r="E95" s="271"/>
      <c r="F95" s="278" t="s">
        <v>308</v>
      </c>
      <c r="G95" s="271" t="s">
        <v>286</v>
      </c>
      <c r="H95" s="285" t="s">
        <v>270</v>
      </c>
      <c r="I95" s="197">
        <f t="shared" si="4"/>
        <v>97500</v>
      </c>
      <c r="J95" s="286" t="s">
        <v>281</v>
      </c>
      <c r="K95" s="200">
        <f t="shared" si="5"/>
        <v>75000</v>
      </c>
      <c r="L95" s="286" t="s">
        <v>56</v>
      </c>
      <c r="M95" s="198">
        <f t="shared" si="6"/>
        <v>0</v>
      </c>
      <c r="N95" s="198">
        <f t="shared" si="7"/>
        <v>172500</v>
      </c>
      <c r="O95" s="192"/>
      <c r="P95" s="192"/>
      <c r="Q95" s="192"/>
      <c r="R95" s="192"/>
      <c r="S95" s="192"/>
      <c r="T95" s="192"/>
      <c r="U95" s="192"/>
      <c r="V95" s="192"/>
      <c r="W95" s="192"/>
      <c r="X95" s="192"/>
      <c r="Y95" s="192"/>
      <c r="Z95" s="192"/>
      <c r="AA95" s="192"/>
      <c r="AB95" s="192"/>
      <c r="AC95" s="192"/>
      <c r="AD95" s="192"/>
      <c r="AE95" s="192"/>
      <c r="AF95" s="192"/>
      <c r="AG95" s="192"/>
      <c r="AH95" s="192"/>
      <c r="AI95" s="192"/>
      <c r="AJ95" s="192"/>
      <c r="AK95" s="192"/>
      <c r="AL95" s="192"/>
      <c r="AM95" s="192"/>
      <c r="AN95" s="192"/>
      <c r="AO95" s="192"/>
      <c r="AP95" s="192"/>
      <c r="AQ95" s="192"/>
      <c r="AR95" s="192"/>
      <c r="AS95" s="192"/>
      <c r="AT95" s="192"/>
      <c r="AU95" s="192"/>
      <c r="AV95" s="192"/>
      <c r="AW95" s="192"/>
      <c r="AX95" s="192"/>
      <c r="AY95" s="192"/>
      <c r="AZ95" s="192"/>
      <c r="BA95" s="192"/>
      <c r="BB95" s="192"/>
      <c r="BC95" s="192"/>
      <c r="BD95" s="192"/>
      <c r="BE95" s="192"/>
      <c r="BF95" s="192"/>
      <c r="BG95" s="192"/>
      <c r="BH95" s="192"/>
      <c r="BI95" s="192"/>
      <c r="BJ95" s="192"/>
      <c r="BK95" s="192"/>
      <c r="BL95" s="192"/>
      <c r="BM95" s="192"/>
      <c r="BN95" s="192"/>
      <c r="BO95" s="192"/>
      <c r="BP95" s="192"/>
      <c r="BQ95" s="192"/>
      <c r="BR95" s="192"/>
      <c r="BS95" s="192"/>
      <c r="BT95" s="192"/>
      <c r="BU95" s="192"/>
      <c r="BV95" s="192"/>
      <c r="BW95" s="192"/>
      <c r="BX95" s="192"/>
      <c r="BY95" s="192"/>
      <c r="BZ95" s="192"/>
      <c r="CA95" s="192"/>
      <c r="CB95" s="192"/>
      <c r="CC95" s="192"/>
      <c r="CD95" s="192"/>
      <c r="CE95" s="192"/>
      <c r="CF95" s="192"/>
      <c r="CG95" s="192"/>
      <c r="CH95" s="192"/>
      <c r="CI95" s="192"/>
      <c r="CJ95" s="192"/>
      <c r="CK95" s="192"/>
      <c r="CL95" s="192"/>
      <c r="CM95" s="192"/>
      <c r="CN95" s="192"/>
      <c r="CO95" s="192"/>
      <c r="CP95" s="192"/>
      <c r="CQ95" s="192"/>
      <c r="CR95" s="192"/>
      <c r="CS95" s="192"/>
      <c r="CT95" s="192"/>
      <c r="CU95" s="192"/>
      <c r="CV95" s="192"/>
      <c r="CW95" s="192"/>
      <c r="CX95" s="192"/>
      <c r="CY95" s="192"/>
      <c r="CZ95" s="192"/>
      <c r="DA95" s="192"/>
      <c r="DB95" s="192"/>
      <c r="DC95" s="192"/>
      <c r="DD95" s="192"/>
      <c r="DE95" s="192"/>
      <c r="DF95" s="192"/>
      <c r="DG95" s="192"/>
      <c r="DH95" s="192"/>
      <c r="DI95" s="192"/>
      <c r="DJ95" s="192"/>
      <c r="DK95" s="192"/>
      <c r="DL95" s="192"/>
      <c r="DM95" s="192"/>
      <c r="DN95" s="192"/>
      <c r="DO95" s="192"/>
      <c r="DP95" s="192"/>
      <c r="DQ95" s="192"/>
      <c r="DR95" s="192"/>
      <c r="DS95" s="192"/>
      <c r="DT95" s="192"/>
      <c r="DU95" s="192"/>
      <c r="DV95" s="192"/>
      <c r="DW95" s="192"/>
      <c r="DX95" s="192"/>
      <c r="DY95" s="192"/>
      <c r="DZ95" s="192"/>
      <c r="EA95" s="192"/>
      <c r="EB95" s="192"/>
      <c r="EC95" s="192"/>
      <c r="ED95" s="192"/>
      <c r="EE95" s="192"/>
      <c r="EF95" s="192"/>
      <c r="EG95" s="192"/>
      <c r="EH95" s="192"/>
      <c r="EI95" s="192"/>
      <c r="EJ95" s="192"/>
      <c r="EK95" s="192"/>
      <c r="EL95" s="192"/>
      <c r="EM95" s="192"/>
      <c r="EN95" s="192"/>
      <c r="EO95" s="192"/>
      <c r="EP95" s="192"/>
      <c r="EQ95" s="192"/>
      <c r="ER95" s="192"/>
      <c r="ES95" s="192"/>
      <c r="ET95" s="192"/>
      <c r="EU95" s="192"/>
      <c r="EV95" s="192"/>
      <c r="EW95" s="192"/>
      <c r="EX95" s="192"/>
      <c r="EY95" s="192"/>
      <c r="EZ95" s="192"/>
      <c r="FA95" s="192"/>
      <c r="FB95" s="192"/>
      <c r="FC95" s="192"/>
      <c r="FD95" s="192"/>
      <c r="FE95" s="192"/>
      <c r="FF95" s="192"/>
      <c r="FG95" s="192"/>
      <c r="FH95" s="192"/>
      <c r="FI95" s="192"/>
      <c r="FJ95" s="192"/>
      <c r="FK95" s="192"/>
      <c r="FL95" s="192"/>
      <c r="FM95" s="192"/>
      <c r="FN95" s="192"/>
      <c r="FO95" s="192"/>
      <c r="FP95" s="192"/>
      <c r="FQ95" s="192"/>
      <c r="FR95" s="192"/>
      <c r="FS95" s="192"/>
      <c r="FT95" s="192"/>
      <c r="FU95" s="192"/>
      <c r="FV95" s="192"/>
      <c r="FW95" s="192"/>
      <c r="FX95" s="192"/>
      <c r="FY95" s="192"/>
      <c r="FZ95" s="192"/>
      <c r="GA95" s="192"/>
      <c r="GB95" s="192"/>
      <c r="GC95" s="192"/>
      <c r="GD95" s="192"/>
      <c r="GE95" s="192"/>
      <c r="GF95" s="192"/>
      <c r="GG95" s="192"/>
      <c r="GH95" s="192"/>
      <c r="GI95" s="192"/>
      <c r="GJ95" s="192"/>
      <c r="GK95" s="192"/>
      <c r="GL95" s="192"/>
      <c r="GM95" s="192"/>
      <c r="GN95" s="192"/>
      <c r="GO95" s="192"/>
      <c r="GP95" s="192"/>
      <c r="GQ95" s="192"/>
      <c r="GR95" s="192"/>
      <c r="GS95" s="192"/>
      <c r="GT95" s="192"/>
      <c r="GU95" s="192"/>
      <c r="GV95" s="192"/>
      <c r="GW95" s="192"/>
      <c r="GX95" s="192"/>
      <c r="GY95" s="192"/>
      <c r="GZ95" s="192"/>
      <c r="HA95" s="192"/>
      <c r="HB95" s="192"/>
      <c r="HC95" s="192"/>
      <c r="HD95" s="192"/>
      <c r="HE95" s="192"/>
      <c r="HF95" s="192"/>
      <c r="HG95" s="192"/>
      <c r="HH95" s="192"/>
      <c r="HI95" s="192"/>
      <c r="HJ95" s="192"/>
      <c r="HK95" s="192"/>
      <c r="HL95" s="192"/>
      <c r="HM95" s="192"/>
      <c r="HN95" s="192"/>
      <c r="HO95" s="192"/>
      <c r="HP95" s="192"/>
      <c r="HQ95" s="192"/>
      <c r="HR95" s="192"/>
      <c r="HS95" s="192"/>
      <c r="HT95" s="192"/>
      <c r="HU95" s="192"/>
      <c r="HV95" s="192"/>
      <c r="HW95" s="192"/>
      <c r="HX95" s="192"/>
      <c r="HY95" s="192"/>
      <c r="HZ95" s="192"/>
      <c r="IA95" s="192"/>
      <c r="IB95" s="192"/>
      <c r="IC95" s="192"/>
      <c r="ID95" s="192"/>
      <c r="IE95" s="192"/>
      <c r="IF95" s="192"/>
      <c r="IG95" s="192"/>
      <c r="IH95" s="192"/>
      <c r="II95" s="192"/>
      <c r="IJ95" s="192"/>
      <c r="IK95" s="192"/>
      <c r="IL95" s="192"/>
      <c r="IM95" s="192"/>
      <c r="IN95" s="192"/>
      <c r="IO95" s="192"/>
      <c r="IP95" s="192"/>
      <c r="IQ95" s="192"/>
    </row>
    <row r="96" spans="1:251" s="157" customFormat="1" ht="21.75" customHeight="1">
      <c r="A96" s="196">
        <v>89</v>
      </c>
      <c r="B96" s="277" t="s">
        <v>253</v>
      </c>
      <c r="C96" s="278" t="s">
        <v>322</v>
      </c>
      <c r="D96" s="271">
        <v>37</v>
      </c>
      <c r="E96" s="271"/>
      <c r="F96" s="278" t="s">
        <v>308</v>
      </c>
      <c r="G96" s="271" t="s">
        <v>288</v>
      </c>
      <c r="H96" s="285" t="s">
        <v>269</v>
      </c>
      <c r="I96" s="197">
        <f t="shared" si="4"/>
        <v>97500</v>
      </c>
      <c r="J96" s="286" t="s">
        <v>277</v>
      </c>
      <c r="K96" s="200">
        <f t="shared" si="5"/>
        <v>75000</v>
      </c>
      <c r="L96" s="286" t="s">
        <v>56</v>
      </c>
      <c r="M96" s="198">
        <f t="shared" si="6"/>
        <v>0</v>
      </c>
      <c r="N96" s="198">
        <f t="shared" si="7"/>
        <v>172500</v>
      </c>
      <c r="O96" s="192"/>
      <c r="P96" s="192"/>
      <c r="Q96" s="192"/>
      <c r="R96" s="192"/>
      <c r="S96" s="192"/>
      <c r="T96" s="192"/>
      <c r="U96" s="192"/>
      <c r="V96" s="192"/>
      <c r="W96" s="192"/>
      <c r="X96" s="192"/>
      <c r="Y96" s="192"/>
      <c r="Z96" s="192"/>
      <c r="AA96" s="192"/>
      <c r="AB96" s="192"/>
      <c r="AC96" s="192"/>
      <c r="AD96" s="192"/>
      <c r="AE96" s="192"/>
      <c r="AF96" s="192"/>
      <c r="AG96" s="192"/>
      <c r="AH96" s="192"/>
      <c r="AI96" s="192"/>
      <c r="AJ96" s="192"/>
      <c r="AK96" s="192"/>
      <c r="AL96" s="192"/>
      <c r="AM96" s="192"/>
      <c r="AN96" s="192"/>
      <c r="AO96" s="192"/>
      <c r="AP96" s="192"/>
      <c r="AQ96" s="192"/>
      <c r="AR96" s="192"/>
      <c r="AS96" s="192"/>
      <c r="AT96" s="192"/>
      <c r="AU96" s="192"/>
      <c r="AV96" s="192"/>
      <c r="AW96" s="192"/>
      <c r="AX96" s="192"/>
      <c r="AY96" s="192"/>
      <c r="AZ96" s="192"/>
      <c r="BA96" s="192"/>
      <c r="BB96" s="192"/>
      <c r="BC96" s="192"/>
      <c r="BD96" s="192"/>
      <c r="BE96" s="192"/>
      <c r="BF96" s="192"/>
      <c r="BG96" s="192"/>
      <c r="BH96" s="192"/>
      <c r="BI96" s="192"/>
      <c r="BJ96" s="192"/>
      <c r="BK96" s="192"/>
      <c r="BL96" s="192"/>
      <c r="BM96" s="192"/>
      <c r="BN96" s="192"/>
      <c r="BO96" s="192"/>
      <c r="BP96" s="192"/>
      <c r="BQ96" s="192"/>
      <c r="BR96" s="192"/>
      <c r="BS96" s="192"/>
      <c r="BT96" s="192"/>
      <c r="BU96" s="192"/>
      <c r="BV96" s="192"/>
      <c r="BW96" s="192"/>
      <c r="BX96" s="192"/>
      <c r="BY96" s="192"/>
      <c r="BZ96" s="192"/>
      <c r="CA96" s="192"/>
      <c r="CB96" s="192"/>
      <c r="CC96" s="192"/>
      <c r="CD96" s="192"/>
      <c r="CE96" s="192"/>
      <c r="CF96" s="192"/>
      <c r="CG96" s="192"/>
      <c r="CH96" s="192"/>
      <c r="CI96" s="192"/>
      <c r="CJ96" s="192"/>
      <c r="CK96" s="192"/>
      <c r="CL96" s="192"/>
      <c r="CM96" s="192"/>
      <c r="CN96" s="192"/>
      <c r="CO96" s="192"/>
      <c r="CP96" s="192"/>
      <c r="CQ96" s="192"/>
      <c r="CR96" s="192"/>
      <c r="CS96" s="192"/>
      <c r="CT96" s="192"/>
      <c r="CU96" s="192"/>
      <c r="CV96" s="192"/>
      <c r="CW96" s="192"/>
      <c r="CX96" s="192"/>
      <c r="CY96" s="192"/>
      <c r="CZ96" s="192"/>
      <c r="DA96" s="192"/>
      <c r="DB96" s="192"/>
      <c r="DC96" s="192"/>
      <c r="DD96" s="192"/>
      <c r="DE96" s="192"/>
      <c r="DF96" s="192"/>
      <c r="DG96" s="192"/>
      <c r="DH96" s="192"/>
      <c r="DI96" s="192"/>
      <c r="DJ96" s="192"/>
      <c r="DK96" s="192"/>
      <c r="DL96" s="192"/>
      <c r="DM96" s="192"/>
      <c r="DN96" s="192"/>
      <c r="DO96" s="192"/>
      <c r="DP96" s="192"/>
      <c r="DQ96" s="192"/>
      <c r="DR96" s="192"/>
      <c r="DS96" s="192"/>
      <c r="DT96" s="192"/>
      <c r="DU96" s="192"/>
      <c r="DV96" s="192"/>
      <c r="DW96" s="192"/>
      <c r="DX96" s="192"/>
      <c r="DY96" s="192"/>
      <c r="DZ96" s="192"/>
      <c r="EA96" s="192"/>
      <c r="EB96" s="192"/>
      <c r="EC96" s="192"/>
      <c r="ED96" s="192"/>
      <c r="EE96" s="192"/>
      <c r="EF96" s="192"/>
      <c r="EG96" s="192"/>
      <c r="EH96" s="192"/>
      <c r="EI96" s="192"/>
      <c r="EJ96" s="192"/>
      <c r="EK96" s="192"/>
      <c r="EL96" s="192"/>
      <c r="EM96" s="192"/>
      <c r="EN96" s="192"/>
      <c r="EO96" s="192"/>
      <c r="EP96" s="192"/>
      <c r="EQ96" s="192"/>
      <c r="ER96" s="192"/>
      <c r="ES96" s="192"/>
      <c r="ET96" s="192"/>
      <c r="EU96" s="192"/>
      <c r="EV96" s="192"/>
      <c r="EW96" s="192"/>
      <c r="EX96" s="192"/>
      <c r="EY96" s="192"/>
      <c r="EZ96" s="192"/>
      <c r="FA96" s="192"/>
      <c r="FB96" s="192"/>
      <c r="FC96" s="192"/>
      <c r="FD96" s="192"/>
      <c r="FE96" s="192"/>
      <c r="FF96" s="192"/>
      <c r="FG96" s="192"/>
      <c r="FH96" s="192"/>
      <c r="FI96" s="192"/>
      <c r="FJ96" s="192"/>
      <c r="FK96" s="192"/>
      <c r="FL96" s="192"/>
      <c r="FM96" s="192"/>
      <c r="FN96" s="192"/>
      <c r="FO96" s="192"/>
      <c r="FP96" s="192"/>
      <c r="FQ96" s="192"/>
      <c r="FR96" s="192"/>
      <c r="FS96" s="192"/>
      <c r="FT96" s="192"/>
      <c r="FU96" s="192"/>
      <c r="FV96" s="192"/>
      <c r="FW96" s="192"/>
      <c r="FX96" s="192"/>
      <c r="FY96" s="192"/>
      <c r="FZ96" s="192"/>
      <c r="GA96" s="192"/>
      <c r="GB96" s="192"/>
      <c r="GC96" s="192"/>
      <c r="GD96" s="192"/>
      <c r="GE96" s="192"/>
      <c r="GF96" s="192"/>
      <c r="GG96" s="192"/>
      <c r="GH96" s="192"/>
      <c r="GI96" s="192"/>
      <c r="GJ96" s="192"/>
      <c r="GK96" s="192"/>
      <c r="GL96" s="192"/>
      <c r="GM96" s="192"/>
      <c r="GN96" s="192"/>
      <c r="GO96" s="192"/>
      <c r="GP96" s="192"/>
      <c r="GQ96" s="192"/>
      <c r="GR96" s="192"/>
      <c r="GS96" s="192"/>
      <c r="GT96" s="192"/>
      <c r="GU96" s="192"/>
      <c r="GV96" s="192"/>
      <c r="GW96" s="192"/>
      <c r="GX96" s="192"/>
      <c r="GY96" s="192"/>
      <c r="GZ96" s="192"/>
      <c r="HA96" s="192"/>
      <c r="HB96" s="192"/>
      <c r="HC96" s="192"/>
      <c r="HD96" s="192"/>
      <c r="HE96" s="192"/>
      <c r="HF96" s="192"/>
      <c r="HG96" s="192"/>
      <c r="HH96" s="192"/>
      <c r="HI96" s="192"/>
      <c r="HJ96" s="192"/>
      <c r="HK96" s="192"/>
      <c r="HL96" s="192"/>
      <c r="HM96" s="192"/>
      <c r="HN96" s="192"/>
      <c r="HO96" s="192"/>
      <c r="HP96" s="192"/>
      <c r="HQ96" s="192"/>
      <c r="HR96" s="192"/>
      <c r="HS96" s="192"/>
      <c r="HT96" s="192"/>
      <c r="HU96" s="192"/>
      <c r="HV96" s="192"/>
      <c r="HW96" s="192"/>
      <c r="HX96" s="192"/>
      <c r="HY96" s="192"/>
      <c r="HZ96" s="192"/>
      <c r="IA96" s="192"/>
      <c r="IB96" s="192"/>
      <c r="IC96" s="192"/>
      <c r="ID96" s="192"/>
      <c r="IE96" s="192"/>
      <c r="IF96" s="192"/>
      <c r="IG96" s="192"/>
      <c r="IH96" s="192"/>
      <c r="II96" s="192"/>
      <c r="IJ96" s="192"/>
      <c r="IK96" s="192"/>
      <c r="IL96" s="192"/>
      <c r="IM96" s="192"/>
      <c r="IN96" s="192"/>
      <c r="IO96" s="192"/>
      <c r="IP96" s="192"/>
      <c r="IQ96" s="192"/>
    </row>
    <row r="97" spans="1:251" s="157" customFormat="1" ht="21.75" customHeight="1">
      <c r="A97" s="196">
        <v>90</v>
      </c>
      <c r="B97" s="277" t="s">
        <v>253</v>
      </c>
      <c r="C97" s="278" t="s">
        <v>327</v>
      </c>
      <c r="D97" s="271"/>
      <c r="E97" s="271">
        <v>65</v>
      </c>
      <c r="F97" s="278" t="s">
        <v>328</v>
      </c>
      <c r="G97" s="271" t="s">
        <v>286</v>
      </c>
      <c r="H97" s="285" t="s">
        <v>266</v>
      </c>
      <c r="I97" s="197">
        <f t="shared" si="4"/>
        <v>97500</v>
      </c>
      <c r="J97" s="286" t="s">
        <v>277</v>
      </c>
      <c r="K97" s="200">
        <f t="shared" si="5"/>
        <v>75000</v>
      </c>
      <c r="L97" s="286" t="s">
        <v>56</v>
      </c>
      <c r="M97" s="198">
        <f t="shared" si="6"/>
        <v>0</v>
      </c>
      <c r="N97" s="198">
        <f t="shared" si="7"/>
        <v>172500</v>
      </c>
      <c r="O97" s="192"/>
      <c r="P97" s="192"/>
      <c r="Q97" s="192"/>
      <c r="R97" s="192"/>
      <c r="S97" s="192"/>
      <c r="T97" s="192"/>
      <c r="U97" s="192"/>
      <c r="V97" s="192"/>
      <c r="W97" s="192"/>
      <c r="X97" s="192"/>
      <c r="Y97" s="192"/>
      <c r="Z97" s="192"/>
      <c r="AA97" s="192"/>
      <c r="AB97" s="192"/>
      <c r="AC97" s="192"/>
      <c r="AD97" s="192"/>
      <c r="AE97" s="192"/>
      <c r="AF97" s="192"/>
      <c r="AG97" s="192"/>
      <c r="AH97" s="192"/>
      <c r="AI97" s="192"/>
      <c r="AJ97" s="192"/>
      <c r="AK97" s="192"/>
      <c r="AL97" s="192"/>
      <c r="AM97" s="192"/>
      <c r="AN97" s="192"/>
      <c r="AO97" s="192"/>
      <c r="AP97" s="192"/>
      <c r="AQ97" s="192"/>
      <c r="AR97" s="192"/>
      <c r="AS97" s="192"/>
      <c r="AT97" s="192"/>
      <c r="AU97" s="192"/>
      <c r="AV97" s="192"/>
      <c r="AW97" s="192"/>
      <c r="AX97" s="192"/>
      <c r="AY97" s="192"/>
      <c r="AZ97" s="192"/>
      <c r="BA97" s="192"/>
      <c r="BB97" s="192"/>
      <c r="BC97" s="192"/>
      <c r="BD97" s="192"/>
      <c r="BE97" s="192"/>
      <c r="BF97" s="192"/>
      <c r="BG97" s="192"/>
      <c r="BH97" s="192"/>
      <c r="BI97" s="192"/>
      <c r="BJ97" s="192"/>
      <c r="BK97" s="192"/>
      <c r="BL97" s="192"/>
      <c r="BM97" s="192"/>
      <c r="BN97" s="192"/>
      <c r="BO97" s="192"/>
      <c r="BP97" s="192"/>
      <c r="BQ97" s="192"/>
      <c r="BR97" s="192"/>
      <c r="BS97" s="192"/>
      <c r="BT97" s="192"/>
      <c r="BU97" s="192"/>
      <c r="BV97" s="192"/>
      <c r="BW97" s="192"/>
      <c r="BX97" s="192"/>
      <c r="BY97" s="192"/>
      <c r="BZ97" s="192"/>
      <c r="CA97" s="192"/>
      <c r="CB97" s="192"/>
      <c r="CC97" s="192"/>
      <c r="CD97" s="192"/>
      <c r="CE97" s="192"/>
      <c r="CF97" s="192"/>
      <c r="CG97" s="192"/>
      <c r="CH97" s="192"/>
      <c r="CI97" s="192"/>
      <c r="CJ97" s="192"/>
      <c r="CK97" s="192"/>
      <c r="CL97" s="192"/>
      <c r="CM97" s="192"/>
      <c r="CN97" s="192"/>
      <c r="CO97" s="192"/>
      <c r="CP97" s="192"/>
      <c r="CQ97" s="192"/>
      <c r="CR97" s="192"/>
      <c r="CS97" s="192"/>
      <c r="CT97" s="192"/>
      <c r="CU97" s="192"/>
      <c r="CV97" s="192"/>
      <c r="CW97" s="192"/>
      <c r="CX97" s="192"/>
      <c r="CY97" s="192"/>
      <c r="CZ97" s="192"/>
      <c r="DA97" s="192"/>
      <c r="DB97" s="192"/>
      <c r="DC97" s="192"/>
      <c r="DD97" s="192"/>
      <c r="DE97" s="192"/>
      <c r="DF97" s="192"/>
      <c r="DG97" s="192"/>
      <c r="DH97" s="192"/>
      <c r="DI97" s="192"/>
      <c r="DJ97" s="192"/>
      <c r="DK97" s="192"/>
      <c r="DL97" s="192"/>
      <c r="DM97" s="192"/>
      <c r="DN97" s="192"/>
      <c r="DO97" s="192"/>
      <c r="DP97" s="192"/>
      <c r="DQ97" s="192"/>
      <c r="DR97" s="192"/>
      <c r="DS97" s="192"/>
      <c r="DT97" s="192"/>
      <c r="DU97" s="192"/>
      <c r="DV97" s="192"/>
      <c r="DW97" s="192"/>
      <c r="DX97" s="192"/>
      <c r="DY97" s="192"/>
      <c r="DZ97" s="192"/>
      <c r="EA97" s="192"/>
      <c r="EB97" s="192"/>
      <c r="EC97" s="192"/>
      <c r="ED97" s="192"/>
      <c r="EE97" s="192"/>
      <c r="EF97" s="192"/>
      <c r="EG97" s="192"/>
      <c r="EH97" s="192"/>
      <c r="EI97" s="192"/>
      <c r="EJ97" s="192"/>
      <c r="EK97" s="192"/>
      <c r="EL97" s="192"/>
      <c r="EM97" s="192"/>
      <c r="EN97" s="192"/>
      <c r="EO97" s="192"/>
      <c r="EP97" s="192"/>
      <c r="EQ97" s="192"/>
      <c r="ER97" s="192"/>
      <c r="ES97" s="192"/>
      <c r="ET97" s="192"/>
      <c r="EU97" s="192"/>
      <c r="EV97" s="192"/>
      <c r="EW97" s="192"/>
      <c r="EX97" s="192"/>
      <c r="EY97" s="192"/>
      <c r="EZ97" s="192"/>
      <c r="FA97" s="192"/>
      <c r="FB97" s="192"/>
      <c r="FC97" s="192"/>
      <c r="FD97" s="192"/>
      <c r="FE97" s="192"/>
      <c r="FF97" s="192"/>
      <c r="FG97" s="192"/>
      <c r="FH97" s="192"/>
      <c r="FI97" s="192"/>
      <c r="FJ97" s="192"/>
      <c r="FK97" s="192"/>
      <c r="FL97" s="192"/>
      <c r="FM97" s="192"/>
      <c r="FN97" s="192"/>
      <c r="FO97" s="192"/>
      <c r="FP97" s="192"/>
      <c r="FQ97" s="192"/>
      <c r="FR97" s="192"/>
      <c r="FS97" s="192"/>
      <c r="FT97" s="192"/>
      <c r="FU97" s="192"/>
      <c r="FV97" s="192"/>
      <c r="FW97" s="192"/>
      <c r="FX97" s="192"/>
      <c r="FY97" s="192"/>
      <c r="FZ97" s="192"/>
      <c r="GA97" s="192"/>
      <c r="GB97" s="192"/>
      <c r="GC97" s="192"/>
      <c r="GD97" s="192"/>
      <c r="GE97" s="192"/>
      <c r="GF97" s="192"/>
      <c r="GG97" s="192"/>
      <c r="GH97" s="192"/>
      <c r="GI97" s="192"/>
      <c r="GJ97" s="192"/>
      <c r="GK97" s="192"/>
      <c r="GL97" s="192"/>
      <c r="GM97" s="192"/>
      <c r="GN97" s="192"/>
      <c r="GO97" s="192"/>
      <c r="GP97" s="192"/>
      <c r="GQ97" s="192"/>
      <c r="GR97" s="192"/>
      <c r="GS97" s="192"/>
      <c r="GT97" s="192"/>
      <c r="GU97" s="192"/>
      <c r="GV97" s="192"/>
      <c r="GW97" s="192"/>
      <c r="GX97" s="192"/>
      <c r="GY97" s="192"/>
      <c r="GZ97" s="192"/>
      <c r="HA97" s="192"/>
      <c r="HB97" s="192"/>
      <c r="HC97" s="192"/>
      <c r="HD97" s="192"/>
      <c r="HE97" s="192"/>
      <c r="HF97" s="192"/>
      <c r="HG97" s="192"/>
      <c r="HH97" s="192"/>
      <c r="HI97" s="192"/>
      <c r="HJ97" s="192"/>
      <c r="HK97" s="192"/>
      <c r="HL97" s="192"/>
      <c r="HM97" s="192"/>
      <c r="HN97" s="192"/>
      <c r="HO97" s="192"/>
      <c r="HP97" s="192"/>
      <c r="HQ97" s="192"/>
      <c r="HR97" s="192"/>
      <c r="HS97" s="192"/>
      <c r="HT97" s="192"/>
      <c r="HU97" s="192"/>
      <c r="HV97" s="192"/>
      <c r="HW97" s="192"/>
      <c r="HX97" s="192"/>
      <c r="HY97" s="192"/>
      <c r="HZ97" s="192"/>
      <c r="IA97" s="192"/>
      <c r="IB97" s="192"/>
      <c r="IC97" s="192"/>
      <c r="ID97" s="192"/>
      <c r="IE97" s="192"/>
      <c r="IF97" s="192"/>
      <c r="IG97" s="192"/>
      <c r="IH97" s="192"/>
      <c r="II97" s="192"/>
      <c r="IJ97" s="192"/>
      <c r="IK97" s="192"/>
      <c r="IL97" s="192"/>
      <c r="IM97" s="192"/>
      <c r="IN97" s="192"/>
      <c r="IO97" s="192"/>
      <c r="IP97" s="192"/>
      <c r="IQ97" s="192"/>
    </row>
    <row r="98" spans="1:251" s="157" customFormat="1" ht="21.75" customHeight="1">
      <c r="A98" s="196">
        <v>91</v>
      </c>
      <c r="B98" s="277" t="s">
        <v>256</v>
      </c>
      <c r="C98" s="278" t="s">
        <v>329</v>
      </c>
      <c r="D98" s="271">
        <v>52</v>
      </c>
      <c r="E98" s="271"/>
      <c r="F98" s="278" t="s">
        <v>308</v>
      </c>
      <c r="G98" s="271" t="s">
        <v>286</v>
      </c>
      <c r="H98" s="285" t="s">
        <v>267</v>
      </c>
      <c r="I98" s="197">
        <f t="shared" si="4"/>
        <v>97500</v>
      </c>
      <c r="J98" s="286" t="s">
        <v>277</v>
      </c>
      <c r="K98" s="200">
        <f t="shared" si="5"/>
        <v>75000</v>
      </c>
      <c r="L98" s="286" t="s">
        <v>56</v>
      </c>
      <c r="M98" s="198">
        <f t="shared" si="6"/>
        <v>0</v>
      </c>
      <c r="N98" s="198">
        <f t="shared" si="7"/>
        <v>172500</v>
      </c>
      <c r="O98" s="192"/>
      <c r="P98" s="192"/>
      <c r="Q98" s="192"/>
      <c r="R98" s="192"/>
      <c r="S98" s="192"/>
      <c r="T98" s="192"/>
      <c r="U98" s="192"/>
      <c r="V98" s="192"/>
      <c r="W98" s="192"/>
      <c r="X98" s="192"/>
      <c r="Y98" s="192"/>
      <c r="Z98" s="192"/>
      <c r="AA98" s="192"/>
      <c r="AB98" s="192"/>
      <c r="AC98" s="192"/>
      <c r="AD98" s="192"/>
      <c r="AE98" s="192"/>
      <c r="AF98" s="192"/>
      <c r="AG98" s="192"/>
      <c r="AH98" s="192"/>
      <c r="AI98" s="192"/>
      <c r="AJ98" s="192"/>
      <c r="AK98" s="192"/>
      <c r="AL98" s="192"/>
      <c r="AM98" s="192"/>
      <c r="AN98" s="192"/>
      <c r="AO98" s="192"/>
      <c r="AP98" s="192"/>
      <c r="AQ98" s="192"/>
      <c r="AR98" s="192"/>
      <c r="AS98" s="192"/>
      <c r="AT98" s="192"/>
      <c r="AU98" s="192"/>
      <c r="AV98" s="192"/>
      <c r="AW98" s="192"/>
      <c r="AX98" s="192"/>
      <c r="AY98" s="192"/>
      <c r="AZ98" s="192"/>
      <c r="BA98" s="192"/>
      <c r="BB98" s="192"/>
      <c r="BC98" s="192"/>
      <c r="BD98" s="192"/>
      <c r="BE98" s="192"/>
      <c r="BF98" s="192"/>
      <c r="BG98" s="192"/>
      <c r="BH98" s="192"/>
      <c r="BI98" s="192"/>
      <c r="BJ98" s="192"/>
      <c r="BK98" s="192"/>
      <c r="BL98" s="192"/>
      <c r="BM98" s="192"/>
      <c r="BN98" s="192"/>
      <c r="BO98" s="192"/>
      <c r="BP98" s="192"/>
      <c r="BQ98" s="192"/>
      <c r="BR98" s="192"/>
      <c r="BS98" s="192"/>
      <c r="BT98" s="192"/>
      <c r="BU98" s="192"/>
      <c r="BV98" s="192"/>
      <c r="BW98" s="192"/>
      <c r="BX98" s="192"/>
      <c r="BY98" s="192"/>
      <c r="BZ98" s="192"/>
      <c r="CA98" s="192"/>
      <c r="CB98" s="192"/>
      <c r="CC98" s="192"/>
      <c r="CD98" s="192"/>
      <c r="CE98" s="192"/>
      <c r="CF98" s="192"/>
      <c r="CG98" s="192"/>
      <c r="CH98" s="192"/>
      <c r="CI98" s="192"/>
      <c r="CJ98" s="192"/>
      <c r="CK98" s="192"/>
      <c r="CL98" s="192"/>
      <c r="CM98" s="192"/>
      <c r="CN98" s="192"/>
      <c r="CO98" s="192"/>
      <c r="CP98" s="192"/>
      <c r="CQ98" s="192"/>
      <c r="CR98" s="192"/>
      <c r="CS98" s="192"/>
      <c r="CT98" s="192"/>
      <c r="CU98" s="192"/>
      <c r="CV98" s="192"/>
      <c r="CW98" s="192"/>
      <c r="CX98" s="192"/>
      <c r="CY98" s="192"/>
      <c r="CZ98" s="192"/>
      <c r="DA98" s="192"/>
      <c r="DB98" s="192"/>
      <c r="DC98" s="192"/>
      <c r="DD98" s="192"/>
      <c r="DE98" s="192"/>
      <c r="DF98" s="192"/>
      <c r="DG98" s="192"/>
      <c r="DH98" s="192"/>
      <c r="DI98" s="192"/>
      <c r="DJ98" s="192"/>
      <c r="DK98" s="192"/>
      <c r="DL98" s="192"/>
      <c r="DM98" s="192"/>
      <c r="DN98" s="192"/>
      <c r="DO98" s="192"/>
      <c r="DP98" s="192"/>
      <c r="DQ98" s="192"/>
      <c r="DR98" s="192"/>
      <c r="DS98" s="192"/>
      <c r="DT98" s="192"/>
      <c r="DU98" s="192"/>
      <c r="DV98" s="192"/>
      <c r="DW98" s="192"/>
      <c r="DX98" s="192"/>
      <c r="DY98" s="192"/>
      <c r="DZ98" s="192"/>
      <c r="EA98" s="192"/>
      <c r="EB98" s="192"/>
      <c r="EC98" s="192"/>
      <c r="ED98" s="192"/>
      <c r="EE98" s="192"/>
      <c r="EF98" s="192"/>
      <c r="EG98" s="192"/>
      <c r="EH98" s="192"/>
      <c r="EI98" s="192"/>
      <c r="EJ98" s="192"/>
      <c r="EK98" s="192"/>
      <c r="EL98" s="192"/>
      <c r="EM98" s="192"/>
      <c r="EN98" s="192"/>
      <c r="EO98" s="192"/>
      <c r="EP98" s="192"/>
      <c r="EQ98" s="192"/>
      <c r="ER98" s="192"/>
      <c r="ES98" s="192"/>
      <c r="ET98" s="192"/>
      <c r="EU98" s="192"/>
      <c r="EV98" s="192"/>
      <c r="EW98" s="192"/>
      <c r="EX98" s="192"/>
      <c r="EY98" s="192"/>
      <c r="EZ98" s="192"/>
      <c r="FA98" s="192"/>
      <c r="FB98" s="192"/>
      <c r="FC98" s="192"/>
      <c r="FD98" s="192"/>
      <c r="FE98" s="192"/>
      <c r="FF98" s="192"/>
      <c r="FG98" s="192"/>
      <c r="FH98" s="192"/>
      <c r="FI98" s="192"/>
      <c r="FJ98" s="192"/>
      <c r="FK98" s="192"/>
      <c r="FL98" s="192"/>
      <c r="FM98" s="192"/>
      <c r="FN98" s="192"/>
      <c r="FO98" s="192"/>
      <c r="FP98" s="192"/>
      <c r="FQ98" s="192"/>
      <c r="FR98" s="192"/>
      <c r="FS98" s="192"/>
      <c r="FT98" s="192"/>
      <c r="FU98" s="192"/>
      <c r="FV98" s="192"/>
      <c r="FW98" s="192"/>
      <c r="FX98" s="192"/>
      <c r="FY98" s="192"/>
      <c r="FZ98" s="192"/>
      <c r="GA98" s="192"/>
      <c r="GB98" s="192"/>
      <c r="GC98" s="192"/>
      <c r="GD98" s="192"/>
      <c r="GE98" s="192"/>
      <c r="GF98" s="192"/>
      <c r="GG98" s="192"/>
      <c r="GH98" s="192"/>
      <c r="GI98" s="192"/>
      <c r="GJ98" s="192"/>
      <c r="GK98" s="192"/>
      <c r="GL98" s="192"/>
      <c r="GM98" s="192"/>
      <c r="GN98" s="192"/>
      <c r="GO98" s="192"/>
      <c r="GP98" s="192"/>
      <c r="GQ98" s="192"/>
      <c r="GR98" s="192"/>
      <c r="GS98" s="192"/>
      <c r="GT98" s="192"/>
      <c r="GU98" s="192"/>
      <c r="GV98" s="192"/>
      <c r="GW98" s="192"/>
      <c r="GX98" s="192"/>
      <c r="GY98" s="192"/>
      <c r="GZ98" s="192"/>
      <c r="HA98" s="192"/>
      <c r="HB98" s="192"/>
      <c r="HC98" s="192"/>
      <c r="HD98" s="192"/>
      <c r="HE98" s="192"/>
      <c r="HF98" s="192"/>
      <c r="HG98" s="192"/>
      <c r="HH98" s="192"/>
      <c r="HI98" s="192"/>
      <c r="HJ98" s="192"/>
      <c r="HK98" s="192"/>
      <c r="HL98" s="192"/>
      <c r="HM98" s="192"/>
      <c r="HN98" s="192"/>
      <c r="HO98" s="192"/>
      <c r="HP98" s="192"/>
      <c r="HQ98" s="192"/>
      <c r="HR98" s="192"/>
      <c r="HS98" s="192"/>
      <c r="HT98" s="192"/>
      <c r="HU98" s="192"/>
      <c r="HV98" s="192"/>
      <c r="HW98" s="192"/>
      <c r="HX98" s="192"/>
      <c r="HY98" s="192"/>
      <c r="HZ98" s="192"/>
      <c r="IA98" s="192"/>
      <c r="IB98" s="192"/>
      <c r="IC98" s="192"/>
      <c r="ID98" s="192"/>
      <c r="IE98" s="192"/>
      <c r="IF98" s="192"/>
      <c r="IG98" s="192"/>
      <c r="IH98" s="192"/>
      <c r="II98" s="192"/>
      <c r="IJ98" s="192"/>
      <c r="IK98" s="192"/>
      <c r="IL98" s="192"/>
      <c r="IM98" s="192"/>
      <c r="IN98" s="192"/>
      <c r="IO98" s="192"/>
      <c r="IP98" s="192"/>
      <c r="IQ98" s="192"/>
    </row>
    <row r="99" spans="1:251" s="158" customFormat="1" ht="21.75" customHeight="1">
      <c r="A99" s="196"/>
      <c r="B99" s="228"/>
      <c r="C99" s="229" t="s">
        <v>71</v>
      </c>
      <c r="D99" s="228"/>
      <c r="E99" s="228"/>
      <c r="F99" s="228"/>
      <c r="G99" s="228"/>
      <c r="H99" s="292"/>
      <c r="I99" s="230">
        <f>SUM(I8:I98)</f>
        <v>19432500</v>
      </c>
      <c r="J99" s="230"/>
      <c r="K99" s="230">
        <f>SUM(K8:K98)</f>
        <v>14145000</v>
      </c>
      <c r="L99" s="230"/>
      <c r="M99" s="230">
        <f>SUM(M8:M98)</f>
        <v>10695000</v>
      </c>
      <c r="N99" s="230">
        <f>SUM(N8:N98)</f>
        <v>44272500</v>
      </c>
      <c r="O99" s="154"/>
      <c r="P99" s="154"/>
      <c r="Q99" s="154"/>
      <c r="R99" s="154"/>
      <c r="S99" s="154"/>
      <c r="T99" s="154"/>
      <c r="U99" s="154"/>
      <c r="V99" s="154"/>
      <c r="W99" s="154"/>
      <c r="X99" s="154"/>
      <c r="Y99" s="154"/>
      <c r="Z99" s="154"/>
      <c r="AA99" s="154"/>
      <c r="AB99" s="154"/>
      <c r="AC99" s="154"/>
      <c r="AD99" s="154"/>
      <c r="AE99" s="154"/>
      <c r="AF99" s="154"/>
      <c r="AG99" s="154"/>
      <c r="AH99" s="154"/>
      <c r="AI99" s="154"/>
      <c r="AJ99" s="154"/>
      <c r="AK99" s="154"/>
      <c r="AL99" s="154"/>
      <c r="AM99" s="154"/>
      <c r="AN99" s="154"/>
      <c r="AO99" s="154"/>
      <c r="AP99" s="154"/>
      <c r="AQ99" s="154"/>
      <c r="AR99" s="154"/>
      <c r="AS99" s="154"/>
      <c r="AT99" s="154"/>
      <c r="AU99" s="154"/>
      <c r="AV99" s="154"/>
      <c r="AW99" s="154"/>
      <c r="AX99" s="154"/>
      <c r="AY99" s="154"/>
      <c r="AZ99" s="154"/>
      <c r="BA99" s="154"/>
      <c r="BB99" s="154"/>
      <c r="BC99" s="154"/>
      <c r="BD99" s="154"/>
      <c r="BE99" s="154"/>
      <c r="BF99" s="154"/>
      <c r="BG99" s="154"/>
      <c r="BH99" s="154"/>
      <c r="BI99" s="154"/>
      <c r="BJ99" s="154"/>
      <c r="BK99" s="154"/>
      <c r="BL99" s="154"/>
      <c r="BM99" s="154"/>
      <c r="BN99" s="154"/>
      <c r="BO99" s="154"/>
      <c r="BP99" s="154"/>
      <c r="BQ99" s="154"/>
      <c r="BR99" s="154"/>
      <c r="BS99" s="154"/>
      <c r="BT99" s="154"/>
      <c r="BU99" s="154"/>
      <c r="BV99" s="154"/>
      <c r="BW99" s="154"/>
      <c r="BX99" s="154"/>
      <c r="BY99" s="154"/>
      <c r="BZ99" s="154"/>
      <c r="CA99" s="154"/>
      <c r="CB99" s="154"/>
      <c r="CC99" s="154"/>
      <c r="CD99" s="154"/>
      <c r="CE99" s="154"/>
      <c r="CF99" s="154"/>
      <c r="CG99" s="154"/>
      <c r="CH99" s="154"/>
      <c r="CI99" s="154"/>
      <c r="CJ99" s="154"/>
      <c r="CK99" s="154"/>
      <c r="CL99" s="154"/>
      <c r="CM99" s="154"/>
      <c r="CN99" s="154"/>
      <c r="CO99" s="154"/>
      <c r="CP99" s="154"/>
      <c r="CQ99" s="154"/>
      <c r="CR99" s="154"/>
      <c r="CS99" s="154"/>
      <c r="CT99" s="154"/>
      <c r="CU99" s="154"/>
      <c r="CV99" s="154"/>
      <c r="CW99" s="154"/>
      <c r="CX99" s="154"/>
      <c r="CY99" s="154"/>
      <c r="CZ99" s="154"/>
      <c r="DA99" s="154"/>
      <c r="DB99" s="154"/>
      <c r="DC99" s="154"/>
      <c r="DD99" s="154"/>
      <c r="DE99" s="154"/>
      <c r="DF99" s="154"/>
      <c r="DG99" s="154"/>
      <c r="DH99" s="154"/>
      <c r="DI99" s="154"/>
      <c r="DJ99" s="154"/>
      <c r="DK99" s="154"/>
      <c r="DL99" s="154"/>
      <c r="DM99" s="154"/>
      <c r="DN99" s="154"/>
      <c r="DO99" s="154"/>
      <c r="DP99" s="154"/>
      <c r="DQ99" s="154"/>
      <c r="DR99" s="154"/>
      <c r="DS99" s="154"/>
      <c r="DT99" s="154"/>
      <c r="DU99" s="154"/>
      <c r="DV99" s="154"/>
      <c r="DW99" s="154"/>
      <c r="DX99" s="154"/>
      <c r="DY99" s="154"/>
      <c r="DZ99" s="154"/>
      <c r="EA99" s="154"/>
      <c r="EB99" s="154"/>
      <c r="EC99" s="154"/>
      <c r="ED99" s="154"/>
      <c r="EE99" s="154"/>
      <c r="EF99" s="154"/>
      <c r="EG99" s="154"/>
      <c r="EH99" s="154"/>
      <c r="EI99" s="154"/>
      <c r="EJ99" s="154"/>
      <c r="EK99" s="154"/>
      <c r="EL99" s="154"/>
      <c r="EM99" s="154"/>
      <c r="EN99" s="154"/>
      <c r="EO99" s="154"/>
      <c r="EP99" s="154"/>
      <c r="EQ99" s="154"/>
      <c r="ER99" s="154"/>
      <c r="ES99" s="154"/>
      <c r="ET99" s="154"/>
      <c r="EU99" s="154"/>
      <c r="EV99" s="154"/>
      <c r="EW99" s="154"/>
      <c r="EX99" s="154"/>
      <c r="EY99" s="154"/>
      <c r="EZ99" s="154"/>
      <c r="FA99" s="154"/>
      <c r="FB99" s="154"/>
      <c r="FC99" s="154"/>
      <c r="FD99" s="154"/>
      <c r="FE99" s="154"/>
      <c r="FF99" s="154"/>
      <c r="FG99" s="154"/>
      <c r="FH99" s="154"/>
      <c r="FI99" s="154"/>
      <c r="FJ99" s="154"/>
      <c r="FK99" s="154"/>
      <c r="FL99" s="154"/>
      <c r="FM99" s="154"/>
      <c r="FN99" s="154"/>
      <c r="FO99" s="154"/>
      <c r="FP99" s="154"/>
      <c r="FQ99" s="154"/>
      <c r="FR99" s="154"/>
      <c r="FS99" s="154"/>
      <c r="FT99" s="154"/>
      <c r="FU99" s="154"/>
      <c r="FV99" s="154"/>
      <c r="FW99" s="154"/>
      <c r="FX99" s="154"/>
      <c r="FY99" s="154"/>
      <c r="FZ99" s="154"/>
      <c r="GA99" s="154"/>
      <c r="GB99" s="154"/>
      <c r="GC99" s="154"/>
      <c r="GD99" s="154"/>
      <c r="GE99" s="154"/>
      <c r="GF99" s="154"/>
      <c r="GG99" s="154"/>
      <c r="GH99" s="154"/>
      <c r="GI99" s="154"/>
      <c r="GJ99" s="154"/>
      <c r="GK99" s="154"/>
      <c r="GL99" s="154"/>
      <c r="GM99" s="154"/>
      <c r="GN99" s="154"/>
      <c r="GO99" s="154"/>
      <c r="GP99" s="154"/>
      <c r="GQ99" s="154"/>
      <c r="GR99" s="154"/>
      <c r="GS99" s="154"/>
      <c r="GT99" s="154"/>
      <c r="GU99" s="154"/>
      <c r="GV99" s="154"/>
      <c r="GW99" s="154"/>
      <c r="GX99" s="154"/>
      <c r="GY99" s="154"/>
      <c r="GZ99" s="154"/>
      <c r="HA99" s="154"/>
      <c r="HB99" s="154"/>
      <c r="HC99" s="154"/>
      <c r="HD99" s="154"/>
      <c r="HE99" s="154"/>
      <c r="HF99" s="154"/>
      <c r="HG99" s="154"/>
      <c r="HH99" s="154"/>
      <c r="HI99" s="154"/>
      <c r="HJ99" s="154"/>
      <c r="HK99" s="154"/>
      <c r="HL99" s="154"/>
      <c r="HM99" s="154"/>
      <c r="HN99" s="154"/>
      <c r="HO99" s="154"/>
      <c r="HP99" s="154"/>
      <c r="HQ99" s="154"/>
      <c r="HR99" s="154"/>
      <c r="HS99" s="154"/>
      <c r="HT99" s="154"/>
      <c r="HU99" s="154"/>
      <c r="HV99" s="154"/>
      <c r="HW99" s="154"/>
      <c r="HX99" s="154"/>
      <c r="HY99" s="154"/>
      <c r="HZ99" s="154"/>
      <c r="IA99" s="154"/>
      <c r="IB99" s="154"/>
      <c r="IC99" s="154"/>
      <c r="ID99" s="154"/>
      <c r="IE99" s="154"/>
      <c r="IF99" s="154"/>
      <c r="IG99" s="154"/>
      <c r="IH99" s="154"/>
      <c r="II99" s="154"/>
      <c r="IJ99" s="154"/>
      <c r="IK99" s="154"/>
      <c r="IL99" s="154"/>
      <c r="IM99" s="154"/>
      <c r="IN99" s="154"/>
      <c r="IO99" s="154"/>
      <c r="IP99" s="154"/>
      <c r="IQ99" s="154"/>
    </row>
    <row r="100" spans="1:251" ht="17.399999999999999">
      <c r="A100" s="111"/>
      <c r="B100" s="325"/>
      <c r="C100" s="326"/>
      <c r="D100" s="325"/>
      <c r="E100" s="136"/>
      <c r="F100" s="325"/>
      <c r="G100" s="136"/>
      <c r="H100" s="327"/>
      <c r="I100" s="328"/>
      <c r="J100" s="329"/>
      <c r="K100" s="487" t="s">
        <v>639</v>
      </c>
      <c r="L100" s="487"/>
      <c r="M100" s="487"/>
      <c r="N100" s="487"/>
    </row>
    <row r="101" spans="1:251" ht="17.399999999999999">
      <c r="A101" s="111"/>
      <c r="B101" s="486" t="s">
        <v>35</v>
      </c>
      <c r="C101" s="486"/>
      <c r="D101" s="325"/>
      <c r="E101" s="325"/>
      <c r="F101" s="325"/>
      <c r="G101" s="136"/>
      <c r="H101" s="331"/>
      <c r="I101" s="332"/>
      <c r="J101" s="329"/>
      <c r="K101" s="462" t="s">
        <v>21</v>
      </c>
      <c r="L101" s="462"/>
      <c r="M101" s="462"/>
      <c r="N101" s="462"/>
    </row>
    <row r="102" spans="1:251" ht="17.399999999999999">
      <c r="A102" s="111"/>
      <c r="B102" s="330"/>
      <c r="C102" s="330"/>
      <c r="D102" s="325"/>
      <c r="E102" s="325"/>
      <c r="F102" s="325"/>
      <c r="G102" s="136"/>
      <c r="H102" s="331"/>
      <c r="I102" s="332"/>
      <c r="J102" s="329"/>
      <c r="K102" s="323"/>
      <c r="L102" s="323"/>
      <c r="M102" s="323"/>
      <c r="N102" s="323"/>
    </row>
    <row r="103" spans="1:251" ht="18">
      <c r="B103" s="39"/>
      <c r="C103" s="155"/>
      <c r="D103" s="333"/>
      <c r="E103" s="333"/>
      <c r="F103" s="334"/>
      <c r="G103" s="39"/>
      <c r="H103" s="335"/>
      <c r="I103" s="336"/>
      <c r="J103" s="337"/>
      <c r="K103" s="336"/>
      <c r="L103" s="335"/>
      <c r="M103" s="336"/>
      <c r="N103" s="137"/>
    </row>
    <row r="104" spans="1:251" ht="18">
      <c r="B104" s="39"/>
      <c r="C104" s="155"/>
      <c r="D104" s="333"/>
      <c r="E104" s="333"/>
      <c r="F104" s="333"/>
      <c r="G104" s="39"/>
      <c r="H104" s="335"/>
      <c r="I104" s="336"/>
      <c r="J104" s="337"/>
      <c r="K104" s="336"/>
      <c r="L104" s="335"/>
      <c r="M104" s="336"/>
      <c r="N104" s="137"/>
    </row>
    <row r="105" spans="1:251" ht="21.75" customHeight="1">
      <c r="B105" s="463" t="s">
        <v>96</v>
      </c>
      <c r="C105" s="463"/>
      <c r="D105" s="333"/>
      <c r="E105" s="333"/>
      <c r="F105" s="333"/>
      <c r="G105" s="39"/>
      <c r="H105" s="335"/>
      <c r="I105" s="336"/>
      <c r="J105" s="337"/>
      <c r="K105" s="485" t="s">
        <v>109</v>
      </c>
      <c r="L105" s="485"/>
      <c r="M105" s="485"/>
      <c r="N105" s="485"/>
    </row>
    <row r="106" spans="1:251" ht="18">
      <c r="B106" s="39"/>
      <c r="C106" s="155"/>
      <c r="D106" s="333"/>
      <c r="E106" s="333"/>
      <c r="F106" s="333"/>
      <c r="G106" s="39"/>
      <c r="H106" s="335"/>
      <c r="I106" s="336"/>
      <c r="J106" s="337"/>
      <c r="K106" s="336"/>
      <c r="L106" s="335"/>
      <c r="M106" s="336"/>
      <c r="N106" s="137"/>
    </row>
    <row r="107" spans="1:251" ht="18">
      <c r="B107" s="39"/>
      <c r="C107" s="155"/>
      <c r="D107" s="333"/>
      <c r="E107" s="333"/>
      <c r="F107" s="333"/>
      <c r="G107" s="39"/>
      <c r="H107" s="335"/>
      <c r="I107" s="336"/>
      <c r="J107" s="337"/>
      <c r="K107" s="336"/>
      <c r="L107" s="335"/>
      <c r="M107" s="336"/>
      <c r="N107" s="137"/>
    </row>
    <row r="108" spans="1:251" ht="18">
      <c r="B108" s="39"/>
      <c r="C108" s="155"/>
      <c r="D108" s="333"/>
      <c r="E108" s="333"/>
      <c r="F108" s="333"/>
      <c r="G108" s="39"/>
      <c r="H108" s="335"/>
      <c r="I108" s="336"/>
      <c r="J108" s="337"/>
      <c r="K108" s="336"/>
      <c r="L108" s="335"/>
      <c r="M108" s="336"/>
      <c r="N108" s="137"/>
    </row>
    <row r="109" spans="1:251" ht="18">
      <c r="B109" s="39"/>
      <c r="C109" s="155"/>
      <c r="D109" s="333"/>
      <c r="E109" s="333"/>
      <c r="F109" s="333"/>
      <c r="G109" s="39"/>
      <c r="H109" s="335"/>
      <c r="I109" s="336"/>
      <c r="J109" s="337"/>
      <c r="K109" s="336"/>
      <c r="L109" s="335"/>
      <c r="M109" s="336"/>
      <c r="N109" s="137"/>
    </row>
    <row r="110" spans="1:251" ht="18">
      <c r="B110" s="39"/>
      <c r="C110" s="155"/>
      <c r="D110" s="333"/>
      <c r="E110" s="333"/>
      <c r="F110" s="333"/>
      <c r="G110" s="39"/>
      <c r="H110" s="335"/>
      <c r="I110" s="336"/>
      <c r="J110" s="337"/>
      <c r="K110" s="336"/>
      <c r="L110" s="335"/>
      <c r="M110" s="336"/>
      <c r="N110" s="137"/>
    </row>
  </sheetData>
  <autoFilter ref="A7:WWY101" xr:uid="{00000000-0009-0000-0000-000004000000}"/>
  <sortState xmlns:xlrd2="http://schemas.microsoft.com/office/spreadsheetml/2017/richdata2" ref="A8:WWY98">
    <sortCondition ref="A8:A98"/>
  </sortState>
  <mergeCells count="9">
    <mergeCell ref="A1:E1"/>
    <mergeCell ref="A2:E2"/>
    <mergeCell ref="B3:N3"/>
    <mergeCell ref="A4:N4"/>
    <mergeCell ref="B105:C105"/>
    <mergeCell ref="K105:N105"/>
    <mergeCell ref="B101:C101"/>
    <mergeCell ref="K100:N100"/>
    <mergeCell ref="K101:N101"/>
  </mergeCells>
  <pageMargins left="0.31" right="0.22" top="0.2" bottom="0.27" header="0.22" footer="0.2"/>
  <pageSetup scale="7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9"/>
  <sheetViews>
    <sheetView view="pageLayout" topLeftCell="A9" zoomScaleNormal="100" workbookViewId="0">
      <selection activeCell="G23" sqref="G23"/>
    </sheetView>
  </sheetViews>
  <sheetFormatPr defaultColWidth="9.109375" defaultRowHeight="13.2"/>
  <cols>
    <col min="1" max="1" width="7.109375" style="37" customWidth="1"/>
    <col min="2" max="2" width="25.33203125" style="37" customWidth="1"/>
    <col min="3" max="3" width="14.88671875" style="38" customWidth="1"/>
    <col min="4" max="4" width="20.109375" style="38" bestFit="1" customWidth="1"/>
    <col min="5" max="5" width="15.6640625" style="38" customWidth="1"/>
    <col min="6" max="6" width="16" style="37" hidden="1" customWidth="1"/>
    <col min="7" max="7" width="9" style="37" customWidth="1"/>
    <col min="8" max="8" width="16.5546875" style="37" bestFit="1" customWidth="1"/>
    <col min="9" max="16384" width="9.109375" style="37"/>
  </cols>
  <sheetData>
    <row r="1" spans="1:8" ht="16.8">
      <c r="A1" s="472" t="s">
        <v>0</v>
      </c>
      <c r="B1" s="472"/>
      <c r="C1" s="472"/>
    </row>
    <row r="2" spans="1:8" ht="16.8">
      <c r="A2" s="471" t="s">
        <v>75</v>
      </c>
      <c r="B2" s="471"/>
      <c r="C2" s="471"/>
    </row>
    <row r="3" spans="1:8" ht="20.399999999999999">
      <c r="A3" s="462" t="s">
        <v>174</v>
      </c>
      <c r="B3" s="462"/>
      <c r="C3" s="462"/>
      <c r="D3" s="462"/>
      <c r="E3" s="462"/>
      <c r="F3" s="462"/>
      <c r="G3" s="136"/>
      <c r="H3" s="2"/>
    </row>
    <row r="4" spans="1:8" ht="20.399999999999999">
      <c r="A4" s="488" t="s">
        <v>92</v>
      </c>
      <c r="B4" s="488"/>
      <c r="C4" s="488"/>
      <c r="D4" s="488"/>
      <c r="E4" s="488"/>
      <c r="F4" s="488"/>
      <c r="G4" s="488"/>
      <c r="H4" s="2"/>
    </row>
    <row r="5" spans="1:8" ht="10.5" customHeight="1">
      <c r="B5" s="39"/>
      <c r="C5" s="40"/>
      <c r="D5" s="40"/>
      <c r="H5" s="2"/>
    </row>
    <row r="6" spans="1:8" ht="21" customHeight="1">
      <c r="A6" s="123" t="s">
        <v>2</v>
      </c>
      <c r="B6" s="124" t="s">
        <v>13</v>
      </c>
      <c r="C6" s="125" t="s">
        <v>85</v>
      </c>
      <c r="D6" s="125" t="s">
        <v>118</v>
      </c>
      <c r="E6" s="125" t="s">
        <v>14</v>
      </c>
      <c r="F6" s="125" t="s">
        <v>121</v>
      </c>
      <c r="G6" s="47"/>
    </row>
    <row r="7" spans="1:8" ht="21" customHeight="1">
      <c r="A7" s="112">
        <v>1</v>
      </c>
      <c r="B7" s="107" t="s">
        <v>23</v>
      </c>
      <c r="C7" s="108" t="s">
        <v>26</v>
      </c>
      <c r="D7" s="205">
        <v>102006610216</v>
      </c>
      <c r="E7" s="86">
        <f>SUM(SUMIF(phauthuat_BHYT!$H$8:$H$104,"TRIỀU",phauthuat_BHYT!$I$8:$I$104),SUMIF(phauthuat_BHYT!$J$8:$J$104,"TRIỀU",phauthuat_BHYT!$K$8:$K$104),SUMIF(phauthuat_BHYT!$L$8:$L$104,"TRIỀU",phauthuat_BHYT!$M$8:$M$104))</f>
        <v>420000</v>
      </c>
      <c r="F7" s="126"/>
    </row>
    <row r="8" spans="1:8" ht="20.25" customHeight="1">
      <c r="A8" s="112">
        <v>2</v>
      </c>
      <c r="B8" s="107" t="s">
        <v>18</v>
      </c>
      <c r="C8" s="108" t="s">
        <v>26</v>
      </c>
      <c r="D8" s="205">
        <v>103006610215</v>
      </c>
      <c r="E8" s="86">
        <f>SUM(SUMIF(phauthuat_BHYT!$H$8:$H$104,"TẤN",phauthuat_BHYT!$I$8:$I$104),SUMIF(phauthuat_BHYT!$J$8:$J$104,"TẤN",phauthuat_BHYT!$K$8:$K$104),SUMIF(phauthuat_BHYT!$L$8:$L$104,"TẤN",phauthuat_BHYT!$M$8:$M$104))</f>
        <v>517500</v>
      </c>
      <c r="F8" s="126"/>
    </row>
    <row r="9" spans="1:8" ht="16.8">
      <c r="A9" s="112">
        <v>3</v>
      </c>
      <c r="B9" s="107" t="s">
        <v>17</v>
      </c>
      <c r="C9" s="108" t="s">
        <v>26</v>
      </c>
      <c r="D9" s="205">
        <v>100006610218</v>
      </c>
      <c r="E9" s="86">
        <f>SUM(SUMIF(phauthuat_BHYT!$H$8:$H$104,"HOAN",phauthuat_BHYT!$I$8:$I$104),SUMIF(phauthuat_BHYT!$J$8:$J$104,"HOAN",phauthuat_BHYT!$K$8:$K$104),SUMIF(phauthuat_BHYT!$L$8:$L$104,"HOAN",phauthuat_BHYT!$M$8:$M$104))</f>
        <v>4260000</v>
      </c>
      <c r="F9" s="126"/>
    </row>
    <row r="10" spans="1:8" ht="18.75" customHeight="1">
      <c r="A10" s="112">
        <v>4</v>
      </c>
      <c r="B10" s="107" t="s">
        <v>74</v>
      </c>
      <c r="C10" s="108" t="s">
        <v>26</v>
      </c>
      <c r="D10" s="205">
        <v>105001159195</v>
      </c>
      <c r="E10" s="86">
        <f>SUM(SUMIF(phauthuat_BHYT!$H$8:$H$104,"NGUYỆN",phauthuat_BHYT!$I$8:$I$104),SUMIF(phauthuat_BHYT!$J$8:$J$104,"NGUYỆN",phauthuat_BHYT!$K$8:$K$104),SUMIF(phauthuat_BHYT!$L$8:$L$104,"NGUYỆN",phauthuat_BHYT!$M$8:$M$104))</f>
        <v>6435000</v>
      </c>
      <c r="F10" s="126"/>
      <c r="G10" s="41"/>
      <c r="H10" s="41"/>
    </row>
    <row r="11" spans="1:8" ht="17.25" customHeight="1">
      <c r="A11" s="112">
        <v>5</v>
      </c>
      <c r="B11" s="107" t="s">
        <v>72</v>
      </c>
      <c r="C11" s="108" t="s">
        <v>66</v>
      </c>
      <c r="D11" s="205">
        <v>105001225232</v>
      </c>
      <c r="E11" s="86">
        <f>SUM(SUMIF(phauthuat_BHYT!$H$8:$H$104,"ĐIỀN",phauthuat_BHYT!$I$8:$I$104),SUMIF(phauthuat_BHYT!$J$8:$J$104,"ĐIỀN",phauthuat_BHYT!$K$8:$K$104),SUMIF(phauthuat_BHYT!$L$8:$L$104,"ĐIỀN",phauthuat_BHYT!$M$8:$M$104))</f>
        <v>2595000</v>
      </c>
      <c r="F11" s="126"/>
      <c r="G11" s="41"/>
      <c r="H11" s="41"/>
    </row>
    <row r="12" spans="1:8" ht="20.25" customHeight="1">
      <c r="A12" s="112">
        <v>6</v>
      </c>
      <c r="B12" s="107" t="s">
        <v>115</v>
      </c>
      <c r="C12" s="108" t="s">
        <v>66</v>
      </c>
      <c r="D12" s="205">
        <v>107868829237</v>
      </c>
      <c r="E12" s="86">
        <f>SUM(SUMIF(phauthuat_BHYT!$H$8:$H$104,"TOẢN",phauthuat_BHYT!$I$8:$I$104),SUMIF(phauthuat_BHYT!$J$8:$J$104,"TOẢN",phauthuat_BHYT!$K$8:$K$104),SUMIF(phauthuat_BHYT!$L$8:$L$104,"TOẢN",phauthuat_BHYT!$M$8:$M$104))</f>
        <v>6105000</v>
      </c>
      <c r="F12" s="126"/>
      <c r="G12" s="41"/>
      <c r="H12" s="41"/>
    </row>
    <row r="13" spans="1:8" ht="20.25" customHeight="1">
      <c r="A13" s="112">
        <v>7</v>
      </c>
      <c r="B13" s="107" t="s">
        <v>94</v>
      </c>
      <c r="C13" s="108" t="s">
        <v>66</v>
      </c>
      <c r="D13" s="205">
        <v>105867664283</v>
      </c>
      <c r="E13" s="86">
        <f>SUM(SUMIF(phauthuat_BHYT!$H$8:$H$104,"giàu",phauthuat_BHYT!$I$8:$I$104),SUMIF(phauthuat_BHYT!$J$8:$J$104,"giàu",phauthuat_BHYT!$K$8:$K$104),SUMIF(phauthuat_BHYT!$L$8:$L$104,"giàu",phauthuat_BHYT!$M$8:$M$104))</f>
        <v>2407500</v>
      </c>
      <c r="F13" s="126"/>
      <c r="G13" s="41"/>
      <c r="H13" s="41"/>
    </row>
    <row r="14" spans="1:8" ht="16.8">
      <c r="A14" s="112">
        <v>8</v>
      </c>
      <c r="B14" s="107" t="s">
        <v>84</v>
      </c>
      <c r="C14" s="261" t="s">
        <v>26</v>
      </c>
      <c r="D14" s="348" t="s">
        <v>131</v>
      </c>
      <c r="E14" s="231">
        <f>SUM(SUMIF(phauthuat_BHYT!$H$8:$H$104,"v.tân",phauthuat_BHYT!$I$8:$I$104),SUMIF(phauthuat_BHYT!$J$8:$J$104,"v.tân",phauthuat_BHYT!$K$8:$K$104),SUMIF(phauthuat_BHYT!$L$8:$L$104,"v.tân",phauthuat_BHYT!$M$8:$M$104))</f>
        <v>3097500</v>
      </c>
      <c r="F14" s="262"/>
      <c r="G14" s="41"/>
      <c r="H14" s="41"/>
    </row>
    <row r="15" spans="1:8" ht="16.8">
      <c r="A15" s="112">
        <v>9</v>
      </c>
      <c r="B15" s="107" t="s">
        <v>68</v>
      </c>
      <c r="C15" s="261" t="s">
        <v>26</v>
      </c>
      <c r="D15" s="348" t="s">
        <v>640</v>
      </c>
      <c r="E15" s="231">
        <f>SUM(SUMIF(phauthuat_BHYT!$H$8:$H$104,"minh",phauthuat_BHYT!$I$8:$I$104),SUMIF(phauthuat_BHYT!$J$8:$J$104,"minh",phauthuat_BHYT!$K$8:$K$104),SUMIF(phauthuat_BHYT!$L$8:$L$104,"minh",phauthuat_BHYT!$M$8:$M$104))</f>
        <v>1005000</v>
      </c>
      <c r="F15" s="262"/>
      <c r="G15" s="41"/>
      <c r="H15" s="41"/>
    </row>
    <row r="16" spans="1:8" ht="16.8">
      <c r="A16" s="112">
        <v>10</v>
      </c>
      <c r="B16" s="107" t="s">
        <v>138</v>
      </c>
      <c r="C16" s="261" t="s">
        <v>26</v>
      </c>
      <c r="D16" s="348"/>
      <c r="E16" s="231">
        <f>SUM(SUMIF(phauthuat_BHYT!$H$8:$H$104,"TUẤN",phauthuat_BHYT!$I$8:$I$104),SUMIF(phauthuat_BHYT!$J$8:$J$104,"TUẤN",phauthuat_BHYT!$K$8:$K$104),SUMIF(phauthuat_BHYT!$L$8:$L$104,"TUẤN",phauthuat_BHYT!$M$8:$M$104))</f>
        <v>7185000</v>
      </c>
      <c r="F16" s="262"/>
      <c r="G16" s="41"/>
      <c r="H16" s="41"/>
    </row>
    <row r="17" spans="1:8" ht="16.8">
      <c r="A17" s="112">
        <v>11</v>
      </c>
      <c r="B17" s="107" t="s">
        <v>157</v>
      </c>
      <c r="C17" s="261" t="s">
        <v>60</v>
      </c>
      <c r="D17" s="349"/>
      <c r="E17" s="231">
        <f>SUM(SUMIF(phauthuat_BHYT!$H$8:$H$104,"hưng",phauthuat_BHYT!$I$8:$I$104),SUMIF(phauthuat_BHYT!$J$8:$J$104,"hưng",phauthuat_BHYT!$K$8:$K$104),SUMIF(phauthuat_BHYT!$L$8:$L$104,"hưng",phauthuat_BHYT!$M$8:$M$104))</f>
        <v>2535000</v>
      </c>
      <c r="F17" s="262"/>
      <c r="G17" s="41"/>
      <c r="H17" s="41"/>
    </row>
    <row r="18" spans="1:8" ht="16.8">
      <c r="A18" s="112">
        <v>12</v>
      </c>
      <c r="B18" s="107" t="s">
        <v>158</v>
      </c>
      <c r="C18" s="261" t="s">
        <v>60</v>
      </c>
      <c r="D18" s="349"/>
      <c r="E18" s="231">
        <f>SUM(SUMIF(phauthuat_BHYT!$H$8:$H$104,"toàn",phauthuat_BHYT!$I$8:$I$104),SUMIF(phauthuat_BHYT!$J$8:$J$104,"toàn",phauthuat_BHYT!$K$8:$K$104),SUMIF(phauthuat_BHYT!$L$8:$L$104,"toàn",phauthuat_BHYT!$M$8:$M$104))</f>
        <v>1380000</v>
      </c>
      <c r="F18" s="262"/>
      <c r="G18" s="41"/>
      <c r="H18" s="41"/>
    </row>
    <row r="19" spans="1:8" ht="16.8">
      <c r="A19" s="112">
        <v>13</v>
      </c>
      <c r="B19" s="107" t="s">
        <v>159</v>
      </c>
      <c r="C19" s="261" t="s">
        <v>60</v>
      </c>
      <c r="D19" s="349"/>
      <c r="E19" s="231">
        <f>SUM(SUMIF(phauthuat_BHYT!$H$8:$H$104,"luận",phauthuat_BHYT!$I$8:$I$104),SUMIF(phauthuat_BHYT!$J$8:$J$104,"luận",phauthuat_BHYT!$K$8:$K$104),SUMIF(phauthuat_BHYT!$L$8:$L$104,"luận",phauthuat_BHYT!$M$8:$M$104))</f>
        <v>2070000</v>
      </c>
      <c r="F19" s="262"/>
      <c r="G19" s="41"/>
      <c r="H19" s="41"/>
    </row>
    <row r="20" spans="1:8" ht="16.8">
      <c r="A20" s="112">
        <v>14</v>
      </c>
      <c r="B20" s="107" t="s">
        <v>160</v>
      </c>
      <c r="C20" s="261" t="s">
        <v>60</v>
      </c>
      <c r="D20" s="349"/>
      <c r="E20" s="231">
        <f>SUM(SUMIF(phauthuat_BHYT!$H$8:$H$104,"thái",phauthuat_BHYT!$I$8:$I$104),SUMIF(phauthuat_BHYT!$J$8:$J$104,"thái",phauthuat_BHYT!$K$8:$K$104),SUMIF(phauthuat_BHYT!$L$8:$L$104,"thái",phauthuat_BHYT!$M$8:$M$104))</f>
        <v>960000</v>
      </c>
      <c r="F20" s="262"/>
      <c r="G20" s="41"/>
      <c r="H20" s="41"/>
    </row>
    <row r="21" spans="1:8" ht="16.8">
      <c r="A21" s="112">
        <v>15</v>
      </c>
      <c r="B21" s="107" t="s">
        <v>161</v>
      </c>
      <c r="C21" s="261" t="s">
        <v>60</v>
      </c>
      <c r="D21" s="349"/>
      <c r="E21" s="231">
        <f>SUM(SUMIF(phauthuat_BHYT!$H$8:$H$104,"tùng",phauthuat_BHYT!$I$8:$I$104),SUMIF(phauthuat_BHYT!$J$8:$J$104,"tùng",phauthuat_BHYT!$K$8:$K$104),SUMIF(phauthuat_BHYT!$L$8:$L$104,"tùng",phauthuat_BHYT!$M$8:$M$104))</f>
        <v>645000</v>
      </c>
      <c r="F21" s="262"/>
      <c r="G21" s="41"/>
      <c r="H21" s="41"/>
    </row>
    <row r="22" spans="1:8" ht="16.8">
      <c r="A22" s="112">
        <v>16</v>
      </c>
      <c r="B22" s="107" t="s">
        <v>162</v>
      </c>
      <c r="C22" s="261" t="s">
        <v>60</v>
      </c>
      <c r="D22" s="349"/>
      <c r="E22" s="231">
        <f>SUM(SUMIF(phauthuat_BHYT!$H$8:$H$104,"khén",phauthuat_BHYT!$I$8:$I$104),SUMIF(phauthuat_BHYT!$J$8:$J$104,"khén",phauthuat_BHYT!$K$8:$K$104),SUMIF(phauthuat_BHYT!$L$8:$L$104,"khén",phauthuat_BHYT!$M$8:$M$104))</f>
        <v>1305000</v>
      </c>
      <c r="F22" s="262"/>
      <c r="G22" s="41"/>
      <c r="H22" s="41"/>
    </row>
    <row r="23" spans="1:8" ht="16.8">
      <c r="A23" s="112">
        <v>17</v>
      </c>
      <c r="B23" s="107" t="s">
        <v>163</v>
      </c>
      <c r="C23" s="261" t="s">
        <v>60</v>
      </c>
      <c r="D23" s="349"/>
      <c r="E23" s="231">
        <f>SUM(SUMIF(phauthuat_BHYT!$H$8:$H$104,"hưởng",phauthuat_BHYT!$I$8:$I$104),SUMIF(phauthuat_BHYT!$J$8:$J$104,"hưởng",phauthuat_BHYT!$K$8:$K$104),SUMIF(phauthuat_BHYT!$L$8:$L$104,"hưởng",phauthuat_BHYT!$M$8:$M$104))</f>
        <v>0</v>
      </c>
      <c r="F23" s="262"/>
      <c r="G23" s="41"/>
      <c r="H23" s="41"/>
    </row>
    <row r="24" spans="1:8" ht="16.8">
      <c r="A24" s="112">
        <v>18</v>
      </c>
      <c r="B24" s="107" t="s">
        <v>164</v>
      </c>
      <c r="C24" s="261" t="s">
        <v>60</v>
      </c>
      <c r="D24" s="349"/>
      <c r="E24" s="231">
        <f>SUM(SUMIF(phauthuat_BHYT!$H$8:$H$104,"khang",phauthuat_BHYT!$I$8:$I$104),SUMIF(phauthuat_BHYT!$J$8:$J$104,"khang",phauthuat_BHYT!$K$8:$K$104),SUMIF(phauthuat_BHYT!$L$8:$L$104,"khang",phauthuat_BHYT!$M$8:$M$104))</f>
        <v>495000</v>
      </c>
      <c r="F24" s="262"/>
      <c r="G24" s="41"/>
      <c r="H24" s="41"/>
    </row>
    <row r="25" spans="1:8" ht="16.8">
      <c r="A25" s="112">
        <v>19</v>
      </c>
      <c r="B25" s="107" t="s">
        <v>165</v>
      </c>
      <c r="C25" s="261" t="s">
        <v>60</v>
      </c>
      <c r="D25" s="349"/>
      <c r="E25" s="231">
        <f>SUM(SUMIF(phauthuat_BHYT!$H$8:$H$104,"luật",phauthuat_BHYT!$I$8:$I$104),SUMIF(phauthuat_BHYT!$J$8:$J$104,"luật",phauthuat_BHYT!$K$8:$K$104),SUMIF(phauthuat_BHYT!$L$8:$L$104,"luật",phauthuat_BHYT!$M$8:$M$104))</f>
        <v>420000</v>
      </c>
      <c r="F25" s="262"/>
      <c r="G25" s="41"/>
      <c r="H25" s="41"/>
    </row>
    <row r="26" spans="1:8" ht="16.8">
      <c r="A26" s="112">
        <v>20</v>
      </c>
      <c r="B26" s="107" t="s">
        <v>166</v>
      </c>
      <c r="C26" s="261" t="s">
        <v>60</v>
      </c>
      <c r="D26" s="349"/>
      <c r="E26" s="231">
        <f>SUM(SUMIF(phauthuat_BHYT!$H$8:$H$104,"ẩn",phauthuat_BHYT!$I$8:$I$104),SUMIF(phauthuat_BHYT!$J$8:$J$104,"ẩn",phauthuat_BHYT!$K$8:$K$104),SUMIF(phauthuat_BHYT!$L$8:$L$104,"ẩn",phauthuat_BHYT!$M$8:$M$104))</f>
        <v>300000</v>
      </c>
      <c r="F26" s="262"/>
      <c r="G26" s="41"/>
      <c r="H26" s="41"/>
    </row>
    <row r="27" spans="1:8" ht="16.8">
      <c r="A27" s="112">
        <v>21</v>
      </c>
      <c r="B27" s="107" t="s">
        <v>167</v>
      </c>
      <c r="C27" s="261" t="s">
        <v>60</v>
      </c>
      <c r="D27" s="349"/>
      <c r="E27" s="231">
        <f>SUM(SUMIF(phauthuat_BHYT!$H$8:$H$104,"bình",phauthuat_BHYT!$I$8:$I$104),SUMIF(phauthuat_BHYT!$J$8:$J$104,"bình",phauthuat_BHYT!$K$8:$K$104),SUMIF(phauthuat_BHYT!$L$8:$L$104,"bình",phauthuat_BHYT!$M$8:$M$104))</f>
        <v>0</v>
      </c>
      <c r="F27" s="262"/>
      <c r="G27" s="41"/>
      <c r="H27" s="41"/>
    </row>
    <row r="28" spans="1:8" ht="16.8">
      <c r="A28" s="112">
        <v>22</v>
      </c>
      <c r="B28" s="107" t="s">
        <v>168</v>
      </c>
      <c r="C28" s="261" t="s">
        <v>60</v>
      </c>
      <c r="D28" s="349"/>
      <c r="E28" s="231">
        <f>SUM(SUMIF(phauthuat_BHYT!$H$8:$H$104,"dương",phauthuat_BHYT!$I$8:$I$104),SUMIF(phauthuat_BHYT!$J$8:$J$104,"dương",phauthuat_BHYT!$K$8:$K$104),SUMIF(phauthuat_BHYT!$L$8:$L$104,"dương",phauthuat_BHYT!$M$8:$M$104))</f>
        <v>0</v>
      </c>
      <c r="F28" s="262"/>
      <c r="G28" s="41"/>
      <c r="H28" s="41"/>
    </row>
    <row r="29" spans="1:8" ht="16.8">
      <c r="A29" s="112">
        <v>23</v>
      </c>
      <c r="B29" s="107" t="s">
        <v>169</v>
      </c>
      <c r="C29" s="261" t="s">
        <v>60</v>
      </c>
      <c r="D29" s="349"/>
      <c r="E29" s="231">
        <f>SUM(SUMIF(phauthuat_BHYT!$H$8:$H$104,"khánh",phauthuat_BHYT!$I$8:$I$104),SUMIF(phauthuat_BHYT!$J$8:$J$104,"khánh",phauthuat_BHYT!$K$8:$K$104),SUMIF(phauthuat_BHYT!$L$8:$L$104,"khánh",phauthuat_BHYT!$M$8:$M$104))</f>
        <v>135000</v>
      </c>
      <c r="F29" s="262"/>
      <c r="G29" s="41"/>
      <c r="H29" s="41"/>
    </row>
    <row r="30" spans="1:8" ht="16.8">
      <c r="A30" s="112">
        <v>24</v>
      </c>
      <c r="B30" s="107" t="s">
        <v>170</v>
      </c>
      <c r="C30" s="261" t="s">
        <v>60</v>
      </c>
      <c r="D30" s="349"/>
      <c r="E30" s="231">
        <f>SUM(SUMIF(phauthuat_BHYT!$H$8:$H$104,"thạnh",phauthuat_BHYT!$I$8:$I$104),SUMIF(phauthuat_BHYT!$J$8:$J$104,"thạnh",phauthuat_BHYT!$K$8:$K$104),SUMIF(phauthuat_BHYT!$L$8:$L$104,"thạnh",phauthuat_BHYT!$M$8:$M$104))</f>
        <v>0</v>
      </c>
      <c r="F30" s="262"/>
      <c r="G30" s="41"/>
      <c r="H30" s="41"/>
    </row>
    <row r="31" spans="1:8" ht="20.25" customHeight="1">
      <c r="A31" s="107"/>
      <c r="B31" s="127" t="s">
        <v>28</v>
      </c>
      <c r="C31" s="128"/>
      <c r="D31" s="128"/>
      <c r="E31" s="86">
        <f>SUM(E7:E30)</f>
        <v>44272500</v>
      </c>
      <c r="F31" s="129"/>
      <c r="G31" s="49"/>
      <c r="H31" s="43"/>
    </row>
    <row r="32" spans="1:8" ht="12" customHeight="1">
      <c r="A32" s="1"/>
      <c r="B32" s="106"/>
    </row>
    <row r="33" spans="1:7" ht="15.6">
      <c r="D33" s="395" t="s">
        <v>137</v>
      </c>
      <c r="E33" s="395"/>
      <c r="F33" s="395"/>
      <c r="G33" s="395"/>
    </row>
    <row r="34" spans="1:7" ht="18">
      <c r="A34" s="462" t="s">
        <v>20</v>
      </c>
      <c r="B34" s="462"/>
      <c r="C34" s="40"/>
      <c r="D34" s="489" t="s">
        <v>21</v>
      </c>
      <c r="E34" s="489"/>
      <c r="F34" s="489"/>
      <c r="G34" s="489"/>
    </row>
    <row r="35" spans="1:7" ht="18">
      <c r="A35" s="39"/>
      <c r="B35" s="39"/>
      <c r="C35" s="40"/>
      <c r="D35" s="40"/>
      <c r="E35" s="40"/>
      <c r="F35" s="39"/>
      <c r="G35" s="39"/>
    </row>
    <row r="36" spans="1:7" ht="18">
      <c r="A36" s="39"/>
      <c r="B36" s="39"/>
      <c r="C36" s="40"/>
      <c r="D36" s="40"/>
      <c r="E36" s="40"/>
      <c r="F36" s="39"/>
      <c r="G36" s="39"/>
    </row>
    <row r="37" spans="1:7" ht="18">
      <c r="A37" s="39"/>
      <c r="B37" s="39"/>
      <c r="C37" s="40"/>
      <c r="D37" s="40"/>
      <c r="E37" s="40"/>
      <c r="F37" s="275"/>
      <c r="G37" s="39"/>
    </row>
    <row r="38" spans="1:7" ht="18">
      <c r="A38" s="462" t="s">
        <v>96</v>
      </c>
      <c r="B38" s="462"/>
      <c r="C38" s="40"/>
      <c r="D38" s="396" t="s">
        <v>111</v>
      </c>
      <c r="E38" s="396"/>
      <c r="F38" s="396"/>
      <c r="G38" s="396"/>
    </row>
    <row r="39" spans="1:7" ht="18">
      <c r="A39" s="39"/>
      <c r="B39" s="39"/>
      <c r="C39" s="40"/>
      <c r="D39" s="40"/>
      <c r="E39" s="40"/>
      <c r="F39" s="39"/>
      <c r="G39" s="39"/>
    </row>
  </sheetData>
  <mergeCells count="7">
    <mergeCell ref="A4:G4"/>
    <mergeCell ref="A3:F3"/>
    <mergeCell ref="A1:C1"/>
    <mergeCell ref="A2:C2"/>
    <mergeCell ref="A38:B38"/>
    <mergeCell ref="A34:B34"/>
    <mergeCell ref="D34:G34"/>
  </mergeCells>
  <pageMargins left="1.03" right="0.3125" top="0.22916666666666666" bottom="0.5" header="0" footer="0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8"/>
  <sheetViews>
    <sheetView workbookViewId="0">
      <selection activeCell="L42" sqref="L42"/>
    </sheetView>
  </sheetViews>
  <sheetFormatPr defaultColWidth="9.109375" defaultRowHeight="13.2"/>
  <cols>
    <col min="1" max="1" width="7.109375" style="37" customWidth="1"/>
    <col min="2" max="2" width="23.109375" style="37" customWidth="1"/>
    <col min="3" max="3" width="14.88671875" style="38" customWidth="1"/>
    <col min="4" max="4" width="18" style="38" customWidth="1"/>
    <col min="5" max="5" width="12.6640625" style="38" hidden="1" customWidth="1"/>
    <col min="6" max="6" width="17.44140625" style="313" customWidth="1"/>
    <col min="7" max="7" width="13.6640625" style="37" customWidth="1"/>
    <col min="8" max="8" width="16.5546875" style="37" bestFit="1" customWidth="1"/>
    <col min="9" max="9" width="18.33203125" style="37" customWidth="1"/>
    <col min="10" max="16384" width="9.109375" style="37"/>
  </cols>
  <sheetData>
    <row r="1" spans="1:8" ht="16.8">
      <c r="A1" s="472" t="s">
        <v>0</v>
      </c>
      <c r="B1" s="472"/>
      <c r="C1" s="472"/>
    </row>
    <row r="2" spans="1:8" ht="16.8">
      <c r="A2" s="471" t="s">
        <v>75</v>
      </c>
      <c r="B2" s="471"/>
      <c r="C2" s="471"/>
    </row>
    <row r="3" spans="1:8" ht="20.399999999999999">
      <c r="A3" s="462" t="s">
        <v>174</v>
      </c>
      <c r="B3" s="462"/>
      <c r="C3" s="462"/>
      <c r="D3" s="462"/>
      <c r="E3" s="462"/>
      <c r="F3" s="462"/>
      <c r="G3" s="136"/>
      <c r="H3" s="2"/>
    </row>
    <row r="4" spans="1:8" ht="20.399999999999999">
      <c r="A4" s="488" t="s">
        <v>92</v>
      </c>
      <c r="B4" s="488"/>
      <c r="C4" s="488"/>
      <c r="D4" s="488"/>
      <c r="E4" s="488"/>
      <c r="F4" s="488"/>
      <c r="G4" s="488"/>
      <c r="H4" s="2"/>
    </row>
    <row r="5" spans="1:8" ht="10.5" customHeight="1">
      <c r="B5" s="39"/>
      <c r="C5" s="40"/>
      <c r="D5" s="40"/>
      <c r="H5" s="2"/>
    </row>
    <row r="6" spans="1:8" ht="21" customHeight="1">
      <c r="A6" s="251" t="s">
        <v>2</v>
      </c>
      <c r="B6" s="252" t="s">
        <v>13</v>
      </c>
      <c r="C6" s="253" t="s">
        <v>85</v>
      </c>
      <c r="D6" s="253" t="s">
        <v>118</v>
      </c>
      <c r="E6" s="253" t="s">
        <v>14</v>
      </c>
      <c r="F6" s="253" t="s">
        <v>14</v>
      </c>
      <c r="G6" s="259" t="s">
        <v>15</v>
      </c>
    </row>
    <row r="7" spans="1:8" ht="21" customHeight="1">
      <c r="A7" s="112">
        <v>1</v>
      </c>
      <c r="B7" s="107" t="s">
        <v>23</v>
      </c>
      <c r="C7" s="108" t="s">
        <v>26</v>
      </c>
      <c r="D7" s="205">
        <v>102006610216</v>
      </c>
      <c r="E7" s="254">
        <f>SUM(SUMIF(phauthuat_BHYT!$H$8:$H$104,"TRIỀU",phauthuat_BHYT!$I$8:$I$104),SUMIF(phauthuat_BHYT!$J$8:$J$104,"TRIỀU",phauthuat_BHYT!$K$8:$K$104),SUMIF(phauthuat_BHYT!$L$8:$L$104,"TRIỀU",phauthuat_BHYT!$M$8:$M$104))</f>
        <v>420000</v>
      </c>
      <c r="F7" s="315">
        <f>E7</f>
        <v>420000</v>
      </c>
      <c r="G7" s="147"/>
    </row>
    <row r="8" spans="1:8" ht="20.25" customHeight="1">
      <c r="A8" s="112">
        <v>2</v>
      </c>
      <c r="B8" s="107" t="s">
        <v>18</v>
      </c>
      <c r="C8" s="108" t="s">
        <v>26</v>
      </c>
      <c r="D8" s="205">
        <v>103006610215</v>
      </c>
      <c r="E8" s="254">
        <f>SUM(SUMIF(phauthuat_BHYT!$H$8:$H$104,"TẤN",phauthuat_BHYT!$I$8:$I$104),SUMIF(phauthuat_BHYT!$J$8:$J$104,"TẤN",phauthuat_BHYT!$K$8:$K$104),SUMIF(phauthuat_BHYT!$L$8:$L$104,"TẤN",phauthuat_BHYT!$M$8:$M$104))</f>
        <v>517500</v>
      </c>
      <c r="F8" s="315">
        <f>E8</f>
        <v>517500</v>
      </c>
      <c r="G8" s="147"/>
    </row>
    <row r="9" spans="1:8" ht="16.8">
      <c r="A9" s="112">
        <v>3</v>
      </c>
      <c r="B9" s="107" t="s">
        <v>17</v>
      </c>
      <c r="C9" s="108" t="s">
        <v>26</v>
      </c>
      <c r="D9" s="205">
        <v>100006610218</v>
      </c>
      <c r="E9" s="254">
        <f>SUM(SUMIF(phauthuat_BHYT!$H$8:$H$104,"HOAN",phauthuat_BHYT!$I$8:$I$104),SUMIF(phauthuat_BHYT!$J$8:$J$104,"HOAN",phauthuat_BHYT!$K$8:$K$104),SUMIF(phauthuat_BHYT!$L$8:$L$104,"HOAN",phauthuat_BHYT!$M$8:$M$104))</f>
        <v>4260000</v>
      </c>
      <c r="F9" s="315">
        <f>E9+I17</f>
        <v>11850000</v>
      </c>
      <c r="G9" s="147"/>
    </row>
    <row r="10" spans="1:8" ht="18.75" customHeight="1">
      <c r="A10" s="112">
        <v>4</v>
      </c>
      <c r="B10" s="107" t="s">
        <v>74</v>
      </c>
      <c r="C10" s="108" t="s">
        <v>26</v>
      </c>
      <c r="D10" s="205">
        <v>105001159195</v>
      </c>
      <c r="E10" s="254">
        <f>SUM(SUMIF(phauthuat_BHYT!$H$8:$H$104,"NGUYỆN",phauthuat_BHYT!$I$8:$I$104),SUMIF(phauthuat_BHYT!$J$8:$J$104,"NGUYỆN",phauthuat_BHYT!$K$8:$K$104),SUMIF(phauthuat_BHYT!$L$8:$L$104,"NGUYỆN",phauthuat_BHYT!$M$8:$M$104))</f>
        <v>6435000</v>
      </c>
      <c r="F10" s="315">
        <f>E10</f>
        <v>6435000</v>
      </c>
      <c r="G10" s="255"/>
      <c r="H10" s="41"/>
    </row>
    <row r="11" spans="1:8" ht="17.25" customHeight="1">
      <c r="A11" s="112">
        <v>5</v>
      </c>
      <c r="B11" s="107" t="s">
        <v>72</v>
      </c>
      <c r="C11" s="108" t="s">
        <v>66</v>
      </c>
      <c r="D11" s="205">
        <v>105001225232</v>
      </c>
      <c r="E11" s="254">
        <f>SUM(SUMIF(phauthuat_BHYT!$H$8:$H$104,"ĐIỀN",phauthuat_BHYT!$I$8:$I$104),SUMIF(phauthuat_BHYT!$J$8:$J$104,"ĐIỀN",phauthuat_BHYT!$K$8:$K$104),SUMIF(phauthuat_BHYT!$L$8:$L$104,"ĐIỀN",phauthuat_BHYT!$M$8:$M$104))</f>
        <v>2595000</v>
      </c>
      <c r="F11" s="315">
        <f>E11+I22</f>
        <v>5115000</v>
      </c>
      <c r="G11" s="255"/>
      <c r="H11" s="41"/>
    </row>
    <row r="12" spans="1:8" ht="20.25" customHeight="1">
      <c r="A12" s="112">
        <v>6</v>
      </c>
      <c r="B12" s="107" t="s">
        <v>115</v>
      </c>
      <c r="C12" s="108" t="s">
        <v>66</v>
      </c>
      <c r="D12" s="205">
        <v>107868829237</v>
      </c>
      <c r="E12" s="254">
        <f>SUM(SUMIF(phauthuat_BHYT!$H$8:$H$104,"TOẢN",phauthuat_BHYT!$I$8:$I$104),SUMIF(phauthuat_BHYT!$J$8:$J$104,"TOẢN",phauthuat_BHYT!$K$8:$K$104),SUMIF(phauthuat_BHYT!$L$8:$L$104,"TOẢN",phauthuat_BHYT!$M$8:$M$104))</f>
        <v>6105000</v>
      </c>
      <c r="F12" s="315">
        <f>E12</f>
        <v>6105000</v>
      </c>
      <c r="G12" s="255"/>
      <c r="H12" s="41"/>
    </row>
    <row r="13" spans="1:8" ht="16.8">
      <c r="A13" s="112">
        <v>7</v>
      </c>
      <c r="B13" s="107" t="s">
        <v>94</v>
      </c>
      <c r="C13" s="108" t="s">
        <v>66</v>
      </c>
      <c r="D13" s="205">
        <v>105867664283</v>
      </c>
      <c r="E13" s="254">
        <f>SUM(SUMIF(phauthuat_BHYT!$H$8:$H$104,"giàu",phauthuat_BHYT!$I$8:$I$104),SUMIF(phauthuat_BHYT!$J$8:$J$104,"giàu",phauthuat_BHYT!$K$8:$K$104),SUMIF(phauthuat_BHYT!$L$8:$L$104,"giàu",phauthuat_BHYT!$M$8:$M$104))</f>
        <v>2407500</v>
      </c>
      <c r="F13" s="315">
        <f>E13+I27</f>
        <v>2542500</v>
      </c>
      <c r="G13" s="255"/>
      <c r="H13" s="41"/>
    </row>
    <row r="14" spans="1:8" ht="16.8">
      <c r="A14" s="112">
        <v>8</v>
      </c>
      <c r="B14" s="107" t="s">
        <v>84</v>
      </c>
      <c r="C14" s="261" t="s">
        <v>26</v>
      </c>
      <c r="D14" s="348" t="s">
        <v>131</v>
      </c>
      <c r="E14" s="254"/>
      <c r="F14" s="315">
        <f>'lanh tien PT_BHYT'!E14</f>
        <v>3097500</v>
      </c>
      <c r="G14" s="255"/>
      <c r="H14" s="41"/>
    </row>
    <row r="15" spans="1:8" ht="16.8">
      <c r="A15" s="112">
        <v>9</v>
      </c>
      <c r="B15" s="107" t="s">
        <v>68</v>
      </c>
      <c r="C15" s="261" t="s">
        <v>26</v>
      </c>
      <c r="D15" s="348" t="s">
        <v>640</v>
      </c>
      <c r="E15" s="254"/>
      <c r="F15" s="315">
        <f>'lanh tien PT_BHYT'!E15</f>
        <v>1005000</v>
      </c>
      <c r="G15" s="255"/>
      <c r="H15" s="41"/>
    </row>
    <row r="16" spans="1:8" ht="16.8">
      <c r="A16" s="112">
        <v>10</v>
      </c>
      <c r="B16" s="107" t="s">
        <v>138</v>
      </c>
      <c r="C16" s="261" t="s">
        <v>26</v>
      </c>
      <c r="D16" s="348" t="s">
        <v>141</v>
      </c>
      <c r="E16" s="254"/>
      <c r="F16" s="315">
        <f>'lanh tien PT_BHYT'!E16</f>
        <v>7185000</v>
      </c>
      <c r="G16" s="255"/>
      <c r="H16" s="41"/>
    </row>
    <row r="17" spans="1:9" s="437" customFormat="1" ht="16.8" hidden="1">
      <c r="A17" s="428">
        <v>22</v>
      </c>
      <c r="B17" s="429" t="s">
        <v>157</v>
      </c>
      <c r="C17" s="430" t="s">
        <v>60</v>
      </c>
      <c r="D17" s="431"/>
      <c r="E17" s="432"/>
      <c r="F17" s="433"/>
      <c r="G17" s="434"/>
      <c r="H17" s="435" t="s">
        <v>616</v>
      </c>
      <c r="I17" s="436">
        <f>SUM('lanh tien PT_BHYT'!E17:E21)</f>
        <v>7590000</v>
      </c>
    </row>
    <row r="18" spans="1:9" s="437" customFormat="1" ht="16.8" hidden="1">
      <c r="A18" s="428">
        <v>23</v>
      </c>
      <c r="B18" s="429" t="s">
        <v>158</v>
      </c>
      <c r="C18" s="430" t="s">
        <v>60</v>
      </c>
      <c r="D18" s="431"/>
      <c r="E18" s="432"/>
      <c r="F18" s="433"/>
      <c r="G18" s="434"/>
      <c r="H18" s="435"/>
      <c r="I18" s="436"/>
    </row>
    <row r="19" spans="1:9" s="437" customFormat="1" ht="16.8" hidden="1">
      <c r="A19" s="428">
        <v>24</v>
      </c>
      <c r="B19" s="429" t="s">
        <v>159</v>
      </c>
      <c r="C19" s="430" t="s">
        <v>60</v>
      </c>
      <c r="D19" s="431"/>
      <c r="E19" s="432"/>
      <c r="F19" s="433"/>
      <c r="G19" s="434"/>
      <c r="H19" s="435"/>
      <c r="I19" s="436"/>
    </row>
    <row r="20" spans="1:9" s="437" customFormat="1" ht="33.6" hidden="1">
      <c r="A20" s="428">
        <v>25</v>
      </c>
      <c r="B20" s="429" t="s">
        <v>160</v>
      </c>
      <c r="C20" s="430" t="s">
        <v>60</v>
      </c>
      <c r="D20" s="431"/>
      <c r="E20" s="432"/>
      <c r="F20" s="433"/>
      <c r="G20" s="434"/>
      <c r="H20" s="435"/>
      <c r="I20" s="436"/>
    </row>
    <row r="21" spans="1:9" s="437" customFormat="1" ht="16.8" hidden="1">
      <c r="A21" s="428">
        <v>26</v>
      </c>
      <c r="B21" s="429" t="s">
        <v>161</v>
      </c>
      <c r="C21" s="430" t="s">
        <v>60</v>
      </c>
      <c r="D21" s="431"/>
      <c r="E21" s="432"/>
      <c r="F21" s="433"/>
      <c r="G21" s="434"/>
      <c r="H21" s="435"/>
      <c r="I21" s="436"/>
    </row>
    <row r="22" spans="1:9" s="457" customFormat="1" ht="16.8" hidden="1">
      <c r="A22" s="448">
        <v>27</v>
      </c>
      <c r="B22" s="449" t="s">
        <v>162</v>
      </c>
      <c r="C22" s="450" t="s">
        <v>60</v>
      </c>
      <c r="D22" s="451"/>
      <c r="E22" s="452"/>
      <c r="F22" s="453"/>
      <c r="G22" s="454"/>
      <c r="H22" s="455" t="s">
        <v>123</v>
      </c>
      <c r="I22" s="456">
        <f>SUM('lanh tien PT_BHYT'!E22:E26)</f>
        <v>2520000</v>
      </c>
    </row>
    <row r="23" spans="1:9" s="457" customFormat="1" ht="16.8" hidden="1">
      <c r="A23" s="448">
        <v>28</v>
      </c>
      <c r="B23" s="449" t="s">
        <v>163</v>
      </c>
      <c r="C23" s="450" t="s">
        <v>60</v>
      </c>
      <c r="D23" s="451"/>
      <c r="E23" s="452"/>
      <c r="F23" s="453"/>
      <c r="G23" s="454"/>
      <c r="H23" s="455"/>
      <c r="I23" s="456"/>
    </row>
    <row r="24" spans="1:9" s="457" customFormat="1" ht="16.8" hidden="1">
      <c r="A24" s="448">
        <v>29</v>
      </c>
      <c r="B24" s="449" t="s">
        <v>164</v>
      </c>
      <c r="C24" s="450" t="s">
        <v>60</v>
      </c>
      <c r="D24" s="451"/>
      <c r="E24" s="452"/>
      <c r="F24" s="453"/>
      <c r="G24" s="454"/>
      <c r="H24" s="455"/>
      <c r="I24" s="456"/>
    </row>
    <row r="25" spans="1:9" s="457" customFormat="1" ht="16.8" hidden="1">
      <c r="A25" s="448">
        <v>29</v>
      </c>
      <c r="B25" s="449" t="s">
        <v>165</v>
      </c>
      <c r="C25" s="450" t="s">
        <v>60</v>
      </c>
      <c r="D25" s="451"/>
      <c r="E25" s="452"/>
      <c r="F25" s="453"/>
      <c r="G25" s="454"/>
      <c r="H25" s="455"/>
      <c r="I25" s="456"/>
    </row>
    <row r="26" spans="1:9" s="457" customFormat="1" ht="16.8" hidden="1">
      <c r="A26" s="448">
        <v>30</v>
      </c>
      <c r="B26" s="449" t="s">
        <v>166</v>
      </c>
      <c r="C26" s="450" t="s">
        <v>60</v>
      </c>
      <c r="D26" s="451"/>
      <c r="E26" s="452"/>
      <c r="F26" s="453"/>
      <c r="G26" s="454"/>
      <c r="H26" s="455"/>
      <c r="I26" s="456"/>
    </row>
    <row r="27" spans="1:9" s="447" customFormat="1" ht="16.8" hidden="1">
      <c r="A27" s="438">
        <v>31</v>
      </c>
      <c r="B27" s="439" t="s">
        <v>167</v>
      </c>
      <c r="C27" s="440" t="s">
        <v>60</v>
      </c>
      <c r="D27" s="441"/>
      <c r="E27" s="442"/>
      <c r="F27" s="443"/>
      <c r="G27" s="444"/>
      <c r="H27" s="445" t="s">
        <v>129</v>
      </c>
      <c r="I27" s="446">
        <f>SUM('lanh tien PT_BHYT'!E27:E30)</f>
        <v>135000</v>
      </c>
    </row>
    <row r="28" spans="1:9" s="447" customFormat="1" ht="33.6" hidden="1">
      <c r="A28" s="438">
        <v>32</v>
      </c>
      <c r="B28" s="439" t="s">
        <v>168</v>
      </c>
      <c r="C28" s="440" t="s">
        <v>60</v>
      </c>
      <c r="D28" s="441"/>
      <c r="E28" s="442"/>
      <c r="F28" s="443"/>
      <c r="G28" s="444"/>
      <c r="H28" s="445"/>
      <c r="I28" s="446"/>
    </row>
    <row r="29" spans="1:9" s="447" customFormat="1" ht="16.8" hidden="1">
      <c r="A29" s="438">
        <v>33</v>
      </c>
      <c r="B29" s="439" t="s">
        <v>169</v>
      </c>
      <c r="C29" s="440" t="s">
        <v>60</v>
      </c>
      <c r="D29" s="441"/>
      <c r="E29" s="442"/>
      <c r="F29" s="443"/>
      <c r="G29" s="444"/>
      <c r="H29" s="445"/>
      <c r="I29" s="446"/>
    </row>
    <row r="30" spans="1:9" s="447" customFormat="1" ht="16.8" hidden="1">
      <c r="A30" s="438">
        <v>34</v>
      </c>
      <c r="B30" s="439" t="s">
        <v>170</v>
      </c>
      <c r="C30" s="440" t="s">
        <v>60</v>
      </c>
      <c r="D30" s="441"/>
      <c r="E30" s="442"/>
      <c r="F30" s="443"/>
      <c r="G30" s="444"/>
      <c r="H30" s="445"/>
      <c r="I30" s="446"/>
    </row>
    <row r="31" spans="1:9" ht="20.25" customHeight="1">
      <c r="A31" s="240"/>
      <c r="B31" s="256" t="s">
        <v>28</v>
      </c>
      <c r="C31" s="257"/>
      <c r="D31" s="257"/>
      <c r="E31" s="254">
        <f>SUM(E7:E16)</f>
        <v>22740000</v>
      </c>
      <c r="F31" s="312">
        <f>SUM(F7:F30)</f>
        <v>44272500</v>
      </c>
      <c r="G31" s="258"/>
      <c r="H31" s="106"/>
    </row>
    <row r="32" spans="1:9" ht="12" customHeight="1">
      <c r="A32" s="1"/>
      <c r="B32" s="106"/>
      <c r="H32" s="41"/>
    </row>
    <row r="33" spans="1:7" ht="15.6">
      <c r="D33" s="473" t="s">
        <v>639</v>
      </c>
      <c r="E33" s="473"/>
      <c r="F33" s="473"/>
      <c r="G33" s="473"/>
    </row>
    <row r="34" spans="1:7" ht="18">
      <c r="A34" s="462" t="s">
        <v>20</v>
      </c>
      <c r="B34" s="462"/>
      <c r="C34" s="40"/>
      <c r="D34" s="489" t="s">
        <v>21</v>
      </c>
      <c r="E34" s="489"/>
      <c r="F34" s="489"/>
      <c r="G34" s="489"/>
    </row>
    <row r="35" spans="1:7" ht="18">
      <c r="A35" s="39"/>
      <c r="B35" s="39"/>
      <c r="C35" s="40"/>
      <c r="D35" s="40"/>
      <c r="E35" s="40"/>
      <c r="F35" s="284"/>
      <c r="G35" s="39"/>
    </row>
    <row r="36" spans="1:7" ht="18">
      <c r="A36" s="39"/>
      <c r="B36" s="39"/>
      <c r="C36" s="40"/>
      <c r="D36" s="40"/>
      <c r="E36" s="40"/>
      <c r="F36" s="284"/>
      <c r="G36" s="39"/>
    </row>
    <row r="37" spans="1:7" ht="18">
      <c r="A37" s="39"/>
      <c r="B37" s="39"/>
      <c r="C37" s="40"/>
      <c r="D37" s="40"/>
      <c r="E37" s="40"/>
      <c r="F37" s="314"/>
      <c r="G37" s="39"/>
    </row>
    <row r="38" spans="1:7" ht="24.75" customHeight="1">
      <c r="A38" s="462" t="s">
        <v>96</v>
      </c>
      <c r="B38" s="462"/>
      <c r="C38" s="40"/>
      <c r="D38" s="489" t="s">
        <v>111</v>
      </c>
      <c r="E38" s="489"/>
      <c r="F38" s="489"/>
      <c r="G38" s="489"/>
    </row>
  </sheetData>
  <mergeCells count="9">
    <mergeCell ref="A38:B38"/>
    <mergeCell ref="D38:G38"/>
    <mergeCell ref="A34:B34"/>
    <mergeCell ref="D34:G34"/>
    <mergeCell ref="A1:C1"/>
    <mergeCell ref="A2:C2"/>
    <mergeCell ref="A3:F3"/>
    <mergeCell ref="A4:G4"/>
    <mergeCell ref="D33:G33"/>
  </mergeCells>
  <pageMargins left="0.56000000000000005" right="0.1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GF679"/>
  <sheetViews>
    <sheetView topLeftCell="B1" zoomScale="110" zoomScaleNormal="110" workbookViewId="0">
      <selection activeCell="G276" sqref="G276"/>
    </sheetView>
  </sheetViews>
  <sheetFormatPr defaultColWidth="21.109375" defaultRowHeight="13.2"/>
  <cols>
    <col min="1" max="1" width="4.5546875" style="99" hidden="1" customWidth="1"/>
    <col min="2" max="2" width="6.5546875" style="100" customWidth="1"/>
    <col min="3" max="3" width="12.109375" style="421" customWidth="1"/>
    <col min="4" max="4" width="30.5546875" style="99" customWidth="1"/>
    <col min="5" max="5" width="10.88671875" style="260" customWidth="1"/>
    <col min="6" max="6" width="46" style="157" customWidth="1"/>
    <col min="7" max="7" width="9" style="168" customWidth="1"/>
    <col min="8" max="8" width="14.44140625" style="101" customWidth="1"/>
    <col min="9" max="9" width="11.6640625" style="99" customWidth="1"/>
    <col min="10" max="10" width="9.109375" style="99" customWidth="1"/>
    <col min="11" max="11" width="16.44140625" style="99" customWidth="1"/>
    <col min="12" max="228" width="9.109375" style="99" customWidth="1"/>
    <col min="229" max="229" width="4" style="99" customWidth="1"/>
    <col min="230" max="247" width="21.109375" style="99"/>
    <col min="248" max="248" width="4" style="99" customWidth="1"/>
    <col min="249" max="251" width="21.109375" style="99" customWidth="1"/>
    <col min="252" max="252" width="5.5546875" style="99" customWidth="1"/>
    <col min="253" max="253" width="4.6640625" style="99" customWidth="1"/>
    <col min="254" max="254" width="7.33203125" style="99" customWidth="1"/>
    <col min="255" max="255" width="6.5546875" style="99" customWidth="1"/>
    <col min="256" max="256" width="13.44140625" style="99" customWidth="1"/>
    <col min="257" max="257" width="12.44140625" style="99" customWidth="1"/>
    <col min="258" max="258" width="8.33203125" style="99" customWidth="1"/>
    <col min="259" max="260" width="11.88671875" style="99" customWidth="1"/>
    <col min="261" max="261" width="14.109375" style="99" customWidth="1"/>
    <col min="262" max="262" width="12" style="99" customWidth="1"/>
    <col min="263" max="263" width="11" style="99" customWidth="1"/>
    <col min="264" max="264" width="11.5546875" style="99" customWidth="1"/>
    <col min="265" max="484" width="9.109375" style="99" customWidth="1"/>
    <col min="485" max="485" width="4" style="99" customWidth="1"/>
    <col min="486" max="503" width="21.109375" style="99"/>
    <col min="504" max="504" width="4" style="99" customWidth="1"/>
    <col min="505" max="507" width="21.109375" style="99" customWidth="1"/>
    <col min="508" max="508" width="5.5546875" style="99" customWidth="1"/>
    <col min="509" max="509" width="4.6640625" style="99" customWidth="1"/>
    <col min="510" max="510" width="7.33203125" style="99" customWidth="1"/>
    <col min="511" max="511" width="6.5546875" style="99" customWidth="1"/>
    <col min="512" max="512" width="13.44140625" style="99" customWidth="1"/>
    <col min="513" max="513" width="12.44140625" style="99" customWidth="1"/>
    <col min="514" max="514" width="8.33203125" style="99" customWidth="1"/>
    <col min="515" max="516" width="11.88671875" style="99" customWidth="1"/>
    <col min="517" max="517" width="14.109375" style="99" customWidth="1"/>
    <col min="518" max="518" width="12" style="99" customWidth="1"/>
    <col min="519" max="519" width="11" style="99" customWidth="1"/>
    <col min="520" max="520" width="11.5546875" style="99" customWidth="1"/>
    <col min="521" max="740" width="9.109375" style="99" customWidth="1"/>
    <col min="741" max="741" width="4" style="99" customWidth="1"/>
    <col min="742" max="759" width="21.109375" style="99"/>
    <col min="760" max="760" width="4" style="99" customWidth="1"/>
    <col min="761" max="763" width="21.109375" style="99" customWidth="1"/>
    <col min="764" max="764" width="5.5546875" style="99" customWidth="1"/>
    <col min="765" max="765" width="4.6640625" style="99" customWidth="1"/>
    <col min="766" max="766" width="7.33203125" style="99" customWidth="1"/>
    <col min="767" max="767" width="6.5546875" style="99" customWidth="1"/>
    <col min="768" max="768" width="13.44140625" style="99" customWidth="1"/>
    <col min="769" max="769" width="12.44140625" style="99" customWidth="1"/>
    <col min="770" max="770" width="8.33203125" style="99" customWidth="1"/>
    <col min="771" max="772" width="11.88671875" style="99" customWidth="1"/>
    <col min="773" max="773" width="14.109375" style="99" customWidth="1"/>
    <col min="774" max="774" width="12" style="99" customWidth="1"/>
    <col min="775" max="775" width="11" style="99" customWidth="1"/>
    <col min="776" max="776" width="11.5546875" style="99" customWidth="1"/>
    <col min="777" max="996" width="9.109375" style="99" customWidth="1"/>
    <col min="997" max="997" width="4" style="99" customWidth="1"/>
    <col min="998" max="1015" width="21.109375" style="99"/>
    <col min="1016" max="1016" width="4" style="99" customWidth="1"/>
    <col min="1017" max="1019" width="21.109375" style="99" customWidth="1"/>
    <col min="1020" max="1020" width="5.5546875" style="99" customWidth="1"/>
    <col min="1021" max="1021" width="4.6640625" style="99" customWidth="1"/>
    <col min="1022" max="1022" width="7.33203125" style="99" customWidth="1"/>
    <col min="1023" max="1023" width="6.5546875" style="99" customWidth="1"/>
    <col min="1024" max="1024" width="13.44140625" style="99" customWidth="1"/>
    <col min="1025" max="1025" width="12.44140625" style="99" customWidth="1"/>
    <col min="1026" max="1026" width="8.33203125" style="99" customWidth="1"/>
    <col min="1027" max="1028" width="11.88671875" style="99" customWidth="1"/>
    <col min="1029" max="1029" width="14.109375" style="99" customWidth="1"/>
    <col min="1030" max="1030" width="12" style="99" customWidth="1"/>
    <col min="1031" max="1031" width="11" style="99" customWidth="1"/>
    <col min="1032" max="1032" width="11.5546875" style="99" customWidth="1"/>
    <col min="1033" max="1252" width="9.109375" style="99" customWidth="1"/>
    <col min="1253" max="1253" width="4" style="99" customWidth="1"/>
    <col min="1254" max="1271" width="21.109375" style="99"/>
    <col min="1272" max="1272" width="4" style="99" customWidth="1"/>
    <col min="1273" max="1275" width="21.109375" style="99" customWidth="1"/>
    <col min="1276" max="1276" width="5.5546875" style="99" customWidth="1"/>
    <col min="1277" max="1277" width="4.6640625" style="99" customWidth="1"/>
    <col min="1278" max="1278" width="7.33203125" style="99" customWidth="1"/>
    <col min="1279" max="1279" width="6.5546875" style="99" customWidth="1"/>
    <col min="1280" max="1280" width="13.44140625" style="99" customWidth="1"/>
    <col min="1281" max="1281" width="12.44140625" style="99" customWidth="1"/>
    <col min="1282" max="1282" width="8.33203125" style="99" customWidth="1"/>
    <col min="1283" max="1284" width="11.88671875" style="99" customWidth="1"/>
    <col min="1285" max="1285" width="14.109375" style="99" customWidth="1"/>
    <col min="1286" max="1286" width="12" style="99" customWidth="1"/>
    <col min="1287" max="1287" width="11" style="99" customWidth="1"/>
    <col min="1288" max="1288" width="11.5546875" style="99" customWidth="1"/>
    <col min="1289" max="1508" width="9.109375" style="99" customWidth="1"/>
    <col min="1509" max="1509" width="4" style="99" customWidth="1"/>
    <col min="1510" max="1527" width="21.109375" style="99"/>
    <col min="1528" max="1528" width="4" style="99" customWidth="1"/>
    <col min="1529" max="1531" width="21.109375" style="99" customWidth="1"/>
    <col min="1532" max="1532" width="5.5546875" style="99" customWidth="1"/>
    <col min="1533" max="1533" width="4.6640625" style="99" customWidth="1"/>
    <col min="1534" max="1534" width="7.33203125" style="99" customWidth="1"/>
    <col min="1535" max="1535" width="6.5546875" style="99" customWidth="1"/>
    <col min="1536" max="1536" width="13.44140625" style="99" customWidth="1"/>
    <col min="1537" max="1537" width="12.44140625" style="99" customWidth="1"/>
    <col min="1538" max="1538" width="8.33203125" style="99" customWidth="1"/>
    <col min="1539" max="1540" width="11.88671875" style="99" customWidth="1"/>
    <col min="1541" max="1541" width="14.109375" style="99" customWidth="1"/>
    <col min="1542" max="1542" width="12" style="99" customWidth="1"/>
    <col min="1543" max="1543" width="11" style="99" customWidth="1"/>
    <col min="1544" max="1544" width="11.5546875" style="99" customWidth="1"/>
    <col min="1545" max="1764" width="9.109375" style="99" customWidth="1"/>
    <col min="1765" max="1765" width="4" style="99" customWidth="1"/>
    <col min="1766" max="1783" width="21.109375" style="99"/>
    <col min="1784" max="1784" width="4" style="99" customWidth="1"/>
    <col min="1785" max="1787" width="21.109375" style="99" customWidth="1"/>
    <col min="1788" max="1788" width="5.5546875" style="99" customWidth="1"/>
    <col min="1789" max="1789" width="4.6640625" style="99" customWidth="1"/>
    <col min="1790" max="1790" width="7.33203125" style="99" customWidth="1"/>
    <col min="1791" max="1791" width="6.5546875" style="99" customWidth="1"/>
    <col min="1792" max="1792" width="13.44140625" style="99" customWidth="1"/>
    <col min="1793" max="1793" width="12.44140625" style="99" customWidth="1"/>
    <col min="1794" max="1794" width="8.33203125" style="99" customWidth="1"/>
    <col min="1795" max="1796" width="11.88671875" style="99" customWidth="1"/>
    <col min="1797" max="1797" width="14.109375" style="99" customWidth="1"/>
    <col min="1798" max="1798" width="12" style="99" customWidth="1"/>
    <col min="1799" max="1799" width="11" style="99" customWidth="1"/>
    <col min="1800" max="1800" width="11.5546875" style="99" customWidth="1"/>
    <col min="1801" max="2020" width="9.109375" style="99" customWidth="1"/>
    <col min="2021" max="2021" width="4" style="99" customWidth="1"/>
    <col min="2022" max="2039" width="21.109375" style="99"/>
    <col min="2040" max="2040" width="4" style="99" customWidth="1"/>
    <col min="2041" max="2043" width="21.109375" style="99" customWidth="1"/>
    <col min="2044" max="2044" width="5.5546875" style="99" customWidth="1"/>
    <col min="2045" max="2045" width="4.6640625" style="99" customWidth="1"/>
    <col min="2046" max="2046" width="7.33203125" style="99" customWidth="1"/>
    <col min="2047" max="2047" width="6.5546875" style="99" customWidth="1"/>
    <col min="2048" max="2048" width="13.44140625" style="99" customWidth="1"/>
    <col min="2049" max="2049" width="12.44140625" style="99" customWidth="1"/>
    <col min="2050" max="2050" width="8.33203125" style="99" customWidth="1"/>
    <col min="2051" max="2052" width="11.88671875" style="99" customWidth="1"/>
    <col min="2053" max="2053" width="14.109375" style="99" customWidth="1"/>
    <col min="2054" max="2054" width="12" style="99" customWidth="1"/>
    <col min="2055" max="2055" width="11" style="99" customWidth="1"/>
    <col min="2056" max="2056" width="11.5546875" style="99" customWidth="1"/>
    <col min="2057" max="2276" width="9.109375" style="99" customWidth="1"/>
    <col min="2277" max="2277" width="4" style="99" customWidth="1"/>
    <col min="2278" max="2295" width="21.109375" style="99"/>
    <col min="2296" max="2296" width="4" style="99" customWidth="1"/>
    <col min="2297" max="2299" width="21.109375" style="99" customWidth="1"/>
    <col min="2300" max="2300" width="5.5546875" style="99" customWidth="1"/>
    <col min="2301" max="2301" width="4.6640625" style="99" customWidth="1"/>
    <col min="2302" max="2302" width="7.33203125" style="99" customWidth="1"/>
    <col min="2303" max="2303" width="6.5546875" style="99" customWidth="1"/>
    <col min="2304" max="2304" width="13.44140625" style="99" customWidth="1"/>
    <col min="2305" max="2305" width="12.44140625" style="99" customWidth="1"/>
    <col min="2306" max="2306" width="8.33203125" style="99" customWidth="1"/>
    <col min="2307" max="2308" width="11.88671875" style="99" customWidth="1"/>
    <col min="2309" max="2309" width="14.109375" style="99" customWidth="1"/>
    <col min="2310" max="2310" width="12" style="99" customWidth="1"/>
    <col min="2311" max="2311" width="11" style="99" customWidth="1"/>
    <col min="2312" max="2312" width="11.5546875" style="99" customWidth="1"/>
    <col min="2313" max="2532" width="9.109375" style="99" customWidth="1"/>
    <col min="2533" max="2533" width="4" style="99" customWidth="1"/>
    <col min="2534" max="2551" width="21.109375" style="99"/>
    <col min="2552" max="2552" width="4" style="99" customWidth="1"/>
    <col min="2553" max="2555" width="21.109375" style="99" customWidth="1"/>
    <col min="2556" max="2556" width="5.5546875" style="99" customWidth="1"/>
    <col min="2557" max="2557" width="4.6640625" style="99" customWidth="1"/>
    <col min="2558" max="2558" width="7.33203125" style="99" customWidth="1"/>
    <col min="2559" max="2559" width="6.5546875" style="99" customWidth="1"/>
    <col min="2560" max="2560" width="13.44140625" style="99" customWidth="1"/>
    <col min="2561" max="2561" width="12.44140625" style="99" customWidth="1"/>
    <col min="2562" max="2562" width="8.33203125" style="99" customWidth="1"/>
    <col min="2563" max="2564" width="11.88671875" style="99" customWidth="1"/>
    <col min="2565" max="2565" width="14.109375" style="99" customWidth="1"/>
    <col min="2566" max="2566" width="12" style="99" customWidth="1"/>
    <col min="2567" max="2567" width="11" style="99" customWidth="1"/>
    <col min="2568" max="2568" width="11.5546875" style="99" customWidth="1"/>
    <col min="2569" max="2788" width="9.109375" style="99" customWidth="1"/>
    <col min="2789" max="2789" width="4" style="99" customWidth="1"/>
    <col min="2790" max="2807" width="21.109375" style="99"/>
    <col min="2808" max="2808" width="4" style="99" customWidth="1"/>
    <col min="2809" max="2811" width="21.109375" style="99" customWidth="1"/>
    <col min="2812" max="2812" width="5.5546875" style="99" customWidth="1"/>
    <col min="2813" max="2813" width="4.6640625" style="99" customWidth="1"/>
    <col min="2814" max="2814" width="7.33203125" style="99" customWidth="1"/>
    <col min="2815" max="2815" width="6.5546875" style="99" customWidth="1"/>
    <col min="2816" max="2816" width="13.44140625" style="99" customWidth="1"/>
    <col min="2817" max="2817" width="12.44140625" style="99" customWidth="1"/>
    <col min="2818" max="2818" width="8.33203125" style="99" customWidth="1"/>
    <col min="2819" max="2820" width="11.88671875" style="99" customWidth="1"/>
    <col min="2821" max="2821" width="14.109375" style="99" customWidth="1"/>
    <col min="2822" max="2822" width="12" style="99" customWidth="1"/>
    <col min="2823" max="2823" width="11" style="99" customWidth="1"/>
    <col min="2824" max="2824" width="11.5546875" style="99" customWidth="1"/>
    <col min="2825" max="3044" width="9.109375" style="99" customWidth="1"/>
    <col min="3045" max="3045" width="4" style="99" customWidth="1"/>
    <col min="3046" max="3063" width="21.109375" style="99"/>
    <col min="3064" max="3064" width="4" style="99" customWidth="1"/>
    <col min="3065" max="3067" width="21.109375" style="99" customWidth="1"/>
    <col min="3068" max="3068" width="5.5546875" style="99" customWidth="1"/>
    <col min="3069" max="3069" width="4.6640625" style="99" customWidth="1"/>
    <col min="3070" max="3070" width="7.33203125" style="99" customWidth="1"/>
    <col min="3071" max="3071" width="6.5546875" style="99" customWidth="1"/>
    <col min="3072" max="3072" width="13.44140625" style="99" customWidth="1"/>
    <col min="3073" max="3073" width="12.44140625" style="99" customWidth="1"/>
    <col min="3074" max="3074" width="8.33203125" style="99" customWidth="1"/>
    <col min="3075" max="3076" width="11.88671875" style="99" customWidth="1"/>
    <col min="3077" max="3077" width="14.109375" style="99" customWidth="1"/>
    <col min="3078" max="3078" width="12" style="99" customWidth="1"/>
    <col min="3079" max="3079" width="11" style="99" customWidth="1"/>
    <col min="3080" max="3080" width="11.5546875" style="99" customWidth="1"/>
    <col min="3081" max="3300" width="9.109375" style="99" customWidth="1"/>
    <col min="3301" max="3301" width="4" style="99" customWidth="1"/>
    <col min="3302" max="3319" width="21.109375" style="99"/>
    <col min="3320" max="3320" width="4" style="99" customWidth="1"/>
    <col min="3321" max="3323" width="21.109375" style="99" customWidth="1"/>
    <col min="3324" max="3324" width="5.5546875" style="99" customWidth="1"/>
    <col min="3325" max="3325" width="4.6640625" style="99" customWidth="1"/>
    <col min="3326" max="3326" width="7.33203125" style="99" customWidth="1"/>
    <col min="3327" max="3327" width="6.5546875" style="99" customWidth="1"/>
    <col min="3328" max="3328" width="13.44140625" style="99" customWidth="1"/>
    <col min="3329" max="3329" width="12.44140625" style="99" customWidth="1"/>
    <col min="3330" max="3330" width="8.33203125" style="99" customWidth="1"/>
    <col min="3331" max="3332" width="11.88671875" style="99" customWidth="1"/>
    <col min="3333" max="3333" width="14.109375" style="99" customWidth="1"/>
    <col min="3334" max="3334" width="12" style="99" customWidth="1"/>
    <col min="3335" max="3335" width="11" style="99" customWidth="1"/>
    <col min="3336" max="3336" width="11.5546875" style="99" customWidth="1"/>
    <col min="3337" max="3556" width="9.109375" style="99" customWidth="1"/>
    <col min="3557" max="3557" width="4" style="99" customWidth="1"/>
    <col min="3558" max="3575" width="21.109375" style="99"/>
    <col min="3576" max="3576" width="4" style="99" customWidth="1"/>
    <col min="3577" max="3579" width="21.109375" style="99" customWidth="1"/>
    <col min="3580" max="3580" width="5.5546875" style="99" customWidth="1"/>
    <col min="3581" max="3581" width="4.6640625" style="99" customWidth="1"/>
    <col min="3582" max="3582" width="7.33203125" style="99" customWidth="1"/>
    <col min="3583" max="3583" width="6.5546875" style="99" customWidth="1"/>
    <col min="3584" max="3584" width="13.44140625" style="99" customWidth="1"/>
    <col min="3585" max="3585" width="12.44140625" style="99" customWidth="1"/>
    <col min="3586" max="3586" width="8.33203125" style="99" customWidth="1"/>
    <col min="3587" max="3588" width="11.88671875" style="99" customWidth="1"/>
    <col min="3589" max="3589" width="14.109375" style="99" customWidth="1"/>
    <col min="3590" max="3590" width="12" style="99" customWidth="1"/>
    <col min="3591" max="3591" width="11" style="99" customWidth="1"/>
    <col min="3592" max="3592" width="11.5546875" style="99" customWidth="1"/>
    <col min="3593" max="3812" width="9.109375" style="99" customWidth="1"/>
    <col min="3813" max="3813" width="4" style="99" customWidth="1"/>
    <col min="3814" max="3831" width="21.109375" style="99"/>
    <col min="3832" max="3832" width="4" style="99" customWidth="1"/>
    <col min="3833" max="3835" width="21.109375" style="99" customWidth="1"/>
    <col min="3836" max="3836" width="5.5546875" style="99" customWidth="1"/>
    <col min="3837" max="3837" width="4.6640625" style="99" customWidth="1"/>
    <col min="3838" max="3838" width="7.33203125" style="99" customWidth="1"/>
    <col min="3839" max="3839" width="6.5546875" style="99" customWidth="1"/>
    <col min="3840" max="3840" width="13.44140625" style="99" customWidth="1"/>
    <col min="3841" max="3841" width="12.44140625" style="99" customWidth="1"/>
    <col min="3842" max="3842" width="8.33203125" style="99" customWidth="1"/>
    <col min="3843" max="3844" width="11.88671875" style="99" customWidth="1"/>
    <col min="3845" max="3845" width="14.109375" style="99" customWidth="1"/>
    <col min="3846" max="3846" width="12" style="99" customWidth="1"/>
    <col min="3847" max="3847" width="11" style="99" customWidth="1"/>
    <col min="3848" max="3848" width="11.5546875" style="99" customWidth="1"/>
    <col min="3849" max="4068" width="9.109375" style="99" customWidth="1"/>
    <col min="4069" max="4069" width="4" style="99" customWidth="1"/>
    <col min="4070" max="4087" width="21.109375" style="99"/>
    <col min="4088" max="4088" width="4" style="99" customWidth="1"/>
    <col min="4089" max="4091" width="21.109375" style="99" customWidth="1"/>
    <col min="4092" max="4092" width="5.5546875" style="99" customWidth="1"/>
    <col min="4093" max="4093" width="4.6640625" style="99" customWidth="1"/>
    <col min="4094" max="4094" width="7.33203125" style="99" customWidth="1"/>
    <col min="4095" max="4095" width="6.5546875" style="99" customWidth="1"/>
    <col min="4096" max="4096" width="13.44140625" style="99" customWidth="1"/>
    <col min="4097" max="4097" width="12.44140625" style="99" customWidth="1"/>
    <col min="4098" max="4098" width="8.33203125" style="99" customWidth="1"/>
    <col min="4099" max="4100" width="11.88671875" style="99" customWidth="1"/>
    <col min="4101" max="4101" width="14.109375" style="99" customWidth="1"/>
    <col min="4102" max="4102" width="12" style="99" customWidth="1"/>
    <col min="4103" max="4103" width="11" style="99" customWidth="1"/>
    <col min="4104" max="4104" width="11.5546875" style="99" customWidth="1"/>
    <col min="4105" max="4324" width="9.109375" style="99" customWidth="1"/>
    <col min="4325" max="4325" width="4" style="99" customWidth="1"/>
    <col min="4326" max="4343" width="21.109375" style="99"/>
    <col min="4344" max="4344" width="4" style="99" customWidth="1"/>
    <col min="4345" max="4347" width="21.109375" style="99" customWidth="1"/>
    <col min="4348" max="4348" width="5.5546875" style="99" customWidth="1"/>
    <col min="4349" max="4349" width="4.6640625" style="99" customWidth="1"/>
    <col min="4350" max="4350" width="7.33203125" style="99" customWidth="1"/>
    <col min="4351" max="4351" width="6.5546875" style="99" customWidth="1"/>
    <col min="4352" max="4352" width="13.44140625" style="99" customWidth="1"/>
    <col min="4353" max="4353" width="12.44140625" style="99" customWidth="1"/>
    <col min="4354" max="4354" width="8.33203125" style="99" customWidth="1"/>
    <col min="4355" max="4356" width="11.88671875" style="99" customWidth="1"/>
    <col min="4357" max="4357" width="14.109375" style="99" customWidth="1"/>
    <col min="4358" max="4358" width="12" style="99" customWidth="1"/>
    <col min="4359" max="4359" width="11" style="99" customWidth="1"/>
    <col min="4360" max="4360" width="11.5546875" style="99" customWidth="1"/>
    <col min="4361" max="4580" width="9.109375" style="99" customWidth="1"/>
    <col min="4581" max="4581" width="4" style="99" customWidth="1"/>
    <col min="4582" max="4599" width="21.109375" style="99"/>
    <col min="4600" max="4600" width="4" style="99" customWidth="1"/>
    <col min="4601" max="4603" width="21.109375" style="99" customWidth="1"/>
    <col min="4604" max="4604" width="5.5546875" style="99" customWidth="1"/>
    <col min="4605" max="4605" width="4.6640625" style="99" customWidth="1"/>
    <col min="4606" max="4606" width="7.33203125" style="99" customWidth="1"/>
    <col min="4607" max="4607" width="6.5546875" style="99" customWidth="1"/>
    <col min="4608" max="4608" width="13.44140625" style="99" customWidth="1"/>
    <col min="4609" max="4609" width="12.44140625" style="99" customWidth="1"/>
    <col min="4610" max="4610" width="8.33203125" style="99" customWidth="1"/>
    <col min="4611" max="4612" width="11.88671875" style="99" customWidth="1"/>
    <col min="4613" max="4613" width="14.109375" style="99" customWidth="1"/>
    <col min="4614" max="4614" width="12" style="99" customWidth="1"/>
    <col min="4615" max="4615" width="11" style="99" customWidth="1"/>
    <col min="4616" max="4616" width="11.5546875" style="99" customWidth="1"/>
    <col min="4617" max="4836" width="9.109375" style="99" customWidth="1"/>
    <col min="4837" max="4837" width="4" style="99" customWidth="1"/>
    <col min="4838" max="4855" width="21.109375" style="99"/>
    <col min="4856" max="4856" width="4" style="99" customWidth="1"/>
    <col min="4857" max="4859" width="21.109375" style="99" customWidth="1"/>
    <col min="4860" max="4860" width="5.5546875" style="99" customWidth="1"/>
    <col min="4861" max="4861" width="4.6640625" style="99" customWidth="1"/>
    <col min="4862" max="4862" width="7.33203125" style="99" customWidth="1"/>
    <col min="4863" max="4863" width="6.5546875" style="99" customWidth="1"/>
    <col min="4864" max="4864" width="13.44140625" style="99" customWidth="1"/>
    <col min="4865" max="4865" width="12.44140625" style="99" customWidth="1"/>
    <col min="4866" max="4866" width="8.33203125" style="99" customWidth="1"/>
    <col min="4867" max="4868" width="11.88671875" style="99" customWidth="1"/>
    <col min="4869" max="4869" width="14.109375" style="99" customWidth="1"/>
    <col min="4870" max="4870" width="12" style="99" customWidth="1"/>
    <col min="4871" max="4871" width="11" style="99" customWidth="1"/>
    <col min="4872" max="4872" width="11.5546875" style="99" customWidth="1"/>
    <col min="4873" max="5092" width="9.109375" style="99" customWidth="1"/>
    <col min="5093" max="5093" width="4" style="99" customWidth="1"/>
    <col min="5094" max="5111" width="21.109375" style="99"/>
    <col min="5112" max="5112" width="4" style="99" customWidth="1"/>
    <col min="5113" max="5115" width="21.109375" style="99" customWidth="1"/>
    <col min="5116" max="5116" width="5.5546875" style="99" customWidth="1"/>
    <col min="5117" max="5117" width="4.6640625" style="99" customWidth="1"/>
    <col min="5118" max="5118" width="7.33203125" style="99" customWidth="1"/>
    <col min="5119" max="5119" width="6.5546875" style="99" customWidth="1"/>
    <col min="5120" max="5120" width="13.44140625" style="99" customWidth="1"/>
    <col min="5121" max="5121" width="12.44140625" style="99" customWidth="1"/>
    <col min="5122" max="5122" width="8.33203125" style="99" customWidth="1"/>
    <col min="5123" max="5124" width="11.88671875" style="99" customWidth="1"/>
    <col min="5125" max="5125" width="14.109375" style="99" customWidth="1"/>
    <col min="5126" max="5126" width="12" style="99" customWidth="1"/>
    <col min="5127" max="5127" width="11" style="99" customWidth="1"/>
    <col min="5128" max="5128" width="11.5546875" style="99" customWidth="1"/>
    <col min="5129" max="5348" width="9.109375" style="99" customWidth="1"/>
    <col min="5349" max="5349" width="4" style="99" customWidth="1"/>
    <col min="5350" max="5367" width="21.109375" style="99"/>
    <col min="5368" max="5368" width="4" style="99" customWidth="1"/>
    <col min="5369" max="5371" width="21.109375" style="99" customWidth="1"/>
    <col min="5372" max="5372" width="5.5546875" style="99" customWidth="1"/>
    <col min="5373" max="5373" width="4.6640625" style="99" customWidth="1"/>
    <col min="5374" max="5374" width="7.33203125" style="99" customWidth="1"/>
    <col min="5375" max="5375" width="6.5546875" style="99" customWidth="1"/>
    <col min="5376" max="5376" width="13.44140625" style="99" customWidth="1"/>
    <col min="5377" max="5377" width="12.44140625" style="99" customWidth="1"/>
    <col min="5378" max="5378" width="8.33203125" style="99" customWidth="1"/>
    <col min="5379" max="5380" width="11.88671875" style="99" customWidth="1"/>
    <col min="5381" max="5381" width="14.109375" style="99" customWidth="1"/>
    <col min="5382" max="5382" width="12" style="99" customWidth="1"/>
    <col min="5383" max="5383" width="11" style="99" customWidth="1"/>
    <col min="5384" max="5384" width="11.5546875" style="99" customWidth="1"/>
    <col min="5385" max="5604" width="9.109375" style="99" customWidth="1"/>
    <col min="5605" max="5605" width="4" style="99" customWidth="1"/>
    <col min="5606" max="5623" width="21.109375" style="99"/>
    <col min="5624" max="5624" width="4" style="99" customWidth="1"/>
    <col min="5625" max="5627" width="21.109375" style="99" customWidth="1"/>
    <col min="5628" max="5628" width="5.5546875" style="99" customWidth="1"/>
    <col min="5629" max="5629" width="4.6640625" style="99" customWidth="1"/>
    <col min="5630" max="5630" width="7.33203125" style="99" customWidth="1"/>
    <col min="5631" max="5631" width="6.5546875" style="99" customWidth="1"/>
    <col min="5632" max="5632" width="13.44140625" style="99" customWidth="1"/>
    <col min="5633" max="5633" width="12.44140625" style="99" customWidth="1"/>
    <col min="5634" max="5634" width="8.33203125" style="99" customWidth="1"/>
    <col min="5635" max="5636" width="11.88671875" style="99" customWidth="1"/>
    <col min="5637" max="5637" width="14.109375" style="99" customWidth="1"/>
    <col min="5638" max="5638" width="12" style="99" customWidth="1"/>
    <col min="5639" max="5639" width="11" style="99" customWidth="1"/>
    <col min="5640" max="5640" width="11.5546875" style="99" customWidth="1"/>
    <col min="5641" max="5860" width="9.109375" style="99" customWidth="1"/>
    <col min="5861" max="5861" width="4" style="99" customWidth="1"/>
    <col min="5862" max="5879" width="21.109375" style="99"/>
    <col min="5880" max="5880" width="4" style="99" customWidth="1"/>
    <col min="5881" max="5883" width="21.109375" style="99" customWidth="1"/>
    <col min="5884" max="5884" width="5.5546875" style="99" customWidth="1"/>
    <col min="5885" max="5885" width="4.6640625" style="99" customWidth="1"/>
    <col min="5886" max="5886" width="7.33203125" style="99" customWidth="1"/>
    <col min="5887" max="5887" width="6.5546875" style="99" customWidth="1"/>
    <col min="5888" max="5888" width="13.44140625" style="99" customWidth="1"/>
    <col min="5889" max="5889" width="12.44140625" style="99" customWidth="1"/>
    <col min="5890" max="5890" width="8.33203125" style="99" customWidth="1"/>
    <col min="5891" max="5892" width="11.88671875" style="99" customWidth="1"/>
    <col min="5893" max="5893" width="14.109375" style="99" customWidth="1"/>
    <col min="5894" max="5894" width="12" style="99" customWidth="1"/>
    <col min="5895" max="5895" width="11" style="99" customWidth="1"/>
    <col min="5896" max="5896" width="11.5546875" style="99" customWidth="1"/>
    <col min="5897" max="6116" width="9.109375" style="99" customWidth="1"/>
    <col min="6117" max="6117" width="4" style="99" customWidth="1"/>
    <col min="6118" max="6135" width="21.109375" style="99"/>
    <col min="6136" max="6136" width="4" style="99" customWidth="1"/>
    <col min="6137" max="6139" width="21.109375" style="99" customWidth="1"/>
    <col min="6140" max="6140" width="5.5546875" style="99" customWidth="1"/>
    <col min="6141" max="6141" width="4.6640625" style="99" customWidth="1"/>
    <col min="6142" max="6142" width="7.33203125" style="99" customWidth="1"/>
    <col min="6143" max="6143" width="6.5546875" style="99" customWidth="1"/>
    <col min="6144" max="6144" width="13.44140625" style="99" customWidth="1"/>
    <col min="6145" max="6145" width="12.44140625" style="99" customWidth="1"/>
    <col min="6146" max="6146" width="8.33203125" style="99" customWidth="1"/>
    <col min="6147" max="6148" width="11.88671875" style="99" customWidth="1"/>
    <col min="6149" max="6149" width="14.109375" style="99" customWidth="1"/>
    <col min="6150" max="6150" width="12" style="99" customWidth="1"/>
    <col min="6151" max="6151" width="11" style="99" customWidth="1"/>
    <col min="6152" max="6152" width="11.5546875" style="99" customWidth="1"/>
    <col min="6153" max="6372" width="9.109375" style="99" customWidth="1"/>
    <col min="6373" max="6373" width="4" style="99" customWidth="1"/>
    <col min="6374" max="6391" width="21.109375" style="99"/>
    <col min="6392" max="6392" width="4" style="99" customWidth="1"/>
    <col min="6393" max="6395" width="21.109375" style="99" customWidth="1"/>
    <col min="6396" max="6396" width="5.5546875" style="99" customWidth="1"/>
    <col min="6397" max="6397" width="4.6640625" style="99" customWidth="1"/>
    <col min="6398" max="6398" width="7.33203125" style="99" customWidth="1"/>
    <col min="6399" max="6399" width="6.5546875" style="99" customWidth="1"/>
    <col min="6400" max="6400" width="13.44140625" style="99" customWidth="1"/>
    <col min="6401" max="6401" width="12.44140625" style="99" customWidth="1"/>
    <col min="6402" max="6402" width="8.33203125" style="99" customWidth="1"/>
    <col min="6403" max="6404" width="11.88671875" style="99" customWidth="1"/>
    <col min="6405" max="6405" width="14.109375" style="99" customWidth="1"/>
    <col min="6406" max="6406" width="12" style="99" customWidth="1"/>
    <col min="6407" max="6407" width="11" style="99" customWidth="1"/>
    <col min="6408" max="6408" width="11.5546875" style="99" customWidth="1"/>
    <col min="6409" max="6628" width="9.109375" style="99" customWidth="1"/>
    <col min="6629" max="6629" width="4" style="99" customWidth="1"/>
    <col min="6630" max="6647" width="21.109375" style="99"/>
    <col min="6648" max="6648" width="4" style="99" customWidth="1"/>
    <col min="6649" max="6651" width="21.109375" style="99" customWidth="1"/>
    <col min="6652" max="6652" width="5.5546875" style="99" customWidth="1"/>
    <col min="6653" max="6653" width="4.6640625" style="99" customWidth="1"/>
    <col min="6654" max="6654" width="7.33203125" style="99" customWidth="1"/>
    <col min="6655" max="6655" width="6.5546875" style="99" customWidth="1"/>
    <col min="6656" max="6656" width="13.44140625" style="99" customWidth="1"/>
    <col min="6657" max="6657" width="12.44140625" style="99" customWidth="1"/>
    <col min="6658" max="6658" width="8.33203125" style="99" customWidth="1"/>
    <col min="6659" max="6660" width="11.88671875" style="99" customWidth="1"/>
    <col min="6661" max="6661" width="14.109375" style="99" customWidth="1"/>
    <col min="6662" max="6662" width="12" style="99" customWidth="1"/>
    <col min="6663" max="6663" width="11" style="99" customWidth="1"/>
    <col min="6664" max="6664" width="11.5546875" style="99" customWidth="1"/>
    <col min="6665" max="6884" width="9.109375" style="99" customWidth="1"/>
    <col min="6885" max="6885" width="4" style="99" customWidth="1"/>
    <col min="6886" max="6903" width="21.109375" style="99"/>
    <col min="6904" max="6904" width="4" style="99" customWidth="1"/>
    <col min="6905" max="6907" width="21.109375" style="99" customWidth="1"/>
    <col min="6908" max="6908" width="5.5546875" style="99" customWidth="1"/>
    <col min="6909" max="6909" width="4.6640625" style="99" customWidth="1"/>
    <col min="6910" max="6910" width="7.33203125" style="99" customWidth="1"/>
    <col min="6911" max="6911" width="6.5546875" style="99" customWidth="1"/>
    <col min="6912" max="6912" width="13.44140625" style="99" customWidth="1"/>
    <col min="6913" max="6913" width="12.44140625" style="99" customWidth="1"/>
    <col min="6914" max="6914" width="8.33203125" style="99" customWidth="1"/>
    <col min="6915" max="6916" width="11.88671875" style="99" customWidth="1"/>
    <col min="6917" max="6917" width="14.109375" style="99" customWidth="1"/>
    <col min="6918" max="6918" width="12" style="99" customWidth="1"/>
    <col min="6919" max="6919" width="11" style="99" customWidth="1"/>
    <col min="6920" max="6920" width="11.5546875" style="99" customWidth="1"/>
    <col min="6921" max="7140" width="9.109375" style="99" customWidth="1"/>
    <col min="7141" max="7141" width="4" style="99" customWidth="1"/>
    <col min="7142" max="7159" width="21.109375" style="99"/>
    <col min="7160" max="7160" width="4" style="99" customWidth="1"/>
    <col min="7161" max="7163" width="21.109375" style="99" customWidth="1"/>
    <col min="7164" max="7164" width="5.5546875" style="99" customWidth="1"/>
    <col min="7165" max="7165" width="4.6640625" style="99" customWidth="1"/>
    <col min="7166" max="7166" width="7.33203125" style="99" customWidth="1"/>
    <col min="7167" max="7167" width="6.5546875" style="99" customWidth="1"/>
    <col min="7168" max="7168" width="13.44140625" style="99" customWidth="1"/>
    <col min="7169" max="7169" width="12.44140625" style="99" customWidth="1"/>
    <col min="7170" max="7170" width="8.33203125" style="99" customWidth="1"/>
    <col min="7171" max="7172" width="11.88671875" style="99" customWidth="1"/>
    <col min="7173" max="7173" width="14.109375" style="99" customWidth="1"/>
    <col min="7174" max="7174" width="12" style="99" customWidth="1"/>
    <col min="7175" max="7175" width="11" style="99" customWidth="1"/>
    <col min="7176" max="7176" width="11.5546875" style="99" customWidth="1"/>
    <col min="7177" max="7396" width="9.109375" style="99" customWidth="1"/>
    <col min="7397" max="7397" width="4" style="99" customWidth="1"/>
    <col min="7398" max="7415" width="21.109375" style="99"/>
    <col min="7416" max="7416" width="4" style="99" customWidth="1"/>
    <col min="7417" max="7419" width="21.109375" style="99" customWidth="1"/>
    <col min="7420" max="7420" width="5.5546875" style="99" customWidth="1"/>
    <col min="7421" max="7421" width="4.6640625" style="99" customWidth="1"/>
    <col min="7422" max="7422" width="7.33203125" style="99" customWidth="1"/>
    <col min="7423" max="7423" width="6.5546875" style="99" customWidth="1"/>
    <col min="7424" max="7424" width="13.44140625" style="99" customWidth="1"/>
    <col min="7425" max="7425" width="12.44140625" style="99" customWidth="1"/>
    <col min="7426" max="7426" width="8.33203125" style="99" customWidth="1"/>
    <col min="7427" max="7428" width="11.88671875" style="99" customWidth="1"/>
    <col min="7429" max="7429" width="14.109375" style="99" customWidth="1"/>
    <col min="7430" max="7430" width="12" style="99" customWidth="1"/>
    <col min="7431" max="7431" width="11" style="99" customWidth="1"/>
    <col min="7432" max="7432" width="11.5546875" style="99" customWidth="1"/>
    <col min="7433" max="7652" width="9.109375" style="99" customWidth="1"/>
    <col min="7653" max="7653" width="4" style="99" customWidth="1"/>
    <col min="7654" max="7671" width="21.109375" style="99"/>
    <col min="7672" max="7672" width="4" style="99" customWidth="1"/>
    <col min="7673" max="7675" width="21.109375" style="99" customWidth="1"/>
    <col min="7676" max="7676" width="5.5546875" style="99" customWidth="1"/>
    <col min="7677" max="7677" width="4.6640625" style="99" customWidth="1"/>
    <col min="7678" max="7678" width="7.33203125" style="99" customWidth="1"/>
    <col min="7679" max="7679" width="6.5546875" style="99" customWidth="1"/>
    <col min="7680" max="7680" width="13.44140625" style="99" customWidth="1"/>
    <col min="7681" max="7681" width="12.44140625" style="99" customWidth="1"/>
    <col min="7682" max="7682" width="8.33203125" style="99" customWidth="1"/>
    <col min="7683" max="7684" width="11.88671875" style="99" customWidth="1"/>
    <col min="7685" max="7685" width="14.109375" style="99" customWidth="1"/>
    <col min="7686" max="7686" width="12" style="99" customWidth="1"/>
    <col min="7687" max="7687" width="11" style="99" customWidth="1"/>
    <col min="7688" max="7688" width="11.5546875" style="99" customWidth="1"/>
    <col min="7689" max="7908" width="9.109375" style="99" customWidth="1"/>
    <col min="7909" max="7909" width="4" style="99" customWidth="1"/>
    <col min="7910" max="7927" width="21.109375" style="99"/>
    <col min="7928" max="7928" width="4" style="99" customWidth="1"/>
    <col min="7929" max="7931" width="21.109375" style="99" customWidth="1"/>
    <col min="7932" max="7932" width="5.5546875" style="99" customWidth="1"/>
    <col min="7933" max="7933" width="4.6640625" style="99" customWidth="1"/>
    <col min="7934" max="7934" width="7.33203125" style="99" customWidth="1"/>
    <col min="7935" max="7935" width="6.5546875" style="99" customWidth="1"/>
    <col min="7936" max="7936" width="13.44140625" style="99" customWidth="1"/>
    <col min="7937" max="7937" width="12.44140625" style="99" customWidth="1"/>
    <col min="7938" max="7938" width="8.33203125" style="99" customWidth="1"/>
    <col min="7939" max="7940" width="11.88671875" style="99" customWidth="1"/>
    <col min="7941" max="7941" width="14.109375" style="99" customWidth="1"/>
    <col min="7942" max="7942" width="12" style="99" customWidth="1"/>
    <col min="7943" max="7943" width="11" style="99" customWidth="1"/>
    <col min="7944" max="7944" width="11.5546875" style="99" customWidth="1"/>
    <col min="7945" max="8164" width="9.109375" style="99" customWidth="1"/>
    <col min="8165" max="8165" width="4" style="99" customWidth="1"/>
    <col min="8166" max="8183" width="21.109375" style="99"/>
    <col min="8184" max="8184" width="4" style="99" customWidth="1"/>
    <col min="8185" max="8187" width="21.109375" style="99" customWidth="1"/>
    <col min="8188" max="8188" width="5.5546875" style="99" customWidth="1"/>
    <col min="8189" max="8189" width="4.6640625" style="99" customWidth="1"/>
    <col min="8190" max="8190" width="7.33203125" style="99" customWidth="1"/>
    <col min="8191" max="8191" width="6.5546875" style="99" customWidth="1"/>
    <col min="8192" max="8192" width="13.44140625" style="99" customWidth="1"/>
    <col min="8193" max="8193" width="12.44140625" style="99" customWidth="1"/>
    <col min="8194" max="8194" width="8.33203125" style="99" customWidth="1"/>
    <col min="8195" max="8196" width="11.88671875" style="99" customWidth="1"/>
    <col min="8197" max="8197" width="14.109375" style="99" customWidth="1"/>
    <col min="8198" max="8198" width="12" style="99" customWidth="1"/>
    <col min="8199" max="8199" width="11" style="99" customWidth="1"/>
    <col min="8200" max="8200" width="11.5546875" style="99" customWidth="1"/>
    <col min="8201" max="8420" width="9.109375" style="99" customWidth="1"/>
    <col min="8421" max="8421" width="4" style="99" customWidth="1"/>
    <col min="8422" max="8439" width="21.109375" style="99"/>
    <col min="8440" max="8440" width="4" style="99" customWidth="1"/>
    <col min="8441" max="8443" width="21.109375" style="99" customWidth="1"/>
    <col min="8444" max="8444" width="5.5546875" style="99" customWidth="1"/>
    <col min="8445" max="8445" width="4.6640625" style="99" customWidth="1"/>
    <col min="8446" max="8446" width="7.33203125" style="99" customWidth="1"/>
    <col min="8447" max="8447" width="6.5546875" style="99" customWidth="1"/>
    <col min="8448" max="8448" width="13.44140625" style="99" customWidth="1"/>
    <col min="8449" max="8449" width="12.44140625" style="99" customWidth="1"/>
    <col min="8450" max="8450" width="8.33203125" style="99" customWidth="1"/>
    <col min="8451" max="8452" width="11.88671875" style="99" customWidth="1"/>
    <col min="8453" max="8453" width="14.109375" style="99" customWidth="1"/>
    <col min="8454" max="8454" width="12" style="99" customWidth="1"/>
    <col min="8455" max="8455" width="11" style="99" customWidth="1"/>
    <col min="8456" max="8456" width="11.5546875" style="99" customWidth="1"/>
    <col min="8457" max="8676" width="9.109375" style="99" customWidth="1"/>
    <col min="8677" max="8677" width="4" style="99" customWidth="1"/>
    <col min="8678" max="8695" width="21.109375" style="99"/>
    <col min="8696" max="8696" width="4" style="99" customWidth="1"/>
    <col min="8697" max="8699" width="21.109375" style="99" customWidth="1"/>
    <col min="8700" max="8700" width="5.5546875" style="99" customWidth="1"/>
    <col min="8701" max="8701" width="4.6640625" style="99" customWidth="1"/>
    <col min="8702" max="8702" width="7.33203125" style="99" customWidth="1"/>
    <col min="8703" max="8703" width="6.5546875" style="99" customWidth="1"/>
    <col min="8704" max="8704" width="13.44140625" style="99" customWidth="1"/>
    <col min="8705" max="8705" width="12.44140625" style="99" customWidth="1"/>
    <col min="8706" max="8706" width="8.33203125" style="99" customWidth="1"/>
    <col min="8707" max="8708" width="11.88671875" style="99" customWidth="1"/>
    <col min="8709" max="8709" width="14.109375" style="99" customWidth="1"/>
    <col min="8710" max="8710" width="12" style="99" customWidth="1"/>
    <col min="8711" max="8711" width="11" style="99" customWidth="1"/>
    <col min="8712" max="8712" width="11.5546875" style="99" customWidth="1"/>
    <col min="8713" max="8932" width="9.109375" style="99" customWidth="1"/>
    <col min="8933" max="8933" width="4" style="99" customWidth="1"/>
    <col min="8934" max="8951" width="21.109375" style="99"/>
    <col min="8952" max="8952" width="4" style="99" customWidth="1"/>
    <col min="8953" max="8955" width="21.109375" style="99" customWidth="1"/>
    <col min="8956" max="8956" width="5.5546875" style="99" customWidth="1"/>
    <col min="8957" max="8957" width="4.6640625" style="99" customWidth="1"/>
    <col min="8958" max="8958" width="7.33203125" style="99" customWidth="1"/>
    <col min="8959" max="8959" width="6.5546875" style="99" customWidth="1"/>
    <col min="8960" max="8960" width="13.44140625" style="99" customWidth="1"/>
    <col min="8961" max="8961" width="12.44140625" style="99" customWidth="1"/>
    <col min="8962" max="8962" width="8.33203125" style="99" customWidth="1"/>
    <col min="8963" max="8964" width="11.88671875" style="99" customWidth="1"/>
    <col min="8965" max="8965" width="14.109375" style="99" customWidth="1"/>
    <col min="8966" max="8966" width="12" style="99" customWidth="1"/>
    <col min="8967" max="8967" width="11" style="99" customWidth="1"/>
    <col min="8968" max="8968" width="11.5546875" style="99" customWidth="1"/>
    <col min="8969" max="9188" width="9.109375" style="99" customWidth="1"/>
    <col min="9189" max="9189" width="4" style="99" customWidth="1"/>
    <col min="9190" max="9207" width="21.109375" style="99"/>
    <col min="9208" max="9208" width="4" style="99" customWidth="1"/>
    <col min="9209" max="9211" width="21.109375" style="99" customWidth="1"/>
    <col min="9212" max="9212" width="5.5546875" style="99" customWidth="1"/>
    <col min="9213" max="9213" width="4.6640625" style="99" customWidth="1"/>
    <col min="9214" max="9214" width="7.33203125" style="99" customWidth="1"/>
    <col min="9215" max="9215" width="6.5546875" style="99" customWidth="1"/>
    <col min="9216" max="9216" width="13.44140625" style="99" customWidth="1"/>
    <col min="9217" max="9217" width="12.44140625" style="99" customWidth="1"/>
    <col min="9218" max="9218" width="8.33203125" style="99" customWidth="1"/>
    <col min="9219" max="9220" width="11.88671875" style="99" customWidth="1"/>
    <col min="9221" max="9221" width="14.109375" style="99" customWidth="1"/>
    <col min="9222" max="9222" width="12" style="99" customWidth="1"/>
    <col min="9223" max="9223" width="11" style="99" customWidth="1"/>
    <col min="9224" max="9224" width="11.5546875" style="99" customWidth="1"/>
    <col min="9225" max="9444" width="9.109375" style="99" customWidth="1"/>
    <col min="9445" max="9445" width="4" style="99" customWidth="1"/>
    <col min="9446" max="9463" width="21.109375" style="99"/>
    <col min="9464" max="9464" width="4" style="99" customWidth="1"/>
    <col min="9465" max="9467" width="21.109375" style="99" customWidth="1"/>
    <col min="9468" max="9468" width="5.5546875" style="99" customWidth="1"/>
    <col min="9469" max="9469" width="4.6640625" style="99" customWidth="1"/>
    <col min="9470" max="9470" width="7.33203125" style="99" customWidth="1"/>
    <col min="9471" max="9471" width="6.5546875" style="99" customWidth="1"/>
    <col min="9472" max="9472" width="13.44140625" style="99" customWidth="1"/>
    <col min="9473" max="9473" width="12.44140625" style="99" customWidth="1"/>
    <col min="9474" max="9474" width="8.33203125" style="99" customWidth="1"/>
    <col min="9475" max="9476" width="11.88671875" style="99" customWidth="1"/>
    <col min="9477" max="9477" width="14.109375" style="99" customWidth="1"/>
    <col min="9478" max="9478" width="12" style="99" customWidth="1"/>
    <col min="9479" max="9479" width="11" style="99" customWidth="1"/>
    <col min="9480" max="9480" width="11.5546875" style="99" customWidth="1"/>
    <col min="9481" max="9700" width="9.109375" style="99" customWidth="1"/>
    <col min="9701" max="9701" width="4" style="99" customWidth="1"/>
    <col min="9702" max="9719" width="21.109375" style="99"/>
    <col min="9720" max="9720" width="4" style="99" customWidth="1"/>
    <col min="9721" max="9723" width="21.109375" style="99" customWidth="1"/>
    <col min="9724" max="9724" width="5.5546875" style="99" customWidth="1"/>
    <col min="9725" max="9725" width="4.6640625" style="99" customWidth="1"/>
    <col min="9726" max="9726" width="7.33203125" style="99" customWidth="1"/>
    <col min="9727" max="9727" width="6.5546875" style="99" customWidth="1"/>
    <col min="9728" max="9728" width="13.44140625" style="99" customWidth="1"/>
    <col min="9729" max="9729" width="12.44140625" style="99" customWidth="1"/>
    <col min="9730" max="9730" width="8.33203125" style="99" customWidth="1"/>
    <col min="9731" max="9732" width="11.88671875" style="99" customWidth="1"/>
    <col min="9733" max="9733" width="14.109375" style="99" customWidth="1"/>
    <col min="9734" max="9734" width="12" style="99" customWidth="1"/>
    <col min="9735" max="9735" width="11" style="99" customWidth="1"/>
    <col min="9736" max="9736" width="11.5546875" style="99" customWidth="1"/>
    <col min="9737" max="9956" width="9.109375" style="99" customWidth="1"/>
    <col min="9957" max="9957" width="4" style="99" customWidth="1"/>
    <col min="9958" max="9975" width="21.109375" style="99"/>
    <col min="9976" max="9976" width="4" style="99" customWidth="1"/>
    <col min="9977" max="9979" width="21.109375" style="99" customWidth="1"/>
    <col min="9980" max="9980" width="5.5546875" style="99" customWidth="1"/>
    <col min="9981" max="9981" width="4.6640625" style="99" customWidth="1"/>
    <col min="9982" max="9982" width="7.33203125" style="99" customWidth="1"/>
    <col min="9983" max="9983" width="6.5546875" style="99" customWidth="1"/>
    <col min="9984" max="9984" width="13.44140625" style="99" customWidth="1"/>
    <col min="9985" max="9985" width="12.44140625" style="99" customWidth="1"/>
    <col min="9986" max="9986" width="8.33203125" style="99" customWidth="1"/>
    <col min="9987" max="9988" width="11.88671875" style="99" customWidth="1"/>
    <col min="9989" max="9989" width="14.109375" style="99" customWidth="1"/>
    <col min="9990" max="9990" width="12" style="99" customWidth="1"/>
    <col min="9991" max="9991" width="11" style="99" customWidth="1"/>
    <col min="9992" max="9992" width="11.5546875" style="99" customWidth="1"/>
    <col min="9993" max="10212" width="9.109375" style="99" customWidth="1"/>
    <col min="10213" max="10213" width="4" style="99" customWidth="1"/>
    <col min="10214" max="10231" width="21.109375" style="99"/>
    <col min="10232" max="10232" width="4" style="99" customWidth="1"/>
    <col min="10233" max="10235" width="21.109375" style="99" customWidth="1"/>
    <col min="10236" max="10236" width="5.5546875" style="99" customWidth="1"/>
    <col min="10237" max="10237" width="4.6640625" style="99" customWidth="1"/>
    <col min="10238" max="10238" width="7.33203125" style="99" customWidth="1"/>
    <col min="10239" max="10239" width="6.5546875" style="99" customWidth="1"/>
    <col min="10240" max="10240" width="13.44140625" style="99" customWidth="1"/>
    <col min="10241" max="10241" width="12.44140625" style="99" customWidth="1"/>
    <col min="10242" max="10242" width="8.33203125" style="99" customWidth="1"/>
    <col min="10243" max="10244" width="11.88671875" style="99" customWidth="1"/>
    <col min="10245" max="10245" width="14.109375" style="99" customWidth="1"/>
    <col min="10246" max="10246" width="12" style="99" customWidth="1"/>
    <col min="10247" max="10247" width="11" style="99" customWidth="1"/>
    <col min="10248" max="10248" width="11.5546875" style="99" customWidth="1"/>
    <col min="10249" max="10468" width="9.109375" style="99" customWidth="1"/>
    <col min="10469" max="10469" width="4" style="99" customWidth="1"/>
    <col min="10470" max="10487" width="21.109375" style="99"/>
    <col min="10488" max="10488" width="4" style="99" customWidth="1"/>
    <col min="10489" max="10491" width="21.109375" style="99" customWidth="1"/>
    <col min="10492" max="10492" width="5.5546875" style="99" customWidth="1"/>
    <col min="10493" max="10493" width="4.6640625" style="99" customWidth="1"/>
    <col min="10494" max="10494" width="7.33203125" style="99" customWidth="1"/>
    <col min="10495" max="10495" width="6.5546875" style="99" customWidth="1"/>
    <col min="10496" max="10496" width="13.44140625" style="99" customWidth="1"/>
    <col min="10497" max="10497" width="12.44140625" style="99" customWidth="1"/>
    <col min="10498" max="10498" width="8.33203125" style="99" customWidth="1"/>
    <col min="10499" max="10500" width="11.88671875" style="99" customWidth="1"/>
    <col min="10501" max="10501" width="14.109375" style="99" customWidth="1"/>
    <col min="10502" max="10502" width="12" style="99" customWidth="1"/>
    <col min="10503" max="10503" width="11" style="99" customWidth="1"/>
    <col min="10504" max="10504" width="11.5546875" style="99" customWidth="1"/>
    <col min="10505" max="10724" width="9.109375" style="99" customWidth="1"/>
    <col min="10725" max="10725" width="4" style="99" customWidth="1"/>
    <col min="10726" max="10743" width="21.109375" style="99"/>
    <col min="10744" max="10744" width="4" style="99" customWidth="1"/>
    <col min="10745" max="10747" width="21.109375" style="99" customWidth="1"/>
    <col min="10748" max="10748" width="5.5546875" style="99" customWidth="1"/>
    <col min="10749" max="10749" width="4.6640625" style="99" customWidth="1"/>
    <col min="10750" max="10750" width="7.33203125" style="99" customWidth="1"/>
    <col min="10751" max="10751" width="6.5546875" style="99" customWidth="1"/>
    <col min="10752" max="10752" width="13.44140625" style="99" customWidth="1"/>
    <col min="10753" max="10753" width="12.44140625" style="99" customWidth="1"/>
    <col min="10754" max="10754" width="8.33203125" style="99" customWidth="1"/>
    <col min="10755" max="10756" width="11.88671875" style="99" customWidth="1"/>
    <col min="10757" max="10757" width="14.109375" style="99" customWidth="1"/>
    <col min="10758" max="10758" width="12" style="99" customWidth="1"/>
    <col min="10759" max="10759" width="11" style="99" customWidth="1"/>
    <col min="10760" max="10760" width="11.5546875" style="99" customWidth="1"/>
    <col min="10761" max="10980" width="9.109375" style="99" customWidth="1"/>
    <col min="10981" max="10981" width="4" style="99" customWidth="1"/>
    <col min="10982" max="10999" width="21.109375" style="99"/>
    <col min="11000" max="11000" width="4" style="99" customWidth="1"/>
    <col min="11001" max="11003" width="21.109375" style="99" customWidth="1"/>
    <col min="11004" max="11004" width="5.5546875" style="99" customWidth="1"/>
    <col min="11005" max="11005" width="4.6640625" style="99" customWidth="1"/>
    <col min="11006" max="11006" width="7.33203125" style="99" customWidth="1"/>
    <col min="11007" max="11007" width="6.5546875" style="99" customWidth="1"/>
    <col min="11008" max="11008" width="13.44140625" style="99" customWidth="1"/>
    <col min="11009" max="11009" width="12.44140625" style="99" customWidth="1"/>
    <col min="11010" max="11010" width="8.33203125" style="99" customWidth="1"/>
    <col min="11011" max="11012" width="11.88671875" style="99" customWidth="1"/>
    <col min="11013" max="11013" width="14.109375" style="99" customWidth="1"/>
    <col min="11014" max="11014" width="12" style="99" customWidth="1"/>
    <col min="11015" max="11015" width="11" style="99" customWidth="1"/>
    <col min="11016" max="11016" width="11.5546875" style="99" customWidth="1"/>
    <col min="11017" max="11236" width="9.109375" style="99" customWidth="1"/>
    <col min="11237" max="11237" width="4" style="99" customWidth="1"/>
    <col min="11238" max="11255" width="21.109375" style="99"/>
    <col min="11256" max="11256" width="4" style="99" customWidth="1"/>
    <col min="11257" max="11259" width="21.109375" style="99" customWidth="1"/>
    <col min="11260" max="11260" width="5.5546875" style="99" customWidth="1"/>
    <col min="11261" max="11261" width="4.6640625" style="99" customWidth="1"/>
    <col min="11262" max="11262" width="7.33203125" style="99" customWidth="1"/>
    <col min="11263" max="11263" width="6.5546875" style="99" customWidth="1"/>
    <col min="11264" max="11264" width="13.44140625" style="99" customWidth="1"/>
    <col min="11265" max="11265" width="12.44140625" style="99" customWidth="1"/>
    <col min="11266" max="11266" width="8.33203125" style="99" customWidth="1"/>
    <col min="11267" max="11268" width="11.88671875" style="99" customWidth="1"/>
    <col min="11269" max="11269" width="14.109375" style="99" customWidth="1"/>
    <col min="11270" max="11270" width="12" style="99" customWidth="1"/>
    <col min="11271" max="11271" width="11" style="99" customWidth="1"/>
    <col min="11272" max="11272" width="11.5546875" style="99" customWidth="1"/>
    <col min="11273" max="11492" width="9.109375" style="99" customWidth="1"/>
    <col min="11493" max="11493" width="4" style="99" customWidth="1"/>
    <col min="11494" max="11511" width="21.109375" style="99"/>
    <col min="11512" max="11512" width="4" style="99" customWidth="1"/>
    <col min="11513" max="11515" width="21.109375" style="99" customWidth="1"/>
    <col min="11516" max="11516" width="5.5546875" style="99" customWidth="1"/>
    <col min="11517" max="11517" width="4.6640625" style="99" customWidth="1"/>
    <col min="11518" max="11518" width="7.33203125" style="99" customWidth="1"/>
    <col min="11519" max="11519" width="6.5546875" style="99" customWidth="1"/>
    <col min="11520" max="11520" width="13.44140625" style="99" customWidth="1"/>
    <col min="11521" max="11521" width="12.44140625" style="99" customWidth="1"/>
    <col min="11522" max="11522" width="8.33203125" style="99" customWidth="1"/>
    <col min="11523" max="11524" width="11.88671875" style="99" customWidth="1"/>
    <col min="11525" max="11525" width="14.109375" style="99" customWidth="1"/>
    <col min="11526" max="11526" width="12" style="99" customWidth="1"/>
    <col min="11527" max="11527" width="11" style="99" customWidth="1"/>
    <col min="11528" max="11528" width="11.5546875" style="99" customWidth="1"/>
    <col min="11529" max="11748" width="9.109375" style="99" customWidth="1"/>
    <col min="11749" max="11749" width="4" style="99" customWidth="1"/>
    <col min="11750" max="11767" width="21.109375" style="99"/>
    <col min="11768" max="11768" width="4" style="99" customWidth="1"/>
    <col min="11769" max="11771" width="21.109375" style="99" customWidth="1"/>
    <col min="11772" max="11772" width="5.5546875" style="99" customWidth="1"/>
    <col min="11773" max="11773" width="4.6640625" style="99" customWidth="1"/>
    <col min="11774" max="11774" width="7.33203125" style="99" customWidth="1"/>
    <col min="11775" max="11775" width="6.5546875" style="99" customWidth="1"/>
    <col min="11776" max="11776" width="13.44140625" style="99" customWidth="1"/>
    <col min="11777" max="11777" width="12.44140625" style="99" customWidth="1"/>
    <col min="11778" max="11778" width="8.33203125" style="99" customWidth="1"/>
    <col min="11779" max="11780" width="11.88671875" style="99" customWidth="1"/>
    <col min="11781" max="11781" width="14.109375" style="99" customWidth="1"/>
    <col min="11782" max="11782" width="12" style="99" customWidth="1"/>
    <col min="11783" max="11783" width="11" style="99" customWidth="1"/>
    <col min="11784" max="11784" width="11.5546875" style="99" customWidth="1"/>
    <col min="11785" max="12004" width="9.109375" style="99" customWidth="1"/>
    <col min="12005" max="12005" width="4" style="99" customWidth="1"/>
    <col min="12006" max="12023" width="21.109375" style="99"/>
    <col min="12024" max="12024" width="4" style="99" customWidth="1"/>
    <col min="12025" max="12027" width="21.109375" style="99" customWidth="1"/>
    <col min="12028" max="12028" width="5.5546875" style="99" customWidth="1"/>
    <col min="12029" max="12029" width="4.6640625" style="99" customWidth="1"/>
    <col min="12030" max="12030" width="7.33203125" style="99" customWidth="1"/>
    <col min="12031" max="12031" width="6.5546875" style="99" customWidth="1"/>
    <col min="12032" max="12032" width="13.44140625" style="99" customWidth="1"/>
    <col min="12033" max="12033" width="12.44140625" style="99" customWidth="1"/>
    <col min="12034" max="12034" width="8.33203125" style="99" customWidth="1"/>
    <col min="12035" max="12036" width="11.88671875" style="99" customWidth="1"/>
    <col min="12037" max="12037" width="14.109375" style="99" customWidth="1"/>
    <col min="12038" max="12038" width="12" style="99" customWidth="1"/>
    <col min="12039" max="12039" width="11" style="99" customWidth="1"/>
    <col min="12040" max="12040" width="11.5546875" style="99" customWidth="1"/>
    <col min="12041" max="12260" width="9.109375" style="99" customWidth="1"/>
    <col min="12261" max="12261" width="4" style="99" customWidth="1"/>
    <col min="12262" max="12279" width="21.109375" style="99"/>
    <col min="12280" max="12280" width="4" style="99" customWidth="1"/>
    <col min="12281" max="12283" width="21.109375" style="99" customWidth="1"/>
    <col min="12284" max="12284" width="5.5546875" style="99" customWidth="1"/>
    <col min="12285" max="12285" width="4.6640625" style="99" customWidth="1"/>
    <col min="12286" max="12286" width="7.33203125" style="99" customWidth="1"/>
    <col min="12287" max="12287" width="6.5546875" style="99" customWidth="1"/>
    <col min="12288" max="12288" width="13.44140625" style="99" customWidth="1"/>
    <col min="12289" max="12289" width="12.44140625" style="99" customWidth="1"/>
    <col min="12290" max="12290" width="8.33203125" style="99" customWidth="1"/>
    <col min="12291" max="12292" width="11.88671875" style="99" customWidth="1"/>
    <col min="12293" max="12293" width="14.109375" style="99" customWidth="1"/>
    <col min="12294" max="12294" width="12" style="99" customWidth="1"/>
    <col min="12295" max="12295" width="11" style="99" customWidth="1"/>
    <col min="12296" max="12296" width="11.5546875" style="99" customWidth="1"/>
    <col min="12297" max="12516" width="9.109375" style="99" customWidth="1"/>
    <col min="12517" max="12517" width="4" style="99" customWidth="1"/>
    <col min="12518" max="12535" width="21.109375" style="99"/>
    <col min="12536" max="12536" width="4" style="99" customWidth="1"/>
    <col min="12537" max="12539" width="21.109375" style="99" customWidth="1"/>
    <col min="12540" max="12540" width="5.5546875" style="99" customWidth="1"/>
    <col min="12541" max="12541" width="4.6640625" style="99" customWidth="1"/>
    <col min="12542" max="12542" width="7.33203125" style="99" customWidth="1"/>
    <col min="12543" max="12543" width="6.5546875" style="99" customWidth="1"/>
    <col min="12544" max="12544" width="13.44140625" style="99" customWidth="1"/>
    <col min="12545" max="12545" width="12.44140625" style="99" customWidth="1"/>
    <col min="12546" max="12546" width="8.33203125" style="99" customWidth="1"/>
    <col min="12547" max="12548" width="11.88671875" style="99" customWidth="1"/>
    <col min="12549" max="12549" width="14.109375" style="99" customWidth="1"/>
    <col min="12550" max="12550" width="12" style="99" customWidth="1"/>
    <col min="12551" max="12551" width="11" style="99" customWidth="1"/>
    <col min="12552" max="12552" width="11.5546875" style="99" customWidth="1"/>
    <col min="12553" max="12772" width="9.109375" style="99" customWidth="1"/>
    <col min="12773" max="12773" width="4" style="99" customWidth="1"/>
    <col min="12774" max="12791" width="21.109375" style="99"/>
    <col min="12792" max="12792" width="4" style="99" customWidth="1"/>
    <col min="12793" max="12795" width="21.109375" style="99" customWidth="1"/>
    <col min="12796" max="12796" width="5.5546875" style="99" customWidth="1"/>
    <col min="12797" max="12797" width="4.6640625" style="99" customWidth="1"/>
    <col min="12798" max="12798" width="7.33203125" style="99" customWidth="1"/>
    <col min="12799" max="12799" width="6.5546875" style="99" customWidth="1"/>
    <col min="12800" max="12800" width="13.44140625" style="99" customWidth="1"/>
    <col min="12801" max="12801" width="12.44140625" style="99" customWidth="1"/>
    <col min="12802" max="12802" width="8.33203125" style="99" customWidth="1"/>
    <col min="12803" max="12804" width="11.88671875" style="99" customWidth="1"/>
    <col min="12805" max="12805" width="14.109375" style="99" customWidth="1"/>
    <col min="12806" max="12806" width="12" style="99" customWidth="1"/>
    <col min="12807" max="12807" width="11" style="99" customWidth="1"/>
    <col min="12808" max="12808" width="11.5546875" style="99" customWidth="1"/>
    <col min="12809" max="13028" width="9.109375" style="99" customWidth="1"/>
    <col min="13029" max="13029" width="4" style="99" customWidth="1"/>
    <col min="13030" max="13047" width="21.109375" style="99"/>
    <col min="13048" max="13048" width="4" style="99" customWidth="1"/>
    <col min="13049" max="13051" width="21.109375" style="99" customWidth="1"/>
    <col min="13052" max="13052" width="5.5546875" style="99" customWidth="1"/>
    <col min="13053" max="13053" width="4.6640625" style="99" customWidth="1"/>
    <col min="13054" max="13054" width="7.33203125" style="99" customWidth="1"/>
    <col min="13055" max="13055" width="6.5546875" style="99" customWidth="1"/>
    <col min="13056" max="13056" width="13.44140625" style="99" customWidth="1"/>
    <col min="13057" max="13057" width="12.44140625" style="99" customWidth="1"/>
    <col min="13058" max="13058" width="8.33203125" style="99" customWidth="1"/>
    <col min="13059" max="13060" width="11.88671875" style="99" customWidth="1"/>
    <col min="13061" max="13061" width="14.109375" style="99" customWidth="1"/>
    <col min="13062" max="13062" width="12" style="99" customWidth="1"/>
    <col min="13063" max="13063" width="11" style="99" customWidth="1"/>
    <col min="13064" max="13064" width="11.5546875" style="99" customWidth="1"/>
    <col min="13065" max="13284" width="9.109375" style="99" customWidth="1"/>
    <col min="13285" max="13285" width="4" style="99" customWidth="1"/>
    <col min="13286" max="13303" width="21.109375" style="99"/>
    <col min="13304" max="13304" width="4" style="99" customWidth="1"/>
    <col min="13305" max="13307" width="21.109375" style="99" customWidth="1"/>
    <col min="13308" max="13308" width="5.5546875" style="99" customWidth="1"/>
    <col min="13309" max="13309" width="4.6640625" style="99" customWidth="1"/>
    <col min="13310" max="13310" width="7.33203125" style="99" customWidth="1"/>
    <col min="13311" max="13311" width="6.5546875" style="99" customWidth="1"/>
    <col min="13312" max="13312" width="13.44140625" style="99" customWidth="1"/>
    <col min="13313" max="13313" width="12.44140625" style="99" customWidth="1"/>
    <col min="13314" max="13314" width="8.33203125" style="99" customWidth="1"/>
    <col min="13315" max="13316" width="11.88671875" style="99" customWidth="1"/>
    <col min="13317" max="13317" width="14.109375" style="99" customWidth="1"/>
    <col min="13318" max="13318" width="12" style="99" customWidth="1"/>
    <col min="13319" max="13319" width="11" style="99" customWidth="1"/>
    <col min="13320" max="13320" width="11.5546875" style="99" customWidth="1"/>
    <col min="13321" max="13540" width="9.109375" style="99" customWidth="1"/>
    <col min="13541" max="13541" width="4" style="99" customWidth="1"/>
    <col min="13542" max="13559" width="21.109375" style="99"/>
    <col min="13560" max="13560" width="4" style="99" customWidth="1"/>
    <col min="13561" max="13563" width="21.109375" style="99" customWidth="1"/>
    <col min="13564" max="13564" width="5.5546875" style="99" customWidth="1"/>
    <col min="13565" max="13565" width="4.6640625" style="99" customWidth="1"/>
    <col min="13566" max="13566" width="7.33203125" style="99" customWidth="1"/>
    <col min="13567" max="13567" width="6.5546875" style="99" customWidth="1"/>
    <col min="13568" max="13568" width="13.44140625" style="99" customWidth="1"/>
    <col min="13569" max="13569" width="12.44140625" style="99" customWidth="1"/>
    <col min="13570" max="13570" width="8.33203125" style="99" customWidth="1"/>
    <col min="13571" max="13572" width="11.88671875" style="99" customWidth="1"/>
    <col min="13573" max="13573" width="14.109375" style="99" customWidth="1"/>
    <col min="13574" max="13574" width="12" style="99" customWidth="1"/>
    <col min="13575" max="13575" width="11" style="99" customWidth="1"/>
    <col min="13576" max="13576" width="11.5546875" style="99" customWidth="1"/>
    <col min="13577" max="13796" width="9.109375" style="99" customWidth="1"/>
    <col min="13797" max="13797" width="4" style="99" customWidth="1"/>
    <col min="13798" max="13815" width="21.109375" style="99"/>
    <col min="13816" max="13816" width="4" style="99" customWidth="1"/>
    <col min="13817" max="13819" width="21.109375" style="99" customWidth="1"/>
    <col min="13820" max="13820" width="5.5546875" style="99" customWidth="1"/>
    <col min="13821" max="13821" width="4.6640625" style="99" customWidth="1"/>
    <col min="13822" max="13822" width="7.33203125" style="99" customWidth="1"/>
    <col min="13823" max="13823" width="6.5546875" style="99" customWidth="1"/>
    <col min="13824" max="13824" width="13.44140625" style="99" customWidth="1"/>
    <col min="13825" max="13825" width="12.44140625" style="99" customWidth="1"/>
    <col min="13826" max="13826" width="8.33203125" style="99" customWidth="1"/>
    <col min="13827" max="13828" width="11.88671875" style="99" customWidth="1"/>
    <col min="13829" max="13829" width="14.109375" style="99" customWidth="1"/>
    <col min="13830" max="13830" width="12" style="99" customWidth="1"/>
    <col min="13831" max="13831" width="11" style="99" customWidth="1"/>
    <col min="13832" max="13832" width="11.5546875" style="99" customWidth="1"/>
    <col min="13833" max="14052" width="9.109375" style="99" customWidth="1"/>
    <col min="14053" max="14053" width="4" style="99" customWidth="1"/>
    <col min="14054" max="14071" width="21.109375" style="99"/>
    <col min="14072" max="14072" width="4" style="99" customWidth="1"/>
    <col min="14073" max="14075" width="21.109375" style="99" customWidth="1"/>
    <col min="14076" max="14076" width="5.5546875" style="99" customWidth="1"/>
    <col min="14077" max="14077" width="4.6640625" style="99" customWidth="1"/>
    <col min="14078" max="14078" width="7.33203125" style="99" customWidth="1"/>
    <col min="14079" max="14079" width="6.5546875" style="99" customWidth="1"/>
    <col min="14080" max="14080" width="13.44140625" style="99" customWidth="1"/>
    <col min="14081" max="14081" width="12.44140625" style="99" customWidth="1"/>
    <col min="14082" max="14082" width="8.33203125" style="99" customWidth="1"/>
    <col min="14083" max="14084" width="11.88671875" style="99" customWidth="1"/>
    <col min="14085" max="14085" width="14.109375" style="99" customWidth="1"/>
    <col min="14086" max="14086" width="12" style="99" customWidth="1"/>
    <col min="14087" max="14087" width="11" style="99" customWidth="1"/>
    <col min="14088" max="14088" width="11.5546875" style="99" customWidth="1"/>
    <col min="14089" max="14308" width="9.109375" style="99" customWidth="1"/>
    <col min="14309" max="14309" width="4" style="99" customWidth="1"/>
    <col min="14310" max="14327" width="21.109375" style="99"/>
    <col min="14328" max="14328" width="4" style="99" customWidth="1"/>
    <col min="14329" max="14331" width="21.109375" style="99" customWidth="1"/>
    <col min="14332" max="14332" width="5.5546875" style="99" customWidth="1"/>
    <col min="14333" max="14333" width="4.6640625" style="99" customWidth="1"/>
    <col min="14334" max="14334" width="7.33203125" style="99" customWidth="1"/>
    <col min="14335" max="14335" width="6.5546875" style="99" customWidth="1"/>
    <col min="14336" max="14336" width="13.44140625" style="99" customWidth="1"/>
    <col min="14337" max="14337" width="12.44140625" style="99" customWidth="1"/>
    <col min="14338" max="14338" width="8.33203125" style="99" customWidth="1"/>
    <col min="14339" max="14340" width="11.88671875" style="99" customWidth="1"/>
    <col min="14341" max="14341" width="14.109375" style="99" customWidth="1"/>
    <col min="14342" max="14342" width="12" style="99" customWidth="1"/>
    <col min="14343" max="14343" width="11" style="99" customWidth="1"/>
    <col min="14344" max="14344" width="11.5546875" style="99" customWidth="1"/>
    <col min="14345" max="14564" width="9.109375" style="99" customWidth="1"/>
    <col min="14565" max="14565" width="4" style="99" customWidth="1"/>
    <col min="14566" max="14583" width="21.109375" style="99"/>
    <col min="14584" max="14584" width="4" style="99" customWidth="1"/>
    <col min="14585" max="14587" width="21.109375" style="99" customWidth="1"/>
    <col min="14588" max="14588" width="5.5546875" style="99" customWidth="1"/>
    <col min="14589" max="14589" width="4.6640625" style="99" customWidth="1"/>
    <col min="14590" max="14590" width="7.33203125" style="99" customWidth="1"/>
    <col min="14591" max="14591" width="6.5546875" style="99" customWidth="1"/>
    <col min="14592" max="14592" width="13.44140625" style="99" customWidth="1"/>
    <col min="14593" max="14593" width="12.44140625" style="99" customWidth="1"/>
    <col min="14594" max="14594" width="8.33203125" style="99" customWidth="1"/>
    <col min="14595" max="14596" width="11.88671875" style="99" customWidth="1"/>
    <col min="14597" max="14597" width="14.109375" style="99" customWidth="1"/>
    <col min="14598" max="14598" width="12" style="99" customWidth="1"/>
    <col min="14599" max="14599" width="11" style="99" customWidth="1"/>
    <col min="14600" max="14600" width="11.5546875" style="99" customWidth="1"/>
    <col min="14601" max="14820" width="9.109375" style="99" customWidth="1"/>
    <col min="14821" max="14821" width="4" style="99" customWidth="1"/>
    <col min="14822" max="14839" width="21.109375" style="99"/>
    <col min="14840" max="14840" width="4" style="99" customWidth="1"/>
    <col min="14841" max="14843" width="21.109375" style="99" customWidth="1"/>
    <col min="14844" max="14844" width="5.5546875" style="99" customWidth="1"/>
    <col min="14845" max="14845" width="4.6640625" style="99" customWidth="1"/>
    <col min="14846" max="14846" width="7.33203125" style="99" customWidth="1"/>
    <col min="14847" max="14847" width="6.5546875" style="99" customWidth="1"/>
    <col min="14848" max="14848" width="13.44140625" style="99" customWidth="1"/>
    <col min="14849" max="14849" width="12.44140625" style="99" customWidth="1"/>
    <col min="14850" max="14850" width="8.33203125" style="99" customWidth="1"/>
    <col min="14851" max="14852" width="11.88671875" style="99" customWidth="1"/>
    <col min="14853" max="14853" width="14.109375" style="99" customWidth="1"/>
    <col min="14854" max="14854" width="12" style="99" customWidth="1"/>
    <col min="14855" max="14855" width="11" style="99" customWidth="1"/>
    <col min="14856" max="14856" width="11.5546875" style="99" customWidth="1"/>
    <col min="14857" max="15076" width="9.109375" style="99" customWidth="1"/>
    <col min="15077" max="15077" width="4" style="99" customWidth="1"/>
    <col min="15078" max="15095" width="21.109375" style="99"/>
    <col min="15096" max="15096" width="4" style="99" customWidth="1"/>
    <col min="15097" max="15099" width="21.109375" style="99" customWidth="1"/>
    <col min="15100" max="15100" width="5.5546875" style="99" customWidth="1"/>
    <col min="15101" max="15101" width="4.6640625" style="99" customWidth="1"/>
    <col min="15102" max="15102" width="7.33203125" style="99" customWidth="1"/>
    <col min="15103" max="15103" width="6.5546875" style="99" customWidth="1"/>
    <col min="15104" max="15104" width="13.44140625" style="99" customWidth="1"/>
    <col min="15105" max="15105" width="12.44140625" style="99" customWidth="1"/>
    <col min="15106" max="15106" width="8.33203125" style="99" customWidth="1"/>
    <col min="15107" max="15108" width="11.88671875" style="99" customWidth="1"/>
    <col min="15109" max="15109" width="14.109375" style="99" customWidth="1"/>
    <col min="15110" max="15110" width="12" style="99" customWidth="1"/>
    <col min="15111" max="15111" width="11" style="99" customWidth="1"/>
    <col min="15112" max="15112" width="11.5546875" style="99" customWidth="1"/>
    <col min="15113" max="15332" width="9.109375" style="99" customWidth="1"/>
    <col min="15333" max="15333" width="4" style="99" customWidth="1"/>
    <col min="15334" max="15351" width="21.109375" style="99"/>
    <col min="15352" max="15352" width="4" style="99" customWidth="1"/>
    <col min="15353" max="15355" width="21.109375" style="99" customWidth="1"/>
    <col min="15356" max="15356" width="5.5546875" style="99" customWidth="1"/>
    <col min="15357" max="15357" width="4.6640625" style="99" customWidth="1"/>
    <col min="15358" max="15358" width="7.33203125" style="99" customWidth="1"/>
    <col min="15359" max="15359" width="6.5546875" style="99" customWidth="1"/>
    <col min="15360" max="15360" width="13.44140625" style="99" customWidth="1"/>
    <col min="15361" max="15361" width="12.44140625" style="99" customWidth="1"/>
    <col min="15362" max="15362" width="8.33203125" style="99" customWidth="1"/>
    <col min="15363" max="15364" width="11.88671875" style="99" customWidth="1"/>
    <col min="15365" max="15365" width="14.109375" style="99" customWidth="1"/>
    <col min="15366" max="15366" width="12" style="99" customWidth="1"/>
    <col min="15367" max="15367" width="11" style="99" customWidth="1"/>
    <col min="15368" max="15368" width="11.5546875" style="99" customWidth="1"/>
    <col min="15369" max="15588" width="9.109375" style="99" customWidth="1"/>
    <col min="15589" max="15589" width="4" style="99" customWidth="1"/>
    <col min="15590" max="15607" width="21.109375" style="99"/>
    <col min="15608" max="15608" width="4" style="99" customWidth="1"/>
    <col min="15609" max="15611" width="21.109375" style="99" customWidth="1"/>
    <col min="15612" max="15612" width="5.5546875" style="99" customWidth="1"/>
    <col min="15613" max="15613" width="4.6640625" style="99" customWidth="1"/>
    <col min="15614" max="15614" width="7.33203125" style="99" customWidth="1"/>
    <col min="15615" max="15615" width="6.5546875" style="99" customWidth="1"/>
    <col min="15616" max="15616" width="13.44140625" style="99" customWidth="1"/>
    <col min="15617" max="15617" width="12.44140625" style="99" customWidth="1"/>
    <col min="15618" max="15618" width="8.33203125" style="99" customWidth="1"/>
    <col min="15619" max="15620" width="11.88671875" style="99" customWidth="1"/>
    <col min="15621" max="15621" width="14.109375" style="99" customWidth="1"/>
    <col min="15622" max="15622" width="12" style="99" customWidth="1"/>
    <col min="15623" max="15623" width="11" style="99" customWidth="1"/>
    <col min="15624" max="15624" width="11.5546875" style="99" customWidth="1"/>
    <col min="15625" max="15844" width="9.109375" style="99" customWidth="1"/>
    <col min="15845" max="15845" width="4" style="99" customWidth="1"/>
    <col min="15846" max="15863" width="21.109375" style="99"/>
    <col min="15864" max="15864" width="4" style="99" customWidth="1"/>
    <col min="15865" max="15867" width="21.109375" style="99" customWidth="1"/>
    <col min="15868" max="15868" width="5.5546875" style="99" customWidth="1"/>
    <col min="15869" max="15869" width="4.6640625" style="99" customWidth="1"/>
    <col min="15870" max="15870" width="7.33203125" style="99" customWidth="1"/>
    <col min="15871" max="15871" width="6.5546875" style="99" customWidth="1"/>
    <col min="15872" max="15872" width="13.44140625" style="99" customWidth="1"/>
    <col min="15873" max="15873" width="12.44140625" style="99" customWidth="1"/>
    <col min="15874" max="15874" width="8.33203125" style="99" customWidth="1"/>
    <col min="15875" max="15876" width="11.88671875" style="99" customWidth="1"/>
    <col min="15877" max="15877" width="14.109375" style="99" customWidth="1"/>
    <col min="15878" max="15878" width="12" style="99" customWidth="1"/>
    <col min="15879" max="15879" width="11" style="99" customWidth="1"/>
    <col min="15880" max="15880" width="11.5546875" style="99" customWidth="1"/>
    <col min="15881" max="16100" width="9.109375" style="99" customWidth="1"/>
    <col min="16101" max="16101" width="4" style="99" customWidth="1"/>
    <col min="16102" max="16119" width="21.109375" style="99"/>
    <col min="16120" max="16120" width="4" style="99" customWidth="1"/>
    <col min="16121" max="16123" width="21.109375" style="99" customWidth="1"/>
    <col min="16124" max="16124" width="5.5546875" style="99" customWidth="1"/>
    <col min="16125" max="16125" width="4.6640625" style="99" customWidth="1"/>
    <col min="16126" max="16126" width="7.33203125" style="99" customWidth="1"/>
    <col min="16127" max="16127" width="6.5546875" style="99" customWidth="1"/>
    <col min="16128" max="16128" width="13.44140625" style="99" customWidth="1"/>
    <col min="16129" max="16129" width="12.44140625" style="99" customWidth="1"/>
    <col min="16130" max="16130" width="8.33203125" style="99" customWidth="1"/>
    <col min="16131" max="16132" width="11.88671875" style="99" customWidth="1"/>
    <col min="16133" max="16133" width="14.109375" style="99" customWidth="1"/>
    <col min="16134" max="16134" width="12" style="99" customWidth="1"/>
    <col min="16135" max="16135" width="11" style="99" customWidth="1"/>
    <col min="16136" max="16136" width="11.5546875" style="99" customWidth="1"/>
    <col min="16137" max="16356" width="9.109375" style="99" customWidth="1"/>
    <col min="16357" max="16357" width="4" style="99" customWidth="1"/>
    <col min="16358" max="16384" width="21.109375" style="99"/>
  </cols>
  <sheetData>
    <row r="1" spans="2:188" ht="21">
      <c r="B1" s="91" t="s">
        <v>0</v>
      </c>
      <c r="C1" s="418"/>
      <c r="D1" s="91"/>
      <c r="E1" s="401"/>
      <c r="F1" s="345"/>
      <c r="G1" s="266"/>
      <c r="H1" s="98"/>
      <c r="I1" s="9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60"/>
      <c r="DA1" s="60"/>
      <c r="DB1" s="60"/>
      <c r="DC1" s="60"/>
      <c r="DD1" s="60"/>
      <c r="DE1" s="60"/>
      <c r="DF1" s="60"/>
      <c r="DG1" s="60"/>
      <c r="DH1" s="60"/>
      <c r="DI1" s="60"/>
      <c r="DJ1" s="60"/>
      <c r="DK1" s="60"/>
      <c r="DL1" s="60"/>
      <c r="DM1" s="60"/>
      <c r="DN1" s="60"/>
      <c r="DO1" s="60"/>
      <c r="DP1" s="60"/>
      <c r="DQ1" s="60"/>
      <c r="DR1" s="60"/>
      <c r="DS1" s="60"/>
      <c r="DT1" s="60"/>
      <c r="DU1" s="60"/>
      <c r="DV1" s="60"/>
      <c r="DW1" s="60"/>
      <c r="DX1" s="60"/>
      <c r="DY1" s="60"/>
      <c r="DZ1" s="60"/>
      <c r="EA1" s="60"/>
      <c r="EB1" s="60"/>
      <c r="EC1" s="60"/>
      <c r="ED1" s="60"/>
      <c r="EE1" s="60"/>
      <c r="EF1" s="60"/>
      <c r="EG1" s="60"/>
      <c r="EH1" s="60"/>
      <c r="EI1" s="60"/>
      <c r="EJ1" s="60"/>
      <c r="EK1" s="60"/>
      <c r="EL1" s="60"/>
      <c r="EM1" s="60"/>
      <c r="EN1" s="60"/>
      <c r="EO1" s="60"/>
      <c r="EP1" s="60"/>
      <c r="EQ1" s="60"/>
      <c r="ER1" s="60"/>
      <c r="ES1" s="60"/>
      <c r="ET1" s="60"/>
      <c r="EU1" s="60"/>
      <c r="EV1" s="60"/>
      <c r="EW1" s="60"/>
      <c r="EX1" s="60"/>
      <c r="EY1" s="60"/>
      <c r="EZ1" s="60"/>
      <c r="FA1" s="60"/>
      <c r="FB1" s="60"/>
      <c r="FC1" s="60"/>
      <c r="FD1" s="60"/>
      <c r="FE1" s="60"/>
      <c r="FF1" s="60"/>
      <c r="FG1" s="60"/>
      <c r="FH1" s="60"/>
      <c r="FI1" s="60"/>
      <c r="FJ1" s="60"/>
      <c r="FK1" s="60"/>
      <c r="FL1" s="60"/>
      <c r="FM1" s="60"/>
      <c r="FN1" s="60"/>
      <c r="FO1" s="60"/>
      <c r="FP1" s="60"/>
      <c r="FQ1" s="60"/>
      <c r="FR1" s="60"/>
      <c r="FS1" s="60"/>
      <c r="FT1" s="60"/>
      <c r="FU1" s="60"/>
      <c r="FV1" s="60"/>
      <c r="FW1" s="60"/>
      <c r="FX1" s="60"/>
      <c r="FY1" s="60"/>
      <c r="FZ1" s="60"/>
      <c r="GA1" s="60"/>
      <c r="GB1" s="60"/>
      <c r="GC1" s="60"/>
      <c r="GD1" s="60"/>
      <c r="GE1" s="60"/>
      <c r="GF1" s="60"/>
    </row>
    <row r="2" spans="2:188" ht="21">
      <c r="B2" s="110" t="s">
        <v>86</v>
      </c>
      <c r="C2" s="419"/>
      <c r="D2" s="110"/>
      <c r="E2" s="414"/>
      <c r="G2" s="266"/>
      <c r="H2" s="98"/>
      <c r="I2" s="9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0"/>
      <c r="DV2" s="60"/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60"/>
      <c r="FB2" s="60"/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60"/>
    </row>
    <row r="3" spans="2:188" ht="20.399999999999999">
      <c r="B3" s="498" t="s">
        <v>50</v>
      </c>
      <c r="C3" s="498"/>
      <c r="D3" s="498"/>
      <c r="E3" s="498"/>
      <c r="F3" s="498"/>
      <c r="G3" s="498"/>
      <c r="H3" s="498"/>
      <c r="I3" s="498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  <c r="EY3" s="60"/>
      <c r="EZ3" s="60"/>
      <c r="FA3" s="60"/>
      <c r="FB3" s="60"/>
      <c r="FC3" s="60"/>
      <c r="FD3" s="60"/>
      <c r="FE3" s="60"/>
      <c r="FF3" s="60"/>
      <c r="FG3" s="60"/>
      <c r="FH3" s="60"/>
      <c r="FI3" s="60"/>
      <c r="FJ3" s="60"/>
      <c r="FK3" s="60"/>
      <c r="FL3" s="60"/>
      <c r="FM3" s="60"/>
      <c r="FN3" s="60"/>
      <c r="FO3" s="60"/>
      <c r="FP3" s="60"/>
      <c r="FQ3" s="60"/>
      <c r="FR3" s="60"/>
      <c r="FS3" s="60"/>
      <c r="FT3" s="60"/>
      <c r="FU3" s="60"/>
      <c r="FV3" s="60"/>
      <c r="FW3" s="60"/>
      <c r="FX3" s="60"/>
      <c r="FY3" s="60"/>
      <c r="FZ3" s="60"/>
      <c r="GA3" s="60"/>
      <c r="GB3" s="60"/>
      <c r="GC3" s="60"/>
      <c r="GD3" s="60"/>
      <c r="GE3" s="60"/>
      <c r="GF3" s="60"/>
    </row>
    <row r="4" spans="2:188" ht="20.25" customHeight="1">
      <c r="B4" s="499" t="s">
        <v>173</v>
      </c>
      <c r="C4" s="499"/>
      <c r="D4" s="499"/>
      <c r="E4" s="499"/>
      <c r="F4" s="499"/>
      <c r="G4" s="499"/>
      <c r="H4" s="499"/>
      <c r="I4" s="499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0"/>
      <c r="BR4" s="60"/>
      <c r="BS4" s="60"/>
      <c r="BT4" s="60"/>
      <c r="BU4" s="60"/>
      <c r="BV4" s="60"/>
      <c r="BW4" s="60"/>
      <c r="BX4" s="60"/>
      <c r="BY4" s="60"/>
      <c r="BZ4" s="60"/>
      <c r="CA4" s="60"/>
      <c r="CB4" s="60"/>
      <c r="CC4" s="60"/>
      <c r="CD4" s="60"/>
      <c r="CE4" s="60"/>
      <c r="CF4" s="60"/>
      <c r="CG4" s="60"/>
      <c r="CH4" s="60"/>
      <c r="CI4" s="60"/>
      <c r="CJ4" s="60"/>
      <c r="CK4" s="60"/>
      <c r="CL4" s="60"/>
      <c r="CM4" s="60"/>
      <c r="CN4" s="60"/>
      <c r="CO4" s="60"/>
      <c r="CP4" s="60"/>
      <c r="CQ4" s="60"/>
      <c r="CR4" s="60"/>
      <c r="CS4" s="60"/>
      <c r="CT4" s="60"/>
      <c r="CU4" s="60"/>
      <c r="CV4" s="60"/>
      <c r="CW4" s="60"/>
      <c r="CX4" s="60"/>
      <c r="CY4" s="60"/>
      <c r="CZ4" s="60"/>
      <c r="DA4" s="60"/>
      <c r="DB4" s="60"/>
      <c r="DC4" s="60"/>
      <c r="DD4" s="60"/>
      <c r="DE4" s="60"/>
      <c r="DF4" s="60"/>
      <c r="DG4" s="60"/>
      <c r="DH4" s="60"/>
      <c r="DI4" s="60"/>
      <c r="DJ4" s="60"/>
      <c r="DK4" s="60"/>
      <c r="DL4" s="60"/>
      <c r="DM4" s="60"/>
      <c r="DN4" s="60"/>
      <c r="DO4" s="60"/>
      <c r="DP4" s="60"/>
      <c r="DQ4" s="60"/>
      <c r="DR4" s="60"/>
      <c r="DS4" s="60"/>
      <c r="DT4" s="60"/>
      <c r="DU4" s="60"/>
      <c r="DV4" s="60"/>
      <c r="DW4" s="60"/>
      <c r="DX4" s="60"/>
      <c r="DY4" s="60"/>
      <c r="DZ4" s="60"/>
      <c r="EA4" s="60"/>
      <c r="EB4" s="60"/>
      <c r="EC4" s="60"/>
      <c r="ED4" s="60"/>
      <c r="EE4" s="60"/>
      <c r="EF4" s="60"/>
      <c r="EG4" s="60"/>
      <c r="EH4" s="60"/>
      <c r="EI4" s="60"/>
      <c r="EJ4" s="60"/>
      <c r="EK4" s="60"/>
      <c r="EL4" s="60"/>
      <c r="EM4" s="60"/>
      <c r="EN4" s="60"/>
      <c r="EO4" s="60"/>
      <c r="EP4" s="60"/>
      <c r="EQ4" s="60"/>
      <c r="ER4" s="60"/>
      <c r="ES4" s="60"/>
      <c r="ET4" s="60"/>
      <c r="EU4" s="60"/>
      <c r="EV4" s="60"/>
      <c r="EW4" s="60"/>
      <c r="EX4" s="60"/>
      <c r="EY4" s="60"/>
      <c r="EZ4" s="60"/>
      <c r="FA4" s="60"/>
      <c r="FB4" s="60"/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0"/>
      <c r="FP4" s="60"/>
      <c r="FQ4" s="60"/>
      <c r="FR4" s="60"/>
      <c r="FS4" s="60"/>
      <c r="FT4" s="60"/>
      <c r="FU4" s="60"/>
      <c r="FV4" s="60"/>
      <c r="FW4" s="60"/>
      <c r="FX4" s="60"/>
      <c r="FY4" s="60"/>
      <c r="FZ4" s="60"/>
      <c r="GA4" s="60"/>
      <c r="GB4" s="60"/>
      <c r="GC4" s="60"/>
      <c r="GD4" s="60"/>
      <c r="GE4" s="60"/>
      <c r="GF4" s="60"/>
    </row>
    <row r="5" spans="2:188" s="158" customFormat="1" ht="18.75" customHeight="1">
      <c r="B5" s="497" t="s">
        <v>2</v>
      </c>
      <c r="C5" s="497" t="s">
        <v>104</v>
      </c>
      <c r="D5" s="497" t="s">
        <v>48</v>
      </c>
      <c r="E5" s="497" t="s">
        <v>49</v>
      </c>
      <c r="F5" s="496" t="s">
        <v>103</v>
      </c>
      <c r="G5" s="496" t="s">
        <v>53</v>
      </c>
      <c r="H5" s="496" t="s">
        <v>52</v>
      </c>
      <c r="I5" s="496" t="s">
        <v>51</v>
      </c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48"/>
      <c r="Z5" s="248"/>
      <c r="AA5" s="248"/>
      <c r="AB5" s="248"/>
      <c r="AC5" s="248"/>
      <c r="AD5" s="248"/>
      <c r="AE5" s="248"/>
      <c r="AF5" s="248"/>
      <c r="AG5" s="248"/>
      <c r="AH5" s="248"/>
      <c r="AI5" s="248"/>
      <c r="AJ5" s="248"/>
      <c r="AK5" s="248"/>
      <c r="AL5" s="248"/>
      <c r="AM5" s="248"/>
      <c r="AN5" s="248"/>
      <c r="AO5" s="248"/>
      <c r="AP5" s="248"/>
      <c r="AQ5" s="248"/>
      <c r="AR5" s="248"/>
      <c r="AS5" s="248"/>
      <c r="AT5" s="248"/>
      <c r="AU5" s="248"/>
      <c r="AV5" s="248"/>
      <c r="AW5" s="248"/>
      <c r="AX5" s="248"/>
      <c r="AY5" s="248"/>
      <c r="AZ5" s="248"/>
      <c r="BA5" s="248"/>
      <c r="BB5" s="248"/>
      <c r="BC5" s="248"/>
      <c r="BD5" s="248"/>
      <c r="BE5" s="248"/>
      <c r="BF5" s="248"/>
      <c r="BG5" s="248"/>
      <c r="BH5" s="248"/>
      <c r="BI5" s="248"/>
      <c r="BJ5" s="248"/>
      <c r="BK5" s="248"/>
      <c r="BL5" s="248"/>
      <c r="BM5" s="248"/>
      <c r="BN5" s="248"/>
      <c r="BO5" s="248"/>
      <c r="BP5" s="248"/>
      <c r="BQ5" s="248"/>
      <c r="BR5" s="248"/>
      <c r="BS5" s="248"/>
      <c r="BT5" s="248"/>
      <c r="BU5" s="248"/>
      <c r="BV5" s="248"/>
      <c r="BW5" s="248"/>
      <c r="BX5" s="248"/>
      <c r="BY5" s="248"/>
      <c r="BZ5" s="248"/>
      <c r="CA5" s="248"/>
      <c r="CB5" s="248"/>
      <c r="CC5" s="248"/>
      <c r="CD5" s="248"/>
      <c r="CE5" s="248"/>
      <c r="CF5" s="248"/>
      <c r="CG5" s="248"/>
      <c r="CH5" s="248"/>
      <c r="CI5" s="248"/>
      <c r="CJ5" s="248"/>
      <c r="CK5" s="248"/>
      <c r="CL5" s="248"/>
      <c r="CM5" s="248"/>
      <c r="CN5" s="248"/>
      <c r="CO5" s="248"/>
      <c r="CP5" s="248"/>
      <c r="CQ5" s="248"/>
      <c r="CR5" s="248"/>
      <c r="CS5" s="248"/>
      <c r="CT5" s="248"/>
      <c r="CU5" s="248"/>
      <c r="CV5" s="248"/>
      <c r="CW5" s="248"/>
      <c r="CX5" s="248"/>
      <c r="CY5" s="248"/>
      <c r="CZ5" s="248"/>
      <c r="DA5" s="248"/>
      <c r="DB5" s="248"/>
      <c r="DC5" s="248"/>
      <c r="DD5" s="248"/>
      <c r="DE5" s="248"/>
      <c r="DF5" s="248"/>
      <c r="DG5" s="248"/>
      <c r="DH5" s="248"/>
      <c r="DI5" s="248"/>
      <c r="DJ5" s="248"/>
      <c r="DK5" s="248"/>
      <c r="DL5" s="248"/>
      <c r="DM5" s="248"/>
      <c r="DN5" s="248"/>
      <c r="DO5" s="248"/>
      <c r="DP5" s="248"/>
      <c r="DQ5" s="248"/>
      <c r="DR5" s="248"/>
      <c r="DS5" s="248"/>
      <c r="DT5" s="248"/>
      <c r="DU5" s="248"/>
      <c r="DV5" s="248"/>
      <c r="DW5" s="248"/>
      <c r="DX5" s="248"/>
      <c r="DY5" s="248"/>
      <c r="DZ5" s="248"/>
      <c r="EA5" s="248"/>
      <c r="EB5" s="248"/>
      <c r="EC5" s="248"/>
      <c r="ED5" s="248"/>
      <c r="EE5" s="248"/>
      <c r="EF5" s="248"/>
      <c r="EG5" s="248"/>
      <c r="EH5" s="248"/>
      <c r="EI5" s="248"/>
      <c r="EJ5" s="248"/>
      <c r="EK5" s="248"/>
      <c r="EL5" s="248"/>
      <c r="EM5" s="248"/>
      <c r="EN5" s="248"/>
      <c r="EO5" s="248"/>
      <c r="EP5" s="248"/>
      <c r="EQ5" s="248"/>
      <c r="ER5" s="248"/>
      <c r="ES5" s="248"/>
      <c r="ET5" s="248"/>
      <c r="EU5" s="248"/>
      <c r="EV5" s="248"/>
      <c r="EW5" s="248"/>
      <c r="EX5" s="248"/>
      <c r="EY5" s="248"/>
      <c r="EZ5" s="248"/>
      <c r="FA5" s="248"/>
      <c r="FB5" s="248"/>
      <c r="FC5" s="248"/>
      <c r="FD5" s="248"/>
      <c r="FE5" s="248"/>
      <c r="FF5" s="248"/>
      <c r="FG5" s="248"/>
      <c r="FH5" s="248"/>
      <c r="FI5" s="248"/>
      <c r="FJ5" s="248"/>
      <c r="FK5" s="248"/>
      <c r="FL5" s="248"/>
      <c r="FM5" s="248"/>
      <c r="FN5" s="248"/>
      <c r="FO5" s="248"/>
      <c r="FP5" s="248"/>
      <c r="FQ5" s="248"/>
      <c r="FR5" s="248"/>
      <c r="FS5" s="248"/>
      <c r="FT5" s="248"/>
      <c r="FU5" s="248"/>
      <c r="FV5" s="248"/>
      <c r="FW5" s="248"/>
      <c r="FX5" s="248"/>
      <c r="FY5" s="248"/>
      <c r="FZ5" s="248"/>
      <c r="GA5" s="248"/>
      <c r="GB5" s="248"/>
      <c r="GC5" s="248"/>
      <c r="GD5" s="248"/>
      <c r="GE5" s="248"/>
      <c r="GF5" s="248"/>
    </row>
    <row r="6" spans="2:188" s="158" customFormat="1" ht="16.5" customHeight="1">
      <c r="B6" s="497"/>
      <c r="C6" s="497"/>
      <c r="D6" s="497"/>
      <c r="E6" s="497"/>
      <c r="F6" s="496"/>
      <c r="G6" s="496"/>
      <c r="H6" s="496"/>
      <c r="I6" s="496"/>
      <c r="J6" s="248"/>
      <c r="K6" s="248"/>
      <c r="L6" s="248"/>
      <c r="M6" s="248"/>
      <c r="N6" s="248"/>
      <c r="O6" s="248"/>
      <c r="P6" s="248"/>
      <c r="Q6" s="248"/>
      <c r="R6" s="248"/>
      <c r="S6" s="248"/>
      <c r="T6" s="248"/>
      <c r="U6" s="248"/>
      <c r="V6" s="248"/>
      <c r="W6" s="248"/>
      <c r="X6" s="248"/>
      <c r="Y6" s="248"/>
      <c r="Z6" s="248"/>
      <c r="AA6" s="248"/>
      <c r="AB6" s="248"/>
      <c r="AC6" s="248"/>
      <c r="AD6" s="248"/>
      <c r="AE6" s="248"/>
      <c r="AF6" s="248"/>
      <c r="AG6" s="248"/>
      <c r="AH6" s="248"/>
      <c r="AI6" s="248"/>
      <c r="AJ6" s="248"/>
      <c r="AK6" s="248"/>
      <c r="AL6" s="248"/>
      <c r="AM6" s="248"/>
      <c r="AN6" s="248"/>
      <c r="AO6" s="248"/>
      <c r="AP6" s="248"/>
      <c r="AQ6" s="248"/>
      <c r="AR6" s="248"/>
      <c r="AS6" s="248"/>
      <c r="AT6" s="248"/>
      <c r="AU6" s="248"/>
      <c r="AV6" s="248"/>
      <c r="AW6" s="248"/>
      <c r="AX6" s="248"/>
      <c r="AY6" s="248"/>
      <c r="AZ6" s="248"/>
      <c r="BA6" s="248"/>
      <c r="BB6" s="248"/>
      <c r="BC6" s="248"/>
      <c r="BD6" s="248"/>
      <c r="BE6" s="248"/>
      <c r="BF6" s="248"/>
      <c r="BG6" s="248"/>
      <c r="BH6" s="248"/>
      <c r="BI6" s="248"/>
      <c r="BJ6" s="248"/>
      <c r="BK6" s="248"/>
      <c r="BL6" s="248"/>
      <c r="BM6" s="248"/>
      <c r="BN6" s="248"/>
      <c r="BO6" s="248"/>
      <c r="BP6" s="248"/>
      <c r="BQ6" s="248"/>
      <c r="BR6" s="248"/>
      <c r="BS6" s="248"/>
      <c r="BT6" s="248"/>
      <c r="BU6" s="248"/>
      <c r="BV6" s="248"/>
      <c r="BW6" s="248"/>
      <c r="BX6" s="248"/>
      <c r="BY6" s="248"/>
      <c r="BZ6" s="248"/>
      <c r="CA6" s="248"/>
      <c r="CB6" s="248"/>
      <c r="CC6" s="248"/>
      <c r="CD6" s="248"/>
      <c r="CE6" s="248"/>
      <c r="CF6" s="248"/>
      <c r="CG6" s="248"/>
      <c r="CH6" s="248"/>
      <c r="CI6" s="248"/>
      <c r="CJ6" s="248"/>
      <c r="CK6" s="248"/>
      <c r="CL6" s="248"/>
      <c r="CM6" s="248"/>
      <c r="CN6" s="248"/>
      <c r="CO6" s="248"/>
      <c r="CP6" s="248"/>
      <c r="CQ6" s="248"/>
      <c r="CR6" s="248"/>
      <c r="CS6" s="248"/>
      <c r="CT6" s="248"/>
      <c r="CU6" s="248"/>
      <c r="CV6" s="248"/>
      <c r="CW6" s="248"/>
      <c r="CX6" s="248"/>
      <c r="CY6" s="248"/>
      <c r="CZ6" s="248"/>
      <c r="DA6" s="248"/>
      <c r="DB6" s="248"/>
      <c r="DC6" s="248"/>
      <c r="DD6" s="248"/>
      <c r="DE6" s="248"/>
      <c r="DF6" s="248"/>
      <c r="DG6" s="248"/>
      <c r="DH6" s="248"/>
      <c r="DI6" s="248"/>
      <c r="DJ6" s="248"/>
      <c r="DK6" s="248"/>
      <c r="DL6" s="248"/>
      <c r="DM6" s="248"/>
      <c r="DN6" s="248"/>
      <c r="DO6" s="248"/>
      <c r="DP6" s="248"/>
      <c r="DQ6" s="248"/>
      <c r="DR6" s="248"/>
      <c r="DS6" s="248"/>
      <c r="DT6" s="248"/>
      <c r="DU6" s="248"/>
      <c r="DV6" s="248"/>
      <c r="DW6" s="248"/>
      <c r="DX6" s="248"/>
      <c r="DY6" s="248"/>
      <c r="DZ6" s="248"/>
      <c r="EA6" s="248"/>
      <c r="EB6" s="248"/>
      <c r="EC6" s="248"/>
      <c r="ED6" s="248"/>
      <c r="EE6" s="248"/>
      <c r="EF6" s="248"/>
      <c r="EG6" s="248"/>
      <c r="EH6" s="248"/>
      <c r="EI6" s="248"/>
      <c r="EJ6" s="248"/>
      <c r="EK6" s="248"/>
      <c r="EL6" s="248"/>
      <c r="EM6" s="248"/>
      <c r="EN6" s="248"/>
      <c r="EO6" s="248"/>
      <c r="EP6" s="248"/>
      <c r="EQ6" s="248"/>
      <c r="ER6" s="248"/>
      <c r="ES6" s="248"/>
      <c r="ET6" s="248"/>
      <c r="EU6" s="248"/>
      <c r="EV6" s="248"/>
      <c r="EW6" s="248"/>
      <c r="EX6" s="248"/>
      <c r="EY6" s="248"/>
      <c r="EZ6" s="248"/>
      <c r="FA6" s="248"/>
      <c r="FB6" s="248"/>
      <c r="FC6" s="248"/>
      <c r="FD6" s="248"/>
      <c r="FE6" s="248"/>
      <c r="FF6" s="248"/>
      <c r="FG6" s="248"/>
      <c r="FH6" s="248"/>
      <c r="FI6" s="248"/>
      <c r="FJ6" s="248"/>
      <c r="FK6" s="248"/>
      <c r="FL6" s="248"/>
      <c r="FM6" s="248"/>
      <c r="FN6" s="248"/>
      <c r="FO6" s="248"/>
      <c r="FP6" s="248"/>
      <c r="FQ6" s="248"/>
      <c r="FR6" s="248"/>
      <c r="FS6" s="248"/>
      <c r="FT6" s="248"/>
      <c r="FU6" s="248"/>
      <c r="FV6" s="248"/>
      <c r="FW6" s="248"/>
      <c r="FX6" s="248"/>
      <c r="FY6" s="248"/>
      <c r="FZ6" s="248"/>
      <c r="GA6" s="248"/>
      <c r="GB6" s="248"/>
      <c r="GC6" s="248"/>
      <c r="GD6" s="248"/>
      <c r="GE6" s="248"/>
      <c r="GF6" s="248"/>
    </row>
    <row r="7" spans="2:188" s="324" customFormat="1">
      <c r="B7" s="316">
        <v>1</v>
      </c>
      <c r="C7" s="422" t="s">
        <v>236</v>
      </c>
      <c r="D7" s="422" t="s">
        <v>391</v>
      </c>
      <c r="E7" s="422" t="s">
        <v>152</v>
      </c>
      <c r="F7" s="422" t="s">
        <v>392</v>
      </c>
      <c r="G7" s="371">
        <v>1</v>
      </c>
      <c r="H7" s="369">
        <v>100000</v>
      </c>
      <c r="I7" s="317">
        <f>H7*25%*75%</f>
        <v>18750</v>
      </c>
      <c r="J7" s="249"/>
      <c r="K7" s="158"/>
      <c r="L7" s="158"/>
      <c r="M7" s="158"/>
      <c r="N7" s="158"/>
      <c r="O7" s="158"/>
      <c r="P7" s="158"/>
      <c r="Q7" s="158"/>
      <c r="R7" s="158"/>
      <c r="S7" s="158"/>
      <c r="T7" s="158"/>
      <c r="U7" s="158"/>
      <c r="V7" s="158"/>
      <c r="W7" s="158"/>
      <c r="X7" s="158"/>
      <c r="Y7" s="158"/>
      <c r="Z7" s="158"/>
      <c r="AA7" s="158"/>
      <c r="AB7" s="158"/>
      <c r="AC7" s="158"/>
      <c r="AD7" s="158"/>
      <c r="AE7" s="158"/>
      <c r="AF7" s="158"/>
      <c r="AG7" s="158"/>
      <c r="AH7" s="158"/>
      <c r="AI7" s="158"/>
      <c r="AJ7" s="158"/>
      <c r="AK7" s="158"/>
      <c r="AL7" s="158"/>
      <c r="AM7" s="158"/>
      <c r="AN7" s="158"/>
      <c r="AO7" s="158"/>
      <c r="AP7" s="158"/>
      <c r="AQ7" s="158"/>
      <c r="AR7" s="158"/>
      <c r="AS7" s="158"/>
      <c r="AT7" s="158"/>
      <c r="AU7" s="158"/>
      <c r="AV7" s="158"/>
      <c r="AW7" s="158"/>
      <c r="AX7" s="158"/>
      <c r="AY7" s="158"/>
      <c r="AZ7" s="158"/>
      <c r="BA7" s="158"/>
      <c r="BB7" s="158"/>
      <c r="BC7" s="158"/>
      <c r="BD7" s="158"/>
      <c r="BE7" s="158"/>
      <c r="BF7" s="158"/>
      <c r="BG7" s="158"/>
      <c r="BH7" s="158"/>
      <c r="BI7" s="158"/>
      <c r="BJ7" s="158"/>
      <c r="BK7" s="158"/>
      <c r="BL7" s="158"/>
      <c r="BM7" s="158"/>
      <c r="BN7" s="158"/>
      <c r="BO7" s="158"/>
      <c r="BP7" s="158"/>
      <c r="BQ7" s="158"/>
      <c r="BR7" s="158"/>
      <c r="BS7" s="158"/>
      <c r="BT7" s="158"/>
      <c r="BU7" s="158"/>
      <c r="BV7" s="158"/>
      <c r="BW7" s="158"/>
      <c r="BX7" s="158"/>
      <c r="BY7" s="158"/>
      <c r="BZ7" s="158"/>
      <c r="CA7" s="158"/>
      <c r="CB7" s="158"/>
      <c r="CC7" s="158"/>
      <c r="CD7" s="158"/>
      <c r="CE7" s="158"/>
      <c r="CF7" s="158"/>
      <c r="CG7" s="158"/>
      <c r="CH7" s="158"/>
      <c r="CI7" s="158"/>
      <c r="CJ7" s="158"/>
      <c r="CK7" s="158"/>
      <c r="CL7" s="158"/>
      <c r="CM7" s="158"/>
      <c r="CN7" s="158"/>
      <c r="CO7" s="158"/>
      <c r="CP7" s="158"/>
      <c r="CQ7" s="158"/>
      <c r="CR7" s="158"/>
      <c r="CS7" s="158"/>
      <c r="CT7" s="158"/>
      <c r="CU7" s="158"/>
      <c r="CV7" s="158"/>
      <c r="CW7" s="158"/>
      <c r="CX7" s="158"/>
      <c r="CY7" s="158"/>
      <c r="CZ7" s="158"/>
      <c r="DA7" s="158"/>
      <c r="DB7" s="158"/>
      <c r="DC7" s="158"/>
      <c r="DD7" s="158"/>
      <c r="DE7" s="158"/>
      <c r="DF7" s="158"/>
      <c r="DG7" s="158"/>
      <c r="DH7" s="158"/>
      <c r="DI7" s="158"/>
      <c r="DJ7" s="158"/>
      <c r="DK7" s="158"/>
      <c r="DL7" s="158"/>
      <c r="DM7" s="158"/>
      <c r="DN7" s="158"/>
      <c r="DO7" s="158"/>
      <c r="DP7" s="158"/>
      <c r="DQ7" s="158"/>
      <c r="DR7" s="158"/>
      <c r="DS7" s="158"/>
      <c r="DT7" s="158"/>
      <c r="DU7" s="158"/>
      <c r="DV7" s="158"/>
      <c r="DW7" s="158"/>
      <c r="DX7" s="158"/>
      <c r="DY7" s="158"/>
      <c r="DZ7" s="158"/>
      <c r="EA7" s="158"/>
      <c r="EB7" s="158"/>
      <c r="EC7" s="158"/>
      <c r="ED7" s="158"/>
      <c r="EE7" s="158"/>
      <c r="EF7" s="158"/>
      <c r="EG7" s="158"/>
      <c r="EH7" s="158"/>
      <c r="EI7" s="158"/>
      <c r="EJ7" s="158"/>
      <c r="EK7" s="158"/>
      <c r="EL7" s="158"/>
      <c r="EM7" s="158"/>
      <c r="EN7" s="158"/>
      <c r="EO7" s="158"/>
      <c r="EP7" s="158"/>
      <c r="EQ7" s="158"/>
      <c r="ER7" s="158"/>
      <c r="ES7" s="158"/>
      <c r="ET7" s="158"/>
      <c r="EU7" s="158"/>
      <c r="EV7" s="158"/>
      <c r="EW7" s="158"/>
      <c r="EX7" s="158"/>
      <c r="EY7" s="158"/>
      <c r="EZ7" s="158"/>
      <c r="FA7" s="158"/>
      <c r="FB7" s="158"/>
      <c r="FC7" s="158"/>
      <c r="FD7" s="158"/>
      <c r="FE7" s="158"/>
      <c r="FF7" s="158"/>
      <c r="FG7" s="158"/>
      <c r="FH7" s="158"/>
      <c r="FI7" s="158"/>
      <c r="FJ7" s="158"/>
      <c r="FK7" s="158"/>
      <c r="FL7" s="158"/>
      <c r="FM7" s="158"/>
      <c r="FN7" s="158"/>
      <c r="FO7" s="158"/>
      <c r="FP7" s="158"/>
      <c r="FQ7" s="158"/>
      <c r="FR7" s="158"/>
      <c r="FS7" s="158"/>
      <c r="FT7" s="158"/>
      <c r="FU7" s="158"/>
      <c r="FV7" s="158"/>
      <c r="FW7" s="158"/>
      <c r="FX7" s="158"/>
      <c r="FY7" s="158"/>
      <c r="FZ7" s="158"/>
      <c r="GA7" s="158"/>
      <c r="GB7" s="158"/>
      <c r="GC7" s="158"/>
      <c r="GD7" s="158"/>
      <c r="GE7" s="158"/>
      <c r="GF7" s="158"/>
    </row>
    <row r="8" spans="2:188" s="324" customFormat="1">
      <c r="B8" s="316">
        <v>2</v>
      </c>
      <c r="C8" s="422" t="s">
        <v>209</v>
      </c>
      <c r="D8" s="422" t="s">
        <v>393</v>
      </c>
      <c r="E8" s="422" t="s">
        <v>152</v>
      </c>
      <c r="F8" s="422" t="s">
        <v>394</v>
      </c>
      <c r="G8" s="371">
        <v>1</v>
      </c>
      <c r="H8" s="369">
        <v>100000</v>
      </c>
      <c r="I8" s="317">
        <f t="shared" ref="I8:I71" si="0">H8*25%*75%</f>
        <v>18750</v>
      </c>
      <c r="J8" s="249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8"/>
      <c r="AB8" s="158"/>
      <c r="AC8" s="158"/>
      <c r="AD8" s="158"/>
      <c r="AE8" s="158"/>
      <c r="AF8" s="158"/>
      <c r="AG8" s="158"/>
      <c r="AH8" s="158"/>
      <c r="AI8" s="158"/>
      <c r="AJ8" s="158"/>
      <c r="AK8" s="158"/>
      <c r="AL8" s="158"/>
      <c r="AM8" s="158"/>
      <c r="AN8" s="158"/>
      <c r="AO8" s="158"/>
      <c r="AP8" s="158"/>
      <c r="AQ8" s="158"/>
      <c r="AR8" s="158"/>
      <c r="AS8" s="158"/>
      <c r="AT8" s="158"/>
      <c r="AU8" s="158"/>
      <c r="AV8" s="158"/>
      <c r="AW8" s="158"/>
      <c r="AX8" s="158"/>
      <c r="AY8" s="158"/>
      <c r="AZ8" s="158"/>
      <c r="BA8" s="158"/>
      <c r="BB8" s="158"/>
      <c r="BC8" s="158"/>
      <c r="BD8" s="158"/>
      <c r="BE8" s="158"/>
      <c r="BF8" s="158"/>
      <c r="BG8" s="158"/>
      <c r="BH8" s="158"/>
      <c r="BI8" s="158"/>
      <c r="BJ8" s="158"/>
      <c r="BK8" s="158"/>
      <c r="BL8" s="158"/>
      <c r="BM8" s="158"/>
      <c r="BN8" s="158"/>
      <c r="BO8" s="158"/>
      <c r="BP8" s="158"/>
      <c r="BQ8" s="158"/>
      <c r="BR8" s="158"/>
      <c r="BS8" s="158"/>
      <c r="BT8" s="158"/>
      <c r="BU8" s="158"/>
      <c r="BV8" s="158"/>
      <c r="BW8" s="158"/>
      <c r="BX8" s="158"/>
      <c r="BY8" s="158"/>
      <c r="BZ8" s="158"/>
      <c r="CA8" s="158"/>
      <c r="CB8" s="158"/>
      <c r="CC8" s="158"/>
      <c r="CD8" s="158"/>
      <c r="CE8" s="158"/>
      <c r="CF8" s="158"/>
      <c r="CG8" s="158"/>
      <c r="CH8" s="158"/>
      <c r="CI8" s="158"/>
      <c r="CJ8" s="158"/>
      <c r="CK8" s="158"/>
      <c r="CL8" s="158"/>
      <c r="CM8" s="158"/>
      <c r="CN8" s="158"/>
      <c r="CO8" s="158"/>
      <c r="CP8" s="158"/>
      <c r="CQ8" s="158"/>
      <c r="CR8" s="158"/>
      <c r="CS8" s="158"/>
      <c r="CT8" s="158"/>
      <c r="CU8" s="158"/>
      <c r="CV8" s="158"/>
      <c r="CW8" s="158"/>
      <c r="CX8" s="158"/>
      <c r="CY8" s="158"/>
      <c r="CZ8" s="158"/>
      <c r="DA8" s="158"/>
      <c r="DB8" s="158"/>
      <c r="DC8" s="158"/>
      <c r="DD8" s="158"/>
      <c r="DE8" s="158"/>
      <c r="DF8" s="158"/>
      <c r="DG8" s="158"/>
      <c r="DH8" s="158"/>
      <c r="DI8" s="158"/>
      <c r="DJ8" s="158"/>
      <c r="DK8" s="158"/>
      <c r="DL8" s="158"/>
      <c r="DM8" s="158"/>
      <c r="DN8" s="158"/>
      <c r="DO8" s="158"/>
      <c r="DP8" s="158"/>
      <c r="DQ8" s="158"/>
      <c r="DR8" s="158"/>
      <c r="DS8" s="158"/>
      <c r="DT8" s="158"/>
      <c r="DU8" s="158"/>
      <c r="DV8" s="158"/>
      <c r="DW8" s="158"/>
      <c r="DX8" s="158"/>
      <c r="DY8" s="158"/>
      <c r="DZ8" s="158"/>
      <c r="EA8" s="158"/>
      <c r="EB8" s="158"/>
      <c r="EC8" s="158"/>
      <c r="ED8" s="158"/>
      <c r="EE8" s="158"/>
      <c r="EF8" s="158"/>
      <c r="EG8" s="158"/>
      <c r="EH8" s="158"/>
      <c r="EI8" s="158"/>
      <c r="EJ8" s="158"/>
      <c r="EK8" s="158"/>
      <c r="EL8" s="158"/>
      <c r="EM8" s="158"/>
      <c r="EN8" s="158"/>
      <c r="EO8" s="158"/>
      <c r="EP8" s="158"/>
      <c r="EQ8" s="158"/>
      <c r="ER8" s="158"/>
      <c r="ES8" s="158"/>
      <c r="ET8" s="158"/>
      <c r="EU8" s="158"/>
      <c r="EV8" s="158"/>
      <c r="EW8" s="158"/>
      <c r="EX8" s="158"/>
      <c r="EY8" s="158"/>
      <c r="EZ8" s="158"/>
      <c r="FA8" s="158"/>
      <c r="FB8" s="158"/>
      <c r="FC8" s="158"/>
      <c r="FD8" s="158"/>
      <c r="FE8" s="158"/>
      <c r="FF8" s="158"/>
      <c r="FG8" s="158"/>
      <c r="FH8" s="158"/>
      <c r="FI8" s="158"/>
      <c r="FJ8" s="158"/>
      <c r="FK8" s="158"/>
      <c r="FL8" s="158"/>
      <c r="FM8" s="158"/>
      <c r="FN8" s="158"/>
      <c r="FO8" s="158"/>
      <c r="FP8" s="158"/>
      <c r="FQ8" s="158"/>
      <c r="FR8" s="158"/>
      <c r="FS8" s="158"/>
      <c r="FT8" s="158"/>
      <c r="FU8" s="158"/>
      <c r="FV8" s="158"/>
      <c r="FW8" s="158"/>
      <c r="FX8" s="158"/>
      <c r="FY8" s="158"/>
      <c r="FZ8" s="158"/>
      <c r="GA8" s="158"/>
      <c r="GB8" s="158"/>
      <c r="GC8" s="158"/>
      <c r="GD8" s="158"/>
      <c r="GE8" s="158"/>
      <c r="GF8" s="158"/>
    </row>
    <row r="9" spans="2:188" s="324" customFormat="1">
      <c r="B9" s="316">
        <v>3</v>
      </c>
      <c r="C9" s="422" t="s">
        <v>256</v>
      </c>
      <c r="D9" s="422" t="s">
        <v>354</v>
      </c>
      <c r="E9" s="422" t="s">
        <v>355</v>
      </c>
      <c r="F9" s="422" t="s">
        <v>392</v>
      </c>
      <c r="G9" s="371">
        <v>5</v>
      </c>
      <c r="H9" s="369">
        <v>500000</v>
      </c>
      <c r="I9" s="317">
        <f t="shared" si="0"/>
        <v>93750</v>
      </c>
      <c r="J9" s="355"/>
    </row>
    <row r="10" spans="2:188" s="324" customFormat="1">
      <c r="B10" s="316">
        <v>4</v>
      </c>
      <c r="C10" s="422" t="s">
        <v>222</v>
      </c>
      <c r="D10" s="422" t="s">
        <v>181</v>
      </c>
      <c r="E10" s="422" t="s">
        <v>134</v>
      </c>
      <c r="F10" s="422" t="s">
        <v>395</v>
      </c>
      <c r="G10" s="371">
        <v>10</v>
      </c>
      <c r="H10" s="369">
        <v>1000000</v>
      </c>
      <c r="I10" s="317">
        <f t="shared" si="0"/>
        <v>187500</v>
      </c>
      <c r="J10" s="249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58"/>
      <c r="Z10" s="158"/>
      <c r="AA10" s="158"/>
      <c r="AB10" s="158"/>
      <c r="AC10" s="158"/>
      <c r="AD10" s="158"/>
      <c r="AE10" s="158"/>
      <c r="AF10" s="158"/>
      <c r="AG10" s="158"/>
      <c r="AH10" s="158"/>
      <c r="AI10" s="158"/>
      <c r="AJ10" s="158"/>
      <c r="AK10" s="158"/>
      <c r="AL10" s="158"/>
      <c r="AM10" s="158"/>
      <c r="AN10" s="158"/>
      <c r="AO10" s="158"/>
      <c r="AP10" s="158"/>
      <c r="AQ10" s="158"/>
      <c r="AR10" s="158"/>
      <c r="AS10" s="158"/>
      <c r="AT10" s="158"/>
      <c r="AU10" s="158"/>
      <c r="AV10" s="158"/>
      <c r="AW10" s="158"/>
      <c r="AX10" s="158"/>
      <c r="AY10" s="158"/>
      <c r="AZ10" s="158"/>
      <c r="BA10" s="158"/>
      <c r="BB10" s="158"/>
      <c r="BC10" s="158"/>
      <c r="BD10" s="158"/>
      <c r="BE10" s="158"/>
      <c r="BF10" s="158"/>
      <c r="BG10" s="158"/>
      <c r="BH10" s="158"/>
      <c r="BI10" s="158"/>
      <c r="BJ10" s="158"/>
      <c r="BK10" s="158"/>
      <c r="BL10" s="158"/>
      <c r="BM10" s="158"/>
      <c r="BN10" s="158"/>
      <c r="BO10" s="158"/>
      <c r="BP10" s="158"/>
      <c r="BQ10" s="158"/>
      <c r="BR10" s="158"/>
      <c r="BS10" s="158"/>
      <c r="BT10" s="158"/>
      <c r="BU10" s="158"/>
      <c r="BV10" s="158"/>
      <c r="BW10" s="158"/>
      <c r="BX10" s="158"/>
      <c r="BY10" s="158"/>
      <c r="BZ10" s="158"/>
      <c r="CA10" s="158"/>
      <c r="CB10" s="158"/>
      <c r="CC10" s="158"/>
      <c r="CD10" s="158"/>
      <c r="CE10" s="158"/>
      <c r="CF10" s="158"/>
      <c r="CG10" s="158"/>
      <c r="CH10" s="158"/>
      <c r="CI10" s="158"/>
      <c r="CJ10" s="158"/>
      <c r="CK10" s="158"/>
      <c r="CL10" s="158"/>
      <c r="CM10" s="158"/>
      <c r="CN10" s="158"/>
      <c r="CO10" s="158"/>
      <c r="CP10" s="158"/>
      <c r="CQ10" s="158"/>
      <c r="CR10" s="158"/>
      <c r="CS10" s="158"/>
      <c r="CT10" s="158"/>
      <c r="CU10" s="158"/>
      <c r="CV10" s="158"/>
      <c r="CW10" s="158"/>
      <c r="CX10" s="158"/>
      <c r="CY10" s="158"/>
      <c r="CZ10" s="158"/>
      <c r="DA10" s="158"/>
      <c r="DB10" s="158"/>
      <c r="DC10" s="158"/>
      <c r="DD10" s="158"/>
      <c r="DE10" s="158"/>
      <c r="DF10" s="158"/>
      <c r="DG10" s="158"/>
      <c r="DH10" s="158"/>
      <c r="DI10" s="158"/>
      <c r="DJ10" s="158"/>
      <c r="DK10" s="158"/>
      <c r="DL10" s="158"/>
      <c r="DM10" s="158"/>
      <c r="DN10" s="158"/>
      <c r="DO10" s="158"/>
      <c r="DP10" s="158"/>
      <c r="DQ10" s="158"/>
      <c r="DR10" s="158"/>
      <c r="DS10" s="158"/>
      <c r="DT10" s="158"/>
      <c r="DU10" s="158"/>
      <c r="DV10" s="158"/>
      <c r="DW10" s="158"/>
      <c r="DX10" s="158"/>
      <c r="DY10" s="158"/>
      <c r="DZ10" s="158"/>
      <c r="EA10" s="158"/>
      <c r="EB10" s="158"/>
      <c r="EC10" s="158"/>
      <c r="ED10" s="158"/>
      <c r="EE10" s="158"/>
      <c r="EF10" s="158"/>
      <c r="EG10" s="158"/>
      <c r="EH10" s="158"/>
      <c r="EI10" s="158"/>
      <c r="EJ10" s="158"/>
      <c r="EK10" s="158"/>
      <c r="EL10" s="158"/>
      <c r="EM10" s="158"/>
      <c r="EN10" s="158"/>
      <c r="EO10" s="158"/>
      <c r="EP10" s="158"/>
      <c r="EQ10" s="158"/>
      <c r="ER10" s="158"/>
      <c r="ES10" s="158"/>
      <c r="ET10" s="158"/>
      <c r="EU10" s="158"/>
      <c r="EV10" s="158"/>
      <c r="EW10" s="158"/>
      <c r="EX10" s="158"/>
      <c r="EY10" s="158"/>
      <c r="EZ10" s="158"/>
      <c r="FA10" s="158"/>
      <c r="FB10" s="158"/>
      <c r="FC10" s="158"/>
      <c r="FD10" s="158"/>
      <c r="FE10" s="158"/>
      <c r="FF10" s="158"/>
      <c r="FG10" s="158"/>
      <c r="FH10" s="158"/>
      <c r="FI10" s="158"/>
      <c r="FJ10" s="158"/>
      <c r="FK10" s="158"/>
      <c r="FL10" s="158"/>
      <c r="FM10" s="158"/>
      <c r="FN10" s="158"/>
      <c r="FO10" s="158"/>
      <c r="FP10" s="158"/>
      <c r="FQ10" s="158"/>
      <c r="FR10" s="158"/>
      <c r="FS10" s="158"/>
      <c r="FT10" s="158"/>
      <c r="FU10" s="158"/>
      <c r="FV10" s="158"/>
      <c r="FW10" s="158"/>
      <c r="FX10" s="158"/>
      <c r="FY10" s="158"/>
      <c r="FZ10" s="158"/>
      <c r="GA10" s="158"/>
      <c r="GB10" s="158"/>
      <c r="GC10" s="158"/>
      <c r="GD10" s="158"/>
      <c r="GE10" s="158"/>
      <c r="GF10" s="158"/>
    </row>
    <row r="11" spans="2:188" s="324" customFormat="1">
      <c r="B11" s="316">
        <v>5</v>
      </c>
      <c r="C11" s="422" t="s">
        <v>244</v>
      </c>
      <c r="D11" s="422" t="s">
        <v>156</v>
      </c>
      <c r="E11" s="422" t="s">
        <v>152</v>
      </c>
      <c r="F11" s="422" t="s">
        <v>396</v>
      </c>
      <c r="G11" s="371">
        <v>1</v>
      </c>
      <c r="H11" s="369">
        <v>100000</v>
      </c>
      <c r="I11" s="317">
        <f t="shared" si="0"/>
        <v>18750</v>
      </c>
      <c r="J11" s="249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158"/>
      <c r="Z11" s="158"/>
      <c r="AA11" s="158"/>
      <c r="AB11" s="158"/>
      <c r="AC11" s="158"/>
      <c r="AD11" s="158"/>
      <c r="AE11" s="158"/>
      <c r="AF11" s="158"/>
      <c r="AG11" s="158"/>
      <c r="AH11" s="158"/>
      <c r="AI11" s="158"/>
      <c r="AJ11" s="158"/>
      <c r="AK11" s="158"/>
      <c r="AL11" s="158"/>
      <c r="AM11" s="158"/>
      <c r="AN11" s="158"/>
      <c r="AO11" s="158"/>
      <c r="AP11" s="158"/>
      <c r="AQ11" s="158"/>
      <c r="AR11" s="158"/>
      <c r="AS11" s="158"/>
      <c r="AT11" s="158"/>
      <c r="AU11" s="158"/>
      <c r="AV11" s="158"/>
      <c r="AW11" s="158"/>
      <c r="AX11" s="158"/>
      <c r="AY11" s="158"/>
      <c r="AZ11" s="158"/>
      <c r="BA11" s="158"/>
      <c r="BB11" s="158"/>
      <c r="BC11" s="158"/>
      <c r="BD11" s="158"/>
      <c r="BE11" s="158"/>
      <c r="BF11" s="158"/>
      <c r="BG11" s="158"/>
      <c r="BH11" s="158"/>
      <c r="BI11" s="158"/>
      <c r="BJ11" s="158"/>
      <c r="BK11" s="158"/>
      <c r="BL11" s="158"/>
      <c r="BM11" s="158"/>
      <c r="BN11" s="158"/>
      <c r="BO11" s="158"/>
      <c r="BP11" s="158"/>
      <c r="BQ11" s="158"/>
      <c r="BR11" s="158"/>
      <c r="BS11" s="158"/>
      <c r="BT11" s="158"/>
      <c r="BU11" s="158"/>
      <c r="BV11" s="158"/>
      <c r="BW11" s="158"/>
      <c r="BX11" s="158"/>
      <c r="BY11" s="158"/>
      <c r="BZ11" s="158"/>
      <c r="CA11" s="158"/>
      <c r="CB11" s="158"/>
      <c r="CC11" s="158"/>
      <c r="CD11" s="158"/>
      <c r="CE11" s="158"/>
      <c r="CF11" s="158"/>
      <c r="CG11" s="158"/>
      <c r="CH11" s="158"/>
      <c r="CI11" s="158"/>
      <c r="CJ11" s="158"/>
      <c r="CK11" s="158"/>
      <c r="CL11" s="158"/>
      <c r="CM11" s="158"/>
      <c r="CN11" s="158"/>
      <c r="CO11" s="158"/>
      <c r="CP11" s="158"/>
      <c r="CQ11" s="158"/>
      <c r="CR11" s="158"/>
      <c r="CS11" s="158"/>
      <c r="CT11" s="158"/>
      <c r="CU11" s="158"/>
      <c r="CV11" s="158"/>
      <c r="CW11" s="158"/>
      <c r="CX11" s="158"/>
      <c r="CY11" s="158"/>
      <c r="CZ11" s="158"/>
      <c r="DA11" s="158"/>
      <c r="DB11" s="158"/>
      <c r="DC11" s="158"/>
      <c r="DD11" s="158"/>
      <c r="DE11" s="158"/>
      <c r="DF11" s="158"/>
      <c r="DG11" s="158"/>
      <c r="DH11" s="158"/>
      <c r="DI11" s="158"/>
      <c r="DJ11" s="158"/>
      <c r="DK11" s="158"/>
      <c r="DL11" s="158"/>
      <c r="DM11" s="158"/>
      <c r="DN11" s="158"/>
      <c r="DO11" s="158"/>
      <c r="DP11" s="158"/>
      <c r="DQ11" s="158"/>
      <c r="DR11" s="158"/>
      <c r="DS11" s="158"/>
      <c r="DT11" s="158"/>
      <c r="DU11" s="158"/>
      <c r="DV11" s="158"/>
      <c r="DW11" s="158"/>
      <c r="DX11" s="158"/>
      <c r="DY11" s="158"/>
      <c r="DZ11" s="158"/>
      <c r="EA11" s="158"/>
      <c r="EB11" s="158"/>
      <c r="EC11" s="158"/>
      <c r="ED11" s="158"/>
      <c r="EE11" s="158"/>
      <c r="EF11" s="158"/>
      <c r="EG11" s="158"/>
      <c r="EH11" s="158"/>
      <c r="EI11" s="158"/>
      <c r="EJ11" s="158"/>
      <c r="EK11" s="158"/>
      <c r="EL11" s="158"/>
      <c r="EM11" s="158"/>
      <c r="EN11" s="158"/>
      <c r="EO11" s="158"/>
      <c r="EP11" s="158"/>
      <c r="EQ11" s="158"/>
      <c r="ER11" s="158"/>
      <c r="ES11" s="158"/>
      <c r="ET11" s="158"/>
      <c r="EU11" s="158"/>
      <c r="EV11" s="158"/>
      <c r="EW11" s="158"/>
      <c r="EX11" s="158"/>
      <c r="EY11" s="158"/>
      <c r="EZ11" s="158"/>
      <c r="FA11" s="158"/>
      <c r="FB11" s="158"/>
      <c r="FC11" s="158"/>
      <c r="FD11" s="158"/>
      <c r="FE11" s="158"/>
      <c r="FF11" s="158"/>
      <c r="FG11" s="158"/>
      <c r="FH11" s="158"/>
      <c r="FI11" s="158"/>
      <c r="FJ11" s="158"/>
      <c r="FK11" s="158"/>
      <c r="FL11" s="158"/>
      <c r="FM11" s="158"/>
      <c r="FN11" s="158"/>
      <c r="FO11" s="158"/>
      <c r="FP11" s="158"/>
      <c r="FQ11" s="158"/>
      <c r="FR11" s="158"/>
      <c r="FS11" s="158"/>
      <c r="FT11" s="158"/>
      <c r="FU11" s="158"/>
      <c r="FV11" s="158"/>
      <c r="FW11" s="158"/>
      <c r="FX11" s="158"/>
      <c r="FY11" s="158"/>
      <c r="FZ11" s="158"/>
      <c r="GA11" s="158"/>
      <c r="GB11" s="158"/>
      <c r="GC11" s="158"/>
      <c r="GD11" s="158"/>
      <c r="GE11" s="158"/>
      <c r="GF11" s="158"/>
    </row>
    <row r="12" spans="2:188" s="324" customFormat="1">
      <c r="B12" s="316">
        <v>6</v>
      </c>
      <c r="C12" s="422" t="s">
        <v>385</v>
      </c>
      <c r="D12" s="422" t="s">
        <v>397</v>
      </c>
      <c r="E12" s="422" t="s">
        <v>150</v>
      </c>
      <c r="F12" s="422" t="s">
        <v>394</v>
      </c>
      <c r="G12" s="371">
        <v>1</v>
      </c>
      <c r="H12" s="369">
        <v>100000</v>
      </c>
      <c r="I12" s="317">
        <f t="shared" si="0"/>
        <v>18750</v>
      </c>
      <c r="J12" s="249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58"/>
      <c r="Z12" s="158"/>
      <c r="AA12" s="158"/>
      <c r="AB12" s="158"/>
      <c r="AC12" s="158"/>
      <c r="AD12" s="158"/>
      <c r="AE12" s="158"/>
      <c r="AF12" s="158"/>
      <c r="AG12" s="158"/>
      <c r="AH12" s="158"/>
      <c r="AI12" s="158"/>
      <c r="AJ12" s="158"/>
      <c r="AK12" s="158"/>
      <c r="AL12" s="158"/>
      <c r="AM12" s="158"/>
      <c r="AN12" s="158"/>
      <c r="AO12" s="158"/>
      <c r="AP12" s="158"/>
      <c r="AQ12" s="158"/>
      <c r="AR12" s="158"/>
      <c r="AS12" s="158"/>
      <c r="AT12" s="158"/>
      <c r="AU12" s="158"/>
      <c r="AV12" s="158"/>
      <c r="AW12" s="158"/>
      <c r="AX12" s="158"/>
      <c r="AY12" s="158"/>
      <c r="AZ12" s="158"/>
      <c r="BA12" s="158"/>
      <c r="BB12" s="158"/>
      <c r="BC12" s="158"/>
      <c r="BD12" s="158"/>
      <c r="BE12" s="158"/>
      <c r="BF12" s="158"/>
      <c r="BG12" s="158"/>
      <c r="BH12" s="158"/>
      <c r="BI12" s="158"/>
      <c r="BJ12" s="158"/>
      <c r="BK12" s="158"/>
      <c r="BL12" s="158"/>
      <c r="BM12" s="158"/>
      <c r="BN12" s="158"/>
      <c r="BO12" s="158"/>
      <c r="BP12" s="158"/>
      <c r="BQ12" s="158"/>
      <c r="BR12" s="158"/>
      <c r="BS12" s="158"/>
      <c r="BT12" s="158"/>
      <c r="BU12" s="158"/>
      <c r="BV12" s="158"/>
      <c r="BW12" s="158"/>
      <c r="BX12" s="158"/>
      <c r="BY12" s="158"/>
      <c r="BZ12" s="158"/>
      <c r="CA12" s="158"/>
      <c r="CB12" s="158"/>
      <c r="CC12" s="158"/>
      <c r="CD12" s="158"/>
      <c r="CE12" s="158"/>
      <c r="CF12" s="158"/>
      <c r="CG12" s="158"/>
      <c r="CH12" s="158"/>
      <c r="CI12" s="158"/>
      <c r="CJ12" s="158"/>
      <c r="CK12" s="158"/>
      <c r="CL12" s="158"/>
      <c r="CM12" s="158"/>
      <c r="CN12" s="158"/>
      <c r="CO12" s="158"/>
      <c r="CP12" s="158"/>
      <c r="CQ12" s="158"/>
      <c r="CR12" s="158"/>
      <c r="CS12" s="158"/>
      <c r="CT12" s="158"/>
      <c r="CU12" s="158"/>
      <c r="CV12" s="158"/>
      <c r="CW12" s="158"/>
      <c r="CX12" s="158"/>
      <c r="CY12" s="158"/>
      <c r="CZ12" s="158"/>
      <c r="DA12" s="158"/>
      <c r="DB12" s="158"/>
      <c r="DC12" s="158"/>
      <c r="DD12" s="158"/>
      <c r="DE12" s="158"/>
      <c r="DF12" s="158"/>
      <c r="DG12" s="158"/>
      <c r="DH12" s="158"/>
      <c r="DI12" s="158"/>
      <c r="DJ12" s="158"/>
      <c r="DK12" s="158"/>
      <c r="DL12" s="158"/>
      <c r="DM12" s="158"/>
      <c r="DN12" s="158"/>
      <c r="DO12" s="158"/>
      <c r="DP12" s="158"/>
      <c r="DQ12" s="158"/>
      <c r="DR12" s="158"/>
      <c r="DS12" s="158"/>
      <c r="DT12" s="158"/>
      <c r="DU12" s="158"/>
      <c r="DV12" s="158"/>
      <c r="DW12" s="158"/>
      <c r="DX12" s="158"/>
      <c r="DY12" s="158"/>
      <c r="DZ12" s="158"/>
      <c r="EA12" s="158"/>
      <c r="EB12" s="158"/>
      <c r="EC12" s="158"/>
      <c r="ED12" s="158"/>
      <c r="EE12" s="158"/>
      <c r="EF12" s="158"/>
      <c r="EG12" s="158"/>
      <c r="EH12" s="158"/>
      <c r="EI12" s="158"/>
      <c r="EJ12" s="158"/>
      <c r="EK12" s="158"/>
      <c r="EL12" s="158"/>
      <c r="EM12" s="158"/>
      <c r="EN12" s="158"/>
      <c r="EO12" s="158"/>
      <c r="EP12" s="158"/>
      <c r="EQ12" s="158"/>
      <c r="ER12" s="158"/>
      <c r="ES12" s="158"/>
      <c r="ET12" s="158"/>
      <c r="EU12" s="158"/>
      <c r="EV12" s="158"/>
      <c r="EW12" s="158"/>
      <c r="EX12" s="158"/>
      <c r="EY12" s="158"/>
      <c r="EZ12" s="158"/>
      <c r="FA12" s="158"/>
      <c r="FB12" s="158"/>
      <c r="FC12" s="158"/>
      <c r="FD12" s="158"/>
      <c r="FE12" s="158"/>
      <c r="FF12" s="158"/>
      <c r="FG12" s="158"/>
      <c r="FH12" s="158"/>
      <c r="FI12" s="158"/>
      <c r="FJ12" s="158"/>
      <c r="FK12" s="158"/>
      <c r="FL12" s="158"/>
      <c r="FM12" s="158"/>
      <c r="FN12" s="158"/>
      <c r="FO12" s="158"/>
      <c r="FP12" s="158"/>
      <c r="FQ12" s="158"/>
      <c r="FR12" s="158"/>
      <c r="FS12" s="158"/>
      <c r="FT12" s="158"/>
      <c r="FU12" s="158"/>
      <c r="FV12" s="158"/>
      <c r="FW12" s="158"/>
      <c r="FX12" s="158"/>
      <c r="FY12" s="158"/>
      <c r="FZ12" s="158"/>
      <c r="GA12" s="158"/>
      <c r="GB12" s="158"/>
      <c r="GC12" s="158"/>
      <c r="GD12" s="158"/>
      <c r="GE12" s="158"/>
      <c r="GF12" s="158"/>
    </row>
    <row r="13" spans="2:188" s="324" customFormat="1">
      <c r="B13" s="316">
        <v>7</v>
      </c>
      <c r="C13" s="422" t="s">
        <v>236</v>
      </c>
      <c r="D13" s="422" t="s">
        <v>398</v>
      </c>
      <c r="E13" s="422" t="s">
        <v>399</v>
      </c>
      <c r="F13" s="422" t="s">
        <v>392</v>
      </c>
      <c r="G13" s="371">
        <v>5</v>
      </c>
      <c r="H13" s="369">
        <v>500000</v>
      </c>
      <c r="I13" s="317">
        <f t="shared" si="0"/>
        <v>93750</v>
      </c>
      <c r="J13" s="249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158"/>
      <c r="Z13" s="158"/>
      <c r="AA13" s="158"/>
      <c r="AB13" s="158"/>
      <c r="AC13" s="158"/>
      <c r="AD13" s="158"/>
      <c r="AE13" s="158"/>
      <c r="AF13" s="158"/>
      <c r="AG13" s="158"/>
      <c r="AH13" s="158"/>
      <c r="AI13" s="158"/>
      <c r="AJ13" s="158"/>
      <c r="AK13" s="158"/>
      <c r="AL13" s="158"/>
      <c r="AM13" s="158"/>
      <c r="AN13" s="158"/>
      <c r="AO13" s="158"/>
      <c r="AP13" s="158"/>
      <c r="AQ13" s="158"/>
      <c r="AR13" s="158"/>
      <c r="AS13" s="158"/>
      <c r="AT13" s="158"/>
      <c r="AU13" s="158"/>
      <c r="AV13" s="158"/>
      <c r="AW13" s="158"/>
      <c r="AX13" s="158"/>
      <c r="AY13" s="158"/>
      <c r="AZ13" s="158"/>
      <c r="BA13" s="158"/>
      <c r="BB13" s="158"/>
      <c r="BC13" s="158"/>
      <c r="BD13" s="158"/>
      <c r="BE13" s="158"/>
      <c r="BF13" s="158"/>
      <c r="BG13" s="158"/>
      <c r="BH13" s="158"/>
      <c r="BI13" s="158"/>
      <c r="BJ13" s="158"/>
      <c r="BK13" s="158"/>
      <c r="BL13" s="158"/>
      <c r="BM13" s="158"/>
      <c r="BN13" s="158"/>
      <c r="BO13" s="158"/>
      <c r="BP13" s="158"/>
      <c r="BQ13" s="158"/>
      <c r="BR13" s="158"/>
      <c r="BS13" s="158"/>
      <c r="BT13" s="158"/>
      <c r="BU13" s="158"/>
      <c r="BV13" s="158"/>
      <c r="BW13" s="158"/>
      <c r="BX13" s="158"/>
      <c r="BY13" s="158"/>
      <c r="BZ13" s="158"/>
      <c r="CA13" s="158"/>
      <c r="CB13" s="158"/>
      <c r="CC13" s="158"/>
      <c r="CD13" s="158"/>
      <c r="CE13" s="158"/>
      <c r="CF13" s="158"/>
      <c r="CG13" s="158"/>
      <c r="CH13" s="158"/>
      <c r="CI13" s="158"/>
      <c r="CJ13" s="158"/>
      <c r="CK13" s="158"/>
      <c r="CL13" s="158"/>
      <c r="CM13" s="158"/>
      <c r="CN13" s="158"/>
      <c r="CO13" s="158"/>
      <c r="CP13" s="158"/>
      <c r="CQ13" s="158"/>
      <c r="CR13" s="158"/>
      <c r="CS13" s="158"/>
      <c r="CT13" s="158"/>
      <c r="CU13" s="158"/>
      <c r="CV13" s="158"/>
      <c r="CW13" s="158"/>
      <c r="CX13" s="158"/>
      <c r="CY13" s="158"/>
      <c r="CZ13" s="158"/>
      <c r="DA13" s="158"/>
      <c r="DB13" s="158"/>
      <c r="DC13" s="158"/>
      <c r="DD13" s="158"/>
      <c r="DE13" s="158"/>
      <c r="DF13" s="158"/>
      <c r="DG13" s="158"/>
      <c r="DH13" s="158"/>
      <c r="DI13" s="158"/>
      <c r="DJ13" s="158"/>
      <c r="DK13" s="158"/>
      <c r="DL13" s="158"/>
      <c r="DM13" s="158"/>
      <c r="DN13" s="158"/>
      <c r="DO13" s="158"/>
      <c r="DP13" s="158"/>
      <c r="DQ13" s="158"/>
      <c r="DR13" s="158"/>
      <c r="DS13" s="158"/>
      <c r="DT13" s="158"/>
      <c r="DU13" s="158"/>
      <c r="DV13" s="158"/>
      <c r="DW13" s="158"/>
      <c r="DX13" s="158"/>
      <c r="DY13" s="158"/>
      <c r="DZ13" s="158"/>
      <c r="EA13" s="158"/>
      <c r="EB13" s="158"/>
      <c r="EC13" s="158"/>
      <c r="ED13" s="158"/>
      <c r="EE13" s="158"/>
      <c r="EF13" s="158"/>
      <c r="EG13" s="158"/>
      <c r="EH13" s="158"/>
      <c r="EI13" s="158"/>
      <c r="EJ13" s="158"/>
      <c r="EK13" s="158"/>
      <c r="EL13" s="158"/>
      <c r="EM13" s="158"/>
      <c r="EN13" s="158"/>
      <c r="EO13" s="158"/>
      <c r="EP13" s="158"/>
      <c r="EQ13" s="158"/>
      <c r="ER13" s="158"/>
      <c r="ES13" s="158"/>
      <c r="ET13" s="158"/>
      <c r="EU13" s="158"/>
      <c r="EV13" s="158"/>
      <c r="EW13" s="158"/>
      <c r="EX13" s="158"/>
      <c r="EY13" s="158"/>
      <c r="EZ13" s="158"/>
      <c r="FA13" s="158"/>
      <c r="FB13" s="158"/>
      <c r="FC13" s="158"/>
      <c r="FD13" s="158"/>
      <c r="FE13" s="158"/>
      <c r="FF13" s="158"/>
      <c r="FG13" s="158"/>
      <c r="FH13" s="158"/>
      <c r="FI13" s="158"/>
      <c r="FJ13" s="158"/>
      <c r="FK13" s="158"/>
      <c r="FL13" s="158"/>
      <c r="FM13" s="158"/>
      <c r="FN13" s="158"/>
      <c r="FO13" s="158"/>
      <c r="FP13" s="158"/>
      <c r="FQ13" s="158"/>
      <c r="FR13" s="158"/>
      <c r="FS13" s="158"/>
      <c r="FT13" s="158"/>
      <c r="FU13" s="158"/>
      <c r="FV13" s="158"/>
      <c r="FW13" s="158"/>
      <c r="FX13" s="158"/>
      <c r="FY13" s="158"/>
      <c r="FZ13" s="158"/>
      <c r="GA13" s="158"/>
      <c r="GB13" s="158"/>
      <c r="GC13" s="158"/>
      <c r="GD13" s="158"/>
      <c r="GE13" s="158"/>
      <c r="GF13" s="158"/>
    </row>
    <row r="14" spans="2:188" s="324" customFormat="1">
      <c r="B14" s="316">
        <v>8</v>
      </c>
      <c r="C14" s="422" t="s">
        <v>209</v>
      </c>
      <c r="D14" s="422" t="s">
        <v>400</v>
      </c>
      <c r="E14" s="422" t="s">
        <v>401</v>
      </c>
      <c r="F14" s="422" t="s">
        <v>392</v>
      </c>
      <c r="G14" s="371">
        <v>6</v>
      </c>
      <c r="H14" s="369">
        <v>600000</v>
      </c>
      <c r="I14" s="317">
        <f t="shared" si="0"/>
        <v>112500</v>
      </c>
      <c r="J14" s="249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58"/>
      <c r="Z14" s="158"/>
      <c r="AA14" s="158"/>
      <c r="AB14" s="158"/>
      <c r="AC14" s="158"/>
      <c r="AD14" s="158"/>
      <c r="AE14" s="158"/>
      <c r="AF14" s="158"/>
      <c r="AG14" s="158"/>
      <c r="AH14" s="158"/>
      <c r="AI14" s="158"/>
      <c r="AJ14" s="158"/>
      <c r="AK14" s="158"/>
      <c r="AL14" s="158"/>
      <c r="AM14" s="158"/>
      <c r="AN14" s="158"/>
      <c r="AO14" s="158"/>
      <c r="AP14" s="158"/>
      <c r="AQ14" s="158"/>
      <c r="AR14" s="158"/>
      <c r="AS14" s="158"/>
      <c r="AT14" s="158"/>
      <c r="AU14" s="158"/>
      <c r="AV14" s="158"/>
      <c r="AW14" s="158"/>
      <c r="AX14" s="158"/>
      <c r="AY14" s="158"/>
      <c r="AZ14" s="158"/>
      <c r="BA14" s="158"/>
      <c r="BB14" s="158"/>
      <c r="BC14" s="158"/>
      <c r="BD14" s="158"/>
      <c r="BE14" s="158"/>
      <c r="BF14" s="158"/>
      <c r="BG14" s="158"/>
      <c r="BH14" s="158"/>
      <c r="BI14" s="158"/>
      <c r="BJ14" s="158"/>
      <c r="BK14" s="158"/>
      <c r="BL14" s="158"/>
      <c r="BM14" s="158"/>
      <c r="BN14" s="158"/>
      <c r="BO14" s="158"/>
      <c r="BP14" s="158"/>
      <c r="BQ14" s="158"/>
      <c r="BR14" s="158"/>
      <c r="BS14" s="158"/>
      <c r="BT14" s="158"/>
      <c r="BU14" s="158"/>
      <c r="BV14" s="158"/>
      <c r="BW14" s="158"/>
      <c r="BX14" s="158"/>
      <c r="BY14" s="158"/>
      <c r="BZ14" s="158"/>
      <c r="CA14" s="158"/>
      <c r="CB14" s="158"/>
      <c r="CC14" s="158"/>
      <c r="CD14" s="158"/>
      <c r="CE14" s="158"/>
      <c r="CF14" s="158"/>
      <c r="CG14" s="158"/>
      <c r="CH14" s="158"/>
      <c r="CI14" s="158"/>
      <c r="CJ14" s="158"/>
      <c r="CK14" s="158"/>
      <c r="CL14" s="158"/>
      <c r="CM14" s="158"/>
      <c r="CN14" s="158"/>
      <c r="CO14" s="158"/>
      <c r="CP14" s="158"/>
      <c r="CQ14" s="158"/>
      <c r="CR14" s="158"/>
      <c r="CS14" s="158"/>
      <c r="CT14" s="158"/>
      <c r="CU14" s="158"/>
      <c r="CV14" s="158"/>
      <c r="CW14" s="158"/>
      <c r="CX14" s="158"/>
      <c r="CY14" s="158"/>
      <c r="CZ14" s="158"/>
      <c r="DA14" s="158"/>
      <c r="DB14" s="158"/>
      <c r="DC14" s="158"/>
      <c r="DD14" s="158"/>
      <c r="DE14" s="158"/>
      <c r="DF14" s="158"/>
      <c r="DG14" s="158"/>
      <c r="DH14" s="158"/>
      <c r="DI14" s="158"/>
      <c r="DJ14" s="158"/>
      <c r="DK14" s="158"/>
      <c r="DL14" s="158"/>
      <c r="DM14" s="158"/>
      <c r="DN14" s="158"/>
      <c r="DO14" s="158"/>
      <c r="DP14" s="158"/>
      <c r="DQ14" s="158"/>
      <c r="DR14" s="158"/>
      <c r="DS14" s="158"/>
      <c r="DT14" s="158"/>
      <c r="DU14" s="158"/>
      <c r="DV14" s="158"/>
      <c r="DW14" s="158"/>
      <c r="DX14" s="158"/>
      <c r="DY14" s="158"/>
      <c r="DZ14" s="158"/>
      <c r="EA14" s="158"/>
      <c r="EB14" s="158"/>
      <c r="EC14" s="158"/>
      <c r="ED14" s="158"/>
      <c r="EE14" s="158"/>
      <c r="EF14" s="158"/>
      <c r="EG14" s="158"/>
      <c r="EH14" s="158"/>
      <c r="EI14" s="158"/>
      <c r="EJ14" s="158"/>
      <c r="EK14" s="158"/>
      <c r="EL14" s="158"/>
      <c r="EM14" s="158"/>
      <c r="EN14" s="158"/>
      <c r="EO14" s="158"/>
      <c r="EP14" s="158"/>
      <c r="EQ14" s="158"/>
      <c r="ER14" s="158"/>
      <c r="ES14" s="158"/>
      <c r="ET14" s="158"/>
      <c r="EU14" s="158"/>
      <c r="EV14" s="158"/>
      <c r="EW14" s="158"/>
      <c r="EX14" s="158"/>
      <c r="EY14" s="158"/>
      <c r="EZ14" s="158"/>
      <c r="FA14" s="158"/>
      <c r="FB14" s="158"/>
      <c r="FC14" s="158"/>
      <c r="FD14" s="158"/>
      <c r="FE14" s="158"/>
      <c r="FF14" s="158"/>
      <c r="FG14" s="158"/>
      <c r="FH14" s="158"/>
      <c r="FI14" s="158"/>
      <c r="FJ14" s="158"/>
      <c r="FK14" s="158"/>
      <c r="FL14" s="158"/>
      <c r="FM14" s="158"/>
      <c r="FN14" s="158"/>
      <c r="FO14" s="158"/>
      <c r="FP14" s="158"/>
      <c r="FQ14" s="158"/>
      <c r="FR14" s="158"/>
      <c r="FS14" s="158"/>
      <c r="FT14" s="158"/>
      <c r="FU14" s="158"/>
      <c r="FV14" s="158"/>
      <c r="FW14" s="158"/>
      <c r="FX14" s="158"/>
      <c r="FY14" s="158"/>
      <c r="FZ14" s="158"/>
      <c r="GA14" s="158"/>
      <c r="GB14" s="158"/>
      <c r="GC14" s="158"/>
      <c r="GD14" s="158"/>
      <c r="GE14" s="158"/>
      <c r="GF14" s="158"/>
    </row>
    <row r="15" spans="2:188" s="324" customFormat="1">
      <c r="B15" s="316">
        <v>9</v>
      </c>
      <c r="C15" s="422" t="s">
        <v>212</v>
      </c>
      <c r="D15" s="422" t="s">
        <v>402</v>
      </c>
      <c r="E15" s="422" t="s">
        <v>403</v>
      </c>
      <c r="F15" s="422" t="s">
        <v>395</v>
      </c>
      <c r="G15" s="371">
        <v>2</v>
      </c>
      <c r="H15" s="369">
        <v>200000</v>
      </c>
      <c r="I15" s="317">
        <f t="shared" si="0"/>
        <v>37500</v>
      </c>
      <c r="J15" s="249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  <c r="Y15" s="158"/>
      <c r="Z15" s="158"/>
      <c r="AA15" s="158"/>
      <c r="AB15" s="158"/>
      <c r="AC15" s="158"/>
      <c r="AD15" s="158"/>
      <c r="AE15" s="158"/>
      <c r="AF15" s="158"/>
      <c r="AG15" s="158"/>
      <c r="AH15" s="158"/>
      <c r="AI15" s="158"/>
      <c r="AJ15" s="158"/>
      <c r="AK15" s="158"/>
      <c r="AL15" s="158"/>
      <c r="AM15" s="158"/>
      <c r="AN15" s="158"/>
      <c r="AO15" s="158"/>
      <c r="AP15" s="158"/>
      <c r="AQ15" s="158"/>
      <c r="AR15" s="158"/>
      <c r="AS15" s="158"/>
      <c r="AT15" s="158"/>
      <c r="AU15" s="158"/>
      <c r="AV15" s="158"/>
      <c r="AW15" s="158"/>
      <c r="AX15" s="158"/>
      <c r="AY15" s="158"/>
      <c r="AZ15" s="158"/>
      <c r="BA15" s="158"/>
      <c r="BB15" s="158"/>
      <c r="BC15" s="158"/>
      <c r="BD15" s="158"/>
      <c r="BE15" s="158"/>
      <c r="BF15" s="158"/>
      <c r="BG15" s="158"/>
      <c r="BH15" s="158"/>
      <c r="BI15" s="158"/>
      <c r="BJ15" s="158"/>
      <c r="BK15" s="158"/>
      <c r="BL15" s="158"/>
      <c r="BM15" s="158"/>
      <c r="BN15" s="158"/>
      <c r="BO15" s="158"/>
      <c r="BP15" s="158"/>
      <c r="BQ15" s="158"/>
      <c r="BR15" s="158"/>
      <c r="BS15" s="158"/>
      <c r="BT15" s="158"/>
      <c r="BU15" s="158"/>
      <c r="BV15" s="158"/>
      <c r="BW15" s="158"/>
      <c r="BX15" s="158"/>
      <c r="BY15" s="158"/>
      <c r="BZ15" s="158"/>
      <c r="CA15" s="158"/>
      <c r="CB15" s="158"/>
      <c r="CC15" s="158"/>
      <c r="CD15" s="158"/>
      <c r="CE15" s="158"/>
      <c r="CF15" s="158"/>
      <c r="CG15" s="158"/>
      <c r="CH15" s="158"/>
      <c r="CI15" s="158"/>
      <c r="CJ15" s="158"/>
      <c r="CK15" s="158"/>
      <c r="CL15" s="158"/>
      <c r="CM15" s="158"/>
      <c r="CN15" s="158"/>
      <c r="CO15" s="158"/>
      <c r="CP15" s="158"/>
      <c r="CQ15" s="158"/>
      <c r="CR15" s="158"/>
      <c r="CS15" s="158"/>
      <c r="CT15" s="158"/>
      <c r="CU15" s="158"/>
      <c r="CV15" s="158"/>
      <c r="CW15" s="158"/>
      <c r="CX15" s="158"/>
      <c r="CY15" s="158"/>
      <c r="CZ15" s="158"/>
      <c r="DA15" s="158"/>
      <c r="DB15" s="158"/>
      <c r="DC15" s="158"/>
      <c r="DD15" s="158"/>
      <c r="DE15" s="158"/>
      <c r="DF15" s="158"/>
      <c r="DG15" s="158"/>
      <c r="DH15" s="158"/>
      <c r="DI15" s="158"/>
      <c r="DJ15" s="158"/>
      <c r="DK15" s="158"/>
      <c r="DL15" s="158"/>
      <c r="DM15" s="158"/>
      <c r="DN15" s="158"/>
      <c r="DO15" s="158"/>
      <c r="DP15" s="158"/>
      <c r="DQ15" s="158"/>
      <c r="DR15" s="158"/>
      <c r="DS15" s="158"/>
      <c r="DT15" s="158"/>
      <c r="DU15" s="158"/>
      <c r="DV15" s="158"/>
      <c r="DW15" s="158"/>
      <c r="DX15" s="158"/>
      <c r="DY15" s="158"/>
      <c r="DZ15" s="158"/>
      <c r="EA15" s="158"/>
      <c r="EB15" s="158"/>
      <c r="EC15" s="158"/>
      <c r="ED15" s="158"/>
      <c r="EE15" s="158"/>
      <c r="EF15" s="158"/>
      <c r="EG15" s="158"/>
      <c r="EH15" s="158"/>
      <c r="EI15" s="158"/>
      <c r="EJ15" s="158"/>
      <c r="EK15" s="158"/>
      <c r="EL15" s="158"/>
      <c r="EM15" s="158"/>
      <c r="EN15" s="158"/>
      <c r="EO15" s="158"/>
      <c r="EP15" s="158"/>
      <c r="EQ15" s="158"/>
      <c r="ER15" s="158"/>
      <c r="ES15" s="158"/>
      <c r="ET15" s="158"/>
      <c r="EU15" s="158"/>
      <c r="EV15" s="158"/>
      <c r="EW15" s="158"/>
      <c r="EX15" s="158"/>
      <c r="EY15" s="158"/>
      <c r="EZ15" s="158"/>
      <c r="FA15" s="158"/>
      <c r="FB15" s="158"/>
      <c r="FC15" s="158"/>
      <c r="FD15" s="158"/>
      <c r="FE15" s="158"/>
      <c r="FF15" s="158"/>
      <c r="FG15" s="158"/>
      <c r="FH15" s="158"/>
      <c r="FI15" s="158"/>
      <c r="FJ15" s="158"/>
      <c r="FK15" s="158"/>
      <c r="FL15" s="158"/>
      <c r="FM15" s="158"/>
      <c r="FN15" s="158"/>
      <c r="FO15" s="158"/>
      <c r="FP15" s="158"/>
      <c r="FQ15" s="158"/>
      <c r="FR15" s="158"/>
      <c r="FS15" s="158"/>
      <c r="FT15" s="158"/>
      <c r="FU15" s="158"/>
      <c r="FV15" s="158"/>
      <c r="FW15" s="158"/>
      <c r="FX15" s="158"/>
      <c r="FY15" s="158"/>
      <c r="FZ15" s="158"/>
      <c r="GA15" s="158"/>
      <c r="GB15" s="158"/>
      <c r="GC15" s="158"/>
      <c r="GD15" s="158"/>
      <c r="GE15" s="158"/>
      <c r="GF15" s="158"/>
    </row>
    <row r="16" spans="2:188" s="324" customFormat="1">
      <c r="B16" s="316">
        <v>10</v>
      </c>
      <c r="C16" s="422" t="s">
        <v>206</v>
      </c>
      <c r="D16" s="422" t="s">
        <v>404</v>
      </c>
      <c r="E16" s="422" t="s">
        <v>405</v>
      </c>
      <c r="F16" s="422" t="s">
        <v>395</v>
      </c>
      <c r="G16" s="371">
        <v>1</v>
      </c>
      <c r="H16" s="369">
        <v>100000</v>
      </c>
      <c r="I16" s="317">
        <f t="shared" si="0"/>
        <v>18750</v>
      </c>
      <c r="J16" s="249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58"/>
      <c r="Z16" s="158"/>
      <c r="AA16" s="158"/>
      <c r="AB16" s="158"/>
      <c r="AC16" s="158"/>
      <c r="AD16" s="158"/>
      <c r="AE16" s="158"/>
      <c r="AF16" s="158"/>
      <c r="AG16" s="158"/>
      <c r="AH16" s="158"/>
      <c r="AI16" s="158"/>
      <c r="AJ16" s="158"/>
      <c r="AK16" s="158"/>
      <c r="AL16" s="158"/>
      <c r="AM16" s="158"/>
      <c r="AN16" s="158"/>
      <c r="AO16" s="158"/>
      <c r="AP16" s="158"/>
      <c r="AQ16" s="158"/>
      <c r="AR16" s="158"/>
      <c r="AS16" s="158"/>
      <c r="AT16" s="158"/>
      <c r="AU16" s="158"/>
      <c r="AV16" s="158"/>
      <c r="AW16" s="158"/>
      <c r="AX16" s="158"/>
      <c r="AY16" s="158"/>
      <c r="AZ16" s="158"/>
      <c r="BA16" s="158"/>
      <c r="BB16" s="158"/>
      <c r="BC16" s="158"/>
      <c r="BD16" s="158"/>
      <c r="BE16" s="158"/>
      <c r="BF16" s="158"/>
      <c r="BG16" s="158"/>
      <c r="BH16" s="158"/>
      <c r="BI16" s="158"/>
      <c r="BJ16" s="158"/>
      <c r="BK16" s="158"/>
      <c r="BL16" s="158"/>
      <c r="BM16" s="158"/>
      <c r="BN16" s="158"/>
      <c r="BO16" s="158"/>
      <c r="BP16" s="158"/>
      <c r="BQ16" s="158"/>
      <c r="BR16" s="158"/>
      <c r="BS16" s="158"/>
      <c r="BT16" s="158"/>
      <c r="BU16" s="158"/>
      <c r="BV16" s="158"/>
      <c r="BW16" s="158"/>
      <c r="BX16" s="158"/>
      <c r="BY16" s="158"/>
      <c r="BZ16" s="158"/>
      <c r="CA16" s="158"/>
      <c r="CB16" s="158"/>
      <c r="CC16" s="158"/>
      <c r="CD16" s="158"/>
      <c r="CE16" s="158"/>
      <c r="CF16" s="158"/>
      <c r="CG16" s="158"/>
      <c r="CH16" s="158"/>
      <c r="CI16" s="158"/>
      <c r="CJ16" s="158"/>
      <c r="CK16" s="158"/>
      <c r="CL16" s="158"/>
      <c r="CM16" s="158"/>
      <c r="CN16" s="158"/>
      <c r="CO16" s="158"/>
      <c r="CP16" s="158"/>
      <c r="CQ16" s="158"/>
      <c r="CR16" s="158"/>
      <c r="CS16" s="158"/>
      <c r="CT16" s="158"/>
      <c r="CU16" s="158"/>
      <c r="CV16" s="158"/>
      <c r="CW16" s="158"/>
      <c r="CX16" s="158"/>
      <c r="CY16" s="158"/>
      <c r="CZ16" s="158"/>
      <c r="DA16" s="158"/>
      <c r="DB16" s="158"/>
      <c r="DC16" s="158"/>
      <c r="DD16" s="158"/>
      <c r="DE16" s="158"/>
      <c r="DF16" s="158"/>
      <c r="DG16" s="158"/>
      <c r="DH16" s="158"/>
      <c r="DI16" s="158"/>
      <c r="DJ16" s="158"/>
      <c r="DK16" s="158"/>
      <c r="DL16" s="158"/>
      <c r="DM16" s="158"/>
      <c r="DN16" s="158"/>
      <c r="DO16" s="158"/>
      <c r="DP16" s="158"/>
      <c r="DQ16" s="158"/>
      <c r="DR16" s="158"/>
      <c r="DS16" s="158"/>
      <c r="DT16" s="158"/>
      <c r="DU16" s="158"/>
      <c r="DV16" s="158"/>
      <c r="DW16" s="158"/>
      <c r="DX16" s="158"/>
      <c r="DY16" s="158"/>
      <c r="DZ16" s="158"/>
      <c r="EA16" s="158"/>
      <c r="EB16" s="158"/>
      <c r="EC16" s="158"/>
      <c r="ED16" s="158"/>
      <c r="EE16" s="158"/>
      <c r="EF16" s="158"/>
      <c r="EG16" s="158"/>
      <c r="EH16" s="158"/>
      <c r="EI16" s="158"/>
      <c r="EJ16" s="158"/>
      <c r="EK16" s="158"/>
      <c r="EL16" s="158"/>
      <c r="EM16" s="158"/>
      <c r="EN16" s="158"/>
      <c r="EO16" s="158"/>
      <c r="EP16" s="158"/>
      <c r="EQ16" s="158"/>
      <c r="ER16" s="158"/>
      <c r="ES16" s="158"/>
      <c r="ET16" s="158"/>
      <c r="EU16" s="158"/>
      <c r="EV16" s="158"/>
      <c r="EW16" s="158"/>
      <c r="EX16" s="158"/>
      <c r="EY16" s="158"/>
      <c r="EZ16" s="158"/>
      <c r="FA16" s="158"/>
      <c r="FB16" s="158"/>
      <c r="FC16" s="158"/>
      <c r="FD16" s="158"/>
      <c r="FE16" s="158"/>
      <c r="FF16" s="158"/>
      <c r="FG16" s="158"/>
      <c r="FH16" s="158"/>
      <c r="FI16" s="158"/>
      <c r="FJ16" s="158"/>
      <c r="FK16" s="158"/>
      <c r="FL16" s="158"/>
      <c r="FM16" s="158"/>
      <c r="FN16" s="158"/>
      <c r="FO16" s="158"/>
      <c r="FP16" s="158"/>
      <c r="FQ16" s="158"/>
      <c r="FR16" s="158"/>
      <c r="FS16" s="158"/>
      <c r="FT16" s="158"/>
      <c r="FU16" s="158"/>
      <c r="FV16" s="158"/>
      <c r="FW16" s="158"/>
      <c r="FX16" s="158"/>
      <c r="FY16" s="158"/>
      <c r="FZ16" s="158"/>
      <c r="GA16" s="158"/>
      <c r="GB16" s="158"/>
      <c r="GC16" s="158"/>
      <c r="GD16" s="158"/>
      <c r="GE16" s="158"/>
      <c r="GF16" s="158"/>
    </row>
    <row r="17" spans="2:188" s="324" customFormat="1">
      <c r="B17" s="316">
        <v>11</v>
      </c>
      <c r="C17" s="422" t="s">
        <v>197</v>
      </c>
      <c r="D17" s="422" t="s">
        <v>406</v>
      </c>
      <c r="E17" s="422" t="s">
        <v>407</v>
      </c>
      <c r="F17" s="422" t="s">
        <v>408</v>
      </c>
      <c r="G17" s="371">
        <v>1</v>
      </c>
      <c r="H17" s="369">
        <v>200000</v>
      </c>
      <c r="I17" s="317">
        <f t="shared" si="0"/>
        <v>37500</v>
      </c>
      <c r="J17" s="249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  <c r="Y17" s="158"/>
      <c r="Z17" s="158"/>
      <c r="AA17" s="158"/>
      <c r="AB17" s="158"/>
      <c r="AC17" s="158"/>
      <c r="AD17" s="158"/>
      <c r="AE17" s="158"/>
      <c r="AF17" s="158"/>
      <c r="AG17" s="158"/>
      <c r="AH17" s="158"/>
      <c r="AI17" s="158"/>
      <c r="AJ17" s="158"/>
      <c r="AK17" s="158"/>
      <c r="AL17" s="158"/>
      <c r="AM17" s="158"/>
      <c r="AN17" s="158"/>
      <c r="AO17" s="158"/>
      <c r="AP17" s="158"/>
      <c r="AQ17" s="158"/>
      <c r="AR17" s="158"/>
      <c r="AS17" s="158"/>
      <c r="AT17" s="158"/>
      <c r="AU17" s="158"/>
      <c r="AV17" s="158"/>
      <c r="AW17" s="158"/>
      <c r="AX17" s="158"/>
      <c r="AY17" s="158"/>
      <c r="AZ17" s="158"/>
      <c r="BA17" s="158"/>
      <c r="BB17" s="158"/>
      <c r="BC17" s="158"/>
      <c r="BD17" s="158"/>
      <c r="BE17" s="158"/>
      <c r="BF17" s="158"/>
      <c r="BG17" s="158"/>
      <c r="BH17" s="158"/>
      <c r="BI17" s="158"/>
      <c r="BJ17" s="158"/>
      <c r="BK17" s="158"/>
      <c r="BL17" s="158"/>
      <c r="BM17" s="158"/>
      <c r="BN17" s="158"/>
      <c r="BO17" s="158"/>
      <c r="BP17" s="158"/>
      <c r="BQ17" s="158"/>
      <c r="BR17" s="158"/>
      <c r="BS17" s="158"/>
      <c r="BT17" s="158"/>
      <c r="BU17" s="158"/>
      <c r="BV17" s="158"/>
      <c r="BW17" s="158"/>
      <c r="BX17" s="158"/>
      <c r="BY17" s="158"/>
      <c r="BZ17" s="158"/>
      <c r="CA17" s="158"/>
      <c r="CB17" s="158"/>
      <c r="CC17" s="158"/>
      <c r="CD17" s="158"/>
      <c r="CE17" s="158"/>
      <c r="CF17" s="158"/>
      <c r="CG17" s="158"/>
      <c r="CH17" s="158"/>
      <c r="CI17" s="158"/>
      <c r="CJ17" s="158"/>
      <c r="CK17" s="158"/>
      <c r="CL17" s="158"/>
      <c r="CM17" s="158"/>
      <c r="CN17" s="158"/>
      <c r="CO17" s="158"/>
      <c r="CP17" s="158"/>
      <c r="CQ17" s="158"/>
      <c r="CR17" s="158"/>
      <c r="CS17" s="158"/>
      <c r="CT17" s="158"/>
      <c r="CU17" s="158"/>
      <c r="CV17" s="158"/>
      <c r="CW17" s="158"/>
      <c r="CX17" s="158"/>
      <c r="CY17" s="158"/>
      <c r="CZ17" s="158"/>
      <c r="DA17" s="158"/>
      <c r="DB17" s="158"/>
      <c r="DC17" s="158"/>
      <c r="DD17" s="158"/>
      <c r="DE17" s="158"/>
      <c r="DF17" s="158"/>
      <c r="DG17" s="158"/>
      <c r="DH17" s="158"/>
      <c r="DI17" s="158"/>
      <c r="DJ17" s="158"/>
      <c r="DK17" s="158"/>
      <c r="DL17" s="158"/>
      <c r="DM17" s="158"/>
      <c r="DN17" s="158"/>
      <c r="DO17" s="158"/>
      <c r="DP17" s="158"/>
      <c r="DQ17" s="158"/>
      <c r="DR17" s="158"/>
      <c r="DS17" s="158"/>
      <c r="DT17" s="158"/>
      <c r="DU17" s="158"/>
      <c r="DV17" s="158"/>
      <c r="DW17" s="158"/>
      <c r="DX17" s="158"/>
      <c r="DY17" s="158"/>
      <c r="DZ17" s="158"/>
      <c r="EA17" s="158"/>
      <c r="EB17" s="158"/>
      <c r="EC17" s="158"/>
      <c r="ED17" s="158"/>
      <c r="EE17" s="158"/>
      <c r="EF17" s="158"/>
      <c r="EG17" s="158"/>
      <c r="EH17" s="158"/>
      <c r="EI17" s="158"/>
      <c r="EJ17" s="158"/>
      <c r="EK17" s="158"/>
      <c r="EL17" s="158"/>
      <c r="EM17" s="158"/>
      <c r="EN17" s="158"/>
      <c r="EO17" s="158"/>
      <c r="EP17" s="158"/>
      <c r="EQ17" s="158"/>
      <c r="ER17" s="158"/>
      <c r="ES17" s="158"/>
      <c r="ET17" s="158"/>
      <c r="EU17" s="158"/>
      <c r="EV17" s="158"/>
      <c r="EW17" s="158"/>
      <c r="EX17" s="158"/>
      <c r="EY17" s="158"/>
      <c r="EZ17" s="158"/>
      <c r="FA17" s="158"/>
      <c r="FB17" s="158"/>
      <c r="FC17" s="158"/>
      <c r="FD17" s="158"/>
      <c r="FE17" s="158"/>
      <c r="FF17" s="158"/>
      <c r="FG17" s="158"/>
      <c r="FH17" s="158"/>
      <c r="FI17" s="158"/>
      <c r="FJ17" s="158"/>
      <c r="FK17" s="158"/>
      <c r="FL17" s="158"/>
      <c r="FM17" s="158"/>
      <c r="FN17" s="158"/>
      <c r="FO17" s="158"/>
      <c r="FP17" s="158"/>
      <c r="FQ17" s="158"/>
      <c r="FR17" s="158"/>
      <c r="FS17" s="158"/>
      <c r="FT17" s="158"/>
      <c r="FU17" s="158"/>
      <c r="FV17" s="158"/>
      <c r="FW17" s="158"/>
      <c r="FX17" s="158"/>
      <c r="FY17" s="158"/>
      <c r="FZ17" s="158"/>
      <c r="GA17" s="158"/>
      <c r="GB17" s="158"/>
      <c r="GC17" s="158"/>
      <c r="GD17" s="158"/>
      <c r="GE17" s="158"/>
      <c r="GF17" s="158"/>
    </row>
    <row r="18" spans="2:188" s="324" customFormat="1">
      <c r="B18" s="316">
        <v>12</v>
      </c>
      <c r="C18" s="422" t="s">
        <v>249</v>
      </c>
      <c r="D18" s="422" t="s">
        <v>409</v>
      </c>
      <c r="E18" s="422" t="s">
        <v>365</v>
      </c>
      <c r="F18" s="422" t="s">
        <v>410</v>
      </c>
      <c r="G18" s="371">
        <v>1</v>
      </c>
      <c r="H18" s="369">
        <v>100000</v>
      </c>
      <c r="I18" s="317">
        <f t="shared" si="0"/>
        <v>18750</v>
      </c>
      <c r="J18" s="249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/>
      <c r="Y18" s="158"/>
      <c r="Z18" s="158"/>
      <c r="AA18" s="158"/>
      <c r="AB18" s="158"/>
      <c r="AC18" s="158"/>
      <c r="AD18" s="158"/>
      <c r="AE18" s="158"/>
      <c r="AF18" s="158"/>
      <c r="AG18" s="158"/>
      <c r="AH18" s="158"/>
      <c r="AI18" s="158"/>
      <c r="AJ18" s="158"/>
      <c r="AK18" s="158"/>
      <c r="AL18" s="158"/>
      <c r="AM18" s="158"/>
      <c r="AN18" s="158"/>
      <c r="AO18" s="158"/>
      <c r="AP18" s="158"/>
      <c r="AQ18" s="158"/>
      <c r="AR18" s="158"/>
      <c r="AS18" s="158"/>
      <c r="AT18" s="158"/>
      <c r="AU18" s="158"/>
      <c r="AV18" s="158"/>
      <c r="AW18" s="158"/>
      <c r="AX18" s="158"/>
      <c r="AY18" s="158"/>
      <c r="AZ18" s="158"/>
      <c r="BA18" s="158"/>
      <c r="BB18" s="158"/>
      <c r="BC18" s="158"/>
      <c r="BD18" s="158"/>
      <c r="BE18" s="158"/>
      <c r="BF18" s="158"/>
      <c r="BG18" s="158"/>
      <c r="BH18" s="158"/>
      <c r="BI18" s="158"/>
      <c r="BJ18" s="158"/>
      <c r="BK18" s="158"/>
      <c r="BL18" s="158"/>
      <c r="BM18" s="158"/>
      <c r="BN18" s="158"/>
      <c r="BO18" s="158"/>
      <c r="BP18" s="158"/>
      <c r="BQ18" s="158"/>
      <c r="BR18" s="158"/>
      <c r="BS18" s="158"/>
      <c r="BT18" s="158"/>
      <c r="BU18" s="158"/>
      <c r="BV18" s="158"/>
      <c r="BW18" s="158"/>
      <c r="BX18" s="158"/>
      <c r="BY18" s="158"/>
      <c r="BZ18" s="158"/>
      <c r="CA18" s="158"/>
      <c r="CB18" s="158"/>
      <c r="CC18" s="158"/>
      <c r="CD18" s="158"/>
      <c r="CE18" s="158"/>
      <c r="CF18" s="158"/>
      <c r="CG18" s="158"/>
      <c r="CH18" s="158"/>
      <c r="CI18" s="158"/>
      <c r="CJ18" s="158"/>
      <c r="CK18" s="158"/>
      <c r="CL18" s="158"/>
      <c r="CM18" s="158"/>
      <c r="CN18" s="158"/>
      <c r="CO18" s="158"/>
      <c r="CP18" s="158"/>
      <c r="CQ18" s="158"/>
      <c r="CR18" s="158"/>
      <c r="CS18" s="158"/>
      <c r="CT18" s="158"/>
      <c r="CU18" s="158"/>
      <c r="CV18" s="158"/>
      <c r="CW18" s="158"/>
      <c r="CX18" s="158"/>
      <c r="CY18" s="158"/>
      <c r="CZ18" s="158"/>
      <c r="DA18" s="158"/>
      <c r="DB18" s="158"/>
      <c r="DC18" s="158"/>
      <c r="DD18" s="158"/>
      <c r="DE18" s="158"/>
      <c r="DF18" s="158"/>
      <c r="DG18" s="158"/>
      <c r="DH18" s="158"/>
      <c r="DI18" s="158"/>
      <c r="DJ18" s="158"/>
      <c r="DK18" s="158"/>
      <c r="DL18" s="158"/>
      <c r="DM18" s="158"/>
      <c r="DN18" s="158"/>
      <c r="DO18" s="158"/>
      <c r="DP18" s="158"/>
      <c r="DQ18" s="158"/>
      <c r="DR18" s="158"/>
      <c r="DS18" s="158"/>
      <c r="DT18" s="158"/>
      <c r="DU18" s="158"/>
      <c r="DV18" s="158"/>
      <c r="DW18" s="158"/>
      <c r="DX18" s="158"/>
      <c r="DY18" s="158"/>
      <c r="DZ18" s="158"/>
      <c r="EA18" s="158"/>
      <c r="EB18" s="158"/>
      <c r="EC18" s="158"/>
      <c r="ED18" s="158"/>
      <c r="EE18" s="158"/>
      <c r="EF18" s="158"/>
      <c r="EG18" s="158"/>
      <c r="EH18" s="158"/>
      <c r="EI18" s="158"/>
      <c r="EJ18" s="158"/>
      <c r="EK18" s="158"/>
      <c r="EL18" s="158"/>
      <c r="EM18" s="158"/>
      <c r="EN18" s="158"/>
      <c r="EO18" s="158"/>
      <c r="EP18" s="158"/>
      <c r="EQ18" s="158"/>
      <c r="ER18" s="158"/>
      <c r="ES18" s="158"/>
      <c r="ET18" s="158"/>
      <c r="EU18" s="158"/>
      <c r="EV18" s="158"/>
      <c r="EW18" s="158"/>
      <c r="EX18" s="158"/>
      <c r="EY18" s="158"/>
      <c r="EZ18" s="158"/>
      <c r="FA18" s="158"/>
      <c r="FB18" s="158"/>
      <c r="FC18" s="158"/>
      <c r="FD18" s="158"/>
      <c r="FE18" s="158"/>
      <c r="FF18" s="158"/>
      <c r="FG18" s="158"/>
      <c r="FH18" s="158"/>
      <c r="FI18" s="158"/>
      <c r="FJ18" s="158"/>
      <c r="FK18" s="158"/>
      <c r="FL18" s="158"/>
      <c r="FM18" s="158"/>
      <c r="FN18" s="158"/>
      <c r="FO18" s="158"/>
      <c r="FP18" s="158"/>
      <c r="FQ18" s="158"/>
      <c r="FR18" s="158"/>
      <c r="FS18" s="158"/>
      <c r="FT18" s="158"/>
      <c r="FU18" s="158"/>
      <c r="FV18" s="158"/>
      <c r="FW18" s="158"/>
      <c r="FX18" s="158"/>
      <c r="FY18" s="158"/>
      <c r="FZ18" s="158"/>
      <c r="GA18" s="158"/>
      <c r="GB18" s="158"/>
      <c r="GC18" s="158"/>
      <c r="GD18" s="158"/>
      <c r="GE18" s="158"/>
      <c r="GF18" s="158"/>
    </row>
    <row r="19" spans="2:188" s="324" customFormat="1">
      <c r="B19" s="316">
        <v>13</v>
      </c>
      <c r="C19" s="422" t="s">
        <v>230</v>
      </c>
      <c r="D19" s="422" t="s">
        <v>411</v>
      </c>
      <c r="E19" s="422" t="s">
        <v>412</v>
      </c>
      <c r="F19" s="422" t="s">
        <v>396</v>
      </c>
      <c r="G19" s="371">
        <v>1</v>
      </c>
      <c r="H19" s="369">
        <v>100000</v>
      </c>
      <c r="I19" s="317">
        <f t="shared" si="0"/>
        <v>18750</v>
      </c>
      <c r="J19" s="249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58"/>
      <c r="Z19" s="158"/>
      <c r="AA19" s="158"/>
      <c r="AB19" s="158"/>
      <c r="AC19" s="158"/>
      <c r="AD19" s="158"/>
      <c r="AE19" s="158"/>
      <c r="AF19" s="158"/>
      <c r="AG19" s="158"/>
      <c r="AH19" s="158"/>
      <c r="AI19" s="158"/>
      <c r="AJ19" s="158"/>
      <c r="AK19" s="158"/>
      <c r="AL19" s="158"/>
      <c r="AM19" s="158"/>
      <c r="AN19" s="158"/>
      <c r="AO19" s="158"/>
      <c r="AP19" s="158"/>
      <c r="AQ19" s="158"/>
      <c r="AR19" s="158"/>
      <c r="AS19" s="158"/>
      <c r="AT19" s="158"/>
      <c r="AU19" s="158"/>
      <c r="AV19" s="158"/>
      <c r="AW19" s="158"/>
      <c r="AX19" s="158"/>
      <c r="AY19" s="158"/>
      <c r="AZ19" s="158"/>
      <c r="BA19" s="158"/>
      <c r="BB19" s="158"/>
      <c r="BC19" s="158"/>
      <c r="BD19" s="158"/>
      <c r="BE19" s="158"/>
      <c r="BF19" s="158"/>
      <c r="BG19" s="158"/>
      <c r="BH19" s="158"/>
      <c r="BI19" s="158"/>
      <c r="BJ19" s="158"/>
      <c r="BK19" s="158"/>
      <c r="BL19" s="158"/>
      <c r="BM19" s="158"/>
      <c r="BN19" s="158"/>
      <c r="BO19" s="158"/>
      <c r="BP19" s="158"/>
      <c r="BQ19" s="158"/>
      <c r="BR19" s="158"/>
      <c r="BS19" s="158"/>
      <c r="BT19" s="158"/>
      <c r="BU19" s="158"/>
      <c r="BV19" s="158"/>
      <c r="BW19" s="158"/>
      <c r="BX19" s="158"/>
      <c r="BY19" s="158"/>
      <c r="BZ19" s="158"/>
      <c r="CA19" s="158"/>
      <c r="CB19" s="158"/>
      <c r="CC19" s="158"/>
      <c r="CD19" s="158"/>
      <c r="CE19" s="158"/>
      <c r="CF19" s="158"/>
      <c r="CG19" s="158"/>
      <c r="CH19" s="158"/>
      <c r="CI19" s="158"/>
      <c r="CJ19" s="158"/>
      <c r="CK19" s="158"/>
      <c r="CL19" s="158"/>
      <c r="CM19" s="158"/>
      <c r="CN19" s="158"/>
      <c r="CO19" s="158"/>
      <c r="CP19" s="158"/>
      <c r="CQ19" s="158"/>
      <c r="CR19" s="158"/>
      <c r="CS19" s="158"/>
      <c r="CT19" s="158"/>
      <c r="CU19" s="158"/>
      <c r="CV19" s="158"/>
      <c r="CW19" s="158"/>
      <c r="CX19" s="158"/>
      <c r="CY19" s="158"/>
      <c r="CZ19" s="158"/>
      <c r="DA19" s="158"/>
      <c r="DB19" s="158"/>
      <c r="DC19" s="158"/>
      <c r="DD19" s="158"/>
      <c r="DE19" s="158"/>
      <c r="DF19" s="158"/>
      <c r="DG19" s="158"/>
      <c r="DH19" s="158"/>
      <c r="DI19" s="158"/>
      <c r="DJ19" s="158"/>
      <c r="DK19" s="158"/>
      <c r="DL19" s="158"/>
      <c r="DM19" s="158"/>
      <c r="DN19" s="158"/>
      <c r="DO19" s="158"/>
      <c r="DP19" s="158"/>
      <c r="DQ19" s="158"/>
      <c r="DR19" s="158"/>
      <c r="DS19" s="158"/>
      <c r="DT19" s="158"/>
      <c r="DU19" s="158"/>
      <c r="DV19" s="158"/>
      <c r="DW19" s="158"/>
      <c r="DX19" s="158"/>
      <c r="DY19" s="158"/>
      <c r="DZ19" s="158"/>
      <c r="EA19" s="158"/>
      <c r="EB19" s="158"/>
      <c r="EC19" s="158"/>
      <c r="ED19" s="158"/>
      <c r="EE19" s="158"/>
      <c r="EF19" s="158"/>
      <c r="EG19" s="158"/>
      <c r="EH19" s="158"/>
      <c r="EI19" s="158"/>
      <c r="EJ19" s="158"/>
      <c r="EK19" s="158"/>
      <c r="EL19" s="158"/>
      <c r="EM19" s="158"/>
      <c r="EN19" s="158"/>
      <c r="EO19" s="158"/>
      <c r="EP19" s="158"/>
      <c r="EQ19" s="158"/>
      <c r="ER19" s="158"/>
      <c r="ES19" s="158"/>
      <c r="ET19" s="158"/>
      <c r="EU19" s="158"/>
      <c r="EV19" s="158"/>
      <c r="EW19" s="158"/>
      <c r="EX19" s="158"/>
      <c r="EY19" s="158"/>
      <c r="EZ19" s="158"/>
      <c r="FA19" s="158"/>
      <c r="FB19" s="158"/>
      <c r="FC19" s="158"/>
      <c r="FD19" s="158"/>
      <c r="FE19" s="158"/>
      <c r="FF19" s="158"/>
      <c r="FG19" s="158"/>
      <c r="FH19" s="158"/>
      <c r="FI19" s="158"/>
      <c r="FJ19" s="158"/>
      <c r="FK19" s="158"/>
      <c r="FL19" s="158"/>
      <c r="FM19" s="158"/>
      <c r="FN19" s="158"/>
      <c r="FO19" s="158"/>
      <c r="FP19" s="158"/>
      <c r="FQ19" s="158"/>
      <c r="FR19" s="158"/>
      <c r="FS19" s="158"/>
      <c r="FT19" s="158"/>
      <c r="FU19" s="158"/>
      <c r="FV19" s="158"/>
      <c r="FW19" s="158"/>
      <c r="FX19" s="158"/>
      <c r="FY19" s="158"/>
      <c r="FZ19" s="158"/>
      <c r="GA19" s="158"/>
      <c r="GB19" s="158"/>
      <c r="GC19" s="158"/>
      <c r="GD19" s="158"/>
      <c r="GE19" s="158"/>
      <c r="GF19" s="158"/>
    </row>
    <row r="20" spans="2:188" s="324" customFormat="1">
      <c r="B20" s="316">
        <v>14</v>
      </c>
      <c r="C20" s="422" t="s">
        <v>256</v>
      </c>
      <c r="D20" s="422" t="s">
        <v>354</v>
      </c>
      <c r="E20" s="422" t="s">
        <v>355</v>
      </c>
      <c r="F20" s="422" t="s">
        <v>395</v>
      </c>
      <c r="G20" s="371">
        <v>8</v>
      </c>
      <c r="H20" s="369">
        <v>800000</v>
      </c>
      <c r="I20" s="317">
        <f t="shared" si="0"/>
        <v>150000</v>
      </c>
      <c r="J20" s="249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58"/>
      <c r="Z20" s="158"/>
      <c r="AA20" s="158"/>
      <c r="AB20" s="158"/>
      <c r="AC20" s="158"/>
      <c r="AD20" s="158"/>
      <c r="AE20" s="158"/>
      <c r="AF20" s="158"/>
      <c r="AG20" s="158"/>
      <c r="AH20" s="158"/>
      <c r="AI20" s="158"/>
      <c r="AJ20" s="158"/>
      <c r="AK20" s="158"/>
      <c r="AL20" s="158"/>
      <c r="AM20" s="158"/>
      <c r="AN20" s="158"/>
      <c r="AO20" s="158"/>
      <c r="AP20" s="158"/>
      <c r="AQ20" s="158"/>
      <c r="AR20" s="158"/>
      <c r="AS20" s="158"/>
      <c r="AT20" s="158"/>
      <c r="AU20" s="158"/>
      <c r="AV20" s="158"/>
      <c r="AW20" s="158"/>
      <c r="AX20" s="158"/>
      <c r="AY20" s="158"/>
      <c r="AZ20" s="158"/>
      <c r="BA20" s="158"/>
      <c r="BB20" s="158"/>
      <c r="BC20" s="158"/>
      <c r="BD20" s="158"/>
      <c r="BE20" s="158"/>
      <c r="BF20" s="158"/>
      <c r="BG20" s="158"/>
      <c r="BH20" s="158"/>
      <c r="BI20" s="158"/>
      <c r="BJ20" s="158"/>
      <c r="BK20" s="158"/>
      <c r="BL20" s="158"/>
      <c r="BM20" s="158"/>
      <c r="BN20" s="158"/>
      <c r="BO20" s="158"/>
      <c r="BP20" s="158"/>
      <c r="BQ20" s="158"/>
      <c r="BR20" s="158"/>
      <c r="BS20" s="158"/>
      <c r="BT20" s="158"/>
      <c r="BU20" s="158"/>
      <c r="BV20" s="158"/>
      <c r="BW20" s="158"/>
      <c r="BX20" s="158"/>
      <c r="BY20" s="158"/>
      <c r="BZ20" s="158"/>
      <c r="CA20" s="158"/>
      <c r="CB20" s="158"/>
      <c r="CC20" s="158"/>
      <c r="CD20" s="158"/>
      <c r="CE20" s="158"/>
      <c r="CF20" s="158"/>
      <c r="CG20" s="158"/>
      <c r="CH20" s="158"/>
      <c r="CI20" s="158"/>
      <c r="CJ20" s="158"/>
      <c r="CK20" s="158"/>
      <c r="CL20" s="158"/>
      <c r="CM20" s="158"/>
      <c r="CN20" s="158"/>
      <c r="CO20" s="158"/>
      <c r="CP20" s="158"/>
      <c r="CQ20" s="158"/>
      <c r="CR20" s="158"/>
      <c r="CS20" s="158"/>
      <c r="CT20" s="158"/>
      <c r="CU20" s="158"/>
      <c r="CV20" s="158"/>
      <c r="CW20" s="158"/>
      <c r="CX20" s="158"/>
      <c r="CY20" s="158"/>
      <c r="CZ20" s="158"/>
      <c r="DA20" s="158"/>
      <c r="DB20" s="158"/>
      <c r="DC20" s="158"/>
      <c r="DD20" s="158"/>
      <c r="DE20" s="158"/>
      <c r="DF20" s="158"/>
      <c r="DG20" s="158"/>
      <c r="DH20" s="158"/>
      <c r="DI20" s="158"/>
      <c r="DJ20" s="158"/>
      <c r="DK20" s="158"/>
      <c r="DL20" s="158"/>
      <c r="DM20" s="158"/>
      <c r="DN20" s="158"/>
      <c r="DO20" s="158"/>
      <c r="DP20" s="158"/>
      <c r="DQ20" s="158"/>
      <c r="DR20" s="158"/>
      <c r="DS20" s="158"/>
      <c r="DT20" s="158"/>
      <c r="DU20" s="158"/>
      <c r="DV20" s="158"/>
      <c r="DW20" s="158"/>
      <c r="DX20" s="158"/>
      <c r="DY20" s="158"/>
      <c r="DZ20" s="158"/>
      <c r="EA20" s="158"/>
      <c r="EB20" s="158"/>
      <c r="EC20" s="158"/>
      <c r="ED20" s="158"/>
      <c r="EE20" s="158"/>
      <c r="EF20" s="158"/>
      <c r="EG20" s="158"/>
      <c r="EH20" s="158"/>
      <c r="EI20" s="158"/>
      <c r="EJ20" s="158"/>
      <c r="EK20" s="158"/>
      <c r="EL20" s="158"/>
      <c r="EM20" s="158"/>
      <c r="EN20" s="158"/>
      <c r="EO20" s="158"/>
      <c r="EP20" s="158"/>
      <c r="EQ20" s="158"/>
      <c r="ER20" s="158"/>
      <c r="ES20" s="158"/>
      <c r="ET20" s="158"/>
      <c r="EU20" s="158"/>
      <c r="EV20" s="158"/>
      <c r="EW20" s="158"/>
      <c r="EX20" s="158"/>
      <c r="EY20" s="158"/>
      <c r="EZ20" s="158"/>
      <c r="FA20" s="158"/>
      <c r="FB20" s="158"/>
      <c r="FC20" s="158"/>
      <c r="FD20" s="158"/>
      <c r="FE20" s="158"/>
      <c r="FF20" s="158"/>
      <c r="FG20" s="158"/>
      <c r="FH20" s="158"/>
      <c r="FI20" s="158"/>
      <c r="FJ20" s="158"/>
      <c r="FK20" s="158"/>
      <c r="FL20" s="158"/>
      <c r="FM20" s="158"/>
      <c r="FN20" s="158"/>
      <c r="FO20" s="158"/>
      <c r="FP20" s="158"/>
      <c r="FQ20" s="158"/>
      <c r="FR20" s="158"/>
      <c r="FS20" s="158"/>
      <c r="FT20" s="158"/>
      <c r="FU20" s="158"/>
      <c r="FV20" s="158"/>
      <c r="FW20" s="158"/>
      <c r="FX20" s="158"/>
      <c r="FY20" s="158"/>
      <c r="FZ20" s="158"/>
      <c r="GA20" s="158"/>
      <c r="GB20" s="158"/>
      <c r="GC20" s="158"/>
      <c r="GD20" s="158"/>
      <c r="GE20" s="158"/>
      <c r="GF20" s="158"/>
    </row>
    <row r="21" spans="2:188" s="324" customFormat="1">
      <c r="B21" s="316">
        <v>15</v>
      </c>
      <c r="C21" s="422" t="s">
        <v>244</v>
      </c>
      <c r="D21" s="422" t="s">
        <v>413</v>
      </c>
      <c r="E21" s="422" t="s">
        <v>414</v>
      </c>
      <c r="F21" s="422" t="s">
        <v>395</v>
      </c>
      <c r="G21" s="371">
        <v>4</v>
      </c>
      <c r="H21" s="369">
        <v>400000</v>
      </c>
      <c r="I21" s="317">
        <f t="shared" si="0"/>
        <v>75000</v>
      </c>
      <c r="J21" s="249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158"/>
      <c r="Z21" s="158"/>
      <c r="AA21" s="158"/>
      <c r="AB21" s="158"/>
      <c r="AC21" s="158"/>
      <c r="AD21" s="158"/>
      <c r="AE21" s="158"/>
      <c r="AF21" s="158"/>
      <c r="AG21" s="158"/>
      <c r="AH21" s="158"/>
      <c r="AI21" s="158"/>
      <c r="AJ21" s="158"/>
      <c r="AK21" s="158"/>
      <c r="AL21" s="158"/>
      <c r="AM21" s="158"/>
      <c r="AN21" s="158"/>
      <c r="AO21" s="158"/>
      <c r="AP21" s="158"/>
      <c r="AQ21" s="158"/>
      <c r="AR21" s="158"/>
      <c r="AS21" s="158"/>
      <c r="AT21" s="158"/>
      <c r="AU21" s="158"/>
      <c r="AV21" s="158"/>
      <c r="AW21" s="158"/>
      <c r="AX21" s="158"/>
      <c r="AY21" s="158"/>
      <c r="AZ21" s="158"/>
      <c r="BA21" s="158"/>
      <c r="BB21" s="158"/>
      <c r="BC21" s="158"/>
      <c r="BD21" s="158"/>
      <c r="BE21" s="158"/>
      <c r="BF21" s="158"/>
      <c r="BG21" s="158"/>
      <c r="BH21" s="158"/>
      <c r="BI21" s="158"/>
      <c r="BJ21" s="158"/>
      <c r="BK21" s="158"/>
      <c r="BL21" s="158"/>
      <c r="BM21" s="158"/>
      <c r="BN21" s="158"/>
      <c r="BO21" s="158"/>
      <c r="BP21" s="158"/>
      <c r="BQ21" s="158"/>
      <c r="BR21" s="158"/>
      <c r="BS21" s="158"/>
      <c r="BT21" s="158"/>
      <c r="BU21" s="158"/>
      <c r="BV21" s="158"/>
      <c r="BW21" s="158"/>
      <c r="BX21" s="158"/>
      <c r="BY21" s="158"/>
      <c r="BZ21" s="158"/>
      <c r="CA21" s="158"/>
      <c r="CB21" s="158"/>
      <c r="CC21" s="158"/>
      <c r="CD21" s="158"/>
      <c r="CE21" s="158"/>
      <c r="CF21" s="158"/>
      <c r="CG21" s="158"/>
      <c r="CH21" s="158"/>
      <c r="CI21" s="158"/>
      <c r="CJ21" s="158"/>
      <c r="CK21" s="158"/>
      <c r="CL21" s="158"/>
      <c r="CM21" s="158"/>
      <c r="CN21" s="158"/>
      <c r="CO21" s="158"/>
      <c r="CP21" s="158"/>
      <c r="CQ21" s="158"/>
      <c r="CR21" s="158"/>
      <c r="CS21" s="158"/>
      <c r="CT21" s="158"/>
      <c r="CU21" s="158"/>
      <c r="CV21" s="158"/>
      <c r="CW21" s="158"/>
      <c r="CX21" s="158"/>
      <c r="CY21" s="158"/>
      <c r="CZ21" s="158"/>
      <c r="DA21" s="158"/>
      <c r="DB21" s="158"/>
      <c r="DC21" s="158"/>
      <c r="DD21" s="158"/>
      <c r="DE21" s="158"/>
      <c r="DF21" s="158"/>
      <c r="DG21" s="158"/>
      <c r="DH21" s="158"/>
      <c r="DI21" s="158"/>
      <c r="DJ21" s="158"/>
      <c r="DK21" s="158"/>
      <c r="DL21" s="158"/>
      <c r="DM21" s="158"/>
      <c r="DN21" s="158"/>
      <c r="DO21" s="158"/>
      <c r="DP21" s="158"/>
      <c r="DQ21" s="158"/>
      <c r="DR21" s="158"/>
      <c r="DS21" s="158"/>
      <c r="DT21" s="158"/>
      <c r="DU21" s="158"/>
      <c r="DV21" s="158"/>
      <c r="DW21" s="158"/>
      <c r="DX21" s="158"/>
      <c r="DY21" s="158"/>
      <c r="DZ21" s="158"/>
      <c r="EA21" s="158"/>
      <c r="EB21" s="158"/>
      <c r="EC21" s="158"/>
      <c r="ED21" s="158"/>
      <c r="EE21" s="158"/>
      <c r="EF21" s="158"/>
      <c r="EG21" s="158"/>
      <c r="EH21" s="158"/>
      <c r="EI21" s="158"/>
      <c r="EJ21" s="158"/>
      <c r="EK21" s="158"/>
      <c r="EL21" s="158"/>
      <c r="EM21" s="158"/>
      <c r="EN21" s="158"/>
      <c r="EO21" s="158"/>
      <c r="EP21" s="158"/>
      <c r="EQ21" s="158"/>
      <c r="ER21" s="158"/>
      <c r="ES21" s="158"/>
      <c r="ET21" s="158"/>
      <c r="EU21" s="158"/>
      <c r="EV21" s="158"/>
      <c r="EW21" s="158"/>
      <c r="EX21" s="158"/>
      <c r="EY21" s="158"/>
      <c r="EZ21" s="158"/>
      <c r="FA21" s="158"/>
      <c r="FB21" s="158"/>
      <c r="FC21" s="158"/>
      <c r="FD21" s="158"/>
      <c r="FE21" s="158"/>
      <c r="FF21" s="158"/>
      <c r="FG21" s="158"/>
      <c r="FH21" s="158"/>
      <c r="FI21" s="158"/>
      <c r="FJ21" s="158"/>
      <c r="FK21" s="158"/>
      <c r="FL21" s="158"/>
      <c r="FM21" s="158"/>
      <c r="FN21" s="158"/>
      <c r="FO21" s="158"/>
      <c r="FP21" s="158"/>
      <c r="FQ21" s="158"/>
      <c r="FR21" s="158"/>
      <c r="FS21" s="158"/>
      <c r="FT21" s="158"/>
      <c r="FU21" s="158"/>
      <c r="FV21" s="158"/>
      <c r="FW21" s="158"/>
      <c r="FX21" s="158"/>
      <c r="FY21" s="158"/>
      <c r="FZ21" s="158"/>
      <c r="GA21" s="158"/>
      <c r="GB21" s="158"/>
      <c r="GC21" s="158"/>
      <c r="GD21" s="158"/>
      <c r="GE21" s="158"/>
      <c r="GF21" s="158"/>
    </row>
    <row r="22" spans="2:188" s="324" customFormat="1">
      <c r="B22" s="316">
        <v>16</v>
      </c>
      <c r="C22" s="422" t="s">
        <v>197</v>
      </c>
      <c r="D22" s="422" t="s">
        <v>415</v>
      </c>
      <c r="E22" s="422" t="s">
        <v>134</v>
      </c>
      <c r="F22" s="422" t="s">
        <v>392</v>
      </c>
      <c r="G22" s="371">
        <v>6</v>
      </c>
      <c r="H22" s="369">
        <v>600000</v>
      </c>
      <c r="I22" s="317">
        <f t="shared" si="0"/>
        <v>112500</v>
      </c>
      <c r="J22" s="355"/>
    </row>
    <row r="23" spans="2:188" s="324" customFormat="1">
      <c r="B23" s="316">
        <v>17</v>
      </c>
      <c r="C23" s="422" t="s">
        <v>209</v>
      </c>
      <c r="D23" s="422" t="s">
        <v>416</v>
      </c>
      <c r="E23" s="422" t="s">
        <v>417</v>
      </c>
      <c r="F23" s="422" t="s">
        <v>392</v>
      </c>
      <c r="G23" s="371">
        <v>3</v>
      </c>
      <c r="H23" s="369">
        <v>300000</v>
      </c>
      <c r="I23" s="317">
        <f t="shared" si="0"/>
        <v>56250</v>
      </c>
      <c r="J23" s="355"/>
    </row>
    <row r="24" spans="2:188" s="324" customFormat="1">
      <c r="B24" s="316">
        <v>18</v>
      </c>
      <c r="C24" s="422" t="s">
        <v>249</v>
      </c>
      <c r="D24" s="422" t="s">
        <v>346</v>
      </c>
      <c r="E24" s="422" t="s">
        <v>347</v>
      </c>
      <c r="F24" s="422" t="s">
        <v>395</v>
      </c>
      <c r="G24" s="371">
        <v>20</v>
      </c>
      <c r="H24" s="369">
        <v>2000000</v>
      </c>
      <c r="I24" s="317">
        <f t="shared" si="0"/>
        <v>375000</v>
      </c>
      <c r="J24" s="355"/>
    </row>
    <row r="25" spans="2:188" s="324" customFormat="1">
      <c r="B25" s="316">
        <v>19</v>
      </c>
      <c r="C25" s="422" t="s">
        <v>222</v>
      </c>
      <c r="D25" s="422" t="s">
        <v>418</v>
      </c>
      <c r="E25" s="422" t="s">
        <v>419</v>
      </c>
      <c r="F25" s="422" t="s">
        <v>392</v>
      </c>
      <c r="G25" s="371">
        <v>2</v>
      </c>
      <c r="H25" s="369">
        <v>200000</v>
      </c>
      <c r="I25" s="317">
        <f t="shared" si="0"/>
        <v>37500</v>
      </c>
      <c r="J25" s="355"/>
    </row>
    <row r="26" spans="2:188" s="324" customFormat="1">
      <c r="B26" s="316">
        <v>20</v>
      </c>
      <c r="C26" s="422" t="s">
        <v>200</v>
      </c>
      <c r="D26" s="422" t="s">
        <v>420</v>
      </c>
      <c r="E26" s="422" t="s">
        <v>153</v>
      </c>
      <c r="F26" s="422" t="s">
        <v>392</v>
      </c>
      <c r="G26" s="371">
        <v>4</v>
      </c>
      <c r="H26" s="369">
        <v>400000</v>
      </c>
      <c r="I26" s="317">
        <f t="shared" si="0"/>
        <v>75000</v>
      </c>
      <c r="J26" s="355"/>
    </row>
    <row r="27" spans="2:188" s="324" customFormat="1">
      <c r="B27" s="316">
        <v>21</v>
      </c>
      <c r="C27" s="422" t="s">
        <v>222</v>
      </c>
      <c r="D27" s="422" t="s">
        <v>374</v>
      </c>
      <c r="E27" s="422" t="s">
        <v>375</v>
      </c>
      <c r="F27" s="422" t="s">
        <v>395</v>
      </c>
      <c r="G27" s="371">
        <v>7</v>
      </c>
      <c r="H27" s="369">
        <v>700000</v>
      </c>
      <c r="I27" s="317">
        <f t="shared" si="0"/>
        <v>131250</v>
      </c>
      <c r="J27" s="355"/>
    </row>
    <row r="28" spans="2:188" s="324" customFormat="1">
      <c r="B28" s="316">
        <v>22</v>
      </c>
      <c r="C28" s="422" t="s">
        <v>209</v>
      </c>
      <c r="D28" s="422" t="s">
        <v>421</v>
      </c>
      <c r="E28" s="422" t="s">
        <v>148</v>
      </c>
      <c r="F28" s="422" t="s">
        <v>396</v>
      </c>
      <c r="G28" s="371">
        <v>1</v>
      </c>
      <c r="H28" s="369">
        <v>100000</v>
      </c>
      <c r="I28" s="317">
        <f t="shared" si="0"/>
        <v>18750</v>
      </c>
      <c r="J28" s="355"/>
    </row>
    <row r="29" spans="2:188" s="324" customFormat="1">
      <c r="B29" s="316">
        <v>23</v>
      </c>
      <c r="C29" s="422" t="s">
        <v>222</v>
      </c>
      <c r="D29" s="422" t="s">
        <v>415</v>
      </c>
      <c r="E29" s="422" t="s">
        <v>371</v>
      </c>
      <c r="F29" s="422" t="s">
        <v>396</v>
      </c>
      <c r="G29" s="371">
        <v>1</v>
      </c>
      <c r="H29" s="369">
        <v>100000</v>
      </c>
      <c r="I29" s="317">
        <f t="shared" si="0"/>
        <v>18750</v>
      </c>
      <c r="J29" s="355"/>
    </row>
    <row r="30" spans="2:188" s="324" customFormat="1">
      <c r="B30" s="316">
        <v>24</v>
      </c>
      <c r="C30" s="422" t="s">
        <v>251</v>
      </c>
      <c r="D30" s="422" t="s">
        <v>422</v>
      </c>
      <c r="E30" s="422" t="s">
        <v>388</v>
      </c>
      <c r="F30" s="422" t="s">
        <v>394</v>
      </c>
      <c r="G30" s="371">
        <v>1</v>
      </c>
      <c r="H30" s="369">
        <v>100000</v>
      </c>
      <c r="I30" s="317">
        <f t="shared" si="0"/>
        <v>18750</v>
      </c>
      <c r="J30" s="355"/>
    </row>
    <row r="31" spans="2:188" s="324" customFormat="1">
      <c r="B31" s="316">
        <v>25</v>
      </c>
      <c r="C31" s="422" t="s">
        <v>209</v>
      </c>
      <c r="D31" s="422" t="s">
        <v>423</v>
      </c>
      <c r="E31" s="422" t="s">
        <v>424</v>
      </c>
      <c r="F31" s="422" t="s">
        <v>396</v>
      </c>
      <c r="G31" s="371">
        <v>1</v>
      </c>
      <c r="H31" s="369">
        <v>100000</v>
      </c>
      <c r="I31" s="317">
        <f t="shared" si="0"/>
        <v>18750</v>
      </c>
      <c r="J31" s="355"/>
    </row>
    <row r="32" spans="2:188" s="324" customFormat="1">
      <c r="B32" s="316">
        <v>26</v>
      </c>
      <c r="C32" s="422" t="s">
        <v>209</v>
      </c>
      <c r="D32" s="422" t="s">
        <v>389</v>
      </c>
      <c r="E32" s="422" t="s">
        <v>390</v>
      </c>
      <c r="F32" s="422" t="s">
        <v>396</v>
      </c>
      <c r="G32" s="371">
        <v>1</v>
      </c>
      <c r="H32" s="369">
        <v>100000</v>
      </c>
      <c r="I32" s="317">
        <f t="shared" si="0"/>
        <v>18750</v>
      </c>
      <c r="J32" s="355"/>
    </row>
    <row r="33" spans="2:188" s="324" customFormat="1">
      <c r="B33" s="316">
        <v>27</v>
      </c>
      <c r="C33" s="422" t="s">
        <v>251</v>
      </c>
      <c r="D33" s="422" t="s">
        <v>369</v>
      </c>
      <c r="E33" s="422" t="s">
        <v>355</v>
      </c>
      <c r="F33" s="422" t="s">
        <v>394</v>
      </c>
      <c r="G33" s="371">
        <v>1</v>
      </c>
      <c r="H33" s="369">
        <v>40300</v>
      </c>
      <c r="I33" s="317">
        <f t="shared" si="0"/>
        <v>7556.25</v>
      </c>
      <c r="J33" s="249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  <c r="Y33" s="158"/>
      <c r="Z33" s="158"/>
      <c r="AA33" s="158"/>
      <c r="AB33" s="158"/>
      <c r="AC33" s="158"/>
      <c r="AD33" s="158"/>
      <c r="AE33" s="158"/>
      <c r="AF33" s="158"/>
      <c r="AG33" s="158"/>
      <c r="AH33" s="158"/>
      <c r="AI33" s="158"/>
      <c r="AJ33" s="158"/>
      <c r="AK33" s="158"/>
      <c r="AL33" s="158"/>
      <c r="AM33" s="158"/>
      <c r="AN33" s="158"/>
      <c r="AO33" s="158"/>
      <c r="AP33" s="158"/>
      <c r="AQ33" s="158"/>
      <c r="AR33" s="158"/>
      <c r="AS33" s="158"/>
      <c r="AT33" s="158"/>
      <c r="AU33" s="158"/>
      <c r="AV33" s="158"/>
      <c r="AW33" s="158"/>
      <c r="AX33" s="158"/>
      <c r="AY33" s="158"/>
      <c r="AZ33" s="158"/>
      <c r="BA33" s="158"/>
      <c r="BB33" s="158"/>
      <c r="BC33" s="158"/>
      <c r="BD33" s="158"/>
      <c r="BE33" s="158"/>
      <c r="BF33" s="158"/>
      <c r="BG33" s="158"/>
      <c r="BH33" s="158"/>
      <c r="BI33" s="158"/>
      <c r="BJ33" s="158"/>
      <c r="BK33" s="158"/>
      <c r="BL33" s="158"/>
      <c r="BM33" s="158"/>
      <c r="BN33" s="158"/>
      <c r="BO33" s="158"/>
      <c r="BP33" s="158"/>
      <c r="BQ33" s="158"/>
      <c r="BR33" s="158"/>
      <c r="BS33" s="158"/>
      <c r="BT33" s="158"/>
      <c r="BU33" s="158"/>
      <c r="BV33" s="158"/>
      <c r="BW33" s="158"/>
      <c r="BX33" s="158"/>
      <c r="BY33" s="158"/>
      <c r="BZ33" s="158"/>
      <c r="CA33" s="158"/>
      <c r="CB33" s="158"/>
      <c r="CC33" s="158"/>
      <c r="CD33" s="158"/>
      <c r="CE33" s="158"/>
      <c r="CF33" s="158"/>
      <c r="CG33" s="158"/>
      <c r="CH33" s="158"/>
      <c r="CI33" s="158"/>
      <c r="CJ33" s="158"/>
      <c r="CK33" s="158"/>
      <c r="CL33" s="158"/>
      <c r="CM33" s="158"/>
      <c r="CN33" s="158"/>
      <c r="CO33" s="158"/>
      <c r="CP33" s="158"/>
      <c r="CQ33" s="158"/>
      <c r="CR33" s="158"/>
      <c r="CS33" s="158"/>
      <c r="CT33" s="158"/>
      <c r="CU33" s="158"/>
      <c r="CV33" s="158"/>
      <c r="CW33" s="158"/>
      <c r="CX33" s="158"/>
      <c r="CY33" s="158"/>
      <c r="CZ33" s="158"/>
      <c r="DA33" s="158"/>
      <c r="DB33" s="158"/>
      <c r="DC33" s="158"/>
      <c r="DD33" s="158"/>
      <c r="DE33" s="158"/>
      <c r="DF33" s="158"/>
      <c r="DG33" s="158"/>
      <c r="DH33" s="158"/>
      <c r="DI33" s="158"/>
      <c r="DJ33" s="158"/>
      <c r="DK33" s="158"/>
      <c r="DL33" s="158"/>
      <c r="DM33" s="158"/>
      <c r="DN33" s="158"/>
      <c r="DO33" s="158"/>
      <c r="DP33" s="158"/>
      <c r="DQ33" s="158"/>
      <c r="DR33" s="158"/>
      <c r="DS33" s="158"/>
      <c r="DT33" s="158"/>
      <c r="DU33" s="158"/>
      <c r="DV33" s="158"/>
      <c r="DW33" s="158"/>
      <c r="DX33" s="158"/>
      <c r="DY33" s="158"/>
      <c r="DZ33" s="158"/>
      <c r="EA33" s="158"/>
      <c r="EB33" s="158"/>
      <c r="EC33" s="158"/>
      <c r="ED33" s="158"/>
      <c r="EE33" s="158"/>
      <c r="EF33" s="158"/>
      <c r="EG33" s="158"/>
      <c r="EH33" s="158"/>
      <c r="EI33" s="158"/>
      <c r="EJ33" s="158"/>
      <c r="EK33" s="158"/>
      <c r="EL33" s="158"/>
      <c r="EM33" s="158"/>
      <c r="EN33" s="158"/>
      <c r="EO33" s="158"/>
      <c r="EP33" s="158"/>
      <c r="EQ33" s="158"/>
      <c r="ER33" s="158"/>
      <c r="ES33" s="158"/>
      <c r="ET33" s="158"/>
      <c r="EU33" s="158"/>
      <c r="EV33" s="158"/>
      <c r="EW33" s="158"/>
      <c r="EX33" s="158"/>
      <c r="EY33" s="158"/>
      <c r="EZ33" s="158"/>
      <c r="FA33" s="158"/>
      <c r="FB33" s="158"/>
      <c r="FC33" s="158"/>
      <c r="FD33" s="158"/>
      <c r="FE33" s="158"/>
      <c r="FF33" s="158"/>
      <c r="FG33" s="158"/>
      <c r="FH33" s="158"/>
      <c r="FI33" s="158"/>
      <c r="FJ33" s="158"/>
      <c r="FK33" s="158"/>
      <c r="FL33" s="158"/>
      <c r="FM33" s="158"/>
      <c r="FN33" s="158"/>
      <c r="FO33" s="158"/>
      <c r="FP33" s="158"/>
      <c r="FQ33" s="158"/>
      <c r="FR33" s="158"/>
      <c r="FS33" s="158"/>
      <c r="FT33" s="158"/>
      <c r="FU33" s="158"/>
      <c r="FV33" s="158"/>
      <c r="FW33" s="158"/>
      <c r="FX33" s="158"/>
      <c r="FY33" s="158"/>
      <c r="FZ33" s="158"/>
      <c r="GA33" s="158"/>
      <c r="GB33" s="158"/>
      <c r="GC33" s="158"/>
      <c r="GD33" s="158"/>
      <c r="GE33" s="158"/>
      <c r="GF33" s="158"/>
    </row>
    <row r="34" spans="2:188" s="324" customFormat="1">
      <c r="B34" s="316">
        <v>28</v>
      </c>
      <c r="C34" s="422" t="s">
        <v>197</v>
      </c>
      <c r="D34" s="422" t="s">
        <v>425</v>
      </c>
      <c r="E34" s="422" t="s">
        <v>426</v>
      </c>
      <c r="F34" s="422" t="s">
        <v>396</v>
      </c>
      <c r="G34" s="371">
        <v>1</v>
      </c>
      <c r="H34" s="369">
        <v>100000</v>
      </c>
      <c r="I34" s="317">
        <f t="shared" si="0"/>
        <v>18750</v>
      </c>
      <c r="J34" s="249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  <c r="AF34" s="158"/>
      <c r="AG34" s="158"/>
      <c r="AH34" s="158"/>
      <c r="AI34" s="158"/>
      <c r="AJ34" s="158"/>
      <c r="AK34" s="158"/>
      <c r="AL34" s="158"/>
      <c r="AM34" s="158"/>
      <c r="AN34" s="158"/>
      <c r="AO34" s="158"/>
      <c r="AP34" s="158"/>
      <c r="AQ34" s="158"/>
      <c r="AR34" s="158"/>
      <c r="AS34" s="158"/>
      <c r="AT34" s="158"/>
      <c r="AU34" s="158"/>
      <c r="AV34" s="158"/>
      <c r="AW34" s="158"/>
      <c r="AX34" s="158"/>
      <c r="AY34" s="158"/>
      <c r="AZ34" s="158"/>
      <c r="BA34" s="158"/>
      <c r="BB34" s="158"/>
      <c r="BC34" s="158"/>
      <c r="BD34" s="158"/>
      <c r="BE34" s="158"/>
      <c r="BF34" s="158"/>
      <c r="BG34" s="158"/>
      <c r="BH34" s="158"/>
      <c r="BI34" s="158"/>
      <c r="BJ34" s="158"/>
      <c r="BK34" s="158"/>
      <c r="BL34" s="158"/>
      <c r="BM34" s="158"/>
      <c r="BN34" s="158"/>
      <c r="BO34" s="158"/>
      <c r="BP34" s="158"/>
      <c r="BQ34" s="158"/>
      <c r="BR34" s="158"/>
      <c r="BS34" s="158"/>
      <c r="BT34" s="158"/>
      <c r="BU34" s="158"/>
      <c r="BV34" s="158"/>
      <c r="BW34" s="158"/>
      <c r="BX34" s="158"/>
      <c r="BY34" s="158"/>
      <c r="BZ34" s="158"/>
      <c r="CA34" s="158"/>
      <c r="CB34" s="158"/>
      <c r="CC34" s="158"/>
      <c r="CD34" s="158"/>
      <c r="CE34" s="158"/>
      <c r="CF34" s="158"/>
      <c r="CG34" s="158"/>
      <c r="CH34" s="158"/>
      <c r="CI34" s="158"/>
      <c r="CJ34" s="158"/>
      <c r="CK34" s="158"/>
      <c r="CL34" s="158"/>
      <c r="CM34" s="158"/>
      <c r="CN34" s="158"/>
      <c r="CO34" s="158"/>
      <c r="CP34" s="158"/>
      <c r="CQ34" s="158"/>
      <c r="CR34" s="158"/>
      <c r="CS34" s="158"/>
      <c r="CT34" s="158"/>
      <c r="CU34" s="158"/>
      <c r="CV34" s="158"/>
      <c r="CW34" s="158"/>
      <c r="CX34" s="158"/>
      <c r="CY34" s="158"/>
      <c r="CZ34" s="158"/>
      <c r="DA34" s="158"/>
      <c r="DB34" s="158"/>
      <c r="DC34" s="158"/>
      <c r="DD34" s="158"/>
      <c r="DE34" s="158"/>
      <c r="DF34" s="158"/>
      <c r="DG34" s="158"/>
      <c r="DH34" s="158"/>
      <c r="DI34" s="158"/>
      <c r="DJ34" s="158"/>
      <c r="DK34" s="158"/>
      <c r="DL34" s="158"/>
      <c r="DM34" s="158"/>
      <c r="DN34" s="158"/>
      <c r="DO34" s="158"/>
      <c r="DP34" s="158"/>
      <c r="DQ34" s="158"/>
      <c r="DR34" s="158"/>
      <c r="DS34" s="158"/>
      <c r="DT34" s="158"/>
      <c r="DU34" s="158"/>
      <c r="DV34" s="158"/>
      <c r="DW34" s="158"/>
      <c r="DX34" s="158"/>
      <c r="DY34" s="158"/>
      <c r="DZ34" s="158"/>
      <c r="EA34" s="158"/>
      <c r="EB34" s="158"/>
      <c r="EC34" s="158"/>
      <c r="ED34" s="158"/>
      <c r="EE34" s="158"/>
      <c r="EF34" s="158"/>
      <c r="EG34" s="158"/>
      <c r="EH34" s="158"/>
      <c r="EI34" s="158"/>
      <c r="EJ34" s="158"/>
      <c r="EK34" s="158"/>
      <c r="EL34" s="158"/>
      <c r="EM34" s="158"/>
      <c r="EN34" s="158"/>
      <c r="EO34" s="158"/>
      <c r="EP34" s="158"/>
      <c r="EQ34" s="158"/>
      <c r="ER34" s="158"/>
      <c r="ES34" s="158"/>
      <c r="ET34" s="158"/>
      <c r="EU34" s="158"/>
      <c r="EV34" s="158"/>
      <c r="EW34" s="158"/>
      <c r="EX34" s="158"/>
      <c r="EY34" s="158"/>
      <c r="EZ34" s="158"/>
      <c r="FA34" s="158"/>
      <c r="FB34" s="158"/>
      <c r="FC34" s="158"/>
      <c r="FD34" s="158"/>
      <c r="FE34" s="158"/>
      <c r="FF34" s="158"/>
      <c r="FG34" s="158"/>
      <c r="FH34" s="158"/>
      <c r="FI34" s="158"/>
      <c r="FJ34" s="158"/>
      <c r="FK34" s="158"/>
      <c r="FL34" s="158"/>
      <c r="FM34" s="158"/>
      <c r="FN34" s="158"/>
      <c r="FO34" s="158"/>
      <c r="FP34" s="158"/>
      <c r="FQ34" s="158"/>
      <c r="FR34" s="158"/>
      <c r="FS34" s="158"/>
      <c r="FT34" s="158"/>
      <c r="FU34" s="158"/>
      <c r="FV34" s="158"/>
      <c r="FW34" s="158"/>
      <c r="FX34" s="158"/>
      <c r="FY34" s="158"/>
      <c r="FZ34" s="158"/>
      <c r="GA34" s="158"/>
      <c r="GB34" s="158"/>
      <c r="GC34" s="158"/>
      <c r="GD34" s="158"/>
      <c r="GE34" s="158"/>
      <c r="GF34" s="158"/>
    </row>
    <row r="35" spans="2:188" s="324" customFormat="1">
      <c r="B35" s="316">
        <v>29</v>
      </c>
      <c r="C35" s="422" t="s">
        <v>244</v>
      </c>
      <c r="D35" s="422" t="s">
        <v>427</v>
      </c>
      <c r="E35" s="422" t="s">
        <v>359</v>
      </c>
      <c r="F35" s="422" t="s">
        <v>395</v>
      </c>
      <c r="G35" s="371">
        <v>1</v>
      </c>
      <c r="H35" s="369">
        <v>100000</v>
      </c>
      <c r="I35" s="317">
        <f t="shared" si="0"/>
        <v>18750</v>
      </c>
      <c r="J35" s="249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158"/>
      <c r="Z35" s="158"/>
      <c r="AA35" s="158"/>
      <c r="AB35" s="158"/>
      <c r="AC35" s="158"/>
      <c r="AD35" s="158"/>
      <c r="AE35" s="158"/>
      <c r="AF35" s="158"/>
      <c r="AG35" s="158"/>
      <c r="AH35" s="158"/>
      <c r="AI35" s="158"/>
      <c r="AJ35" s="158"/>
      <c r="AK35" s="158"/>
      <c r="AL35" s="158"/>
      <c r="AM35" s="158"/>
      <c r="AN35" s="158"/>
      <c r="AO35" s="158"/>
      <c r="AP35" s="158"/>
      <c r="AQ35" s="158"/>
      <c r="AR35" s="158"/>
      <c r="AS35" s="158"/>
      <c r="AT35" s="158"/>
      <c r="AU35" s="158"/>
      <c r="AV35" s="158"/>
      <c r="AW35" s="158"/>
      <c r="AX35" s="158"/>
      <c r="AY35" s="158"/>
      <c r="AZ35" s="158"/>
      <c r="BA35" s="158"/>
      <c r="BB35" s="158"/>
      <c r="BC35" s="158"/>
      <c r="BD35" s="158"/>
      <c r="BE35" s="158"/>
      <c r="BF35" s="158"/>
      <c r="BG35" s="158"/>
      <c r="BH35" s="158"/>
      <c r="BI35" s="158"/>
      <c r="BJ35" s="158"/>
      <c r="BK35" s="158"/>
      <c r="BL35" s="158"/>
      <c r="BM35" s="158"/>
      <c r="BN35" s="158"/>
      <c r="BO35" s="158"/>
      <c r="BP35" s="158"/>
      <c r="BQ35" s="158"/>
      <c r="BR35" s="158"/>
      <c r="BS35" s="158"/>
      <c r="BT35" s="158"/>
      <c r="BU35" s="158"/>
      <c r="BV35" s="158"/>
      <c r="BW35" s="158"/>
      <c r="BX35" s="158"/>
      <c r="BY35" s="158"/>
      <c r="BZ35" s="158"/>
      <c r="CA35" s="158"/>
      <c r="CB35" s="158"/>
      <c r="CC35" s="158"/>
      <c r="CD35" s="158"/>
      <c r="CE35" s="158"/>
      <c r="CF35" s="158"/>
      <c r="CG35" s="158"/>
      <c r="CH35" s="158"/>
      <c r="CI35" s="158"/>
      <c r="CJ35" s="158"/>
      <c r="CK35" s="158"/>
      <c r="CL35" s="158"/>
      <c r="CM35" s="158"/>
      <c r="CN35" s="158"/>
      <c r="CO35" s="158"/>
      <c r="CP35" s="158"/>
      <c r="CQ35" s="158"/>
      <c r="CR35" s="158"/>
      <c r="CS35" s="158"/>
      <c r="CT35" s="158"/>
      <c r="CU35" s="158"/>
      <c r="CV35" s="158"/>
      <c r="CW35" s="158"/>
      <c r="CX35" s="158"/>
      <c r="CY35" s="158"/>
      <c r="CZ35" s="158"/>
      <c r="DA35" s="158"/>
      <c r="DB35" s="158"/>
      <c r="DC35" s="158"/>
      <c r="DD35" s="158"/>
      <c r="DE35" s="158"/>
      <c r="DF35" s="158"/>
      <c r="DG35" s="158"/>
      <c r="DH35" s="158"/>
      <c r="DI35" s="158"/>
      <c r="DJ35" s="158"/>
      <c r="DK35" s="158"/>
      <c r="DL35" s="158"/>
      <c r="DM35" s="158"/>
      <c r="DN35" s="158"/>
      <c r="DO35" s="158"/>
      <c r="DP35" s="158"/>
      <c r="DQ35" s="158"/>
      <c r="DR35" s="158"/>
      <c r="DS35" s="158"/>
      <c r="DT35" s="158"/>
      <c r="DU35" s="158"/>
      <c r="DV35" s="158"/>
      <c r="DW35" s="158"/>
      <c r="DX35" s="158"/>
      <c r="DY35" s="158"/>
      <c r="DZ35" s="158"/>
      <c r="EA35" s="158"/>
      <c r="EB35" s="158"/>
      <c r="EC35" s="158"/>
      <c r="ED35" s="158"/>
      <c r="EE35" s="158"/>
      <c r="EF35" s="158"/>
      <c r="EG35" s="158"/>
      <c r="EH35" s="158"/>
      <c r="EI35" s="158"/>
      <c r="EJ35" s="158"/>
      <c r="EK35" s="158"/>
      <c r="EL35" s="158"/>
      <c r="EM35" s="158"/>
      <c r="EN35" s="158"/>
      <c r="EO35" s="158"/>
      <c r="EP35" s="158"/>
      <c r="EQ35" s="158"/>
      <c r="ER35" s="158"/>
      <c r="ES35" s="158"/>
      <c r="ET35" s="158"/>
      <c r="EU35" s="158"/>
      <c r="EV35" s="158"/>
      <c r="EW35" s="158"/>
      <c r="EX35" s="158"/>
      <c r="EY35" s="158"/>
      <c r="EZ35" s="158"/>
      <c r="FA35" s="158"/>
      <c r="FB35" s="158"/>
      <c r="FC35" s="158"/>
      <c r="FD35" s="158"/>
      <c r="FE35" s="158"/>
      <c r="FF35" s="158"/>
      <c r="FG35" s="158"/>
      <c r="FH35" s="158"/>
      <c r="FI35" s="158"/>
      <c r="FJ35" s="158"/>
      <c r="FK35" s="158"/>
      <c r="FL35" s="158"/>
      <c r="FM35" s="158"/>
      <c r="FN35" s="158"/>
      <c r="FO35" s="158"/>
      <c r="FP35" s="158"/>
      <c r="FQ35" s="158"/>
      <c r="FR35" s="158"/>
      <c r="FS35" s="158"/>
      <c r="FT35" s="158"/>
      <c r="FU35" s="158"/>
      <c r="FV35" s="158"/>
      <c r="FW35" s="158"/>
      <c r="FX35" s="158"/>
      <c r="FY35" s="158"/>
      <c r="FZ35" s="158"/>
      <c r="GA35" s="158"/>
      <c r="GB35" s="158"/>
      <c r="GC35" s="158"/>
      <c r="GD35" s="158"/>
      <c r="GE35" s="158"/>
      <c r="GF35" s="158"/>
    </row>
    <row r="36" spans="2:188" s="324" customFormat="1">
      <c r="B36" s="316">
        <v>30</v>
      </c>
      <c r="C36" s="422" t="s">
        <v>249</v>
      </c>
      <c r="D36" s="422" t="s">
        <v>428</v>
      </c>
      <c r="E36" s="422" t="s">
        <v>135</v>
      </c>
      <c r="F36" s="422" t="s">
        <v>392</v>
      </c>
      <c r="G36" s="371">
        <v>4</v>
      </c>
      <c r="H36" s="369">
        <v>400000</v>
      </c>
      <c r="I36" s="317">
        <f t="shared" si="0"/>
        <v>75000</v>
      </c>
      <c r="J36" s="249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58"/>
      <c r="V36" s="158"/>
      <c r="W36" s="158"/>
      <c r="X36" s="158"/>
      <c r="Y36" s="158"/>
      <c r="Z36" s="158"/>
      <c r="AA36" s="158"/>
      <c r="AB36" s="158"/>
      <c r="AC36" s="158"/>
      <c r="AD36" s="158"/>
      <c r="AE36" s="158"/>
      <c r="AF36" s="158"/>
      <c r="AG36" s="158"/>
      <c r="AH36" s="158"/>
      <c r="AI36" s="158"/>
      <c r="AJ36" s="158"/>
      <c r="AK36" s="158"/>
      <c r="AL36" s="158"/>
      <c r="AM36" s="158"/>
      <c r="AN36" s="158"/>
      <c r="AO36" s="158"/>
      <c r="AP36" s="158"/>
      <c r="AQ36" s="158"/>
      <c r="AR36" s="158"/>
      <c r="AS36" s="158"/>
      <c r="AT36" s="158"/>
      <c r="AU36" s="158"/>
      <c r="AV36" s="158"/>
      <c r="AW36" s="158"/>
      <c r="AX36" s="158"/>
      <c r="AY36" s="158"/>
      <c r="AZ36" s="158"/>
      <c r="BA36" s="158"/>
      <c r="BB36" s="158"/>
      <c r="BC36" s="158"/>
      <c r="BD36" s="158"/>
      <c r="BE36" s="158"/>
      <c r="BF36" s="158"/>
      <c r="BG36" s="158"/>
      <c r="BH36" s="158"/>
      <c r="BI36" s="158"/>
      <c r="BJ36" s="158"/>
      <c r="BK36" s="158"/>
      <c r="BL36" s="158"/>
      <c r="BM36" s="158"/>
      <c r="BN36" s="158"/>
      <c r="BO36" s="158"/>
      <c r="BP36" s="158"/>
      <c r="BQ36" s="158"/>
      <c r="BR36" s="158"/>
      <c r="BS36" s="158"/>
      <c r="BT36" s="158"/>
      <c r="BU36" s="158"/>
      <c r="BV36" s="158"/>
      <c r="BW36" s="158"/>
      <c r="BX36" s="158"/>
      <c r="BY36" s="158"/>
      <c r="BZ36" s="158"/>
      <c r="CA36" s="158"/>
      <c r="CB36" s="158"/>
      <c r="CC36" s="158"/>
      <c r="CD36" s="158"/>
      <c r="CE36" s="158"/>
      <c r="CF36" s="158"/>
      <c r="CG36" s="158"/>
      <c r="CH36" s="158"/>
      <c r="CI36" s="158"/>
      <c r="CJ36" s="158"/>
      <c r="CK36" s="158"/>
      <c r="CL36" s="158"/>
      <c r="CM36" s="158"/>
      <c r="CN36" s="158"/>
      <c r="CO36" s="158"/>
      <c r="CP36" s="158"/>
      <c r="CQ36" s="158"/>
      <c r="CR36" s="158"/>
      <c r="CS36" s="158"/>
      <c r="CT36" s="158"/>
      <c r="CU36" s="158"/>
      <c r="CV36" s="158"/>
      <c r="CW36" s="158"/>
      <c r="CX36" s="158"/>
      <c r="CY36" s="158"/>
      <c r="CZ36" s="158"/>
      <c r="DA36" s="158"/>
      <c r="DB36" s="158"/>
      <c r="DC36" s="158"/>
      <c r="DD36" s="158"/>
      <c r="DE36" s="158"/>
      <c r="DF36" s="158"/>
      <c r="DG36" s="158"/>
      <c r="DH36" s="158"/>
      <c r="DI36" s="158"/>
      <c r="DJ36" s="158"/>
      <c r="DK36" s="158"/>
      <c r="DL36" s="158"/>
      <c r="DM36" s="158"/>
      <c r="DN36" s="158"/>
      <c r="DO36" s="158"/>
      <c r="DP36" s="158"/>
      <c r="DQ36" s="158"/>
      <c r="DR36" s="158"/>
      <c r="DS36" s="158"/>
      <c r="DT36" s="158"/>
      <c r="DU36" s="158"/>
      <c r="DV36" s="158"/>
      <c r="DW36" s="158"/>
      <c r="DX36" s="158"/>
      <c r="DY36" s="158"/>
      <c r="DZ36" s="158"/>
      <c r="EA36" s="158"/>
      <c r="EB36" s="158"/>
      <c r="EC36" s="158"/>
      <c r="ED36" s="158"/>
      <c r="EE36" s="158"/>
      <c r="EF36" s="158"/>
      <c r="EG36" s="158"/>
      <c r="EH36" s="158"/>
      <c r="EI36" s="158"/>
      <c r="EJ36" s="158"/>
      <c r="EK36" s="158"/>
      <c r="EL36" s="158"/>
      <c r="EM36" s="158"/>
      <c r="EN36" s="158"/>
      <c r="EO36" s="158"/>
      <c r="EP36" s="158"/>
      <c r="EQ36" s="158"/>
      <c r="ER36" s="158"/>
      <c r="ES36" s="158"/>
      <c r="ET36" s="158"/>
      <c r="EU36" s="158"/>
      <c r="EV36" s="158"/>
      <c r="EW36" s="158"/>
      <c r="EX36" s="158"/>
      <c r="EY36" s="158"/>
      <c r="EZ36" s="158"/>
      <c r="FA36" s="158"/>
      <c r="FB36" s="158"/>
      <c r="FC36" s="158"/>
      <c r="FD36" s="158"/>
      <c r="FE36" s="158"/>
      <c r="FF36" s="158"/>
      <c r="FG36" s="158"/>
      <c r="FH36" s="158"/>
      <c r="FI36" s="158"/>
      <c r="FJ36" s="158"/>
      <c r="FK36" s="158"/>
      <c r="FL36" s="158"/>
      <c r="FM36" s="158"/>
      <c r="FN36" s="158"/>
      <c r="FO36" s="158"/>
      <c r="FP36" s="158"/>
      <c r="FQ36" s="158"/>
      <c r="FR36" s="158"/>
      <c r="FS36" s="158"/>
      <c r="FT36" s="158"/>
      <c r="FU36" s="158"/>
      <c r="FV36" s="158"/>
      <c r="FW36" s="158"/>
      <c r="FX36" s="158"/>
      <c r="FY36" s="158"/>
      <c r="FZ36" s="158"/>
      <c r="GA36" s="158"/>
      <c r="GB36" s="158"/>
      <c r="GC36" s="158"/>
      <c r="GD36" s="158"/>
      <c r="GE36" s="158"/>
      <c r="GF36" s="158"/>
    </row>
    <row r="37" spans="2:188" s="324" customFormat="1">
      <c r="B37" s="316">
        <v>31</v>
      </c>
      <c r="C37" s="422" t="s">
        <v>244</v>
      </c>
      <c r="D37" s="422" t="s">
        <v>429</v>
      </c>
      <c r="E37" s="422" t="s">
        <v>430</v>
      </c>
      <c r="F37" s="422" t="s">
        <v>431</v>
      </c>
      <c r="G37" s="371">
        <v>1</v>
      </c>
      <c r="H37" s="369">
        <v>400000</v>
      </c>
      <c r="I37" s="317">
        <f t="shared" si="0"/>
        <v>75000</v>
      </c>
      <c r="J37" s="249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8"/>
      <c r="AB37" s="158"/>
      <c r="AC37" s="158"/>
      <c r="AD37" s="158"/>
      <c r="AE37" s="158"/>
      <c r="AF37" s="158"/>
      <c r="AG37" s="158"/>
      <c r="AH37" s="158"/>
      <c r="AI37" s="158"/>
      <c r="AJ37" s="158"/>
      <c r="AK37" s="158"/>
      <c r="AL37" s="158"/>
      <c r="AM37" s="158"/>
      <c r="AN37" s="158"/>
      <c r="AO37" s="158"/>
      <c r="AP37" s="158"/>
      <c r="AQ37" s="158"/>
      <c r="AR37" s="158"/>
      <c r="AS37" s="158"/>
      <c r="AT37" s="158"/>
      <c r="AU37" s="158"/>
      <c r="AV37" s="158"/>
      <c r="AW37" s="158"/>
      <c r="AX37" s="158"/>
      <c r="AY37" s="158"/>
      <c r="AZ37" s="158"/>
      <c r="BA37" s="158"/>
      <c r="BB37" s="158"/>
      <c r="BC37" s="158"/>
      <c r="BD37" s="158"/>
      <c r="BE37" s="158"/>
      <c r="BF37" s="158"/>
      <c r="BG37" s="158"/>
      <c r="BH37" s="158"/>
      <c r="BI37" s="158"/>
      <c r="BJ37" s="158"/>
      <c r="BK37" s="158"/>
      <c r="BL37" s="158"/>
      <c r="BM37" s="158"/>
      <c r="BN37" s="158"/>
      <c r="BO37" s="158"/>
      <c r="BP37" s="158"/>
      <c r="BQ37" s="158"/>
      <c r="BR37" s="158"/>
      <c r="BS37" s="158"/>
      <c r="BT37" s="158"/>
      <c r="BU37" s="158"/>
      <c r="BV37" s="158"/>
      <c r="BW37" s="158"/>
      <c r="BX37" s="158"/>
      <c r="BY37" s="158"/>
      <c r="BZ37" s="158"/>
      <c r="CA37" s="158"/>
      <c r="CB37" s="158"/>
      <c r="CC37" s="158"/>
      <c r="CD37" s="158"/>
      <c r="CE37" s="158"/>
      <c r="CF37" s="158"/>
      <c r="CG37" s="158"/>
      <c r="CH37" s="158"/>
      <c r="CI37" s="158"/>
      <c r="CJ37" s="158"/>
      <c r="CK37" s="158"/>
      <c r="CL37" s="158"/>
      <c r="CM37" s="158"/>
      <c r="CN37" s="158"/>
      <c r="CO37" s="158"/>
      <c r="CP37" s="158"/>
      <c r="CQ37" s="158"/>
      <c r="CR37" s="158"/>
      <c r="CS37" s="158"/>
      <c r="CT37" s="158"/>
      <c r="CU37" s="158"/>
      <c r="CV37" s="158"/>
      <c r="CW37" s="158"/>
      <c r="CX37" s="158"/>
      <c r="CY37" s="158"/>
      <c r="CZ37" s="158"/>
      <c r="DA37" s="158"/>
      <c r="DB37" s="158"/>
      <c r="DC37" s="158"/>
      <c r="DD37" s="158"/>
      <c r="DE37" s="158"/>
      <c r="DF37" s="158"/>
      <c r="DG37" s="158"/>
      <c r="DH37" s="158"/>
      <c r="DI37" s="158"/>
      <c r="DJ37" s="158"/>
      <c r="DK37" s="158"/>
      <c r="DL37" s="158"/>
      <c r="DM37" s="158"/>
      <c r="DN37" s="158"/>
      <c r="DO37" s="158"/>
      <c r="DP37" s="158"/>
      <c r="DQ37" s="158"/>
      <c r="DR37" s="158"/>
      <c r="DS37" s="158"/>
      <c r="DT37" s="158"/>
      <c r="DU37" s="158"/>
      <c r="DV37" s="158"/>
      <c r="DW37" s="158"/>
      <c r="DX37" s="158"/>
      <c r="DY37" s="158"/>
      <c r="DZ37" s="158"/>
      <c r="EA37" s="158"/>
      <c r="EB37" s="158"/>
      <c r="EC37" s="158"/>
      <c r="ED37" s="158"/>
      <c r="EE37" s="158"/>
      <c r="EF37" s="158"/>
      <c r="EG37" s="158"/>
      <c r="EH37" s="158"/>
      <c r="EI37" s="158"/>
      <c r="EJ37" s="158"/>
      <c r="EK37" s="158"/>
      <c r="EL37" s="158"/>
      <c r="EM37" s="158"/>
      <c r="EN37" s="158"/>
      <c r="EO37" s="158"/>
      <c r="EP37" s="158"/>
      <c r="EQ37" s="158"/>
      <c r="ER37" s="158"/>
      <c r="ES37" s="158"/>
      <c r="ET37" s="158"/>
      <c r="EU37" s="158"/>
      <c r="EV37" s="158"/>
      <c r="EW37" s="158"/>
      <c r="EX37" s="158"/>
      <c r="EY37" s="158"/>
      <c r="EZ37" s="158"/>
      <c r="FA37" s="158"/>
      <c r="FB37" s="158"/>
      <c r="FC37" s="158"/>
      <c r="FD37" s="158"/>
      <c r="FE37" s="158"/>
      <c r="FF37" s="158"/>
      <c r="FG37" s="158"/>
      <c r="FH37" s="158"/>
      <c r="FI37" s="158"/>
      <c r="FJ37" s="158"/>
      <c r="FK37" s="158"/>
      <c r="FL37" s="158"/>
      <c r="FM37" s="158"/>
      <c r="FN37" s="158"/>
      <c r="FO37" s="158"/>
      <c r="FP37" s="158"/>
      <c r="FQ37" s="158"/>
      <c r="FR37" s="158"/>
      <c r="FS37" s="158"/>
      <c r="FT37" s="158"/>
      <c r="FU37" s="158"/>
      <c r="FV37" s="158"/>
      <c r="FW37" s="158"/>
      <c r="FX37" s="158"/>
      <c r="FY37" s="158"/>
      <c r="FZ37" s="158"/>
      <c r="GA37" s="158"/>
      <c r="GB37" s="158"/>
      <c r="GC37" s="158"/>
      <c r="GD37" s="158"/>
      <c r="GE37" s="158"/>
      <c r="GF37" s="158"/>
    </row>
    <row r="38" spans="2:188" s="324" customFormat="1">
      <c r="B38" s="316">
        <v>32</v>
      </c>
      <c r="C38" s="422" t="s">
        <v>244</v>
      </c>
      <c r="D38" s="422" t="s">
        <v>427</v>
      </c>
      <c r="E38" s="422" t="s">
        <v>359</v>
      </c>
      <c r="F38" s="422" t="s">
        <v>392</v>
      </c>
      <c r="G38" s="371">
        <v>1</v>
      </c>
      <c r="H38" s="369">
        <v>100000</v>
      </c>
      <c r="I38" s="317">
        <f t="shared" si="0"/>
        <v>18750</v>
      </c>
      <c r="J38" s="249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58"/>
      <c r="Z38" s="158"/>
      <c r="AA38" s="158"/>
      <c r="AB38" s="158"/>
      <c r="AC38" s="158"/>
      <c r="AD38" s="158"/>
      <c r="AE38" s="158"/>
      <c r="AF38" s="158"/>
      <c r="AG38" s="158"/>
      <c r="AH38" s="158"/>
      <c r="AI38" s="158"/>
      <c r="AJ38" s="158"/>
      <c r="AK38" s="158"/>
      <c r="AL38" s="158"/>
      <c r="AM38" s="158"/>
      <c r="AN38" s="158"/>
      <c r="AO38" s="158"/>
      <c r="AP38" s="158"/>
      <c r="AQ38" s="158"/>
      <c r="AR38" s="158"/>
      <c r="AS38" s="158"/>
      <c r="AT38" s="158"/>
      <c r="AU38" s="158"/>
      <c r="AV38" s="158"/>
      <c r="AW38" s="158"/>
      <c r="AX38" s="158"/>
      <c r="AY38" s="158"/>
      <c r="AZ38" s="158"/>
      <c r="BA38" s="158"/>
      <c r="BB38" s="158"/>
      <c r="BC38" s="158"/>
      <c r="BD38" s="158"/>
      <c r="BE38" s="158"/>
      <c r="BF38" s="158"/>
      <c r="BG38" s="158"/>
      <c r="BH38" s="158"/>
      <c r="BI38" s="158"/>
      <c r="BJ38" s="158"/>
      <c r="BK38" s="158"/>
      <c r="BL38" s="158"/>
      <c r="BM38" s="158"/>
      <c r="BN38" s="158"/>
      <c r="BO38" s="158"/>
      <c r="BP38" s="158"/>
      <c r="BQ38" s="158"/>
      <c r="BR38" s="158"/>
      <c r="BS38" s="158"/>
      <c r="BT38" s="158"/>
      <c r="BU38" s="158"/>
      <c r="BV38" s="158"/>
      <c r="BW38" s="158"/>
      <c r="BX38" s="158"/>
      <c r="BY38" s="158"/>
      <c r="BZ38" s="158"/>
      <c r="CA38" s="158"/>
      <c r="CB38" s="158"/>
      <c r="CC38" s="158"/>
      <c r="CD38" s="158"/>
      <c r="CE38" s="158"/>
      <c r="CF38" s="158"/>
      <c r="CG38" s="158"/>
      <c r="CH38" s="158"/>
      <c r="CI38" s="158"/>
      <c r="CJ38" s="158"/>
      <c r="CK38" s="158"/>
      <c r="CL38" s="158"/>
      <c r="CM38" s="158"/>
      <c r="CN38" s="158"/>
      <c r="CO38" s="158"/>
      <c r="CP38" s="158"/>
      <c r="CQ38" s="158"/>
      <c r="CR38" s="158"/>
      <c r="CS38" s="158"/>
      <c r="CT38" s="158"/>
      <c r="CU38" s="158"/>
      <c r="CV38" s="158"/>
      <c r="CW38" s="158"/>
      <c r="CX38" s="158"/>
      <c r="CY38" s="158"/>
      <c r="CZ38" s="158"/>
      <c r="DA38" s="158"/>
      <c r="DB38" s="158"/>
      <c r="DC38" s="158"/>
      <c r="DD38" s="158"/>
      <c r="DE38" s="158"/>
      <c r="DF38" s="158"/>
      <c r="DG38" s="158"/>
      <c r="DH38" s="158"/>
      <c r="DI38" s="158"/>
      <c r="DJ38" s="158"/>
      <c r="DK38" s="158"/>
      <c r="DL38" s="158"/>
      <c r="DM38" s="158"/>
      <c r="DN38" s="158"/>
      <c r="DO38" s="158"/>
      <c r="DP38" s="158"/>
      <c r="DQ38" s="158"/>
      <c r="DR38" s="158"/>
      <c r="DS38" s="158"/>
      <c r="DT38" s="158"/>
      <c r="DU38" s="158"/>
      <c r="DV38" s="158"/>
      <c r="DW38" s="158"/>
      <c r="DX38" s="158"/>
      <c r="DY38" s="158"/>
      <c r="DZ38" s="158"/>
      <c r="EA38" s="158"/>
      <c r="EB38" s="158"/>
      <c r="EC38" s="158"/>
      <c r="ED38" s="158"/>
      <c r="EE38" s="158"/>
      <c r="EF38" s="158"/>
      <c r="EG38" s="158"/>
      <c r="EH38" s="158"/>
      <c r="EI38" s="158"/>
      <c r="EJ38" s="158"/>
      <c r="EK38" s="158"/>
      <c r="EL38" s="158"/>
      <c r="EM38" s="158"/>
      <c r="EN38" s="158"/>
      <c r="EO38" s="158"/>
      <c r="EP38" s="158"/>
      <c r="EQ38" s="158"/>
      <c r="ER38" s="158"/>
      <c r="ES38" s="158"/>
      <c r="ET38" s="158"/>
      <c r="EU38" s="158"/>
      <c r="EV38" s="158"/>
      <c r="EW38" s="158"/>
      <c r="EX38" s="158"/>
      <c r="EY38" s="158"/>
      <c r="EZ38" s="158"/>
      <c r="FA38" s="158"/>
      <c r="FB38" s="158"/>
      <c r="FC38" s="158"/>
      <c r="FD38" s="158"/>
      <c r="FE38" s="158"/>
      <c r="FF38" s="158"/>
      <c r="FG38" s="158"/>
      <c r="FH38" s="158"/>
      <c r="FI38" s="158"/>
      <c r="FJ38" s="158"/>
      <c r="FK38" s="158"/>
      <c r="FL38" s="158"/>
      <c r="FM38" s="158"/>
      <c r="FN38" s="158"/>
      <c r="FO38" s="158"/>
      <c r="FP38" s="158"/>
      <c r="FQ38" s="158"/>
      <c r="FR38" s="158"/>
      <c r="FS38" s="158"/>
      <c r="FT38" s="158"/>
      <c r="FU38" s="158"/>
      <c r="FV38" s="158"/>
      <c r="FW38" s="158"/>
      <c r="FX38" s="158"/>
      <c r="FY38" s="158"/>
      <c r="FZ38" s="158"/>
      <c r="GA38" s="158"/>
      <c r="GB38" s="158"/>
      <c r="GC38" s="158"/>
      <c r="GD38" s="158"/>
      <c r="GE38" s="158"/>
      <c r="GF38" s="158"/>
    </row>
    <row r="39" spans="2:188" s="324" customFormat="1">
      <c r="B39" s="316">
        <v>33</v>
      </c>
      <c r="C39" s="422" t="s">
        <v>236</v>
      </c>
      <c r="D39" s="422" t="s">
        <v>391</v>
      </c>
      <c r="E39" s="422" t="s">
        <v>152</v>
      </c>
      <c r="F39" s="422" t="s">
        <v>395</v>
      </c>
      <c r="G39" s="371">
        <v>1</v>
      </c>
      <c r="H39" s="369">
        <v>100000</v>
      </c>
      <c r="I39" s="317">
        <f t="shared" si="0"/>
        <v>18750</v>
      </c>
      <c r="J39" s="249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/>
      <c r="Z39" s="158"/>
      <c r="AA39" s="158"/>
      <c r="AB39" s="158"/>
      <c r="AC39" s="158"/>
      <c r="AD39" s="158"/>
      <c r="AE39" s="158"/>
      <c r="AF39" s="158"/>
      <c r="AG39" s="158"/>
      <c r="AH39" s="158"/>
      <c r="AI39" s="158"/>
      <c r="AJ39" s="158"/>
      <c r="AK39" s="158"/>
      <c r="AL39" s="158"/>
      <c r="AM39" s="158"/>
      <c r="AN39" s="158"/>
      <c r="AO39" s="158"/>
      <c r="AP39" s="158"/>
      <c r="AQ39" s="158"/>
      <c r="AR39" s="158"/>
      <c r="AS39" s="158"/>
      <c r="AT39" s="158"/>
      <c r="AU39" s="158"/>
      <c r="AV39" s="158"/>
      <c r="AW39" s="158"/>
      <c r="AX39" s="158"/>
      <c r="AY39" s="158"/>
      <c r="AZ39" s="158"/>
      <c r="BA39" s="158"/>
      <c r="BB39" s="158"/>
      <c r="BC39" s="158"/>
      <c r="BD39" s="158"/>
      <c r="BE39" s="158"/>
      <c r="BF39" s="158"/>
      <c r="BG39" s="158"/>
      <c r="BH39" s="158"/>
      <c r="BI39" s="158"/>
      <c r="BJ39" s="158"/>
      <c r="BK39" s="158"/>
      <c r="BL39" s="158"/>
      <c r="BM39" s="158"/>
      <c r="BN39" s="158"/>
      <c r="BO39" s="158"/>
      <c r="BP39" s="158"/>
      <c r="BQ39" s="158"/>
      <c r="BR39" s="158"/>
      <c r="BS39" s="158"/>
      <c r="BT39" s="158"/>
      <c r="BU39" s="158"/>
      <c r="BV39" s="158"/>
      <c r="BW39" s="158"/>
      <c r="BX39" s="158"/>
      <c r="BY39" s="158"/>
      <c r="BZ39" s="158"/>
      <c r="CA39" s="158"/>
      <c r="CB39" s="158"/>
      <c r="CC39" s="158"/>
      <c r="CD39" s="158"/>
      <c r="CE39" s="158"/>
      <c r="CF39" s="158"/>
      <c r="CG39" s="158"/>
      <c r="CH39" s="158"/>
      <c r="CI39" s="158"/>
      <c r="CJ39" s="158"/>
      <c r="CK39" s="158"/>
      <c r="CL39" s="158"/>
      <c r="CM39" s="158"/>
      <c r="CN39" s="158"/>
      <c r="CO39" s="158"/>
      <c r="CP39" s="158"/>
      <c r="CQ39" s="158"/>
      <c r="CR39" s="158"/>
      <c r="CS39" s="158"/>
      <c r="CT39" s="158"/>
      <c r="CU39" s="158"/>
      <c r="CV39" s="158"/>
      <c r="CW39" s="158"/>
      <c r="CX39" s="158"/>
      <c r="CY39" s="158"/>
      <c r="CZ39" s="158"/>
      <c r="DA39" s="158"/>
      <c r="DB39" s="158"/>
      <c r="DC39" s="158"/>
      <c r="DD39" s="158"/>
      <c r="DE39" s="158"/>
      <c r="DF39" s="158"/>
      <c r="DG39" s="158"/>
      <c r="DH39" s="158"/>
      <c r="DI39" s="158"/>
      <c r="DJ39" s="158"/>
      <c r="DK39" s="158"/>
      <c r="DL39" s="158"/>
      <c r="DM39" s="158"/>
      <c r="DN39" s="158"/>
      <c r="DO39" s="158"/>
      <c r="DP39" s="158"/>
      <c r="DQ39" s="158"/>
      <c r="DR39" s="158"/>
      <c r="DS39" s="158"/>
      <c r="DT39" s="158"/>
      <c r="DU39" s="158"/>
      <c r="DV39" s="158"/>
      <c r="DW39" s="158"/>
      <c r="DX39" s="158"/>
      <c r="DY39" s="158"/>
      <c r="DZ39" s="158"/>
      <c r="EA39" s="158"/>
      <c r="EB39" s="158"/>
      <c r="EC39" s="158"/>
      <c r="ED39" s="158"/>
      <c r="EE39" s="158"/>
      <c r="EF39" s="158"/>
      <c r="EG39" s="158"/>
      <c r="EH39" s="158"/>
      <c r="EI39" s="158"/>
      <c r="EJ39" s="158"/>
      <c r="EK39" s="158"/>
      <c r="EL39" s="158"/>
      <c r="EM39" s="158"/>
      <c r="EN39" s="158"/>
      <c r="EO39" s="158"/>
      <c r="EP39" s="158"/>
      <c r="EQ39" s="158"/>
      <c r="ER39" s="158"/>
      <c r="ES39" s="158"/>
      <c r="ET39" s="158"/>
      <c r="EU39" s="158"/>
      <c r="EV39" s="158"/>
      <c r="EW39" s="158"/>
      <c r="EX39" s="158"/>
      <c r="EY39" s="158"/>
      <c r="EZ39" s="158"/>
      <c r="FA39" s="158"/>
      <c r="FB39" s="158"/>
      <c r="FC39" s="158"/>
      <c r="FD39" s="158"/>
      <c r="FE39" s="158"/>
      <c r="FF39" s="158"/>
      <c r="FG39" s="158"/>
      <c r="FH39" s="158"/>
      <c r="FI39" s="158"/>
      <c r="FJ39" s="158"/>
      <c r="FK39" s="158"/>
      <c r="FL39" s="158"/>
      <c r="FM39" s="158"/>
      <c r="FN39" s="158"/>
      <c r="FO39" s="158"/>
      <c r="FP39" s="158"/>
      <c r="FQ39" s="158"/>
      <c r="FR39" s="158"/>
      <c r="FS39" s="158"/>
      <c r="FT39" s="158"/>
      <c r="FU39" s="158"/>
      <c r="FV39" s="158"/>
      <c r="FW39" s="158"/>
      <c r="FX39" s="158"/>
      <c r="FY39" s="158"/>
      <c r="FZ39" s="158"/>
      <c r="GA39" s="158"/>
      <c r="GB39" s="158"/>
      <c r="GC39" s="158"/>
      <c r="GD39" s="158"/>
      <c r="GE39" s="158"/>
      <c r="GF39" s="158"/>
    </row>
    <row r="40" spans="2:188" s="324" customFormat="1">
      <c r="B40" s="316">
        <v>34</v>
      </c>
      <c r="C40" s="422" t="s">
        <v>324</v>
      </c>
      <c r="D40" s="422" t="s">
        <v>432</v>
      </c>
      <c r="E40" s="422" t="s">
        <v>419</v>
      </c>
      <c r="F40" s="422" t="s">
        <v>395</v>
      </c>
      <c r="G40" s="371">
        <v>3</v>
      </c>
      <c r="H40" s="369">
        <v>300000</v>
      </c>
      <c r="I40" s="317">
        <f t="shared" si="0"/>
        <v>56250</v>
      </c>
      <c r="J40" s="249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  <c r="X40" s="158"/>
      <c r="Y40" s="158"/>
      <c r="Z40" s="158"/>
      <c r="AA40" s="158"/>
      <c r="AB40" s="158"/>
      <c r="AC40" s="158"/>
      <c r="AD40" s="158"/>
      <c r="AE40" s="158"/>
      <c r="AF40" s="158"/>
      <c r="AG40" s="158"/>
      <c r="AH40" s="158"/>
      <c r="AI40" s="158"/>
      <c r="AJ40" s="158"/>
      <c r="AK40" s="158"/>
      <c r="AL40" s="158"/>
      <c r="AM40" s="158"/>
      <c r="AN40" s="158"/>
      <c r="AO40" s="158"/>
      <c r="AP40" s="158"/>
      <c r="AQ40" s="158"/>
      <c r="AR40" s="158"/>
      <c r="AS40" s="158"/>
      <c r="AT40" s="158"/>
      <c r="AU40" s="158"/>
      <c r="AV40" s="158"/>
      <c r="AW40" s="158"/>
      <c r="AX40" s="158"/>
      <c r="AY40" s="158"/>
      <c r="AZ40" s="158"/>
      <c r="BA40" s="158"/>
      <c r="BB40" s="158"/>
      <c r="BC40" s="158"/>
      <c r="BD40" s="158"/>
      <c r="BE40" s="158"/>
      <c r="BF40" s="158"/>
      <c r="BG40" s="158"/>
      <c r="BH40" s="158"/>
      <c r="BI40" s="158"/>
      <c r="BJ40" s="158"/>
      <c r="BK40" s="158"/>
      <c r="BL40" s="158"/>
      <c r="BM40" s="158"/>
      <c r="BN40" s="158"/>
      <c r="BO40" s="158"/>
      <c r="BP40" s="158"/>
      <c r="BQ40" s="158"/>
      <c r="BR40" s="158"/>
      <c r="BS40" s="158"/>
      <c r="BT40" s="158"/>
      <c r="BU40" s="158"/>
      <c r="BV40" s="158"/>
      <c r="BW40" s="158"/>
      <c r="BX40" s="158"/>
      <c r="BY40" s="158"/>
      <c r="BZ40" s="158"/>
      <c r="CA40" s="158"/>
      <c r="CB40" s="158"/>
      <c r="CC40" s="158"/>
      <c r="CD40" s="158"/>
      <c r="CE40" s="158"/>
      <c r="CF40" s="158"/>
      <c r="CG40" s="158"/>
      <c r="CH40" s="158"/>
      <c r="CI40" s="158"/>
      <c r="CJ40" s="158"/>
      <c r="CK40" s="158"/>
      <c r="CL40" s="158"/>
      <c r="CM40" s="158"/>
      <c r="CN40" s="158"/>
      <c r="CO40" s="158"/>
      <c r="CP40" s="158"/>
      <c r="CQ40" s="158"/>
      <c r="CR40" s="158"/>
      <c r="CS40" s="158"/>
      <c r="CT40" s="158"/>
      <c r="CU40" s="158"/>
      <c r="CV40" s="158"/>
      <c r="CW40" s="158"/>
      <c r="CX40" s="158"/>
      <c r="CY40" s="158"/>
      <c r="CZ40" s="158"/>
      <c r="DA40" s="158"/>
      <c r="DB40" s="158"/>
      <c r="DC40" s="158"/>
      <c r="DD40" s="158"/>
      <c r="DE40" s="158"/>
      <c r="DF40" s="158"/>
      <c r="DG40" s="158"/>
      <c r="DH40" s="158"/>
      <c r="DI40" s="158"/>
      <c r="DJ40" s="158"/>
      <c r="DK40" s="158"/>
      <c r="DL40" s="158"/>
      <c r="DM40" s="158"/>
      <c r="DN40" s="158"/>
      <c r="DO40" s="158"/>
      <c r="DP40" s="158"/>
      <c r="DQ40" s="158"/>
      <c r="DR40" s="158"/>
      <c r="DS40" s="158"/>
      <c r="DT40" s="158"/>
      <c r="DU40" s="158"/>
      <c r="DV40" s="158"/>
      <c r="DW40" s="158"/>
      <c r="DX40" s="158"/>
      <c r="DY40" s="158"/>
      <c r="DZ40" s="158"/>
      <c r="EA40" s="158"/>
      <c r="EB40" s="158"/>
      <c r="EC40" s="158"/>
      <c r="ED40" s="158"/>
      <c r="EE40" s="158"/>
      <c r="EF40" s="158"/>
      <c r="EG40" s="158"/>
      <c r="EH40" s="158"/>
      <c r="EI40" s="158"/>
      <c r="EJ40" s="158"/>
      <c r="EK40" s="158"/>
      <c r="EL40" s="158"/>
      <c r="EM40" s="158"/>
      <c r="EN40" s="158"/>
      <c r="EO40" s="158"/>
      <c r="EP40" s="158"/>
      <c r="EQ40" s="158"/>
      <c r="ER40" s="158"/>
      <c r="ES40" s="158"/>
      <c r="ET40" s="158"/>
      <c r="EU40" s="158"/>
      <c r="EV40" s="158"/>
      <c r="EW40" s="158"/>
      <c r="EX40" s="158"/>
      <c r="EY40" s="158"/>
      <c r="EZ40" s="158"/>
      <c r="FA40" s="158"/>
      <c r="FB40" s="158"/>
      <c r="FC40" s="158"/>
      <c r="FD40" s="158"/>
      <c r="FE40" s="158"/>
      <c r="FF40" s="158"/>
      <c r="FG40" s="158"/>
      <c r="FH40" s="158"/>
      <c r="FI40" s="158"/>
      <c r="FJ40" s="158"/>
      <c r="FK40" s="158"/>
      <c r="FL40" s="158"/>
      <c r="FM40" s="158"/>
      <c r="FN40" s="158"/>
      <c r="FO40" s="158"/>
      <c r="FP40" s="158"/>
      <c r="FQ40" s="158"/>
      <c r="FR40" s="158"/>
      <c r="FS40" s="158"/>
      <c r="FT40" s="158"/>
      <c r="FU40" s="158"/>
      <c r="FV40" s="158"/>
      <c r="FW40" s="158"/>
      <c r="FX40" s="158"/>
      <c r="FY40" s="158"/>
      <c r="FZ40" s="158"/>
      <c r="GA40" s="158"/>
      <c r="GB40" s="158"/>
      <c r="GC40" s="158"/>
      <c r="GD40" s="158"/>
      <c r="GE40" s="158"/>
      <c r="GF40" s="158"/>
    </row>
    <row r="41" spans="2:188" s="324" customFormat="1">
      <c r="B41" s="316">
        <v>35</v>
      </c>
      <c r="C41" s="422" t="s">
        <v>206</v>
      </c>
      <c r="D41" s="422" t="s">
        <v>404</v>
      </c>
      <c r="E41" s="422" t="s">
        <v>405</v>
      </c>
      <c r="F41" s="422" t="s">
        <v>392</v>
      </c>
      <c r="G41" s="371">
        <v>1</v>
      </c>
      <c r="H41" s="369">
        <v>100000</v>
      </c>
      <c r="I41" s="317">
        <f t="shared" si="0"/>
        <v>18750</v>
      </c>
      <c r="J41" s="249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58"/>
      <c r="Z41" s="158"/>
      <c r="AA41" s="158"/>
      <c r="AB41" s="158"/>
      <c r="AC41" s="158"/>
      <c r="AD41" s="158"/>
      <c r="AE41" s="158"/>
      <c r="AF41" s="158"/>
      <c r="AG41" s="158"/>
      <c r="AH41" s="158"/>
      <c r="AI41" s="158"/>
      <c r="AJ41" s="158"/>
      <c r="AK41" s="158"/>
      <c r="AL41" s="158"/>
      <c r="AM41" s="158"/>
      <c r="AN41" s="158"/>
      <c r="AO41" s="158"/>
      <c r="AP41" s="158"/>
      <c r="AQ41" s="158"/>
      <c r="AR41" s="158"/>
      <c r="AS41" s="158"/>
      <c r="AT41" s="158"/>
      <c r="AU41" s="158"/>
      <c r="AV41" s="158"/>
      <c r="AW41" s="158"/>
      <c r="AX41" s="158"/>
      <c r="AY41" s="158"/>
      <c r="AZ41" s="158"/>
      <c r="BA41" s="158"/>
      <c r="BB41" s="158"/>
      <c r="BC41" s="158"/>
      <c r="BD41" s="158"/>
      <c r="BE41" s="158"/>
      <c r="BF41" s="158"/>
      <c r="BG41" s="158"/>
      <c r="BH41" s="158"/>
      <c r="BI41" s="158"/>
      <c r="BJ41" s="158"/>
      <c r="BK41" s="158"/>
      <c r="BL41" s="158"/>
      <c r="BM41" s="158"/>
      <c r="BN41" s="158"/>
      <c r="BO41" s="158"/>
      <c r="BP41" s="158"/>
      <c r="BQ41" s="158"/>
      <c r="BR41" s="158"/>
      <c r="BS41" s="158"/>
      <c r="BT41" s="158"/>
      <c r="BU41" s="158"/>
      <c r="BV41" s="158"/>
      <c r="BW41" s="158"/>
      <c r="BX41" s="158"/>
      <c r="BY41" s="158"/>
      <c r="BZ41" s="158"/>
      <c r="CA41" s="158"/>
      <c r="CB41" s="158"/>
      <c r="CC41" s="158"/>
      <c r="CD41" s="158"/>
      <c r="CE41" s="158"/>
      <c r="CF41" s="158"/>
      <c r="CG41" s="158"/>
      <c r="CH41" s="158"/>
      <c r="CI41" s="158"/>
      <c r="CJ41" s="158"/>
      <c r="CK41" s="158"/>
      <c r="CL41" s="158"/>
      <c r="CM41" s="158"/>
      <c r="CN41" s="158"/>
      <c r="CO41" s="158"/>
      <c r="CP41" s="158"/>
      <c r="CQ41" s="158"/>
      <c r="CR41" s="158"/>
      <c r="CS41" s="158"/>
      <c r="CT41" s="158"/>
      <c r="CU41" s="158"/>
      <c r="CV41" s="158"/>
      <c r="CW41" s="158"/>
      <c r="CX41" s="158"/>
      <c r="CY41" s="158"/>
      <c r="CZ41" s="158"/>
      <c r="DA41" s="158"/>
      <c r="DB41" s="158"/>
      <c r="DC41" s="158"/>
      <c r="DD41" s="158"/>
      <c r="DE41" s="158"/>
      <c r="DF41" s="158"/>
      <c r="DG41" s="158"/>
      <c r="DH41" s="158"/>
      <c r="DI41" s="158"/>
      <c r="DJ41" s="158"/>
      <c r="DK41" s="158"/>
      <c r="DL41" s="158"/>
      <c r="DM41" s="158"/>
      <c r="DN41" s="158"/>
      <c r="DO41" s="158"/>
      <c r="DP41" s="158"/>
      <c r="DQ41" s="158"/>
      <c r="DR41" s="158"/>
      <c r="DS41" s="158"/>
      <c r="DT41" s="158"/>
      <c r="DU41" s="158"/>
      <c r="DV41" s="158"/>
      <c r="DW41" s="158"/>
      <c r="DX41" s="158"/>
      <c r="DY41" s="158"/>
      <c r="DZ41" s="158"/>
      <c r="EA41" s="158"/>
      <c r="EB41" s="158"/>
      <c r="EC41" s="158"/>
      <c r="ED41" s="158"/>
      <c r="EE41" s="158"/>
      <c r="EF41" s="158"/>
      <c r="EG41" s="158"/>
      <c r="EH41" s="158"/>
      <c r="EI41" s="158"/>
      <c r="EJ41" s="158"/>
      <c r="EK41" s="158"/>
      <c r="EL41" s="158"/>
      <c r="EM41" s="158"/>
      <c r="EN41" s="158"/>
      <c r="EO41" s="158"/>
      <c r="EP41" s="158"/>
      <c r="EQ41" s="158"/>
      <c r="ER41" s="158"/>
      <c r="ES41" s="158"/>
      <c r="ET41" s="158"/>
      <c r="EU41" s="158"/>
      <c r="EV41" s="158"/>
      <c r="EW41" s="158"/>
      <c r="EX41" s="158"/>
      <c r="EY41" s="158"/>
      <c r="EZ41" s="158"/>
      <c r="FA41" s="158"/>
      <c r="FB41" s="158"/>
      <c r="FC41" s="158"/>
      <c r="FD41" s="158"/>
      <c r="FE41" s="158"/>
      <c r="FF41" s="158"/>
      <c r="FG41" s="158"/>
      <c r="FH41" s="158"/>
      <c r="FI41" s="158"/>
      <c r="FJ41" s="158"/>
      <c r="FK41" s="158"/>
      <c r="FL41" s="158"/>
      <c r="FM41" s="158"/>
      <c r="FN41" s="158"/>
      <c r="FO41" s="158"/>
      <c r="FP41" s="158"/>
      <c r="FQ41" s="158"/>
      <c r="FR41" s="158"/>
      <c r="FS41" s="158"/>
      <c r="FT41" s="158"/>
      <c r="FU41" s="158"/>
      <c r="FV41" s="158"/>
      <c r="FW41" s="158"/>
      <c r="FX41" s="158"/>
      <c r="FY41" s="158"/>
      <c r="FZ41" s="158"/>
      <c r="GA41" s="158"/>
      <c r="GB41" s="158"/>
      <c r="GC41" s="158"/>
      <c r="GD41" s="158"/>
      <c r="GE41" s="158"/>
      <c r="GF41" s="158"/>
    </row>
    <row r="42" spans="2:188" s="324" customFormat="1">
      <c r="B42" s="316">
        <v>36</v>
      </c>
      <c r="C42" s="422" t="s">
        <v>209</v>
      </c>
      <c r="D42" s="422" t="s">
        <v>433</v>
      </c>
      <c r="E42" s="422" t="s">
        <v>367</v>
      </c>
      <c r="F42" s="422" t="s">
        <v>392</v>
      </c>
      <c r="G42" s="371">
        <v>2</v>
      </c>
      <c r="H42" s="369">
        <v>200000</v>
      </c>
      <c r="I42" s="317">
        <f t="shared" si="0"/>
        <v>37500</v>
      </c>
      <c r="J42" s="249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58"/>
      <c r="X42" s="158"/>
      <c r="Y42" s="158"/>
      <c r="Z42" s="158"/>
      <c r="AA42" s="158"/>
      <c r="AB42" s="158"/>
      <c r="AC42" s="158"/>
      <c r="AD42" s="158"/>
      <c r="AE42" s="158"/>
      <c r="AF42" s="158"/>
      <c r="AG42" s="158"/>
      <c r="AH42" s="158"/>
      <c r="AI42" s="158"/>
      <c r="AJ42" s="158"/>
      <c r="AK42" s="158"/>
      <c r="AL42" s="158"/>
      <c r="AM42" s="158"/>
      <c r="AN42" s="158"/>
      <c r="AO42" s="158"/>
      <c r="AP42" s="158"/>
      <c r="AQ42" s="158"/>
      <c r="AR42" s="158"/>
      <c r="AS42" s="158"/>
      <c r="AT42" s="158"/>
      <c r="AU42" s="158"/>
      <c r="AV42" s="158"/>
      <c r="AW42" s="158"/>
      <c r="AX42" s="158"/>
      <c r="AY42" s="158"/>
      <c r="AZ42" s="158"/>
      <c r="BA42" s="158"/>
      <c r="BB42" s="158"/>
      <c r="BC42" s="158"/>
      <c r="BD42" s="158"/>
      <c r="BE42" s="158"/>
      <c r="BF42" s="158"/>
      <c r="BG42" s="158"/>
      <c r="BH42" s="158"/>
      <c r="BI42" s="158"/>
      <c r="BJ42" s="158"/>
      <c r="BK42" s="158"/>
      <c r="BL42" s="158"/>
      <c r="BM42" s="158"/>
      <c r="BN42" s="158"/>
      <c r="BO42" s="158"/>
      <c r="BP42" s="158"/>
      <c r="BQ42" s="158"/>
      <c r="BR42" s="158"/>
      <c r="BS42" s="158"/>
      <c r="BT42" s="158"/>
      <c r="BU42" s="158"/>
      <c r="BV42" s="158"/>
      <c r="BW42" s="158"/>
      <c r="BX42" s="158"/>
      <c r="BY42" s="158"/>
      <c r="BZ42" s="158"/>
      <c r="CA42" s="158"/>
      <c r="CB42" s="158"/>
      <c r="CC42" s="158"/>
      <c r="CD42" s="158"/>
      <c r="CE42" s="158"/>
      <c r="CF42" s="158"/>
      <c r="CG42" s="158"/>
      <c r="CH42" s="158"/>
      <c r="CI42" s="158"/>
      <c r="CJ42" s="158"/>
      <c r="CK42" s="158"/>
      <c r="CL42" s="158"/>
      <c r="CM42" s="158"/>
      <c r="CN42" s="158"/>
      <c r="CO42" s="158"/>
      <c r="CP42" s="158"/>
      <c r="CQ42" s="158"/>
      <c r="CR42" s="158"/>
      <c r="CS42" s="158"/>
      <c r="CT42" s="158"/>
      <c r="CU42" s="158"/>
      <c r="CV42" s="158"/>
      <c r="CW42" s="158"/>
      <c r="CX42" s="158"/>
      <c r="CY42" s="158"/>
      <c r="CZ42" s="158"/>
      <c r="DA42" s="158"/>
      <c r="DB42" s="158"/>
      <c r="DC42" s="158"/>
      <c r="DD42" s="158"/>
      <c r="DE42" s="158"/>
      <c r="DF42" s="158"/>
      <c r="DG42" s="158"/>
      <c r="DH42" s="158"/>
      <c r="DI42" s="158"/>
      <c r="DJ42" s="158"/>
      <c r="DK42" s="158"/>
      <c r="DL42" s="158"/>
      <c r="DM42" s="158"/>
      <c r="DN42" s="158"/>
      <c r="DO42" s="158"/>
      <c r="DP42" s="158"/>
      <c r="DQ42" s="158"/>
      <c r="DR42" s="158"/>
      <c r="DS42" s="158"/>
      <c r="DT42" s="158"/>
      <c r="DU42" s="158"/>
      <c r="DV42" s="158"/>
      <c r="DW42" s="158"/>
      <c r="DX42" s="158"/>
      <c r="DY42" s="158"/>
      <c r="DZ42" s="158"/>
      <c r="EA42" s="158"/>
      <c r="EB42" s="158"/>
      <c r="EC42" s="158"/>
      <c r="ED42" s="158"/>
      <c r="EE42" s="158"/>
      <c r="EF42" s="158"/>
      <c r="EG42" s="158"/>
      <c r="EH42" s="158"/>
      <c r="EI42" s="158"/>
      <c r="EJ42" s="158"/>
      <c r="EK42" s="158"/>
      <c r="EL42" s="158"/>
      <c r="EM42" s="158"/>
      <c r="EN42" s="158"/>
      <c r="EO42" s="158"/>
      <c r="EP42" s="158"/>
      <c r="EQ42" s="158"/>
      <c r="ER42" s="158"/>
      <c r="ES42" s="158"/>
      <c r="ET42" s="158"/>
      <c r="EU42" s="158"/>
      <c r="EV42" s="158"/>
      <c r="EW42" s="158"/>
      <c r="EX42" s="158"/>
      <c r="EY42" s="158"/>
      <c r="EZ42" s="158"/>
      <c r="FA42" s="158"/>
      <c r="FB42" s="158"/>
      <c r="FC42" s="158"/>
      <c r="FD42" s="158"/>
      <c r="FE42" s="158"/>
      <c r="FF42" s="158"/>
      <c r="FG42" s="158"/>
      <c r="FH42" s="158"/>
      <c r="FI42" s="158"/>
      <c r="FJ42" s="158"/>
      <c r="FK42" s="158"/>
      <c r="FL42" s="158"/>
      <c r="FM42" s="158"/>
      <c r="FN42" s="158"/>
      <c r="FO42" s="158"/>
      <c r="FP42" s="158"/>
      <c r="FQ42" s="158"/>
      <c r="FR42" s="158"/>
      <c r="FS42" s="158"/>
      <c r="FT42" s="158"/>
      <c r="FU42" s="158"/>
      <c r="FV42" s="158"/>
      <c r="FW42" s="158"/>
      <c r="FX42" s="158"/>
      <c r="FY42" s="158"/>
      <c r="FZ42" s="158"/>
      <c r="GA42" s="158"/>
      <c r="GB42" s="158"/>
      <c r="GC42" s="158"/>
      <c r="GD42" s="158"/>
      <c r="GE42" s="158"/>
      <c r="GF42" s="158"/>
    </row>
    <row r="43" spans="2:188" s="324" customFormat="1">
      <c r="B43" s="316">
        <v>37</v>
      </c>
      <c r="C43" s="422" t="s">
        <v>212</v>
      </c>
      <c r="D43" s="422" t="s">
        <v>434</v>
      </c>
      <c r="E43" s="422" t="s">
        <v>435</v>
      </c>
      <c r="F43" s="422" t="s">
        <v>395</v>
      </c>
      <c r="G43" s="371">
        <v>1</v>
      </c>
      <c r="H43" s="369">
        <v>100000</v>
      </c>
      <c r="I43" s="317">
        <f t="shared" si="0"/>
        <v>18750</v>
      </c>
      <c r="J43" s="249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  <c r="Y43" s="158"/>
      <c r="Z43" s="158"/>
      <c r="AA43" s="158"/>
      <c r="AB43" s="158"/>
      <c r="AC43" s="158"/>
      <c r="AD43" s="158"/>
      <c r="AE43" s="158"/>
      <c r="AF43" s="158"/>
      <c r="AG43" s="158"/>
      <c r="AH43" s="158"/>
      <c r="AI43" s="158"/>
      <c r="AJ43" s="158"/>
      <c r="AK43" s="158"/>
      <c r="AL43" s="158"/>
      <c r="AM43" s="158"/>
      <c r="AN43" s="158"/>
      <c r="AO43" s="158"/>
      <c r="AP43" s="158"/>
      <c r="AQ43" s="158"/>
      <c r="AR43" s="158"/>
      <c r="AS43" s="158"/>
      <c r="AT43" s="158"/>
      <c r="AU43" s="158"/>
      <c r="AV43" s="158"/>
      <c r="AW43" s="158"/>
      <c r="AX43" s="158"/>
      <c r="AY43" s="158"/>
      <c r="AZ43" s="158"/>
      <c r="BA43" s="158"/>
      <c r="BB43" s="158"/>
      <c r="BC43" s="158"/>
      <c r="BD43" s="158"/>
      <c r="BE43" s="158"/>
      <c r="BF43" s="158"/>
      <c r="BG43" s="158"/>
      <c r="BH43" s="158"/>
      <c r="BI43" s="158"/>
      <c r="BJ43" s="158"/>
      <c r="BK43" s="158"/>
      <c r="BL43" s="158"/>
      <c r="BM43" s="158"/>
      <c r="BN43" s="158"/>
      <c r="BO43" s="158"/>
      <c r="BP43" s="158"/>
      <c r="BQ43" s="158"/>
      <c r="BR43" s="158"/>
      <c r="BS43" s="158"/>
      <c r="BT43" s="158"/>
      <c r="BU43" s="158"/>
      <c r="BV43" s="158"/>
      <c r="BW43" s="158"/>
      <c r="BX43" s="158"/>
      <c r="BY43" s="158"/>
      <c r="BZ43" s="158"/>
      <c r="CA43" s="158"/>
      <c r="CB43" s="158"/>
      <c r="CC43" s="158"/>
      <c r="CD43" s="158"/>
      <c r="CE43" s="158"/>
      <c r="CF43" s="158"/>
      <c r="CG43" s="158"/>
      <c r="CH43" s="158"/>
      <c r="CI43" s="158"/>
      <c r="CJ43" s="158"/>
      <c r="CK43" s="158"/>
      <c r="CL43" s="158"/>
      <c r="CM43" s="158"/>
      <c r="CN43" s="158"/>
      <c r="CO43" s="158"/>
      <c r="CP43" s="158"/>
      <c r="CQ43" s="158"/>
      <c r="CR43" s="158"/>
      <c r="CS43" s="158"/>
      <c r="CT43" s="158"/>
      <c r="CU43" s="158"/>
      <c r="CV43" s="158"/>
      <c r="CW43" s="158"/>
      <c r="CX43" s="158"/>
      <c r="CY43" s="158"/>
      <c r="CZ43" s="158"/>
      <c r="DA43" s="158"/>
      <c r="DB43" s="158"/>
      <c r="DC43" s="158"/>
      <c r="DD43" s="158"/>
      <c r="DE43" s="158"/>
      <c r="DF43" s="158"/>
      <c r="DG43" s="158"/>
      <c r="DH43" s="158"/>
      <c r="DI43" s="158"/>
      <c r="DJ43" s="158"/>
      <c r="DK43" s="158"/>
      <c r="DL43" s="158"/>
      <c r="DM43" s="158"/>
      <c r="DN43" s="158"/>
      <c r="DO43" s="158"/>
      <c r="DP43" s="158"/>
      <c r="DQ43" s="158"/>
      <c r="DR43" s="158"/>
      <c r="DS43" s="158"/>
      <c r="DT43" s="158"/>
      <c r="DU43" s="158"/>
      <c r="DV43" s="158"/>
      <c r="DW43" s="158"/>
      <c r="DX43" s="158"/>
      <c r="DY43" s="158"/>
      <c r="DZ43" s="158"/>
      <c r="EA43" s="158"/>
      <c r="EB43" s="158"/>
      <c r="EC43" s="158"/>
      <c r="ED43" s="158"/>
      <c r="EE43" s="158"/>
      <c r="EF43" s="158"/>
      <c r="EG43" s="158"/>
      <c r="EH43" s="158"/>
      <c r="EI43" s="158"/>
      <c r="EJ43" s="158"/>
      <c r="EK43" s="158"/>
      <c r="EL43" s="158"/>
      <c r="EM43" s="158"/>
      <c r="EN43" s="158"/>
      <c r="EO43" s="158"/>
      <c r="EP43" s="158"/>
      <c r="EQ43" s="158"/>
      <c r="ER43" s="158"/>
      <c r="ES43" s="158"/>
      <c r="ET43" s="158"/>
      <c r="EU43" s="158"/>
      <c r="EV43" s="158"/>
      <c r="EW43" s="158"/>
      <c r="EX43" s="158"/>
      <c r="EY43" s="158"/>
      <c r="EZ43" s="158"/>
      <c r="FA43" s="158"/>
      <c r="FB43" s="158"/>
      <c r="FC43" s="158"/>
      <c r="FD43" s="158"/>
      <c r="FE43" s="158"/>
      <c r="FF43" s="158"/>
      <c r="FG43" s="158"/>
      <c r="FH43" s="158"/>
      <c r="FI43" s="158"/>
      <c r="FJ43" s="158"/>
      <c r="FK43" s="158"/>
      <c r="FL43" s="158"/>
      <c r="FM43" s="158"/>
      <c r="FN43" s="158"/>
      <c r="FO43" s="158"/>
      <c r="FP43" s="158"/>
      <c r="FQ43" s="158"/>
      <c r="FR43" s="158"/>
      <c r="FS43" s="158"/>
      <c r="FT43" s="158"/>
      <c r="FU43" s="158"/>
      <c r="FV43" s="158"/>
      <c r="FW43" s="158"/>
      <c r="FX43" s="158"/>
      <c r="FY43" s="158"/>
      <c r="FZ43" s="158"/>
      <c r="GA43" s="158"/>
      <c r="GB43" s="158"/>
      <c r="GC43" s="158"/>
      <c r="GD43" s="158"/>
      <c r="GE43" s="158"/>
      <c r="GF43" s="158"/>
    </row>
    <row r="44" spans="2:188" s="324" customFormat="1">
      <c r="B44" s="316">
        <v>38</v>
      </c>
      <c r="C44" s="370" t="s">
        <v>249</v>
      </c>
      <c r="D44" s="370" t="s">
        <v>428</v>
      </c>
      <c r="E44" s="422" t="s">
        <v>135</v>
      </c>
      <c r="F44" s="370" t="s">
        <v>395</v>
      </c>
      <c r="G44" s="371">
        <v>5</v>
      </c>
      <c r="H44" s="369">
        <v>500000</v>
      </c>
      <c r="I44" s="317">
        <f t="shared" si="0"/>
        <v>93750</v>
      </c>
      <c r="J44" s="249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58"/>
      <c r="Z44" s="158"/>
      <c r="AA44" s="158"/>
      <c r="AB44" s="158"/>
      <c r="AC44" s="158"/>
      <c r="AD44" s="158"/>
      <c r="AE44" s="158"/>
      <c r="AF44" s="158"/>
      <c r="AG44" s="158"/>
      <c r="AH44" s="158"/>
      <c r="AI44" s="158"/>
      <c r="AJ44" s="158"/>
      <c r="AK44" s="158"/>
      <c r="AL44" s="158"/>
      <c r="AM44" s="158"/>
      <c r="AN44" s="158"/>
      <c r="AO44" s="158"/>
      <c r="AP44" s="158"/>
      <c r="AQ44" s="158"/>
      <c r="AR44" s="158"/>
      <c r="AS44" s="158"/>
      <c r="AT44" s="158"/>
      <c r="AU44" s="158"/>
      <c r="AV44" s="158"/>
      <c r="AW44" s="158"/>
      <c r="AX44" s="158"/>
      <c r="AY44" s="158"/>
      <c r="AZ44" s="158"/>
      <c r="BA44" s="158"/>
      <c r="BB44" s="158"/>
      <c r="BC44" s="158"/>
      <c r="BD44" s="158"/>
      <c r="BE44" s="158"/>
      <c r="BF44" s="158"/>
      <c r="BG44" s="158"/>
      <c r="BH44" s="158"/>
      <c r="BI44" s="158"/>
      <c r="BJ44" s="158"/>
      <c r="BK44" s="158"/>
      <c r="BL44" s="158"/>
      <c r="BM44" s="158"/>
      <c r="BN44" s="158"/>
      <c r="BO44" s="158"/>
      <c r="BP44" s="158"/>
      <c r="BQ44" s="158"/>
      <c r="BR44" s="158"/>
      <c r="BS44" s="158"/>
      <c r="BT44" s="158"/>
      <c r="BU44" s="158"/>
      <c r="BV44" s="158"/>
      <c r="BW44" s="158"/>
      <c r="BX44" s="158"/>
      <c r="BY44" s="158"/>
      <c r="BZ44" s="158"/>
      <c r="CA44" s="158"/>
      <c r="CB44" s="158"/>
      <c r="CC44" s="158"/>
      <c r="CD44" s="158"/>
      <c r="CE44" s="158"/>
      <c r="CF44" s="158"/>
      <c r="CG44" s="158"/>
      <c r="CH44" s="158"/>
      <c r="CI44" s="158"/>
      <c r="CJ44" s="158"/>
      <c r="CK44" s="158"/>
      <c r="CL44" s="158"/>
      <c r="CM44" s="158"/>
      <c r="CN44" s="158"/>
      <c r="CO44" s="158"/>
      <c r="CP44" s="158"/>
      <c r="CQ44" s="158"/>
      <c r="CR44" s="158"/>
      <c r="CS44" s="158"/>
      <c r="CT44" s="158"/>
      <c r="CU44" s="158"/>
      <c r="CV44" s="158"/>
      <c r="CW44" s="158"/>
      <c r="CX44" s="158"/>
      <c r="CY44" s="158"/>
      <c r="CZ44" s="158"/>
      <c r="DA44" s="158"/>
      <c r="DB44" s="158"/>
      <c r="DC44" s="158"/>
      <c r="DD44" s="158"/>
      <c r="DE44" s="158"/>
      <c r="DF44" s="158"/>
      <c r="DG44" s="158"/>
      <c r="DH44" s="158"/>
      <c r="DI44" s="158"/>
      <c r="DJ44" s="158"/>
      <c r="DK44" s="158"/>
      <c r="DL44" s="158"/>
      <c r="DM44" s="158"/>
      <c r="DN44" s="158"/>
      <c r="DO44" s="158"/>
      <c r="DP44" s="158"/>
      <c r="DQ44" s="158"/>
      <c r="DR44" s="158"/>
      <c r="DS44" s="158"/>
      <c r="DT44" s="158"/>
      <c r="DU44" s="158"/>
      <c r="DV44" s="158"/>
      <c r="DW44" s="158"/>
      <c r="DX44" s="158"/>
      <c r="DY44" s="158"/>
      <c r="DZ44" s="158"/>
      <c r="EA44" s="158"/>
      <c r="EB44" s="158"/>
      <c r="EC44" s="158"/>
      <c r="ED44" s="158"/>
      <c r="EE44" s="158"/>
      <c r="EF44" s="158"/>
      <c r="EG44" s="158"/>
      <c r="EH44" s="158"/>
      <c r="EI44" s="158"/>
      <c r="EJ44" s="158"/>
      <c r="EK44" s="158"/>
      <c r="EL44" s="158"/>
      <c r="EM44" s="158"/>
      <c r="EN44" s="158"/>
      <c r="EO44" s="158"/>
      <c r="EP44" s="158"/>
      <c r="EQ44" s="158"/>
      <c r="ER44" s="158"/>
      <c r="ES44" s="158"/>
      <c r="ET44" s="158"/>
      <c r="EU44" s="158"/>
      <c r="EV44" s="158"/>
      <c r="EW44" s="158"/>
      <c r="EX44" s="158"/>
      <c r="EY44" s="158"/>
      <c r="EZ44" s="158"/>
      <c r="FA44" s="158"/>
      <c r="FB44" s="158"/>
      <c r="FC44" s="158"/>
      <c r="FD44" s="158"/>
      <c r="FE44" s="158"/>
      <c r="FF44" s="158"/>
      <c r="FG44" s="158"/>
      <c r="FH44" s="158"/>
      <c r="FI44" s="158"/>
      <c r="FJ44" s="158"/>
      <c r="FK44" s="158"/>
      <c r="FL44" s="158"/>
      <c r="FM44" s="158"/>
      <c r="FN44" s="158"/>
      <c r="FO44" s="158"/>
      <c r="FP44" s="158"/>
      <c r="FQ44" s="158"/>
      <c r="FR44" s="158"/>
      <c r="FS44" s="158"/>
      <c r="FT44" s="158"/>
      <c r="FU44" s="158"/>
      <c r="FV44" s="158"/>
      <c r="FW44" s="158"/>
      <c r="FX44" s="158"/>
      <c r="FY44" s="158"/>
      <c r="FZ44" s="158"/>
      <c r="GA44" s="158"/>
      <c r="GB44" s="158"/>
      <c r="GC44" s="158"/>
      <c r="GD44" s="158"/>
      <c r="GE44" s="158"/>
      <c r="GF44" s="158"/>
    </row>
    <row r="45" spans="2:188" s="324" customFormat="1">
      <c r="B45" s="316">
        <v>39</v>
      </c>
      <c r="C45" s="370" t="s">
        <v>244</v>
      </c>
      <c r="D45" s="370" t="s">
        <v>436</v>
      </c>
      <c r="E45" s="422" t="s">
        <v>371</v>
      </c>
      <c r="F45" s="370" t="s">
        <v>392</v>
      </c>
      <c r="G45" s="371">
        <v>2</v>
      </c>
      <c r="H45" s="369">
        <v>200000</v>
      </c>
      <c r="I45" s="317">
        <f t="shared" si="0"/>
        <v>37500</v>
      </c>
      <c r="J45" s="249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58"/>
      <c r="Z45" s="158"/>
      <c r="AA45" s="158"/>
      <c r="AB45" s="158"/>
      <c r="AC45" s="158"/>
      <c r="AD45" s="158"/>
      <c r="AE45" s="158"/>
      <c r="AF45" s="158"/>
      <c r="AG45" s="158"/>
      <c r="AH45" s="158"/>
      <c r="AI45" s="158"/>
      <c r="AJ45" s="158"/>
      <c r="AK45" s="158"/>
      <c r="AL45" s="158"/>
      <c r="AM45" s="158"/>
      <c r="AN45" s="158"/>
      <c r="AO45" s="158"/>
      <c r="AP45" s="158"/>
      <c r="AQ45" s="158"/>
      <c r="AR45" s="158"/>
      <c r="AS45" s="158"/>
      <c r="AT45" s="158"/>
      <c r="AU45" s="158"/>
      <c r="AV45" s="158"/>
      <c r="AW45" s="158"/>
      <c r="AX45" s="158"/>
      <c r="AY45" s="158"/>
      <c r="AZ45" s="158"/>
      <c r="BA45" s="158"/>
      <c r="BB45" s="158"/>
      <c r="BC45" s="158"/>
      <c r="BD45" s="158"/>
      <c r="BE45" s="158"/>
      <c r="BF45" s="158"/>
      <c r="BG45" s="158"/>
      <c r="BH45" s="158"/>
      <c r="BI45" s="158"/>
      <c r="BJ45" s="158"/>
      <c r="BK45" s="158"/>
      <c r="BL45" s="158"/>
      <c r="BM45" s="158"/>
      <c r="BN45" s="158"/>
      <c r="BO45" s="158"/>
      <c r="BP45" s="158"/>
      <c r="BQ45" s="158"/>
      <c r="BR45" s="158"/>
      <c r="BS45" s="158"/>
      <c r="BT45" s="158"/>
      <c r="BU45" s="158"/>
      <c r="BV45" s="158"/>
      <c r="BW45" s="158"/>
      <c r="BX45" s="158"/>
      <c r="BY45" s="158"/>
      <c r="BZ45" s="158"/>
      <c r="CA45" s="158"/>
      <c r="CB45" s="158"/>
      <c r="CC45" s="158"/>
      <c r="CD45" s="158"/>
      <c r="CE45" s="158"/>
      <c r="CF45" s="158"/>
      <c r="CG45" s="158"/>
      <c r="CH45" s="158"/>
      <c r="CI45" s="158"/>
      <c r="CJ45" s="158"/>
      <c r="CK45" s="158"/>
      <c r="CL45" s="158"/>
      <c r="CM45" s="158"/>
      <c r="CN45" s="158"/>
      <c r="CO45" s="158"/>
      <c r="CP45" s="158"/>
      <c r="CQ45" s="158"/>
      <c r="CR45" s="158"/>
      <c r="CS45" s="158"/>
      <c r="CT45" s="158"/>
      <c r="CU45" s="158"/>
      <c r="CV45" s="158"/>
      <c r="CW45" s="158"/>
      <c r="CX45" s="158"/>
      <c r="CY45" s="158"/>
      <c r="CZ45" s="158"/>
      <c r="DA45" s="158"/>
      <c r="DB45" s="158"/>
      <c r="DC45" s="158"/>
      <c r="DD45" s="158"/>
      <c r="DE45" s="158"/>
      <c r="DF45" s="158"/>
      <c r="DG45" s="158"/>
      <c r="DH45" s="158"/>
      <c r="DI45" s="158"/>
      <c r="DJ45" s="158"/>
      <c r="DK45" s="158"/>
      <c r="DL45" s="158"/>
      <c r="DM45" s="158"/>
      <c r="DN45" s="158"/>
      <c r="DO45" s="158"/>
      <c r="DP45" s="158"/>
      <c r="DQ45" s="158"/>
      <c r="DR45" s="158"/>
      <c r="DS45" s="158"/>
      <c r="DT45" s="158"/>
      <c r="DU45" s="158"/>
      <c r="DV45" s="158"/>
      <c r="DW45" s="158"/>
      <c r="DX45" s="158"/>
      <c r="DY45" s="158"/>
      <c r="DZ45" s="158"/>
      <c r="EA45" s="158"/>
      <c r="EB45" s="158"/>
      <c r="EC45" s="158"/>
      <c r="ED45" s="158"/>
      <c r="EE45" s="158"/>
      <c r="EF45" s="158"/>
      <c r="EG45" s="158"/>
      <c r="EH45" s="158"/>
      <c r="EI45" s="158"/>
      <c r="EJ45" s="158"/>
      <c r="EK45" s="158"/>
      <c r="EL45" s="158"/>
      <c r="EM45" s="158"/>
      <c r="EN45" s="158"/>
      <c r="EO45" s="158"/>
      <c r="EP45" s="158"/>
      <c r="EQ45" s="158"/>
      <c r="ER45" s="158"/>
      <c r="ES45" s="158"/>
      <c r="ET45" s="158"/>
      <c r="EU45" s="158"/>
      <c r="EV45" s="158"/>
      <c r="EW45" s="158"/>
      <c r="EX45" s="158"/>
      <c r="EY45" s="158"/>
      <c r="EZ45" s="158"/>
      <c r="FA45" s="158"/>
      <c r="FB45" s="158"/>
      <c r="FC45" s="158"/>
      <c r="FD45" s="158"/>
      <c r="FE45" s="158"/>
      <c r="FF45" s="158"/>
      <c r="FG45" s="158"/>
      <c r="FH45" s="158"/>
      <c r="FI45" s="158"/>
      <c r="FJ45" s="158"/>
      <c r="FK45" s="158"/>
      <c r="FL45" s="158"/>
      <c r="FM45" s="158"/>
      <c r="FN45" s="158"/>
      <c r="FO45" s="158"/>
      <c r="FP45" s="158"/>
      <c r="FQ45" s="158"/>
      <c r="FR45" s="158"/>
      <c r="FS45" s="158"/>
      <c r="FT45" s="158"/>
      <c r="FU45" s="158"/>
      <c r="FV45" s="158"/>
      <c r="FW45" s="158"/>
      <c r="FX45" s="158"/>
      <c r="FY45" s="158"/>
      <c r="FZ45" s="158"/>
      <c r="GA45" s="158"/>
      <c r="GB45" s="158"/>
      <c r="GC45" s="158"/>
      <c r="GD45" s="158"/>
      <c r="GE45" s="158"/>
      <c r="GF45" s="158"/>
    </row>
    <row r="46" spans="2:188" s="324" customFormat="1">
      <c r="B46" s="316">
        <v>40</v>
      </c>
      <c r="C46" s="370" t="s">
        <v>209</v>
      </c>
      <c r="D46" s="370" t="s">
        <v>389</v>
      </c>
      <c r="E46" s="422" t="s">
        <v>390</v>
      </c>
      <c r="F46" s="370" t="s">
        <v>395</v>
      </c>
      <c r="G46" s="371">
        <v>14</v>
      </c>
      <c r="H46" s="369">
        <v>1400000</v>
      </c>
      <c r="I46" s="317">
        <f t="shared" si="0"/>
        <v>262500</v>
      </c>
      <c r="J46" s="249"/>
      <c r="K46" s="158"/>
      <c r="L46" s="158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8"/>
      <c r="Y46" s="158"/>
      <c r="Z46" s="158"/>
      <c r="AA46" s="158"/>
      <c r="AB46" s="158"/>
      <c r="AC46" s="158"/>
      <c r="AD46" s="158"/>
      <c r="AE46" s="158"/>
      <c r="AF46" s="158"/>
      <c r="AG46" s="158"/>
      <c r="AH46" s="158"/>
      <c r="AI46" s="158"/>
      <c r="AJ46" s="158"/>
      <c r="AK46" s="158"/>
      <c r="AL46" s="158"/>
      <c r="AM46" s="158"/>
      <c r="AN46" s="158"/>
      <c r="AO46" s="158"/>
      <c r="AP46" s="158"/>
      <c r="AQ46" s="158"/>
      <c r="AR46" s="158"/>
      <c r="AS46" s="158"/>
      <c r="AT46" s="158"/>
      <c r="AU46" s="158"/>
      <c r="AV46" s="158"/>
      <c r="AW46" s="158"/>
      <c r="AX46" s="158"/>
      <c r="AY46" s="158"/>
      <c r="AZ46" s="158"/>
      <c r="BA46" s="158"/>
      <c r="BB46" s="158"/>
      <c r="BC46" s="158"/>
      <c r="BD46" s="158"/>
      <c r="BE46" s="158"/>
      <c r="BF46" s="158"/>
      <c r="BG46" s="158"/>
      <c r="BH46" s="158"/>
      <c r="BI46" s="158"/>
      <c r="BJ46" s="158"/>
      <c r="BK46" s="158"/>
      <c r="BL46" s="158"/>
      <c r="BM46" s="158"/>
      <c r="BN46" s="158"/>
      <c r="BO46" s="158"/>
      <c r="BP46" s="158"/>
      <c r="BQ46" s="158"/>
      <c r="BR46" s="158"/>
      <c r="BS46" s="158"/>
      <c r="BT46" s="158"/>
      <c r="BU46" s="158"/>
      <c r="BV46" s="158"/>
      <c r="BW46" s="158"/>
      <c r="BX46" s="158"/>
      <c r="BY46" s="158"/>
      <c r="BZ46" s="158"/>
      <c r="CA46" s="158"/>
      <c r="CB46" s="158"/>
      <c r="CC46" s="158"/>
      <c r="CD46" s="158"/>
      <c r="CE46" s="158"/>
      <c r="CF46" s="158"/>
      <c r="CG46" s="158"/>
      <c r="CH46" s="158"/>
      <c r="CI46" s="158"/>
      <c r="CJ46" s="158"/>
      <c r="CK46" s="158"/>
      <c r="CL46" s="158"/>
      <c r="CM46" s="158"/>
      <c r="CN46" s="158"/>
      <c r="CO46" s="158"/>
      <c r="CP46" s="158"/>
      <c r="CQ46" s="158"/>
      <c r="CR46" s="158"/>
      <c r="CS46" s="158"/>
      <c r="CT46" s="158"/>
      <c r="CU46" s="158"/>
      <c r="CV46" s="158"/>
      <c r="CW46" s="158"/>
      <c r="CX46" s="158"/>
      <c r="CY46" s="158"/>
      <c r="CZ46" s="158"/>
      <c r="DA46" s="158"/>
      <c r="DB46" s="158"/>
      <c r="DC46" s="158"/>
      <c r="DD46" s="158"/>
      <c r="DE46" s="158"/>
      <c r="DF46" s="158"/>
      <c r="DG46" s="158"/>
      <c r="DH46" s="158"/>
      <c r="DI46" s="158"/>
      <c r="DJ46" s="158"/>
      <c r="DK46" s="158"/>
      <c r="DL46" s="158"/>
      <c r="DM46" s="158"/>
      <c r="DN46" s="158"/>
      <c r="DO46" s="158"/>
      <c r="DP46" s="158"/>
      <c r="DQ46" s="158"/>
      <c r="DR46" s="158"/>
      <c r="DS46" s="158"/>
      <c r="DT46" s="158"/>
      <c r="DU46" s="158"/>
      <c r="DV46" s="158"/>
      <c r="DW46" s="158"/>
      <c r="DX46" s="158"/>
      <c r="DY46" s="158"/>
      <c r="DZ46" s="158"/>
      <c r="EA46" s="158"/>
      <c r="EB46" s="158"/>
      <c r="EC46" s="158"/>
      <c r="ED46" s="158"/>
      <c r="EE46" s="158"/>
      <c r="EF46" s="158"/>
      <c r="EG46" s="158"/>
      <c r="EH46" s="158"/>
      <c r="EI46" s="158"/>
      <c r="EJ46" s="158"/>
      <c r="EK46" s="158"/>
      <c r="EL46" s="158"/>
      <c r="EM46" s="158"/>
      <c r="EN46" s="158"/>
      <c r="EO46" s="158"/>
      <c r="EP46" s="158"/>
      <c r="EQ46" s="158"/>
      <c r="ER46" s="158"/>
      <c r="ES46" s="158"/>
      <c r="ET46" s="158"/>
      <c r="EU46" s="158"/>
      <c r="EV46" s="158"/>
      <c r="EW46" s="158"/>
      <c r="EX46" s="158"/>
      <c r="EY46" s="158"/>
      <c r="EZ46" s="158"/>
      <c r="FA46" s="158"/>
      <c r="FB46" s="158"/>
      <c r="FC46" s="158"/>
      <c r="FD46" s="158"/>
      <c r="FE46" s="158"/>
      <c r="FF46" s="158"/>
      <c r="FG46" s="158"/>
      <c r="FH46" s="158"/>
      <c r="FI46" s="158"/>
      <c r="FJ46" s="158"/>
      <c r="FK46" s="158"/>
      <c r="FL46" s="158"/>
      <c r="FM46" s="158"/>
      <c r="FN46" s="158"/>
      <c r="FO46" s="158"/>
      <c r="FP46" s="158"/>
      <c r="FQ46" s="158"/>
      <c r="FR46" s="158"/>
      <c r="FS46" s="158"/>
      <c r="FT46" s="158"/>
      <c r="FU46" s="158"/>
      <c r="FV46" s="158"/>
      <c r="FW46" s="158"/>
      <c r="FX46" s="158"/>
      <c r="FY46" s="158"/>
      <c r="FZ46" s="158"/>
      <c r="GA46" s="158"/>
      <c r="GB46" s="158"/>
      <c r="GC46" s="158"/>
      <c r="GD46" s="158"/>
      <c r="GE46" s="158"/>
      <c r="GF46" s="158"/>
    </row>
    <row r="47" spans="2:188" s="324" customFormat="1">
      <c r="B47" s="316">
        <v>41</v>
      </c>
      <c r="C47" s="370" t="s">
        <v>222</v>
      </c>
      <c r="D47" s="370" t="s">
        <v>374</v>
      </c>
      <c r="E47" s="422" t="s">
        <v>375</v>
      </c>
      <c r="F47" s="370" t="s">
        <v>392</v>
      </c>
      <c r="G47" s="371">
        <v>5</v>
      </c>
      <c r="H47" s="369">
        <v>500000</v>
      </c>
      <c r="I47" s="317">
        <f t="shared" si="0"/>
        <v>93750</v>
      </c>
      <c r="J47" s="249"/>
      <c r="K47" s="158"/>
      <c r="L47" s="15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58"/>
      <c r="Z47" s="158"/>
      <c r="AA47" s="158"/>
      <c r="AB47" s="158"/>
      <c r="AC47" s="158"/>
      <c r="AD47" s="158"/>
      <c r="AE47" s="158"/>
      <c r="AF47" s="158"/>
      <c r="AG47" s="158"/>
      <c r="AH47" s="158"/>
      <c r="AI47" s="158"/>
      <c r="AJ47" s="158"/>
      <c r="AK47" s="158"/>
      <c r="AL47" s="158"/>
      <c r="AM47" s="158"/>
      <c r="AN47" s="158"/>
      <c r="AO47" s="158"/>
      <c r="AP47" s="158"/>
      <c r="AQ47" s="158"/>
      <c r="AR47" s="158"/>
      <c r="AS47" s="158"/>
      <c r="AT47" s="158"/>
      <c r="AU47" s="158"/>
      <c r="AV47" s="158"/>
      <c r="AW47" s="158"/>
      <c r="AX47" s="158"/>
      <c r="AY47" s="158"/>
      <c r="AZ47" s="158"/>
      <c r="BA47" s="158"/>
      <c r="BB47" s="158"/>
      <c r="BC47" s="158"/>
      <c r="BD47" s="158"/>
      <c r="BE47" s="158"/>
      <c r="BF47" s="158"/>
      <c r="BG47" s="158"/>
      <c r="BH47" s="158"/>
      <c r="BI47" s="158"/>
      <c r="BJ47" s="158"/>
      <c r="BK47" s="158"/>
      <c r="BL47" s="158"/>
      <c r="BM47" s="158"/>
      <c r="BN47" s="158"/>
      <c r="BO47" s="158"/>
      <c r="BP47" s="158"/>
      <c r="BQ47" s="158"/>
      <c r="BR47" s="158"/>
      <c r="BS47" s="158"/>
      <c r="BT47" s="158"/>
      <c r="BU47" s="158"/>
      <c r="BV47" s="158"/>
      <c r="BW47" s="158"/>
      <c r="BX47" s="158"/>
      <c r="BY47" s="158"/>
      <c r="BZ47" s="158"/>
      <c r="CA47" s="158"/>
      <c r="CB47" s="158"/>
      <c r="CC47" s="158"/>
      <c r="CD47" s="158"/>
      <c r="CE47" s="158"/>
      <c r="CF47" s="158"/>
      <c r="CG47" s="158"/>
      <c r="CH47" s="158"/>
      <c r="CI47" s="158"/>
      <c r="CJ47" s="158"/>
      <c r="CK47" s="158"/>
      <c r="CL47" s="158"/>
      <c r="CM47" s="158"/>
      <c r="CN47" s="158"/>
      <c r="CO47" s="158"/>
      <c r="CP47" s="158"/>
      <c r="CQ47" s="158"/>
      <c r="CR47" s="158"/>
      <c r="CS47" s="158"/>
      <c r="CT47" s="158"/>
      <c r="CU47" s="158"/>
      <c r="CV47" s="158"/>
      <c r="CW47" s="158"/>
      <c r="CX47" s="158"/>
      <c r="CY47" s="158"/>
      <c r="CZ47" s="158"/>
      <c r="DA47" s="158"/>
      <c r="DB47" s="158"/>
      <c r="DC47" s="158"/>
      <c r="DD47" s="158"/>
      <c r="DE47" s="158"/>
      <c r="DF47" s="158"/>
      <c r="DG47" s="158"/>
      <c r="DH47" s="158"/>
      <c r="DI47" s="158"/>
      <c r="DJ47" s="158"/>
      <c r="DK47" s="158"/>
      <c r="DL47" s="158"/>
      <c r="DM47" s="158"/>
      <c r="DN47" s="158"/>
      <c r="DO47" s="158"/>
      <c r="DP47" s="158"/>
      <c r="DQ47" s="158"/>
      <c r="DR47" s="158"/>
      <c r="DS47" s="158"/>
      <c r="DT47" s="158"/>
      <c r="DU47" s="158"/>
      <c r="DV47" s="158"/>
      <c r="DW47" s="158"/>
      <c r="DX47" s="158"/>
      <c r="DY47" s="158"/>
      <c r="DZ47" s="158"/>
      <c r="EA47" s="158"/>
      <c r="EB47" s="158"/>
      <c r="EC47" s="158"/>
      <c r="ED47" s="158"/>
      <c r="EE47" s="158"/>
      <c r="EF47" s="158"/>
      <c r="EG47" s="158"/>
      <c r="EH47" s="158"/>
      <c r="EI47" s="158"/>
      <c r="EJ47" s="158"/>
      <c r="EK47" s="158"/>
      <c r="EL47" s="158"/>
      <c r="EM47" s="158"/>
      <c r="EN47" s="158"/>
      <c r="EO47" s="158"/>
      <c r="EP47" s="158"/>
      <c r="EQ47" s="158"/>
      <c r="ER47" s="158"/>
      <c r="ES47" s="158"/>
      <c r="ET47" s="158"/>
      <c r="EU47" s="158"/>
      <c r="EV47" s="158"/>
      <c r="EW47" s="158"/>
      <c r="EX47" s="158"/>
      <c r="EY47" s="158"/>
      <c r="EZ47" s="158"/>
      <c r="FA47" s="158"/>
      <c r="FB47" s="158"/>
      <c r="FC47" s="158"/>
      <c r="FD47" s="158"/>
      <c r="FE47" s="158"/>
      <c r="FF47" s="158"/>
      <c r="FG47" s="158"/>
      <c r="FH47" s="158"/>
      <c r="FI47" s="158"/>
      <c r="FJ47" s="158"/>
      <c r="FK47" s="158"/>
      <c r="FL47" s="158"/>
      <c r="FM47" s="158"/>
      <c r="FN47" s="158"/>
      <c r="FO47" s="158"/>
      <c r="FP47" s="158"/>
      <c r="FQ47" s="158"/>
      <c r="FR47" s="158"/>
      <c r="FS47" s="158"/>
      <c r="FT47" s="158"/>
      <c r="FU47" s="158"/>
      <c r="FV47" s="158"/>
      <c r="FW47" s="158"/>
      <c r="FX47" s="158"/>
      <c r="FY47" s="158"/>
      <c r="FZ47" s="158"/>
      <c r="GA47" s="158"/>
      <c r="GB47" s="158"/>
      <c r="GC47" s="158"/>
      <c r="GD47" s="158"/>
      <c r="GE47" s="158"/>
      <c r="GF47" s="158"/>
    </row>
    <row r="48" spans="2:188" s="324" customFormat="1">
      <c r="B48" s="316">
        <v>42</v>
      </c>
      <c r="C48" s="370" t="s">
        <v>200</v>
      </c>
      <c r="D48" s="370" t="s">
        <v>437</v>
      </c>
      <c r="E48" s="422" t="s">
        <v>438</v>
      </c>
      <c r="F48" s="370" t="s">
        <v>392</v>
      </c>
      <c r="G48" s="371">
        <v>2</v>
      </c>
      <c r="H48" s="369">
        <v>200000</v>
      </c>
      <c r="I48" s="317">
        <f t="shared" si="0"/>
        <v>37500</v>
      </c>
      <c r="J48" s="249"/>
      <c r="K48" s="158"/>
      <c r="L48" s="15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58"/>
      <c r="Z48" s="158"/>
      <c r="AA48" s="158"/>
      <c r="AB48" s="158"/>
      <c r="AC48" s="158"/>
      <c r="AD48" s="158"/>
      <c r="AE48" s="158"/>
      <c r="AF48" s="158"/>
      <c r="AG48" s="158"/>
      <c r="AH48" s="158"/>
      <c r="AI48" s="158"/>
      <c r="AJ48" s="158"/>
      <c r="AK48" s="158"/>
      <c r="AL48" s="158"/>
      <c r="AM48" s="158"/>
      <c r="AN48" s="158"/>
      <c r="AO48" s="158"/>
      <c r="AP48" s="158"/>
      <c r="AQ48" s="158"/>
      <c r="AR48" s="158"/>
      <c r="AS48" s="158"/>
      <c r="AT48" s="158"/>
      <c r="AU48" s="158"/>
      <c r="AV48" s="158"/>
      <c r="AW48" s="158"/>
      <c r="AX48" s="158"/>
      <c r="AY48" s="158"/>
      <c r="AZ48" s="158"/>
      <c r="BA48" s="158"/>
      <c r="BB48" s="158"/>
      <c r="BC48" s="158"/>
      <c r="BD48" s="158"/>
      <c r="BE48" s="158"/>
      <c r="BF48" s="158"/>
      <c r="BG48" s="158"/>
      <c r="BH48" s="158"/>
      <c r="BI48" s="158"/>
      <c r="BJ48" s="158"/>
      <c r="BK48" s="158"/>
      <c r="BL48" s="158"/>
      <c r="BM48" s="158"/>
      <c r="BN48" s="158"/>
      <c r="BO48" s="158"/>
      <c r="BP48" s="158"/>
      <c r="BQ48" s="158"/>
      <c r="BR48" s="158"/>
      <c r="BS48" s="158"/>
      <c r="BT48" s="158"/>
      <c r="BU48" s="158"/>
      <c r="BV48" s="158"/>
      <c r="BW48" s="158"/>
      <c r="BX48" s="158"/>
      <c r="BY48" s="158"/>
      <c r="BZ48" s="158"/>
      <c r="CA48" s="158"/>
      <c r="CB48" s="158"/>
      <c r="CC48" s="158"/>
      <c r="CD48" s="158"/>
      <c r="CE48" s="158"/>
      <c r="CF48" s="158"/>
      <c r="CG48" s="158"/>
      <c r="CH48" s="158"/>
      <c r="CI48" s="158"/>
      <c r="CJ48" s="158"/>
      <c r="CK48" s="158"/>
      <c r="CL48" s="158"/>
      <c r="CM48" s="158"/>
      <c r="CN48" s="158"/>
      <c r="CO48" s="158"/>
      <c r="CP48" s="158"/>
      <c r="CQ48" s="158"/>
      <c r="CR48" s="158"/>
      <c r="CS48" s="158"/>
      <c r="CT48" s="158"/>
      <c r="CU48" s="158"/>
      <c r="CV48" s="158"/>
      <c r="CW48" s="158"/>
      <c r="CX48" s="158"/>
      <c r="CY48" s="158"/>
      <c r="CZ48" s="158"/>
      <c r="DA48" s="158"/>
      <c r="DB48" s="158"/>
      <c r="DC48" s="158"/>
      <c r="DD48" s="158"/>
      <c r="DE48" s="158"/>
      <c r="DF48" s="158"/>
      <c r="DG48" s="158"/>
      <c r="DH48" s="158"/>
      <c r="DI48" s="158"/>
      <c r="DJ48" s="158"/>
      <c r="DK48" s="158"/>
      <c r="DL48" s="158"/>
      <c r="DM48" s="158"/>
      <c r="DN48" s="158"/>
      <c r="DO48" s="158"/>
      <c r="DP48" s="158"/>
      <c r="DQ48" s="158"/>
      <c r="DR48" s="158"/>
      <c r="DS48" s="158"/>
      <c r="DT48" s="158"/>
      <c r="DU48" s="158"/>
      <c r="DV48" s="158"/>
      <c r="DW48" s="158"/>
      <c r="DX48" s="158"/>
      <c r="DY48" s="158"/>
      <c r="DZ48" s="158"/>
      <c r="EA48" s="158"/>
      <c r="EB48" s="158"/>
      <c r="EC48" s="158"/>
      <c r="ED48" s="158"/>
      <c r="EE48" s="158"/>
      <c r="EF48" s="158"/>
      <c r="EG48" s="158"/>
      <c r="EH48" s="158"/>
      <c r="EI48" s="158"/>
      <c r="EJ48" s="158"/>
      <c r="EK48" s="158"/>
      <c r="EL48" s="158"/>
      <c r="EM48" s="158"/>
      <c r="EN48" s="158"/>
      <c r="EO48" s="158"/>
      <c r="EP48" s="158"/>
      <c r="EQ48" s="158"/>
      <c r="ER48" s="158"/>
      <c r="ES48" s="158"/>
      <c r="ET48" s="158"/>
      <c r="EU48" s="158"/>
      <c r="EV48" s="158"/>
      <c r="EW48" s="158"/>
      <c r="EX48" s="158"/>
      <c r="EY48" s="158"/>
      <c r="EZ48" s="158"/>
      <c r="FA48" s="158"/>
      <c r="FB48" s="158"/>
      <c r="FC48" s="158"/>
      <c r="FD48" s="158"/>
      <c r="FE48" s="158"/>
      <c r="FF48" s="158"/>
      <c r="FG48" s="158"/>
      <c r="FH48" s="158"/>
      <c r="FI48" s="158"/>
      <c r="FJ48" s="158"/>
      <c r="FK48" s="158"/>
      <c r="FL48" s="158"/>
      <c r="FM48" s="158"/>
      <c r="FN48" s="158"/>
      <c r="FO48" s="158"/>
      <c r="FP48" s="158"/>
      <c r="FQ48" s="158"/>
      <c r="FR48" s="158"/>
      <c r="FS48" s="158"/>
      <c r="FT48" s="158"/>
      <c r="FU48" s="158"/>
      <c r="FV48" s="158"/>
      <c r="FW48" s="158"/>
      <c r="FX48" s="158"/>
      <c r="FY48" s="158"/>
      <c r="FZ48" s="158"/>
      <c r="GA48" s="158"/>
      <c r="GB48" s="158"/>
      <c r="GC48" s="158"/>
      <c r="GD48" s="158"/>
      <c r="GE48" s="158"/>
      <c r="GF48" s="158"/>
    </row>
    <row r="49" spans="2:188" s="324" customFormat="1">
      <c r="B49" s="316">
        <v>43</v>
      </c>
      <c r="C49" s="370" t="s">
        <v>253</v>
      </c>
      <c r="D49" s="370" t="s">
        <v>398</v>
      </c>
      <c r="E49" s="422" t="s">
        <v>439</v>
      </c>
      <c r="F49" s="370" t="s">
        <v>396</v>
      </c>
      <c r="G49" s="371">
        <v>1</v>
      </c>
      <c r="H49" s="369">
        <v>40300</v>
      </c>
      <c r="I49" s="317">
        <f t="shared" si="0"/>
        <v>7556.25</v>
      </c>
      <c r="J49" s="249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58"/>
      <c r="Z49" s="158"/>
      <c r="AA49" s="158"/>
      <c r="AB49" s="158"/>
      <c r="AC49" s="158"/>
      <c r="AD49" s="158"/>
      <c r="AE49" s="158"/>
      <c r="AF49" s="158"/>
      <c r="AG49" s="158"/>
      <c r="AH49" s="158"/>
      <c r="AI49" s="158"/>
      <c r="AJ49" s="158"/>
      <c r="AK49" s="158"/>
      <c r="AL49" s="158"/>
      <c r="AM49" s="158"/>
      <c r="AN49" s="158"/>
      <c r="AO49" s="158"/>
      <c r="AP49" s="158"/>
      <c r="AQ49" s="158"/>
      <c r="AR49" s="158"/>
      <c r="AS49" s="158"/>
      <c r="AT49" s="158"/>
      <c r="AU49" s="158"/>
      <c r="AV49" s="158"/>
      <c r="AW49" s="158"/>
      <c r="AX49" s="158"/>
      <c r="AY49" s="158"/>
      <c r="AZ49" s="158"/>
      <c r="BA49" s="158"/>
      <c r="BB49" s="158"/>
      <c r="BC49" s="158"/>
      <c r="BD49" s="158"/>
      <c r="BE49" s="158"/>
      <c r="BF49" s="158"/>
      <c r="BG49" s="158"/>
      <c r="BH49" s="158"/>
      <c r="BI49" s="158"/>
      <c r="BJ49" s="158"/>
      <c r="BK49" s="158"/>
      <c r="BL49" s="158"/>
      <c r="BM49" s="158"/>
      <c r="BN49" s="158"/>
      <c r="BO49" s="158"/>
      <c r="BP49" s="158"/>
      <c r="BQ49" s="158"/>
      <c r="BR49" s="158"/>
      <c r="BS49" s="158"/>
      <c r="BT49" s="158"/>
      <c r="BU49" s="158"/>
      <c r="BV49" s="158"/>
      <c r="BW49" s="158"/>
      <c r="BX49" s="158"/>
      <c r="BY49" s="158"/>
      <c r="BZ49" s="158"/>
      <c r="CA49" s="158"/>
      <c r="CB49" s="158"/>
      <c r="CC49" s="158"/>
      <c r="CD49" s="158"/>
      <c r="CE49" s="158"/>
      <c r="CF49" s="158"/>
      <c r="CG49" s="158"/>
      <c r="CH49" s="158"/>
      <c r="CI49" s="158"/>
      <c r="CJ49" s="158"/>
      <c r="CK49" s="158"/>
      <c r="CL49" s="158"/>
      <c r="CM49" s="158"/>
      <c r="CN49" s="158"/>
      <c r="CO49" s="158"/>
      <c r="CP49" s="158"/>
      <c r="CQ49" s="158"/>
      <c r="CR49" s="158"/>
      <c r="CS49" s="158"/>
      <c r="CT49" s="158"/>
      <c r="CU49" s="158"/>
      <c r="CV49" s="158"/>
      <c r="CW49" s="158"/>
      <c r="CX49" s="158"/>
      <c r="CY49" s="158"/>
      <c r="CZ49" s="158"/>
      <c r="DA49" s="158"/>
      <c r="DB49" s="158"/>
      <c r="DC49" s="158"/>
      <c r="DD49" s="158"/>
      <c r="DE49" s="158"/>
      <c r="DF49" s="158"/>
      <c r="DG49" s="158"/>
      <c r="DH49" s="158"/>
      <c r="DI49" s="158"/>
      <c r="DJ49" s="158"/>
      <c r="DK49" s="158"/>
      <c r="DL49" s="158"/>
      <c r="DM49" s="158"/>
      <c r="DN49" s="158"/>
      <c r="DO49" s="158"/>
      <c r="DP49" s="158"/>
      <c r="DQ49" s="158"/>
      <c r="DR49" s="158"/>
      <c r="DS49" s="158"/>
      <c r="DT49" s="158"/>
      <c r="DU49" s="158"/>
      <c r="DV49" s="158"/>
      <c r="DW49" s="158"/>
      <c r="DX49" s="158"/>
      <c r="DY49" s="158"/>
      <c r="DZ49" s="158"/>
      <c r="EA49" s="158"/>
      <c r="EB49" s="158"/>
      <c r="EC49" s="158"/>
      <c r="ED49" s="158"/>
      <c r="EE49" s="158"/>
      <c r="EF49" s="158"/>
      <c r="EG49" s="158"/>
      <c r="EH49" s="158"/>
      <c r="EI49" s="158"/>
      <c r="EJ49" s="158"/>
      <c r="EK49" s="158"/>
      <c r="EL49" s="158"/>
      <c r="EM49" s="158"/>
      <c r="EN49" s="158"/>
      <c r="EO49" s="158"/>
      <c r="EP49" s="158"/>
      <c r="EQ49" s="158"/>
      <c r="ER49" s="158"/>
      <c r="ES49" s="158"/>
      <c r="ET49" s="158"/>
      <c r="EU49" s="158"/>
      <c r="EV49" s="158"/>
      <c r="EW49" s="158"/>
      <c r="EX49" s="158"/>
      <c r="EY49" s="158"/>
      <c r="EZ49" s="158"/>
      <c r="FA49" s="158"/>
      <c r="FB49" s="158"/>
      <c r="FC49" s="158"/>
      <c r="FD49" s="158"/>
      <c r="FE49" s="158"/>
      <c r="FF49" s="158"/>
      <c r="FG49" s="158"/>
      <c r="FH49" s="158"/>
      <c r="FI49" s="158"/>
      <c r="FJ49" s="158"/>
      <c r="FK49" s="158"/>
      <c r="FL49" s="158"/>
      <c r="FM49" s="158"/>
      <c r="FN49" s="158"/>
      <c r="FO49" s="158"/>
      <c r="FP49" s="158"/>
      <c r="FQ49" s="158"/>
      <c r="FR49" s="158"/>
      <c r="FS49" s="158"/>
      <c r="FT49" s="158"/>
      <c r="FU49" s="158"/>
      <c r="FV49" s="158"/>
      <c r="FW49" s="158"/>
      <c r="FX49" s="158"/>
      <c r="FY49" s="158"/>
      <c r="FZ49" s="158"/>
      <c r="GA49" s="158"/>
      <c r="GB49" s="158"/>
      <c r="GC49" s="158"/>
      <c r="GD49" s="158"/>
      <c r="GE49" s="158"/>
      <c r="GF49" s="158"/>
    </row>
    <row r="50" spans="2:188" s="324" customFormat="1">
      <c r="B50" s="316">
        <v>44</v>
      </c>
      <c r="C50" s="370" t="s">
        <v>230</v>
      </c>
      <c r="D50" s="370" t="s">
        <v>440</v>
      </c>
      <c r="E50" s="422" t="s">
        <v>441</v>
      </c>
      <c r="F50" s="370" t="s">
        <v>442</v>
      </c>
      <c r="G50" s="371">
        <v>1</v>
      </c>
      <c r="H50" s="369">
        <v>300000</v>
      </c>
      <c r="I50" s="317">
        <f t="shared" si="0"/>
        <v>56250</v>
      </c>
      <c r="J50" s="249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58"/>
      <c r="Z50" s="158"/>
      <c r="AA50" s="158"/>
      <c r="AB50" s="158"/>
      <c r="AC50" s="158"/>
      <c r="AD50" s="158"/>
      <c r="AE50" s="158"/>
      <c r="AF50" s="158"/>
      <c r="AG50" s="158"/>
      <c r="AH50" s="158"/>
      <c r="AI50" s="158"/>
      <c r="AJ50" s="158"/>
      <c r="AK50" s="158"/>
      <c r="AL50" s="158"/>
      <c r="AM50" s="158"/>
      <c r="AN50" s="158"/>
      <c r="AO50" s="158"/>
      <c r="AP50" s="158"/>
      <c r="AQ50" s="158"/>
      <c r="AR50" s="158"/>
      <c r="AS50" s="158"/>
      <c r="AT50" s="158"/>
      <c r="AU50" s="158"/>
      <c r="AV50" s="158"/>
      <c r="AW50" s="158"/>
      <c r="AX50" s="158"/>
      <c r="AY50" s="158"/>
      <c r="AZ50" s="158"/>
      <c r="BA50" s="158"/>
      <c r="BB50" s="158"/>
      <c r="BC50" s="158"/>
      <c r="BD50" s="158"/>
      <c r="BE50" s="158"/>
      <c r="BF50" s="158"/>
      <c r="BG50" s="158"/>
      <c r="BH50" s="158"/>
      <c r="BI50" s="158"/>
      <c r="BJ50" s="158"/>
      <c r="BK50" s="158"/>
      <c r="BL50" s="158"/>
      <c r="BM50" s="158"/>
      <c r="BN50" s="158"/>
      <c r="BO50" s="158"/>
      <c r="BP50" s="158"/>
      <c r="BQ50" s="158"/>
      <c r="BR50" s="158"/>
      <c r="BS50" s="158"/>
      <c r="BT50" s="158"/>
      <c r="BU50" s="158"/>
      <c r="BV50" s="158"/>
      <c r="BW50" s="158"/>
      <c r="BX50" s="158"/>
      <c r="BY50" s="158"/>
      <c r="BZ50" s="158"/>
      <c r="CA50" s="158"/>
      <c r="CB50" s="158"/>
      <c r="CC50" s="158"/>
      <c r="CD50" s="158"/>
      <c r="CE50" s="158"/>
      <c r="CF50" s="158"/>
      <c r="CG50" s="158"/>
      <c r="CH50" s="158"/>
      <c r="CI50" s="158"/>
      <c r="CJ50" s="158"/>
      <c r="CK50" s="158"/>
      <c r="CL50" s="158"/>
      <c r="CM50" s="158"/>
      <c r="CN50" s="158"/>
      <c r="CO50" s="158"/>
      <c r="CP50" s="158"/>
      <c r="CQ50" s="158"/>
      <c r="CR50" s="158"/>
      <c r="CS50" s="158"/>
      <c r="CT50" s="158"/>
      <c r="CU50" s="158"/>
      <c r="CV50" s="158"/>
      <c r="CW50" s="158"/>
      <c r="CX50" s="158"/>
      <c r="CY50" s="158"/>
      <c r="CZ50" s="158"/>
      <c r="DA50" s="158"/>
      <c r="DB50" s="158"/>
      <c r="DC50" s="158"/>
      <c r="DD50" s="158"/>
      <c r="DE50" s="158"/>
      <c r="DF50" s="158"/>
      <c r="DG50" s="158"/>
      <c r="DH50" s="158"/>
      <c r="DI50" s="158"/>
      <c r="DJ50" s="158"/>
      <c r="DK50" s="158"/>
      <c r="DL50" s="158"/>
      <c r="DM50" s="158"/>
      <c r="DN50" s="158"/>
      <c r="DO50" s="158"/>
      <c r="DP50" s="158"/>
      <c r="DQ50" s="158"/>
      <c r="DR50" s="158"/>
      <c r="DS50" s="158"/>
      <c r="DT50" s="158"/>
      <c r="DU50" s="158"/>
      <c r="DV50" s="158"/>
      <c r="DW50" s="158"/>
      <c r="DX50" s="158"/>
      <c r="DY50" s="158"/>
      <c r="DZ50" s="158"/>
      <c r="EA50" s="158"/>
      <c r="EB50" s="158"/>
      <c r="EC50" s="158"/>
      <c r="ED50" s="158"/>
      <c r="EE50" s="158"/>
      <c r="EF50" s="158"/>
      <c r="EG50" s="158"/>
      <c r="EH50" s="158"/>
      <c r="EI50" s="158"/>
      <c r="EJ50" s="158"/>
      <c r="EK50" s="158"/>
      <c r="EL50" s="158"/>
      <c r="EM50" s="158"/>
      <c r="EN50" s="158"/>
      <c r="EO50" s="158"/>
      <c r="EP50" s="158"/>
      <c r="EQ50" s="158"/>
      <c r="ER50" s="158"/>
      <c r="ES50" s="158"/>
      <c r="ET50" s="158"/>
      <c r="EU50" s="158"/>
      <c r="EV50" s="158"/>
      <c r="EW50" s="158"/>
      <c r="EX50" s="158"/>
      <c r="EY50" s="158"/>
      <c r="EZ50" s="158"/>
      <c r="FA50" s="158"/>
      <c r="FB50" s="158"/>
      <c r="FC50" s="158"/>
      <c r="FD50" s="158"/>
      <c r="FE50" s="158"/>
      <c r="FF50" s="158"/>
      <c r="FG50" s="158"/>
      <c r="FH50" s="158"/>
      <c r="FI50" s="158"/>
      <c r="FJ50" s="158"/>
      <c r="FK50" s="158"/>
      <c r="FL50" s="158"/>
      <c r="FM50" s="158"/>
      <c r="FN50" s="158"/>
      <c r="FO50" s="158"/>
      <c r="FP50" s="158"/>
      <c r="FQ50" s="158"/>
      <c r="FR50" s="158"/>
      <c r="FS50" s="158"/>
      <c r="FT50" s="158"/>
      <c r="FU50" s="158"/>
      <c r="FV50" s="158"/>
      <c r="FW50" s="158"/>
      <c r="FX50" s="158"/>
      <c r="FY50" s="158"/>
      <c r="FZ50" s="158"/>
      <c r="GA50" s="158"/>
      <c r="GB50" s="158"/>
      <c r="GC50" s="158"/>
      <c r="GD50" s="158"/>
      <c r="GE50" s="158"/>
      <c r="GF50" s="158"/>
    </row>
    <row r="51" spans="2:188" s="324" customFormat="1">
      <c r="B51" s="316">
        <v>45</v>
      </c>
      <c r="C51" s="370" t="s">
        <v>212</v>
      </c>
      <c r="D51" s="370" t="s">
        <v>443</v>
      </c>
      <c r="E51" s="422" t="s">
        <v>149</v>
      </c>
      <c r="F51" s="370" t="s">
        <v>395</v>
      </c>
      <c r="G51" s="371">
        <v>11</v>
      </c>
      <c r="H51" s="369">
        <v>1100000</v>
      </c>
      <c r="I51" s="317">
        <f t="shared" si="0"/>
        <v>206250</v>
      </c>
      <c r="J51" s="249"/>
      <c r="K51" s="158"/>
      <c r="L51" s="158"/>
      <c r="M51" s="158"/>
      <c r="N51" s="158"/>
      <c r="O51" s="158"/>
      <c r="P51" s="158"/>
      <c r="Q51" s="158"/>
      <c r="R51" s="158"/>
      <c r="S51" s="158"/>
      <c r="T51" s="158"/>
      <c r="U51" s="158"/>
      <c r="V51" s="158"/>
      <c r="W51" s="158"/>
      <c r="X51" s="158"/>
      <c r="Y51" s="158"/>
      <c r="Z51" s="158"/>
      <c r="AA51" s="158"/>
      <c r="AB51" s="158"/>
      <c r="AC51" s="158"/>
      <c r="AD51" s="158"/>
      <c r="AE51" s="158"/>
      <c r="AF51" s="158"/>
      <c r="AG51" s="158"/>
      <c r="AH51" s="158"/>
      <c r="AI51" s="158"/>
      <c r="AJ51" s="158"/>
      <c r="AK51" s="158"/>
      <c r="AL51" s="158"/>
      <c r="AM51" s="158"/>
      <c r="AN51" s="158"/>
      <c r="AO51" s="158"/>
      <c r="AP51" s="158"/>
      <c r="AQ51" s="158"/>
      <c r="AR51" s="158"/>
      <c r="AS51" s="158"/>
      <c r="AT51" s="158"/>
      <c r="AU51" s="158"/>
      <c r="AV51" s="158"/>
      <c r="AW51" s="158"/>
      <c r="AX51" s="158"/>
      <c r="AY51" s="158"/>
      <c r="AZ51" s="158"/>
      <c r="BA51" s="158"/>
      <c r="BB51" s="158"/>
      <c r="BC51" s="158"/>
      <c r="BD51" s="158"/>
      <c r="BE51" s="158"/>
      <c r="BF51" s="158"/>
      <c r="BG51" s="158"/>
      <c r="BH51" s="158"/>
      <c r="BI51" s="158"/>
      <c r="BJ51" s="158"/>
      <c r="BK51" s="158"/>
      <c r="BL51" s="158"/>
      <c r="BM51" s="158"/>
      <c r="BN51" s="158"/>
      <c r="BO51" s="158"/>
      <c r="BP51" s="158"/>
      <c r="BQ51" s="158"/>
      <c r="BR51" s="158"/>
      <c r="BS51" s="158"/>
      <c r="BT51" s="158"/>
      <c r="BU51" s="158"/>
      <c r="BV51" s="158"/>
      <c r="BW51" s="158"/>
      <c r="BX51" s="158"/>
      <c r="BY51" s="158"/>
      <c r="BZ51" s="158"/>
      <c r="CA51" s="158"/>
      <c r="CB51" s="158"/>
      <c r="CC51" s="158"/>
      <c r="CD51" s="158"/>
      <c r="CE51" s="158"/>
      <c r="CF51" s="158"/>
      <c r="CG51" s="158"/>
      <c r="CH51" s="158"/>
      <c r="CI51" s="158"/>
      <c r="CJ51" s="158"/>
      <c r="CK51" s="158"/>
      <c r="CL51" s="158"/>
      <c r="CM51" s="158"/>
      <c r="CN51" s="158"/>
      <c r="CO51" s="158"/>
      <c r="CP51" s="158"/>
      <c r="CQ51" s="158"/>
      <c r="CR51" s="158"/>
      <c r="CS51" s="158"/>
      <c r="CT51" s="158"/>
      <c r="CU51" s="158"/>
      <c r="CV51" s="158"/>
      <c r="CW51" s="158"/>
      <c r="CX51" s="158"/>
      <c r="CY51" s="158"/>
      <c r="CZ51" s="158"/>
      <c r="DA51" s="158"/>
      <c r="DB51" s="158"/>
      <c r="DC51" s="158"/>
      <c r="DD51" s="158"/>
      <c r="DE51" s="158"/>
      <c r="DF51" s="158"/>
      <c r="DG51" s="158"/>
      <c r="DH51" s="158"/>
      <c r="DI51" s="158"/>
      <c r="DJ51" s="158"/>
      <c r="DK51" s="158"/>
      <c r="DL51" s="158"/>
      <c r="DM51" s="158"/>
      <c r="DN51" s="158"/>
      <c r="DO51" s="158"/>
      <c r="DP51" s="158"/>
      <c r="DQ51" s="158"/>
      <c r="DR51" s="158"/>
      <c r="DS51" s="158"/>
      <c r="DT51" s="158"/>
      <c r="DU51" s="158"/>
      <c r="DV51" s="158"/>
      <c r="DW51" s="158"/>
      <c r="DX51" s="158"/>
      <c r="DY51" s="158"/>
      <c r="DZ51" s="158"/>
      <c r="EA51" s="158"/>
      <c r="EB51" s="158"/>
      <c r="EC51" s="158"/>
      <c r="ED51" s="158"/>
      <c r="EE51" s="158"/>
      <c r="EF51" s="158"/>
      <c r="EG51" s="158"/>
      <c r="EH51" s="158"/>
      <c r="EI51" s="158"/>
      <c r="EJ51" s="158"/>
      <c r="EK51" s="158"/>
      <c r="EL51" s="158"/>
      <c r="EM51" s="158"/>
      <c r="EN51" s="158"/>
      <c r="EO51" s="158"/>
      <c r="EP51" s="158"/>
      <c r="EQ51" s="158"/>
      <c r="ER51" s="158"/>
      <c r="ES51" s="158"/>
      <c r="ET51" s="158"/>
      <c r="EU51" s="158"/>
      <c r="EV51" s="158"/>
      <c r="EW51" s="158"/>
      <c r="EX51" s="158"/>
      <c r="EY51" s="158"/>
      <c r="EZ51" s="158"/>
      <c r="FA51" s="158"/>
      <c r="FB51" s="158"/>
      <c r="FC51" s="158"/>
      <c r="FD51" s="158"/>
      <c r="FE51" s="158"/>
      <c r="FF51" s="158"/>
      <c r="FG51" s="158"/>
      <c r="FH51" s="158"/>
      <c r="FI51" s="158"/>
      <c r="FJ51" s="158"/>
      <c r="FK51" s="158"/>
      <c r="FL51" s="158"/>
      <c r="FM51" s="158"/>
      <c r="FN51" s="158"/>
      <c r="FO51" s="158"/>
      <c r="FP51" s="158"/>
      <c r="FQ51" s="158"/>
      <c r="FR51" s="158"/>
      <c r="FS51" s="158"/>
      <c r="FT51" s="158"/>
      <c r="FU51" s="158"/>
      <c r="FV51" s="158"/>
      <c r="FW51" s="158"/>
      <c r="FX51" s="158"/>
      <c r="FY51" s="158"/>
      <c r="FZ51" s="158"/>
      <c r="GA51" s="158"/>
      <c r="GB51" s="158"/>
      <c r="GC51" s="158"/>
      <c r="GD51" s="158"/>
      <c r="GE51" s="158"/>
      <c r="GF51" s="158"/>
    </row>
    <row r="52" spans="2:188" s="324" customFormat="1">
      <c r="B52" s="316">
        <v>46</v>
      </c>
      <c r="C52" s="370" t="s">
        <v>236</v>
      </c>
      <c r="D52" s="370" t="s">
        <v>444</v>
      </c>
      <c r="E52" s="422" t="s">
        <v>151</v>
      </c>
      <c r="F52" s="370" t="s">
        <v>445</v>
      </c>
      <c r="G52" s="371">
        <v>1</v>
      </c>
      <c r="H52" s="369">
        <v>257000</v>
      </c>
      <c r="I52" s="317">
        <f t="shared" si="0"/>
        <v>48187.5</v>
      </c>
      <c r="J52" s="249"/>
      <c r="K52" s="158"/>
      <c r="L52" s="158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  <c r="AB52" s="158"/>
      <c r="AC52" s="158"/>
      <c r="AD52" s="158"/>
      <c r="AE52" s="158"/>
      <c r="AF52" s="158"/>
      <c r="AG52" s="158"/>
      <c r="AH52" s="158"/>
      <c r="AI52" s="158"/>
      <c r="AJ52" s="158"/>
      <c r="AK52" s="158"/>
      <c r="AL52" s="158"/>
      <c r="AM52" s="158"/>
      <c r="AN52" s="158"/>
      <c r="AO52" s="158"/>
      <c r="AP52" s="158"/>
      <c r="AQ52" s="158"/>
      <c r="AR52" s="158"/>
      <c r="AS52" s="158"/>
      <c r="AT52" s="158"/>
      <c r="AU52" s="158"/>
      <c r="AV52" s="158"/>
      <c r="AW52" s="158"/>
      <c r="AX52" s="158"/>
      <c r="AY52" s="158"/>
      <c r="AZ52" s="158"/>
      <c r="BA52" s="158"/>
      <c r="BB52" s="158"/>
      <c r="BC52" s="158"/>
      <c r="BD52" s="158"/>
      <c r="BE52" s="158"/>
      <c r="BF52" s="158"/>
      <c r="BG52" s="158"/>
      <c r="BH52" s="158"/>
      <c r="BI52" s="158"/>
      <c r="BJ52" s="158"/>
      <c r="BK52" s="158"/>
      <c r="BL52" s="158"/>
      <c r="BM52" s="158"/>
      <c r="BN52" s="158"/>
      <c r="BO52" s="158"/>
      <c r="BP52" s="158"/>
      <c r="BQ52" s="158"/>
      <c r="BR52" s="158"/>
      <c r="BS52" s="158"/>
      <c r="BT52" s="158"/>
      <c r="BU52" s="158"/>
      <c r="BV52" s="158"/>
      <c r="BW52" s="158"/>
      <c r="BX52" s="158"/>
      <c r="BY52" s="158"/>
      <c r="BZ52" s="158"/>
      <c r="CA52" s="158"/>
      <c r="CB52" s="158"/>
      <c r="CC52" s="158"/>
      <c r="CD52" s="158"/>
      <c r="CE52" s="158"/>
      <c r="CF52" s="158"/>
      <c r="CG52" s="158"/>
      <c r="CH52" s="158"/>
      <c r="CI52" s="158"/>
      <c r="CJ52" s="158"/>
      <c r="CK52" s="158"/>
      <c r="CL52" s="158"/>
      <c r="CM52" s="158"/>
      <c r="CN52" s="158"/>
      <c r="CO52" s="158"/>
      <c r="CP52" s="158"/>
      <c r="CQ52" s="158"/>
      <c r="CR52" s="158"/>
      <c r="CS52" s="158"/>
      <c r="CT52" s="158"/>
      <c r="CU52" s="158"/>
      <c r="CV52" s="158"/>
      <c r="CW52" s="158"/>
      <c r="CX52" s="158"/>
      <c r="CY52" s="158"/>
      <c r="CZ52" s="158"/>
      <c r="DA52" s="158"/>
      <c r="DB52" s="158"/>
      <c r="DC52" s="158"/>
      <c r="DD52" s="158"/>
      <c r="DE52" s="158"/>
      <c r="DF52" s="158"/>
      <c r="DG52" s="158"/>
      <c r="DH52" s="158"/>
      <c r="DI52" s="158"/>
      <c r="DJ52" s="158"/>
      <c r="DK52" s="158"/>
      <c r="DL52" s="158"/>
      <c r="DM52" s="158"/>
      <c r="DN52" s="158"/>
      <c r="DO52" s="158"/>
      <c r="DP52" s="158"/>
      <c r="DQ52" s="158"/>
      <c r="DR52" s="158"/>
      <c r="DS52" s="158"/>
      <c r="DT52" s="158"/>
      <c r="DU52" s="158"/>
      <c r="DV52" s="158"/>
      <c r="DW52" s="158"/>
      <c r="DX52" s="158"/>
      <c r="DY52" s="158"/>
      <c r="DZ52" s="158"/>
      <c r="EA52" s="158"/>
      <c r="EB52" s="158"/>
      <c r="EC52" s="158"/>
      <c r="ED52" s="158"/>
      <c r="EE52" s="158"/>
      <c r="EF52" s="158"/>
      <c r="EG52" s="158"/>
      <c r="EH52" s="158"/>
      <c r="EI52" s="158"/>
      <c r="EJ52" s="158"/>
      <c r="EK52" s="158"/>
      <c r="EL52" s="158"/>
      <c r="EM52" s="158"/>
      <c r="EN52" s="158"/>
      <c r="EO52" s="158"/>
      <c r="EP52" s="158"/>
      <c r="EQ52" s="158"/>
      <c r="ER52" s="158"/>
      <c r="ES52" s="158"/>
      <c r="ET52" s="158"/>
      <c r="EU52" s="158"/>
      <c r="EV52" s="158"/>
      <c r="EW52" s="158"/>
      <c r="EX52" s="158"/>
      <c r="EY52" s="158"/>
      <c r="EZ52" s="158"/>
      <c r="FA52" s="158"/>
      <c r="FB52" s="158"/>
      <c r="FC52" s="158"/>
      <c r="FD52" s="158"/>
      <c r="FE52" s="158"/>
      <c r="FF52" s="158"/>
      <c r="FG52" s="158"/>
      <c r="FH52" s="158"/>
      <c r="FI52" s="158"/>
      <c r="FJ52" s="158"/>
      <c r="FK52" s="158"/>
      <c r="FL52" s="158"/>
      <c r="FM52" s="158"/>
      <c r="FN52" s="158"/>
      <c r="FO52" s="158"/>
      <c r="FP52" s="158"/>
      <c r="FQ52" s="158"/>
      <c r="FR52" s="158"/>
      <c r="FS52" s="158"/>
      <c r="FT52" s="158"/>
      <c r="FU52" s="158"/>
      <c r="FV52" s="158"/>
      <c r="FW52" s="158"/>
      <c r="FX52" s="158"/>
      <c r="FY52" s="158"/>
      <c r="FZ52" s="158"/>
      <c r="GA52" s="158"/>
      <c r="GB52" s="158"/>
      <c r="GC52" s="158"/>
      <c r="GD52" s="158"/>
      <c r="GE52" s="158"/>
      <c r="GF52" s="158"/>
    </row>
    <row r="53" spans="2:188" s="324" customFormat="1">
      <c r="B53" s="316">
        <v>47</v>
      </c>
      <c r="C53" s="370" t="s">
        <v>230</v>
      </c>
      <c r="D53" s="370" t="s">
        <v>446</v>
      </c>
      <c r="E53" s="422" t="s">
        <v>441</v>
      </c>
      <c r="F53" s="370" t="s">
        <v>395</v>
      </c>
      <c r="G53" s="371">
        <v>5</v>
      </c>
      <c r="H53" s="369">
        <v>500000</v>
      </c>
      <c r="I53" s="317">
        <f t="shared" si="0"/>
        <v>93750</v>
      </c>
      <c r="J53" s="249"/>
      <c r="K53" s="158"/>
      <c r="L53" s="158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58"/>
      <c r="AE53" s="158"/>
      <c r="AF53" s="158"/>
      <c r="AG53" s="158"/>
      <c r="AH53" s="158"/>
      <c r="AI53" s="158"/>
      <c r="AJ53" s="158"/>
      <c r="AK53" s="158"/>
      <c r="AL53" s="158"/>
      <c r="AM53" s="158"/>
      <c r="AN53" s="158"/>
      <c r="AO53" s="158"/>
      <c r="AP53" s="158"/>
      <c r="AQ53" s="158"/>
      <c r="AR53" s="158"/>
      <c r="AS53" s="158"/>
      <c r="AT53" s="158"/>
      <c r="AU53" s="158"/>
      <c r="AV53" s="158"/>
      <c r="AW53" s="158"/>
      <c r="AX53" s="158"/>
      <c r="AY53" s="158"/>
      <c r="AZ53" s="158"/>
      <c r="BA53" s="158"/>
      <c r="BB53" s="158"/>
      <c r="BC53" s="158"/>
      <c r="BD53" s="158"/>
      <c r="BE53" s="158"/>
      <c r="BF53" s="158"/>
      <c r="BG53" s="158"/>
      <c r="BH53" s="158"/>
      <c r="BI53" s="158"/>
      <c r="BJ53" s="158"/>
      <c r="BK53" s="158"/>
      <c r="BL53" s="158"/>
      <c r="BM53" s="158"/>
      <c r="BN53" s="158"/>
      <c r="BO53" s="158"/>
      <c r="BP53" s="158"/>
      <c r="BQ53" s="158"/>
      <c r="BR53" s="158"/>
      <c r="BS53" s="158"/>
      <c r="BT53" s="158"/>
      <c r="BU53" s="158"/>
      <c r="BV53" s="158"/>
      <c r="BW53" s="158"/>
      <c r="BX53" s="158"/>
      <c r="BY53" s="158"/>
      <c r="BZ53" s="158"/>
      <c r="CA53" s="158"/>
      <c r="CB53" s="158"/>
      <c r="CC53" s="158"/>
      <c r="CD53" s="158"/>
      <c r="CE53" s="158"/>
      <c r="CF53" s="158"/>
      <c r="CG53" s="158"/>
      <c r="CH53" s="158"/>
      <c r="CI53" s="158"/>
      <c r="CJ53" s="158"/>
      <c r="CK53" s="158"/>
      <c r="CL53" s="158"/>
      <c r="CM53" s="158"/>
      <c r="CN53" s="158"/>
      <c r="CO53" s="158"/>
      <c r="CP53" s="158"/>
      <c r="CQ53" s="158"/>
      <c r="CR53" s="158"/>
      <c r="CS53" s="158"/>
      <c r="CT53" s="158"/>
      <c r="CU53" s="158"/>
      <c r="CV53" s="158"/>
      <c r="CW53" s="158"/>
      <c r="CX53" s="158"/>
      <c r="CY53" s="158"/>
      <c r="CZ53" s="158"/>
      <c r="DA53" s="158"/>
      <c r="DB53" s="158"/>
      <c r="DC53" s="158"/>
      <c r="DD53" s="158"/>
      <c r="DE53" s="158"/>
      <c r="DF53" s="158"/>
      <c r="DG53" s="158"/>
      <c r="DH53" s="158"/>
      <c r="DI53" s="158"/>
      <c r="DJ53" s="158"/>
      <c r="DK53" s="158"/>
      <c r="DL53" s="158"/>
      <c r="DM53" s="158"/>
      <c r="DN53" s="158"/>
      <c r="DO53" s="158"/>
      <c r="DP53" s="158"/>
      <c r="DQ53" s="158"/>
      <c r="DR53" s="158"/>
      <c r="DS53" s="158"/>
      <c r="DT53" s="158"/>
      <c r="DU53" s="158"/>
      <c r="DV53" s="158"/>
      <c r="DW53" s="158"/>
      <c r="DX53" s="158"/>
      <c r="DY53" s="158"/>
      <c r="DZ53" s="158"/>
      <c r="EA53" s="158"/>
      <c r="EB53" s="158"/>
      <c r="EC53" s="158"/>
      <c r="ED53" s="158"/>
      <c r="EE53" s="158"/>
      <c r="EF53" s="158"/>
      <c r="EG53" s="158"/>
      <c r="EH53" s="158"/>
      <c r="EI53" s="158"/>
      <c r="EJ53" s="158"/>
      <c r="EK53" s="158"/>
      <c r="EL53" s="158"/>
      <c r="EM53" s="158"/>
      <c r="EN53" s="158"/>
      <c r="EO53" s="158"/>
      <c r="EP53" s="158"/>
      <c r="EQ53" s="158"/>
      <c r="ER53" s="158"/>
      <c r="ES53" s="158"/>
      <c r="ET53" s="158"/>
      <c r="EU53" s="158"/>
      <c r="EV53" s="158"/>
      <c r="EW53" s="158"/>
      <c r="EX53" s="158"/>
      <c r="EY53" s="158"/>
      <c r="EZ53" s="158"/>
      <c r="FA53" s="158"/>
      <c r="FB53" s="158"/>
      <c r="FC53" s="158"/>
      <c r="FD53" s="158"/>
      <c r="FE53" s="158"/>
      <c r="FF53" s="158"/>
      <c r="FG53" s="158"/>
      <c r="FH53" s="158"/>
      <c r="FI53" s="158"/>
      <c r="FJ53" s="158"/>
      <c r="FK53" s="158"/>
      <c r="FL53" s="158"/>
      <c r="FM53" s="158"/>
      <c r="FN53" s="158"/>
      <c r="FO53" s="158"/>
      <c r="FP53" s="158"/>
      <c r="FQ53" s="158"/>
      <c r="FR53" s="158"/>
      <c r="FS53" s="158"/>
      <c r="FT53" s="158"/>
      <c r="FU53" s="158"/>
      <c r="FV53" s="158"/>
      <c r="FW53" s="158"/>
      <c r="FX53" s="158"/>
      <c r="FY53" s="158"/>
      <c r="FZ53" s="158"/>
      <c r="GA53" s="158"/>
      <c r="GB53" s="158"/>
      <c r="GC53" s="158"/>
      <c r="GD53" s="158"/>
      <c r="GE53" s="158"/>
      <c r="GF53" s="158"/>
    </row>
    <row r="54" spans="2:188" s="324" customFormat="1">
      <c r="B54" s="316">
        <v>48</v>
      </c>
      <c r="C54" s="370" t="s">
        <v>244</v>
      </c>
      <c r="D54" s="370" t="s">
        <v>370</v>
      </c>
      <c r="E54" s="422" t="s">
        <v>371</v>
      </c>
      <c r="F54" s="370" t="s">
        <v>395</v>
      </c>
      <c r="G54" s="371">
        <v>3</v>
      </c>
      <c r="H54" s="369">
        <v>300000</v>
      </c>
      <c r="I54" s="317">
        <f t="shared" si="0"/>
        <v>56250</v>
      </c>
      <c r="J54" s="249"/>
      <c r="K54" s="158"/>
      <c r="L54" s="15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158"/>
      <c r="Z54" s="158"/>
      <c r="AA54" s="158"/>
      <c r="AB54" s="158"/>
      <c r="AC54" s="158"/>
      <c r="AD54" s="158"/>
      <c r="AE54" s="158"/>
      <c r="AF54" s="158"/>
      <c r="AG54" s="158"/>
      <c r="AH54" s="158"/>
      <c r="AI54" s="158"/>
      <c r="AJ54" s="158"/>
      <c r="AK54" s="158"/>
      <c r="AL54" s="158"/>
      <c r="AM54" s="158"/>
      <c r="AN54" s="158"/>
      <c r="AO54" s="158"/>
      <c r="AP54" s="158"/>
      <c r="AQ54" s="158"/>
      <c r="AR54" s="158"/>
      <c r="AS54" s="158"/>
      <c r="AT54" s="158"/>
      <c r="AU54" s="158"/>
      <c r="AV54" s="158"/>
      <c r="AW54" s="158"/>
      <c r="AX54" s="158"/>
      <c r="AY54" s="158"/>
      <c r="AZ54" s="158"/>
      <c r="BA54" s="158"/>
      <c r="BB54" s="158"/>
      <c r="BC54" s="158"/>
      <c r="BD54" s="158"/>
      <c r="BE54" s="158"/>
      <c r="BF54" s="158"/>
      <c r="BG54" s="158"/>
      <c r="BH54" s="158"/>
      <c r="BI54" s="158"/>
      <c r="BJ54" s="158"/>
      <c r="BK54" s="158"/>
      <c r="BL54" s="158"/>
      <c r="BM54" s="158"/>
      <c r="BN54" s="158"/>
      <c r="BO54" s="158"/>
      <c r="BP54" s="158"/>
      <c r="BQ54" s="158"/>
      <c r="BR54" s="158"/>
      <c r="BS54" s="158"/>
      <c r="BT54" s="158"/>
      <c r="BU54" s="158"/>
      <c r="BV54" s="158"/>
      <c r="BW54" s="158"/>
      <c r="BX54" s="158"/>
      <c r="BY54" s="158"/>
      <c r="BZ54" s="158"/>
      <c r="CA54" s="158"/>
      <c r="CB54" s="158"/>
      <c r="CC54" s="158"/>
      <c r="CD54" s="158"/>
      <c r="CE54" s="158"/>
      <c r="CF54" s="158"/>
      <c r="CG54" s="158"/>
      <c r="CH54" s="158"/>
      <c r="CI54" s="158"/>
      <c r="CJ54" s="158"/>
      <c r="CK54" s="158"/>
      <c r="CL54" s="158"/>
      <c r="CM54" s="158"/>
      <c r="CN54" s="158"/>
      <c r="CO54" s="158"/>
      <c r="CP54" s="158"/>
      <c r="CQ54" s="158"/>
      <c r="CR54" s="158"/>
      <c r="CS54" s="158"/>
      <c r="CT54" s="158"/>
      <c r="CU54" s="158"/>
      <c r="CV54" s="158"/>
      <c r="CW54" s="158"/>
      <c r="CX54" s="158"/>
      <c r="CY54" s="158"/>
      <c r="CZ54" s="158"/>
      <c r="DA54" s="158"/>
      <c r="DB54" s="158"/>
      <c r="DC54" s="158"/>
      <c r="DD54" s="158"/>
      <c r="DE54" s="158"/>
      <c r="DF54" s="158"/>
      <c r="DG54" s="158"/>
      <c r="DH54" s="158"/>
      <c r="DI54" s="158"/>
      <c r="DJ54" s="158"/>
      <c r="DK54" s="158"/>
      <c r="DL54" s="158"/>
      <c r="DM54" s="158"/>
      <c r="DN54" s="158"/>
      <c r="DO54" s="158"/>
      <c r="DP54" s="158"/>
      <c r="DQ54" s="158"/>
      <c r="DR54" s="158"/>
      <c r="DS54" s="158"/>
      <c r="DT54" s="158"/>
      <c r="DU54" s="158"/>
      <c r="DV54" s="158"/>
      <c r="DW54" s="158"/>
      <c r="DX54" s="158"/>
      <c r="DY54" s="158"/>
      <c r="DZ54" s="158"/>
      <c r="EA54" s="158"/>
      <c r="EB54" s="158"/>
      <c r="EC54" s="158"/>
      <c r="ED54" s="158"/>
      <c r="EE54" s="158"/>
      <c r="EF54" s="158"/>
      <c r="EG54" s="158"/>
      <c r="EH54" s="158"/>
      <c r="EI54" s="158"/>
      <c r="EJ54" s="158"/>
      <c r="EK54" s="158"/>
      <c r="EL54" s="158"/>
      <c r="EM54" s="158"/>
      <c r="EN54" s="158"/>
      <c r="EO54" s="158"/>
      <c r="EP54" s="158"/>
      <c r="EQ54" s="158"/>
      <c r="ER54" s="158"/>
      <c r="ES54" s="158"/>
      <c r="ET54" s="158"/>
      <c r="EU54" s="158"/>
      <c r="EV54" s="158"/>
      <c r="EW54" s="158"/>
      <c r="EX54" s="158"/>
      <c r="EY54" s="158"/>
      <c r="EZ54" s="158"/>
      <c r="FA54" s="158"/>
      <c r="FB54" s="158"/>
      <c r="FC54" s="158"/>
      <c r="FD54" s="158"/>
      <c r="FE54" s="158"/>
      <c r="FF54" s="158"/>
      <c r="FG54" s="158"/>
      <c r="FH54" s="158"/>
      <c r="FI54" s="158"/>
      <c r="FJ54" s="158"/>
      <c r="FK54" s="158"/>
      <c r="FL54" s="158"/>
      <c r="FM54" s="158"/>
      <c r="FN54" s="158"/>
      <c r="FO54" s="158"/>
      <c r="FP54" s="158"/>
      <c r="FQ54" s="158"/>
      <c r="FR54" s="158"/>
      <c r="FS54" s="158"/>
      <c r="FT54" s="158"/>
      <c r="FU54" s="158"/>
      <c r="FV54" s="158"/>
      <c r="FW54" s="158"/>
      <c r="FX54" s="158"/>
      <c r="FY54" s="158"/>
      <c r="FZ54" s="158"/>
      <c r="GA54" s="158"/>
      <c r="GB54" s="158"/>
      <c r="GC54" s="158"/>
      <c r="GD54" s="158"/>
      <c r="GE54" s="158"/>
      <c r="GF54" s="158"/>
    </row>
    <row r="55" spans="2:188" s="324" customFormat="1" ht="26.4">
      <c r="B55" s="316">
        <v>49</v>
      </c>
      <c r="C55" s="370" t="s">
        <v>249</v>
      </c>
      <c r="D55" s="370" t="s">
        <v>447</v>
      </c>
      <c r="E55" s="422" t="s">
        <v>350</v>
      </c>
      <c r="F55" s="370" t="s">
        <v>448</v>
      </c>
      <c r="G55" s="371">
        <v>1</v>
      </c>
      <c r="H55" s="369">
        <v>250000</v>
      </c>
      <c r="I55" s="317">
        <f t="shared" si="0"/>
        <v>46875</v>
      </c>
      <c r="J55" s="249"/>
      <c r="K55" s="158"/>
      <c r="L55" s="15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58"/>
      <c r="Z55" s="158"/>
      <c r="AA55" s="158"/>
      <c r="AB55" s="158"/>
      <c r="AC55" s="158"/>
      <c r="AD55" s="158"/>
      <c r="AE55" s="158"/>
      <c r="AF55" s="158"/>
      <c r="AG55" s="158"/>
      <c r="AH55" s="158"/>
      <c r="AI55" s="158"/>
      <c r="AJ55" s="158"/>
      <c r="AK55" s="158"/>
      <c r="AL55" s="158"/>
      <c r="AM55" s="158"/>
      <c r="AN55" s="158"/>
      <c r="AO55" s="158"/>
      <c r="AP55" s="158"/>
      <c r="AQ55" s="158"/>
      <c r="AR55" s="158"/>
      <c r="AS55" s="158"/>
      <c r="AT55" s="158"/>
      <c r="AU55" s="158"/>
      <c r="AV55" s="158"/>
      <c r="AW55" s="158"/>
      <c r="AX55" s="158"/>
      <c r="AY55" s="158"/>
      <c r="AZ55" s="158"/>
      <c r="BA55" s="158"/>
      <c r="BB55" s="158"/>
      <c r="BC55" s="158"/>
      <c r="BD55" s="158"/>
      <c r="BE55" s="158"/>
      <c r="BF55" s="158"/>
      <c r="BG55" s="158"/>
      <c r="BH55" s="158"/>
      <c r="BI55" s="158"/>
      <c r="BJ55" s="158"/>
      <c r="BK55" s="158"/>
      <c r="BL55" s="158"/>
      <c r="BM55" s="158"/>
      <c r="BN55" s="158"/>
      <c r="BO55" s="158"/>
      <c r="BP55" s="158"/>
      <c r="BQ55" s="158"/>
      <c r="BR55" s="158"/>
      <c r="BS55" s="158"/>
      <c r="BT55" s="158"/>
      <c r="BU55" s="158"/>
      <c r="BV55" s="158"/>
      <c r="BW55" s="158"/>
      <c r="BX55" s="158"/>
      <c r="BY55" s="158"/>
      <c r="BZ55" s="158"/>
      <c r="CA55" s="158"/>
      <c r="CB55" s="158"/>
      <c r="CC55" s="158"/>
      <c r="CD55" s="158"/>
      <c r="CE55" s="158"/>
      <c r="CF55" s="158"/>
      <c r="CG55" s="158"/>
      <c r="CH55" s="158"/>
      <c r="CI55" s="158"/>
      <c r="CJ55" s="158"/>
      <c r="CK55" s="158"/>
      <c r="CL55" s="158"/>
      <c r="CM55" s="158"/>
      <c r="CN55" s="158"/>
      <c r="CO55" s="158"/>
      <c r="CP55" s="158"/>
      <c r="CQ55" s="158"/>
      <c r="CR55" s="158"/>
      <c r="CS55" s="158"/>
      <c r="CT55" s="158"/>
      <c r="CU55" s="158"/>
      <c r="CV55" s="158"/>
      <c r="CW55" s="158"/>
      <c r="CX55" s="158"/>
      <c r="CY55" s="158"/>
      <c r="CZ55" s="158"/>
      <c r="DA55" s="158"/>
      <c r="DB55" s="158"/>
      <c r="DC55" s="158"/>
      <c r="DD55" s="158"/>
      <c r="DE55" s="158"/>
      <c r="DF55" s="158"/>
      <c r="DG55" s="158"/>
      <c r="DH55" s="158"/>
      <c r="DI55" s="158"/>
      <c r="DJ55" s="158"/>
      <c r="DK55" s="158"/>
      <c r="DL55" s="158"/>
      <c r="DM55" s="158"/>
      <c r="DN55" s="158"/>
      <c r="DO55" s="158"/>
      <c r="DP55" s="158"/>
      <c r="DQ55" s="158"/>
      <c r="DR55" s="158"/>
      <c r="DS55" s="158"/>
      <c r="DT55" s="158"/>
      <c r="DU55" s="158"/>
      <c r="DV55" s="158"/>
      <c r="DW55" s="158"/>
      <c r="DX55" s="158"/>
      <c r="DY55" s="158"/>
      <c r="DZ55" s="158"/>
      <c r="EA55" s="158"/>
      <c r="EB55" s="158"/>
      <c r="EC55" s="158"/>
      <c r="ED55" s="158"/>
      <c r="EE55" s="158"/>
      <c r="EF55" s="158"/>
      <c r="EG55" s="158"/>
      <c r="EH55" s="158"/>
      <c r="EI55" s="158"/>
      <c r="EJ55" s="158"/>
      <c r="EK55" s="158"/>
      <c r="EL55" s="158"/>
      <c r="EM55" s="158"/>
      <c r="EN55" s="158"/>
      <c r="EO55" s="158"/>
      <c r="EP55" s="158"/>
      <c r="EQ55" s="158"/>
      <c r="ER55" s="158"/>
      <c r="ES55" s="158"/>
      <c r="ET55" s="158"/>
      <c r="EU55" s="158"/>
      <c r="EV55" s="158"/>
      <c r="EW55" s="158"/>
      <c r="EX55" s="158"/>
      <c r="EY55" s="158"/>
      <c r="EZ55" s="158"/>
      <c r="FA55" s="158"/>
      <c r="FB55" s="158"/>
      <c r="FC55" s="158"/>
      <c r="FD55" s="158"/>
      <c r="FE55" s="158"/>
      <c r="FF55" s="158"/>
      <c r="FG55" s="158"/>
      <c r="FH55" s="158"/>
      <c r="FI55" s="158"/>
      <c r="FJ55" s="158"/>
      <c r="FK55" s="158"/>
      <c r="FL55" s="158"/>
      <c r="FM55" s="158"/>
      <c r="FN55" s="158"/>
      <c r="FO55" s="158"/>
      <c r="FP55" s="158"/>
      <c r="FQ55" s="158"/>
      <c r="FR55" s="158"/>
      <c r="FS55" s="158"/>
      <c r="FT55" s="158"/>
      <c r="FU55" s="158"/>
      <c r="FV55" s="158"/>
      <c r="FW55" s="158"/>
      <c r="FX55" s="158"/>
      <c r="FY55" s="158"/>
      <c r="FZ55" s="158"/>
      <c r="GA55" s="158"/>
      <c r="GB55" s="158"/>
      <c r="GC55" s="158"/>
      <c r="GD55" s="158"/>
      <c r="GE55" s="158"/>
      <c r="GF55" s="158"/>
    </row>
    <row r="56" spans="2:188" s="324" customFormat="1">
      <c r="B56" s="316">
        <v>50</v>
      </c>
      <c r="C56" s="370" t="s">
        <v>449</v>
      </c>
      <c r="D56" s="370" t="s">
        <v>450</v>
      </c>
      <c r="E56" s="422" t="s">
        <v>451</v>
      </c>
      <c r="F56" s="370" t="s">
        <v>394</v>
      </c>
      <c r="G56" s="371">
        <v>3</v>
      </c>
      <c r="H56" s="369">
        <v>300000</v>
      </c>
      <c r="I56" s="317">
        <f t="shared" si="0"/>
        <v>56250</v>
      </c>
      <c r="J56" s="249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  <c r="Y56" s="158"/>
      <c r="Z56" s="158"/>
      <c r="AA56" s="158"/>
      <c r="AB56" s="158"/>
      <c r="AC56" s="158"/>
      <c r="AD56" s="158"/>
      <c r="AE56" s="158"/>
      <c r="AF56" s="158"/>
      <c r="AG56" s="158"/>
      <c r="AH56" s="158"/>
      <c r="AI56" s="158"/>
      <c r="AJ56" s="158"/>
      <c r="AK56" s="158"/>
      <c r="AL56" s="158"/>
      <c r="AM56" s="158"/>
      <c r="AN56" s="158"/>
      <c r="AO56" s="158"/>
      <c r="AP56" s="158"/>
      <c r="AQ56" s="158"/>
      <c r="AR56" s="158"/>
      <c r="AS56" s="158"/>
      <c r="AT56" s="158"/>
      <c r="AU56" s="158"/>
      <c r="AV56" s="158"/>
      <c r="AW56" s="158"/>
      <c r="AX56" s="158"/>
      <c r="AY56" s="158"/>
      <c r="AZ56" s="158"/>
      <c r="BA56" s="158"/>
      <c r="BB56" s="158"/>
      <c r="BC56" s="158"/>
      <c r="BD56" s="158"/>
      <c r="BE56" s="158"/>
      <c r="BF56" s="158"/>
      <c r="BG56" s="158"/>
      <c r="BH56" s="158"/>
      <c r="BI56" s="158"/>
      <c r="BJ56" s="158"/>
      <c r="BK56" s="158"/>
      <c r="BL56" s="158"/>
      <c r="BM56" s="158"/>
      <c r="BN56" s="158"/>
      <c r="BO56" s="158"/>
      <c r="BP56" s="158"/>
      <c r="BQ56" s="158"/>
      <c r="BR56" s="158"/>
      <c r="BS56" s="158"/>
      <c r="BT56" s="158"/>
      <c r="BU56" s="158"/>
      <c r="BV56" s="158"/>
      <c r="BW56" s="158"/>
      <c r="BX56" s="158"/>
      <c r="BY56" s="158"/>
      <c r="BZ56" s="158"/>
      <c r="CA56" s="158"/>
      <c r="CB56" s="158"/>
      <c r="CC56" s="158"/>
      <c r="CD56" s="158"/>
      <c r="CE56" s="158"/>
      <c r="CF56" s="158"/>
      <c r="CG56" s="158"/>
      <c r="CH56" s="158"/>
      <c r="CI56" s="158"/>
      <c r="CJ56" s="158"/>
      <c r="CK56" s="158"/>
      <c r="CL56" s="158"/>
      <c r="CM56" s="158"/>
      <c r="CN56" s="158"/>
      <c r="CO56" s="158"/>
      <c r="CP56" s="158"/>
      <c r="CQ56" s="158"/>
      <c r="CR56" s="158"/>
      <c r="CS56" s="158"/>
      <c r="CT56" s="158"/>
      <c r="CU56" s="158"/>
      <c r="CV56" s="158"/>
      <c r="CW56" s="158"/>
      <c r="CX56" s="158"/>
      <c r="CY56" s="158"/>
      <c r="CZ56" s="158"/>
      <c r="DA56" s="158"/>
      <c r="DB56" s="158"/>
      <c r="DC56" s="158"/>
      <c r="DD56" s="158"/>
      <c r="DE56" s="158"/>
      <c r="DF56" s="158"/>
      <c r="DG56" s="158"/>
      <c r="DH56" s="158"/>
      <c r="DI56" s="158"/>
      <c r="DJ56" s="158"/>
      <c r="DK56" s="158"/>
      <c r="DL56" s="158"/>
      <c r="DM56" s="158"/>
      <c r="DN56" s="158"/>
      <c r="DO56" s="158"/>
      <c r="DP56" s="158"/>
      <c r="DQ56" s="158"/>
      <c r="DR56" s="158"/>
      <c r="DS56" s="158"/>
      <c r="DT56" s="158"/>
      <c r="DU56" s="158"/>
      <c r="DV56" s="158"/>
      <c r="DW56" s="158"/>
      <c r="DX56" s="158"/>
      <c r="DY56" s="158"/>
      <c r="DZ56" s="158"/>
      <c r="EA56" s="158"/>
      <c r="EB56" s="158"/>
      <c r="EC56" s="158"/>
      <c r="ED56" s="158"/>
      <c r="EE56" s="158"/>
      <c r="EF56" s="158"/>
      <c r="EG56" s="158"/>
      <c r="EH56" s="158"/>
      <c r="EI56" s="158"/>
      <c r="EJ56" s="158"/>
      <c r="EK56" s="158"/>
      <c r="EL56" s="158"/>
      <c r="EM56" s="158"/>
      <c r="EN56" s="158"/>
      <c r="EO56" s="158"/>
      <c r="EP56" s="158"/>
      <c r="EQ56" s="158"/>
      <c r="ER56" s="158"/>
      <c r="ES56" s="158"/>
      <c r="ET56" s="158"/>
      <c r="EU56" s="158"/>
      <c r="EV56" s="158"/>
      <c r="EW56" s="158"/>
      <c r="EX56" s="158"/>
      <c r="EY56" s="158"/>
      <c r="EZ56" s="158"/>
      <c r="FA56" s="158"/>
      <c r="FB56" s="158"/>
      <c r="FC56" s="158"/>
      <c r="FD56" s="158"/>
      <c r="FE56" s="158"/>
      <c r="FF56" s="158"/>
      <c r="FG56" s="158"/>
      <c r="FH56" s="158"/>
      <c r="FI56" s="158"/>
      <c r="FJ56" s="158"/>
      <c r="FK56" s="158"/>
      <c r="FL56" s="158"/>
      <c r="FM56" s="158"/>
      <c r="FN56" s="158"/>
      <c r="FO56" s="158"/>
      <c r="FP56" s="158"/>
      <c r="FQ56" s="158"/>
      <c r="FR56" s="158"/>
      <c r="FS56" s="158"/>
      <c r="FT56" s="158"/>
      <c r="FU56" s="158"/>
      <c r="FV56" s="158"/>
      <c r="FW56" s="158"/>
      <c r="FX56" s="158"/>
      <c r="FY56" s="158"/>
      <c r="FZ56" s="158"/>
      <c r="GA56" s="158"/>
      <c r="GB56" s="158"/>
      <c r="GC56" s="158"/>
      <c r="GD56" s="158"/>
      <c r="GE56" s="158"/>
      <c r="GF56" s="158"/>
    </row>
    <row r="57" spans="2:188" s="324" customFormat="1">
      <c r="B57" s="316">
        <v>51</v>
      </c>
      <c r="C57" s="370" t="s">
        <v>224</v>
      </c>
      <c r="D57" s="370" t="s">
        <v>452</v>
      </c>
      <c r="E57" s="422" t="s">
        <v>453</v>
      </c>
      <c r="F57" s="370" t="s">
        <v>431</v>
      </c>
      <c r="G57" s="371">
        <v>1</v>
      </c>
      <c r="H57" s="369">
        <v>400000</v>
      </c>
      <c r="I57" s="317">
        <f t="shared" si="0"/>
        <v>75000</v>
      </c>
      <c r="J57" s="249"/>
      <c r="K57" s="158"/>
      <c r="L57" s="158"/>
      <c r="M57" s="158"/>
      <c r="N57" s="158"/>
      <c r="O57" s="158"/>
      <c r="P57" s="158"/>
      <c r="Q57" s="158"/>
      <c r="R57" s="158"/>
      <c r="S57" s="158"/>
      <c r="T57" s="158"/>
      <c r="U57" s="158"/>
      <c r="V57" s="158"/>
      <c r="W57" s="158"/>
      <c r="X57" s="158"/>
      <c r="Y57" s="158"/>
      <c r="Z57" s="158"/>
      <c r="AA57" s="158"/>
      <c r="AB57" s="158"/>
      <c r="AC57" s="158"/>
      <c r="AD57" s="158"/>
      <c r="AE57" s="158"/>
      <c r="AF57" s="158"/>
      <c r="AG57" s="158"/>
      <c r="AH57" s="158"/>
      <c r="AI57" s="158"/>
      <c r="AJ57" s="158"/>
      <c r="AK57" s="158"/>
      <c r="AL57" s="158"/>
      <c r="AM57" s="158"/>
      <c r="AN57" s="158"/>
      <c r="AO57" s="158"/>
      <c r="AP57" s="158"/>
      <c r="AQ57" s="158"/>
      <c r="AR57" s="158"/>
      <c r="AS57" s="158"/>
      <c r="AT57" s="158"/>
      <c r="AU57" s="158"/>
      <c r="AV57" s="158"/>
      <c r="AW57" s="158"/>
      <c r="AX57" s="158"/>
      <c r="AY57" s="158"/>
      <c r="AZ57" s="158"/>
      <c r="BA57" s="158"/>
      <c r="BB57" s="158"/>
      <c r="BC57" s="158"/>
      <c r="BD57" s="158"/>
      <c r="BE57" s="158"/>
      <c r="BF57" s="158"/>
      <c r="BG57" s="158"/>
      <c r="BH57" s="158"/>
      <c r="BI57" s="158"/>
      <c r="BJ57" s="158"/>
      <c r="BK57" s="158"/>
      <c r="BL57" s="158"/>
      <c r="BM57" s="158"/>
      <c r="BN57" s="158"/>
      <c r="BO57" s="158"/>
      <c r="BP57" s="158"/>
      <c r="BQ57" s="158"/>
      <c r="BR57" s="158"/>
      <c r="BS57" s="158"/>
      <c r="BT57" s="158"/>
      <c r="BU57" s="158"/>
      <c r="BV57" s="158"/>
      <c r="BW57" s="158"/>
      <c r="BX57" s="158"/>
      <c r="BY57" s="158"/>
      <c r="BZ57" s="158"/>
      <c r="CA57" s="158"/>
      <c r="CB57" s="158"/>
      <c r="CC57" s="158"/>
      <c r="CD57" s="158"/>
      <c r="CE57" s="158"/>
      <c r="CF57" s="158"/>
      <c r="CG57" s="158"/>
      <c r="CH57" s="158"/>
      <c r="CI57" s="158"/>
      <c r="CJ57" s="158"/>
      <c r="CK57" s="158"/>
      <c r="CL57" s="158"/>
      <c r="CM57" s="158"/>
      <c r="CN57" s="158"/>
      <c r="CO57" s="158"/>
      <c r="CP57" s="158"/>
      <c r="CQ57" s="158"/>
      <c r="CR57" s="158"/>
      <c r="CS57" s="158"/>
      <c r="CT57" s="158"/>
      <c r="CU57" s="158"/>
      <c r="CV57" s="158"/>
      <c r="CW57" s="158"/>
      <c r="CX57" s="158"/>
      <c r="CY57" s="158"/>
      <c r="CZ57" s="158"/>
      <c r="DA57" s="158"/>
      <c r="DB57" s="158"/>
      <c r="DC57" s="158"/>
      <c r="DD57" s="158"/>
      <c r="DE57" s="158"/>
      <c r="DF57" s="158"/>
      <c r="DG57" s="158"/>
      <c r="DH57" s="158"/>
      <c r="DI57" s="158"/>
      <c r="DJ57" s="158"/>
      <c r="DK57" s="158"/>
      <c r="DL57" s="158"/>
      <c r="DM57" s="158"/>
      <c r="DN57" s="158"/>
      <c r="DO57" s="158"/>
      <c r="DP57" s="158"/>
      <c r="DQ57" s="158"/>
      <c r="DR57" s="158"/>
      <c r="DS57" s="158"/>
      <c r="DT57" s="158"/>
      <c r="DU57" s="158"/>
      <c r="DV57" s="158"/>
      <c r="DW57" s="158"/>
      <c r="DX57" s="158"/>
      <c r="DY57" s="158"/>
      <c r="DZ57" s="158"/>
      <c r="EA57" s="158"/>
      <c r="EB57" s="158"/>
      <c r="EC57" s="158"/>
      <c r="ED57" s="158"/>
      <c r="EE57" s="158"/>
      <c r="EF57" s="158"/>
      <c r="EG57" s="158"/>
      <c r="EH57" s="158"/>
      <c r="EI57" s="158"/>
      <c r="EJ57" s="158"/>
      <c r="EK57" s="158"/>
      <c r="EL57" s="158"/>
      <c r="EM57" s="158"/>
      <c r="EN57" s="158"/>
      <c r="EO57" s="158"/>
      <c r="EP57" s="158"/>
      <c r="EQ57" s="158"/>
      <c r="ER57" s="158"/>
      <c r="ES57" s="158"/>
      <c r="ET57" s="158"/>
      <c r="EU57" s="158"/>
      <c r="EV57" s="158"/>
      <c r="EW57" s="158"/>
      <c r="EX57" s="158"/>
      <c r="EY57" s="158"/>
      <c r="EZ57" s="158"/>
      <c r="FA57" s="158"/>
      <c r="FB57" s="158"/>
      <c r="FC57" s="158"/>
      <c r="FD57" s="158"/>
      <c r="FE57" s="158"/>
      <c r="FF57" s="158"/>
      <c r="FG57" s="158"/>
      <c r="FH57" s="158"/>
      <c r="FI57" s="158"/>
      <c r="FJ57" s="158"/>
      <c r="FK57" s="158"/>
      <c r="FL57" s="158"/>
      <c r="FM57" s="158"/>
      <c r="FN57" s="158"/>
      <c r="FO57" s="158"/>
      <c r="FP57" s="158"/>
      <c r="FQ57" s="158"/>
      <c r="FR57" s="158"/>
      <c r="FS57" s="158"/>
      <c r="FT57" s="158"/>
      <c r="FU57" s="158"/>
      <c r="FV57" s="158"/>
      <c r="FW57" s="158"/>
      <c r="FX57" s="158"/>
      <c r="FY57" s="158"/>
      <c r="FZ57" s="158"/>
      <c r="GA57" s="158"/>
      <c r="GB57" s="158"/>
      <c r="GC57" s="158"/>
      <c r="GD57" s="158"/>
      <c r="GE57" s="158"/>
      <c r="GF57" s="158"/>
    </row>
    <row r="58" spans="2:188" s="324" customFormat="1">
      <c r="B58" s="316">
        <v>52</v>
      </c>
      <c r="C58" s="370" t="s">
        <v>249</v>
      </c>
      <c r="D58" s="370" t="s">
        <v>454</v>
      </c>
      <c r="E58" s="422" t="s">
        <v>152</v>
      </c>
      <c r="F58" s="370" t="s">
        <v>395</v>
      </c>
      <c r="G58" s="371">
        <v>10</v>
      </c>
      <c r="H58" s="369">
        <v>1000000</v>
      </c>
      <c r="I58" s="317">
        <f t="shared" si="0"/>
        <v>187500</v>
      </c>
      <c r="J58" s="249"/>
      <c r="K58" s="158"/>
      <c r="L58" s="158"/>
      <c r="M58" s="158"/>
      <c r="N58" s="158"/>
      <c r="O58" s="158"/>
      <c r="P58" s="158"/>
      <c r="Q58" s="158"/>
      <c r="R58" s="158"/>
      <c r="S58" s="158"/>
      <c r="T58" s="158"/>
      <c r="U58" s="158"/>
      <c r="V58" s="158"/>
      <c r="W58" s="158"/>
      <c r="X58" s="158"/>
      <c r="Y58" s="158"/>
      <c r="Z58" s="158"/>
      <c r="AA58" s="158"/>
      <c r="AB58" s="158"/>
      <c r="AC58" s="158"/>
      <c r="AD58" s="158"/>
      <c r="AE58" s="158"/>
      <c r="AF58" s="158"/>
      <c r="AG58" s="158"/>
      <c r="AH58" s="158"/>
      <c r="AI58" s="158"/>
      <c r="AJ58" s="158"/>
      <c r="AK58" s="158"/>
      <c r="AL58" s="158"/>
      <c r="AM58" s="158"/>
      <c r="AN58" s="158"/>
      <c r="AO58" s="158"/>
      <c r="AP58" s="158"/>
      <c r="AQ58" s="158"/>
      <c r="AR58" s="158"/>
      <c r="AS58" s="158"/>
      <c r="AT58" s="158"/>
      <c r="AU58" s="158"/>
      <c r="AV58" s="158"/>
      <c r="AW58" s="158"/>
      <c r="AX58" s="158"/>
      <c r="AY58" s="158"/>
      <c r="AZ58" s="158"/>
      <c r="BA58" s="158"/>
      <c r="BB58" s="158"/>
      <c r="BC58" s="158"/>
      <c r="BD58" s="158"/>
      <c r="BE58" s="158"/>
      <c r="BF58" s="158"/>
      <c r="BG58" s="158"/>
      <c r="BH58" s="158"/>
      <c r="BI58" s="158"/>
      <c r="BJ58" s="158"/>
      <c r="BK58" s="158"/>
      <c r="BL58" s="158"/>
      <c r="BM58" s="158"/>
      <c r="BN58" s="158"/>
      <c r="BO58" s="158"/>
      <c r="BP58" s="158"/>
      <c r="BQ58" s="158"/>
      <c r="BR58" s="158"/>
      <c r="BS58" s="158"/>
      <c r="BT58" s="158"/>
      <c r="BU58" s="158"/>
      <c r="BV58" s="158"/>
      <c r="BW58" s="158"/>
      <c r="BX58" s="158"/>
      <c r="BY58" s="158"/>
      <c r="BZ58" s="158"/>
      <c r="CA58" s="158"/>
      <c r="CB58" s="158"/>
      <c r="CC58" s="158"/>
      <c r="CD58" s="158"/>
      <c r="CE58" s="158"/>
      <c r="CF58" s="158"/>
      <c r="CG58" s="158"/>
      <c r="CH58" s="158"/>
      <c r="CI58" s="158"/>
      <c r="CJ58" s="158"/>
      <c r="CK58" s="158"/>
      <c r="CL58" s="158"/>
      <c r="CM58" s="158"/>
      <c r="CN58" s="158"/>
      <c r="CO58" s="158"/>
      <c r="CP58" s="158"/>
      <c r="CQ58" s="158"/>
      <c r="CR58" s="158"/>
      <c r="CS58" s="158"/>
      <c r="CT58" s="158"/>
      <c r="CU58" s="158"/>
      <c r="CV58" s="158"/>
      <c r="CW58" s="158"/>
      <c r="CX58" s="158"/>
      <c r="CY58" s="158"/>
      <c r="CZ58" s="158"/>
      <c r="DA58" s="158"/>
      <c r="DB58" s="158"/>
      <c r="DC58" s="158"/>
      <c r="DD58" s="158"/>
      <c r="DE58" s="158"/>
      <c r="DF58" s="158"/>
      <c r="DG58" s="158"/>
      <c r="DH58" s="158"/>
      <c r="DI58" s="158"/>
      <c r="DJ58" s="158"/>
      <c r="DK58" s="158"/>
      <c r="DL58" s="158"/>
      <c r="DM58" s="158"/>
      <c r="DN58" s="158"/>
      <c r="DO58" s="158"/>
      <c r="DP58" s="158"/>
      <c r="DQ58" s="158"/>
      <c r="DR58" s="158"/>
      <c r="DS58" s="158"/>
      <c r="DT58" s="158"/>
      <c r="DU58" s="158"/>
      <c r="DV58" s="158"/>
      <c r="DW58" s="158"/>
      <c r="DX58" s="158"/>
      <c r="DY58" s="158"/>
      <c r="DZ58" s="158"/>
      <c r="EA58" s="158"/>
      <c r="EB58" s="158"/>
      <c r="EC58" s="158"/>
      <c r="ED58" s="158"/>
      <c r="EE58" s="158"/>
      <c r="EF58" s="158"/>
      <c r="EG58" s="158"/>
      <c r="EH58" s="158"/>
      <c r="EI58" s="158"/>
      <c r="EJ58" s="158"/>
      <c r="EK58" s="158"/>
      <c r="EL58" s="158"/>
      <c r="EM58" s="158"/>
      <c r="EN58" s="158"/>
      <c r="EO58" s="158"/>
      <c r="EP58" s="158"/>
      <c r="EQ58" s="158"/>
      <c r="ER58" s="158"/>
      <c r="ES58" s="158"/>
      <c r="ET58" s="158"/>
      <c r="EU58" s="158"/>
      <c r="EV58" s="158"/>
      <c r="EW58" s="158"/>
      <c r="EX58" s="158"/>
      <c r="EY58" s="158"/>
      <c r="EZ58" s="158"/>
      <c r="FA58" s="158"/>
      <c r="FB58" s="158"/>
      <c r="FC58" s="158"/>
      <c r="FD58" s="158"/>
      <c r="FE58" s="158"/>
      <c r="FF58" s="158"/>
      <c r="FG58" s="158"/>
      <c r="FH58" s="158"/>
      <c r="FI58" s="158"/>
      <c r="FJ58" s="158"/>
      <c r="FK58" s="158"/>
      <c r="FL58" s="158"/>
      <c r="FM58" s="158"/>
      <c r="FN58" s="158"/>
      <c r="FO58" s="158"/>
      <c r="FP58" s="158"/>
      <c r="FQ58" s="158"/>
      <c r="FR58" s="158"/>
      <c r="FS58" s="158"/>
      <c r="FT58" s="158"/>
      <c r="FU58" s="158"/>
      <c r="FV58" s="158"/>
      <c r="FW58" s="158"/>
      <c r="FX58" s="158"/>
      <c r="FY58" s="158"/>
      <c r="FZ58" s="158"/>
      <c r="GA58" s="158"/>
      <c r="GB58" s="158"/>
      <c r="GC58" s="158"/>
      <c r="GD58" s="158"/>
      <c r="GE58" s="158"/>
      <c r="GF58" s="158"/>
    </row>
    <row r="59" spans="2:188" s="324" customFormat="1">
      <c r="B59" s="316">
        <v>53</v>
      </c>
      <c r="C59" s="370" t="s">
        <v>209</v>
      </c>
      <c r="D59" s="370" t="s">
        <v>455</v>
      </c>
      <c r="E59" s="422" t="s">
        <v>149</v>
      </c>
      <c r="F59" s="370" t="s">
        <v>395</v>
      </c>
      <c r="G59" s="371">
        <v>1</v>
      </c>
      <c r="H59" s="369">
        <v>100000</v>
      </c>
      <c r="I59" s="317">
        <f t="shared" si="0"/>
        <v>18750</v>
      </c>
      <c r="J59" s="249"/>
      <c r="K59" s="158"/>
      <c r="L59" s="15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58"/>
      <c r="Z59" s="158"/>
      <c r="AA59" s="158"/>
      <c r="AB59" s="158"/>
      <c r="AC59" s="158"/>
      <c r="AD59" s="158"/>
      <c r="AE59" s="158"/>
      <c r="AF59" s="158"/>
      <c r="AG59" s="158"/>
      <c r="AH59" s="158"/>
      <c r="AI59" s="158"/>
      <c r="AJ59" s="158"/>
      <c r="AK59" s="158"/>
      <c r="AL59" s="158"/>
      <c r="AM59" s="158"/>
      <c r="AN59" s="158"/>
      <c r="AO59" s="158"/>
      <c r="AP59" s="158"/>
      <c r="AQ59" s="158"/>
      <c r="AR59" s="158"/>
      <c r="AS59" s="158"/>
      <c r="AT59" s="158"/>
      <c r="AU59" s="158"/>
      <c r="AV59" s="158"/>
      <c r="AW59" s="158"/>
      <c r="AX59" s="158"/>
      <c r="AY59" s="158"/>
      <c r="AZ59" s="158"/>
      <c r="BA59" s="158"/>
      <c r="BB59" s="158"/>
      <c r="BC59" s="158"/>
      <c r="BD59" s="158"/>
      <c r="BE59" s="158"/>
      <c r="BF59" s="158"/>
      <c r="BG59" s="158"/>
      <c r="BH59" s="158"/>
      <c r="BI59" s="158"/>
      <c r="BJ59" s="158"/>
      <c r="BK59" s="158"/>
      <c r="BL59" s="158"/>
      <c r="BM59" s="158"/>
      <c r="BN59" s="158"/>
      <c r="BO59" s="158"/>
      <c r="BP59" s="158"/>
      <c r="BQ59" s="158"/>
      <c r="BR59" s="158"/>
      <c r="BS59" s="158"/>
      <c r="BT59" s="158"/>
      <c r="BU59" s="158"/>
      <c r="BV59" s="158"/>
      <c r="BW59" s="158"/>
      <c r="BX59" s="158"/>
      <c r="BY59" s="158"/>
      <c r="BZ59" s="158"/>
      <c r="CA59" s="158"/>
      <c r="CB59" s="158"/>
      <c r="CC59" s="158"/>
      <c r="CD59" s="158"/>
      <c r="CE59" s="158"/>
      <c r="CF59" s="158"/>
      <c r="CG59" s="158"/>
      <c r="CH59" s="158"/>
      <c r="CI59" s="158"/>
      <c r="CJ59" s="158"/>
      <c r="CK59" s="158"/>
      <c r="CL59" s="158"/>
      <c r="CM59" s="158"/>
      <c r="CN59" s="158"/>
      <c r="CO59" s="158"/>
      <c r="CP59" s="158"/>
      <c r="CQ59" s="158"/>
      <c r="CR59" s="158"/>
      <c r="CS59" s="158"/>
      <c r="CT59" s="158"/>
      <c r="CU59" s="158"/>
      <c r="CV59" s="158"/>
      <c r="CW59" s="158"/>
      <c r="CX59" s="158"/>
      <c r="CY59" s="158"/>
      <c r="CZ59" s="158"/>
      <c r="DA59" s="158"/>
      <c r="DB59" s="158"/>
      <c r="DC59" s="158"/>
      <c r="DD59" s="158"/>
      <c r="DE59" s="158"/>
      <c r="DF59" s="158"/>
      <c r="DG59" s="158"/>
      <c r="DH59" s="158"/>
      <c r="DI59" s="158"/>
      <c r="DJ59" s="158"/>
      <c r="DK59" s="158"/>
      <c r="DL59" s="158"/>
      <c r="DM59" s="158"/>
      <c r="DN59" s="158"/>
      <c r="DO59" s="158"/>
      <c r="DP59" s="158"/>
      <c r="DQ59" s="158"/>
      <c r="DR59" s="158"/>
      <c r="DS59" s="158"/>
      <c r="DT59" s="158"/>
      <c r="DU59" s="158"/>
      <c r="DV59" s="158"/>
      <c r="DW59" s="158"/>
      <c r="DX59" s="158"/>
      <c r="DY59" s="158"/>
      <c r="DZ59" s="158"/>
      <c r="EA59" s="158"/>
      <c r="EB59" s="158"/>
      <c r="EC59" s="158"/>
      <c r="ED59" s="158"/>
      <c r="EE59" s="158"/>
      <c r="EF59" s="158"/>
      <c r="EG59" s="158"/>
      <c r="EH59" s="158"/>
      <c r="EI59" s="158"/>
      <c r="EJ59" s="158"/>
      <c r="EK59" s="158"/>
      <c r="EL59" s="158"/>
      <c r="EM59" s="158"/>
      <c r="EN59" s="158"/>
      <c r="EO59" s="158"/>
      <c r="EP59" s="158"/>
      <c r="EQ59" s="158"/>
      <c r="ER59" s="158"/>
      <c r="ES59" s="158"/>
      <c r="ET59" s="158"/>
      <c r="EU59" s="158"/>
      <c r="EV59" s="158"/>
      <c r="EW59" s="158"/>
      <c r="EX59" s="158"/>
      <c r="EY59" s="158"/>
      <c r="EZ59" s="158"/>
      <c r="FA59" s="158"/>
      <c r="FB59" s="158"/>
      <c r="FC59" s="158"/>
      <c r="FD59" s="158"/>
      <c r="FE59" s="158"/>
      <c r="FF59" s="158"/>
      <c r="FG59" s="158"/>
      <c r="FH59" s="158"/>
      <c r="FI59" s="158"/>
      <c r="FJ59" s="158"/>
      <c r="FK59" s="158"/>
      <c r="FL59" s="158"/>
      <c r="FM59" s="158"/>
      <c r="FN59" s="158"/>
      <c r="FO59" s="158"/>
      <c r="FP59" s="158"/>
      <c r="FQ59" s="158"/>
      <c r="FR59" s="158"/>
      <c r="FS59" s="158"/>
      <c r="FT59" s="158"/>
      <c r="FU59" s="158"/>
      <c r="FV59" s="158"/>
      <c r="FW59" s="158"/>
      <c r="FX59" s="158"/>
      <c r="FY59" s="158"/>
      <c r="FZ59" s="158"/>
      <c r="GA59" s="158"/>
      <c r="GB59" s="158"/>
      <c r="GC59" s="158"/>
      <c r="GD59" s="158"/>
      <c r="GE59" s="158"/>
      <c r="GF59" s="158"/>
    </row>
    <row r="60" spans="2:188" s="324" customFormat="1">
      <c r="B60" s="316">
        <v>54</v>
      </c>
      <c r="C60" s="370" t="s">
        <v>244</v>
      </c>
      <c r="D60" s="370" t="s">
        <v>456</v>
      </c>
      <c r="E60" s="422" t="s">
        <v>405</v>
      </c>
      <c r="F60" s="370" t="s">
        <v>394</v>
      </c>
      <c r="G60" s="371">
        <v>1</v>
      </c>
      <c r="H60" s="369">
        <v>40300</v>
      </c>
      <c r="I60" s="317">
        <f t="shared" si="0"/>
        <v>7556.25</v>
      </c>
      <c r="J60" s="355"/>
    </row>
    <row r="61" spans="2:188" s="324" customFormat="1">
      <c r="B61" s="316">
        <v>55</v>
      </c>
      <c r="C61" s="370" t="s">
        <v>236</v>
      </c>
      <c r="D61" s="370" t="s">
        <v>389</v>
      </c>
      <c r="E61" s="422" t="s">
        <v>377</v>
      </c>
      <c r="F61" s="370" t="s">
        <v>394</v>
      </c>
      <c r="G61" s="371">
        <v>1</v>
      </c>
      <c r="H61" s="369">
        <v>100000</v>
      </c>
      <c r="I61" s="317">
        <f t="shared" si="0"/>
        <v>18750</v>
      </c>
      <c r="J61" s="355"/>
    </row>
    <row r="62" spans="2:188" s="324" customFormat="1">
      <c r="B62" s="316">
        <v>56</v>
      </c>
      <c r="C62" s="370" t="s">
        <v>253</v>
      </c>
      <c r="D62" s="370" t="s">
        <v>446</v>
      </c>
      <c r="E62" s="422" t="s">
        <v>441</v>
      </c>
      <c r="F62" s="370" t="s">
        <v>396</v>
      </c>
      <c r="G62" s="371">
        <v>1</v>
      </c>
      <c r="H62" s="369">
        <v>100000</v>
      </c>
      <c r="I62" s="317">
        <f t="shared" si="0"/>
        <v>18750</v>
      </c>
      <c r="J62" s="355"/>
    </row>
    <row r="63" spans="2:188" s="324" customFormat="1">
      <c r="B63" s="316">
        <v>57</v>
      </c>
      <c r="C63" s="370" t="s">
        <v>233</v>
      </c>
      <c r="D63" s="370" t="s">
        <v>364</v>
      </c>
      <c r="E63" s="422" t="s">
        <v>365</v>
      </c>
      <c r="F63" s="370" t="s">
        <v>392</v>
      </c>
      <c r="G63" s="371">
        <v>22</v>
      </c>
      <c r="H63" s="369">
        <v>2200000</v>
      </c>
      <c r="I63" s="317">
        <f t="shared" si="0"/>
        <v>412500</v>
      </c>
      <c r="J63" s="355"/>
    </row>
    <row r="64" spans="2:188" s="324" customFormat="1">
      <c r="B64" s="316">
        <v>58</v>
      </c>
      <c r="C64" s="370" t="s">
        <v>249</v>
      </c>
      <c r="D64" s="370" t="s">
        <v>457</v>
      </c>
      <c r="E64" s="422" t="s">
        <v>148</v>
      </c>
      <c r="F64" s="370" t="s">
        <v>395</v>
      </c>
      <c r="G64" s="371">
        <v>3</v>
      </c>
      <c r="H64" s="369">
        <v>300000</v>
      </c>
      <c r="I64" s="317">
        <f t="shared" si="0"/>
        <v>56250</v>
      </c>
      <c r="J64" s="249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58"/>
      <c r="Z64" s="158"/>
      <c r="AA64" s="158"/>
      <c r="AB64" s="158"/>
      <c r="AC64" s="158"/>
      <c r="AD64" s="158"/>
      <c r="AE64" s="158"/>
      <c r="AF64" s="158"/>
      <c r="AG64" s="158"/>
      <c r="AH64" s="158"/>
      <c r="AI64" s="158"/>
      <c r="AJ64" s="158"/>
      <c r="AK64" s="158"/>
      <c r="AL64" s="158"/>
      <c r="AM64" s="158"/>
      <c r="AN64" s="158"/>
      <c r="AO64" s="158"/>
      <c r="AP64" s="158"/>
      <c r="AQ64" s="158"/>
      <c r="AR64" s="158"/>
      <c r="AS64" s="158"/>
      <c r="AT64" s="158"/>
      <c r="AU64" s="158"/>
      <c r="AV64" s="158"/>
      <c r="AW64" s="158"/>
      <c r="AX64" s="158"/>
      <c r="AY64" s="158"/>
      <c r="AZ64" s="158"/>
      <c r="BA64" s="158"/>
      <c r="BB64" s="158"/>
      <c r="BC64" s="158"/>
      <c r="BD64" s="158"/>
      <c r="BE64" s="158"/>
      <c r="BF64" s="158"/>
      <c r="BG64" s="158"/>
      <c r="BH64" s="158"/>
      <c r="BI64" s="158"/>
      <c r="BJ64" s="158"/>
      <c r="BK64" s="158"/>
      <c r="BL64" s="158"/>
      <c r="BM64" s="158"/>
      <c r="BN64" s="158"/>
      <c r="BO64" s="158"/>
      <c r="BP64" s="158"/>
      <c r="BQ64" s="158"/>
      <c r="BR64" s="158"/>
      <c r="BS64" s="158"/>
      <c r="BT64" s="158"/>
      <c r="BU64" s="158"/>
      <c r="BV64" s="158"/>
      <c r="BW64" s="158"/>
      <c r="BX64" s="158"/>
      <c r="BY64" s="158"/>
      <c r="BZ64" s="158"/>
      <c r="CA64" s="158"/>
      <c r="CB64" s="158"/>
      <c r="CC64" s="158"/>
      <c r="CD64" s="158"/>
      <c r="CE64" s="158"/>
      <c r="CF64" s="158"/>
      <c r="CG64" s="158"/>
      <c r="CH64" s="158"/>
      <c r="CI64" s="158"/>
      <c r="CJ64" s="158"/>
      <c r="CK64" s="158"/>
      <c r="CL64" s="158"/>
      <c r="CM64" s="158"/>
      <c r="CN64" s="158"/>
      <c r="CO64" s="158"/>
      <c r="CP64" s="158"/>
      <c r="CQ64" s="158"/>
      <c r="CR64" s="158"/>
      <c r="CS64" s="158"/>
      <c r="CT64" s="158"/>
      <c r="CU64" s="158"/>
      <c r="CV64" s="158"/>
      <c r="CW64" s="158"/>
      <c r="CX64" s="158"/>
      <c r="CY64" s="158"/>
      <c r="CZ64" s="158"/>
      <c r="DA64" s="158"/>
      <c r="DB64" s="158"/>
      <c r="DC64" s="158"/>
      <c r="DD64" s="158"/>
      <c r="DE64" s="158"/>
      <c r="DF64" s="158"/>
      <c r="DG64" s="158"/>
      <c r="DH64" s="158"/>
      <c r="DI64" s="158"/>
      <c r="DJ64" s="158"/>
      <c r="DK64" s="158"/>
      <c r="DL64" s="158"/>
      <c r="DM64" s="158"/>
      <c r="DN64" s="158"/>
      <c r="DO64" s="158"/>
      <c r="DP64" s="158"/>
      <c r="DQ64" s="158"/>
      <c r="DR64" s="158"/>
      <c r="DS64" s="158"/>
      <c r="DT64" s="158"/>
      <c r="DU64" s="158"/>
      <c r="DV64" s="158"/>
      <c r="DW64" s="158"/>
      <c r="DX64" s="158"/>
      <c r="DY64" s="158"/>
      <c r="DZ64" s="158"/>
      <c r="EA64" s="158"/>
      <c r="EB64" s="158"/>
      <c r="EC64" s="158"/>
      <c r="ED64" s="158"/>
      <c r="EE64" s="158"/>
      <c r="EF64" s="158"/>
      <c r="EG64" s="158"/>
      <c r="EH64" s="158"/>
      <c r="EI64" s="158"/>
      <c r="EJ64" s="158"/>
      <c r="EK64" s="158"/>
      <c r="EL64" s="158"/>
      <c r="EM64" s="158"/>
      <c r="EN64" s="158"/>
      <c r="EO64" s="158"/>
      <c r="EP64" s="158"/>
      <c r="EQ64" s="158"/>
      <c r="ER64" s="158"/>
      <c r="ES64" s="158"/>
      <c r="ET64" s="158"/>
      <c r="EU64" s="158"/>
      <c r="EV64" s="158"/>
      <c r="EW64" s="158"/>
      <c r="EX64" s="158"/>
      <c r="EY64" s="158"/>
      <c r="EZ64" s="158"/>
      <c r="FA64" s="158"/>
      <c r="FB64" s="158"/>
      <c r="FC64" s="158"/>
      <c r="FD64" s="158"/>
      <c r="FE64" s="158"/>
      <c r="FF64" s="158"/>
      <c r="FG64" s="158"/>
      <c r="FH64" s="158"/>
      <c r="FI64" s="158"/>
      <c r="FJ64" s="158"/>
      <c r="FK64" s="158"/>
      <c r="FL64" s="158"/>
      <c r="FM64" s="158"/>
      <c r="FN64" s="158"/>
      <c r="FO64" s="158"/>
      <c r="FP64" s="158"/>
      <c r="FQ64" s="158"/>
      <c r="FR64" s="158"/>
      <c r="FS64" s="158"/>
      <c r="FT64" s="158"/>
      <c r="FU64" s="158"/>
      <c r="FV64" s="158"/>
      <c r="FW64" s="158"/>
      <c r="FX64" s="158"/>
      <c r="FY64" s="158"/>
      <c r="FZ64" s="158"/>
      <c r="GA64" s="158"/>
      <c r="GB64" s="158"/>
      <c r="GC64" s="158"/>
      <c r="GD64" s="158"/>
      <c r="GE64" s="158"/>
      <c r="GF64" s="158"/>
    </row>
    <row r="65" spans="2:188" s="324" customFormat="1">
      <c r="B65" s="316">
        <v>59</v>
      </c>
      <c r="C65" s="370" t="s">
        <v>385</v>
      </c>
      <c r="D65" s="370" t="s">
        <v>458</v>
      </c>
      <c r="E65" s="422" t="s">
        <v>367</v>
      </c>
      <c r="F65" s="370" t="s">
        <v>395</v>
      </c>
      <c r="G65" s="371">
        <v>1</v>
      </c>
      <c r="H65" s="369">
        <v>100000</v>
      </c>
      <c r="I65" s="317">
        <f t="shared" si="0"/>
        <v>18750</v>
      </c>
      <c r="J65" s="249"/>
      <c r="K65" s="158"/>
      <c r="L65" s="158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58"/>
      <c r="Z65" s="158"/>
      <c r="AA65" s="158"/>
      <c r="AB65" s="158"/>
      <c r="AC65" s="158"/>
      <c r="AD65" s="158"/>
      <c r="AE65" s="158"/>
      <c r="AF65" s="158"/>
      <c r="AG65" s="158"/>
      <c r="AH65" s="158"/>
      <c r="AI65" s="158"/>
      <c r="AJ65" s="158"/>
      <c r="AK65" s="158"/>
      <c r="AL65" s="158"/>
      <c r="AM65" s="158"/>
      <c r="AN65" s="158"/>
      <c r="AO65" s="158"/>
      <c r="AP65" s="158"/>
      <c r="AQ65" s="158"/>
      <c r="AR65" s="158"/>
      <c r="AS65" s="158"/>
      <c r="AT65" s="158"/>
      <c r="AU65" s="158"/>
      <c r="AV65" s="158"/>
      <c r="AW65" s="158"/>
      <c r="AX65" s="158"/>
      <c r="AY65" s="158"/>
      <c r="AZ65" s="158"/>
      <c r="BA65" s="158"/>
      <c r="BB65" s="158"/>
      <c r="BC65" s="158"/>
      <c r="BD65" s="158"/>
      <c r="BE65" s="158"/>
      <c r="BF65" s="158"/>
      <c r="BG65" s="158"/>
      <c r="BH65" s="158"/>
      <c r="BI65" s="158"/>
      <c r="BJ65" s="158"/>
      <c r="BK65" s="158"/>
      <c r="BL65" s="158"/>
      <c r="BM65" s="158"/>
      <c r="BN65" s="158"/>
      <c r="BO65" s="158"/>
      <c r="BP65" s="158"/>
      <c r="BQ65" s="158"/>
      <c r="BR65" s="158"/>
      <c r="BS65" s="158"/>
      <c r="BT65" s="158"/>
      <c r="BU65" s="158"/>
      <c r="BV65" s="158"/>
      <c r="BW65" s="158"/>
      <c r="BX65" s="158"/>
      <c r="BY65" s="158"/>
      <c r="BZ65" s="158"/>
      <c r="CA65" s="158"/>
      <c r="CB65" s="158"/>
      <c r="CC65" s="158"/>
      <c r="CD65" s="158"/>
      <c r="CE65" s="158"/>
      <c r="CF65" s="158"/>
      <c r="CG65" s="158"/>
      <c r="CH65" s="158"/>
      <c r="CI65" s="158"/>
      <c r="CJ65" s="158"/>
      <c r="CK65" s="158"/>
      <c r="CL65" s="158"/>
      <c r="CM65" s="158"/>
      <c r="CN65" s="158"/>
      <c r="CO65" s="158"/>
      <c r="CP65" s="158"/>
      <c r="CQ65" s="158"/>
      <c r="CR65" s="158"/>
      <c r="CS65" s="158"/>
      <c r="CT65" s="158"/>
      <c r="CU65" s="158"/>
      <c r="CV65" s="158"/>
      <c r="CW65" s="158"/>
      <c r="CX65" s="158"/>
      <c r="CY65" s="158"/>
      <c r="CZ65" s="158"/>
      <c r="DA65" s="158"/>
      <c r="DB65" s="158"/>
      <c r="DC65" s="158"/>
      <c r="DD65" s="158"/>
      <c r="DE65" s="158"/>
      <c r="DF65" s="158"/>
      <c r="DG65" s="158"/>
      <c r="DH65" s="158"/>
      <c r="DI65" s="158"/>
      <c r="DJ65" s="158"/>
      <c r="DK65" s="158"/>
      <c r="DL65" s="158"/>
      <c r="DM65" s="158"/>
      <c r="DN65" s="158"/>
      <c r="DO65" s="158"/>
      <c r="DP65" s="158"/>
      <c r="DQ65" s="158"/>
      <c r="DR65" s="158"/>
      <c r="DS65" s="158"/>
      <c r="DT65" s="158"/>
      <c r="DU65" s="158"/>
      <c r="DV65" s="158"/>
      <c r="DW65" s="158"/>
      <c r="DX65" s="158"/>
      <c r="DY65" s="158"/>
      <c r="DZ65" s="158"/>
      <c r="EA65" s="158"/>
      <c r="EB65" s="158"/>
      <c r="EC65" s="158"/>
      <c r="ED65" s="158"/>
      <c r="EE65" s="158"/>
      <c r="EF65" s="158"/>
      <c r="EG65" s="158"/>
      <c r="EH65" s="158"/>
      <c r="EI65" s="158"/>
      <c r="EJ65" s="158"/>
      <c r="EK65" s="158"/>
      <c r="EL65" s="158"/>
      <c r="EM65" s="158"/>
      <c r="EN65" s="158"/>
      <c r="EO65" s="158"/>
      <c r="EP65" s="158"/>
      <c r="EQ65" s="158"/>
      <c r="ER65" s="158"/>
      <c r="ES65" s="158"/>
      <c r="ET65" s="158"/>
      <c r="EU65" s="158"/>
      <c r="EV65" s="158"/>
      <c r="EW65" s="158"/>
      <c r="EX65" s="158"/>
      <c r="EY65" s="158"/>
      <c r="EZ65" s="158"/>
      <c r="FA65" s="158"/>
      <c r="FB65" s="158"/>
      <c r="FC65" s="158"/>
      <c r="FD65" s="158"/>
      <c r="FE65" s="158"/>
      <c r="FF65" s="158"/>
      <c r="FG65" s="158"/>
      <c r="FH65" s="158"/>
      <c r="FI65" s="158"/>
      <c r="FJ65" s="158"/>
      <c r="FK65" s="158"/>
      <c r="FL65" s="158"/>
      <c r="FM65" s="158"/>
      <c r="FN65" s="158"/>
      <c r="FO65" s="158"/>
      <c r="FP65" s="158"/>
      <c r="FQ65" s="158"/>
      <c r="FR65" s="158"/>
      <c r="FS65" s="158"/>
      <c r="FT65" s="158"/>
      <c r="FU65" s="158"/>
      <c r="FV65" s="158"/>
      <c r="FW65" s="158"/>
      <c r="FX65" s="158"/>
      <c r="FY65" s="158"/>
      <c r="FZ65" s="158"/>
      <c r="GA65" s="158"/>
      <c r="GB65" s="158"/>
      <c r="GC65" s="158"/>
      <c r="GD65" s="158"/>
      <c r="GE65" s="158"/>
      <c r="GF65" s="158"/>
    </row>
    <row r="66" spans="2:188" s="324" customFormat="1">
      <c r="B66" s="316">
        <v>60</v>
      </c>
      <c r="C66" s="370" t="s">
        <v>197</v>
      </c>
      <c r="D66" s="370" t="s">
        <v>415</v>
      </c>
      <c r="E66" s="422" t="s">
        <v>134</v>
      </c>
      <c r="F66" s="370" t="s">
        <v>395</v>
      </c>
      <c r="G66" s="371">
        <v>4</v>
      </c>
      <c r="H66" s="369">
        <v>400000</v>
      </c>
      <c r="I66" s="317">
        <f t="shared" si="0"/>
        <v>75000</v>
      </c>
      <c r="J66" s="249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  <c r="Z66" s="158"/>
      <c r="AA66" s="158"/>
      <c r="AB66" s="158"/>
      <c r="AC66" s="158"/>
      <c r="AD66" s="158"/>
      <c r="AE66" s="158"/>
      <c r="AF66" s="158"/>
      <c r="AG66" s="158"/>
      <c r="AH66" s="158"/>
      <c r="AI66" s="158"/>
      <c r="AJ66" s="158"/>
      <c r="AK66" s="158"/>
      <c r="AL66" s="158"/>
      <c r="AM66" s="158"/>
      <c r="AN66" s="158"/>
      <c r="AO66" s="158"/>
      <c r="AP66" s="158"/>
      <c r="AQ66" s="158"/>
      <c r="AR66" s="158"/>
      <c r="AS66" s="158"/>
      <c r="AT66" s="158"/>
      <c r="AU66" s="158"/>
      <c r="AV66" s="158"/>
      <c r="AW66" s="158"/>
      <c r="AX66" s="158"/>
      <c r="AY66" s="158"/>
      <c r="AZ66" s="158"/>
      <c r="BA66" s="158"/>
      <c r="BB66" s="158"/>
      <c r="BC66" s="158"/>
      <c r="BD66" s="158"/>
      <c r="BE66" s="158"/>
      <c r="BF66" s="158"/>
      <c r="BG66" s="158"/>
      <c r="BH66" s="158"/>
      <c r="BI66" s="158"/>
      <c r="BJ66" s="158"/>
      <c r="BK66" s="158"/>
      <c r="BL66" s="158"/>
      <c r="BM66" s="158"/>
      <c r="BN66" s="158"/>
      <c r="BO66" s="158"/>
      <c r="BP66" s="158"/>
      <c r="BQ66" s="158"/>
      <c r="BR66" s="158"/>
      <c r="BS66" s="158"/>
      <c r="BT66" s="158"/>
      <c r="BU66" s="158"/>
      <c r="BV66" s="158"/>
      <c r="BW66" s="158"/>
      <c r="BX66" s="158"/>
      <c r="BY66" s="158"/>
      <c r="BZ66" s="158"/>
      <c r="CA66" s="158"/>
      <c r="CB66" s="158"/>
      <c r="CC66" s="158"/>
      <c r="CD66" s="158"/>
      <c r="CE66" s="158"/>
      <c r="CF66" s="158"/>
      <c r="CG66" s="158"/>
      <c r="CH66" s="158"/>
      <c r="CI66" s="158"/>
      <c r="CJ66" s="158"/>
      <c r="CK66" s="158"/>
      <c r="CL66" s="158"/>
      <c r="CM66" s="158"/>
      <c r="CN66" s="158"/>
      <c r="CO66" s="158"/>
      <c r="CP66" s="158"/>
      <c r="CQ66" s="158"/>
      <c r="CR66" s="158"/>
      <c r="CS66" s="158"/>
      <c r="CT66" s="158"/>
      <c r="CU66" s="158"/>
      <c r="CV66" s="158"/>
      <c r="CW66" s="158"/>
      <c r="CX66" s="158"/>
      <c r="CY66" s="158"/>
      <c r="CZ66" s="158"/>
      <c r="DA66" s="158"/>
      <c r="DB66" s="158"/>
      <c r="DC66" s="158"/>
      <c r="DD66" s="158"/>
      <c r="DE66" s="158"/>
      <c r="DF66" s="158"/>
      <c r="DG66" s="158"/>
      <c r="DH66" s="158"/>
      <c r="DI66" s="158"/>
      <c r="DJ66" s="158"/>
      <c r="DK66" s="158"/>
      <c r="DL66" s="158"/>
      <c r="DM66" s="158"/>
      <c r="DN66" s="158"/>
      <c r="DO66" s="158"/>
      <c r="DP66" s="158"/>
      <c r="DQ66" s="158"/>
      <c r="DR66" s="158"/>
      <c r="DS66" s="158"/>
      <c r="DT66" s="158"/>
      <c r="DU66" s="158"/>
      <c r="DV66" s="158"/>
      <c r="DW66" s="158"/>
      <c r="DX66" s="158"/>
      <c r="DY66" s="158"/>
      <c r="DZ66" s="158"/>
      <c r="EA66" s="158"/>
      <c r="EB66" s="158"/>
      <c r="EC66" s="158"/>
      <c r="ED66" s="158"/>
      <c r="EE66" s="158"/>
      <c r="EF66" s="158"/>
      <c r="EG66" s="158"/>
      <c r="EH66" s="158"/>
      <c r="EI66" s="158"/>
      <c r="EJ66" s="158"/>
      <c r="EK66" s="158"/>
      <c r="EL66" s="158"/>
      <c r="EM66" s="158"/>
      <c r="EN66" s="158"/>
      <c r="EO66" s="158"/>
      <c r="EP66" s="158"/>
      <c r="EQ66" s="158"/>
      <c r="ER66" s="158"/>
      <c r="ES66" s="158"/>
      <c r="ET66" s="158"/>
      <c r="EU66" s="158"/>
      <c r="EV66" s="158"/>
      <c r="EW66" s="158"/>
      <c r="EX66" s="158"/>
      <c r="EY66" s="158"/>
      <c r="EZ66" s="158"/>
      <c r="FA66" s="158"/>
      <c r="FB66" s="158"/>
      <c r="FC66" s="158"/>
      <c r="FD66" s="158"/>
      <c r="FE66" s="158"/>
      <c r="FF66" s="158"/>
      <c r="FG66" s="158"/>
      <c r="FH66" s="158"/>
      <c r="FI66" s="158"/>
      <c r="FJ66" s="158"/>
      <c r="FK66" s="158"/>
      <c r="FL66" s="158"/>
      <c r="FM66" s="158"/>
      <c r="FN66" s="158"/>
      <c r="FO66" s="158"/>
      <c r="FP66" s="158"/>
      <c r="FQ66" s="158"/>
      <c r="FR66" s="158"/>
      <c r="FS66" s="158"/>
      <c r="FT66" s="158"/>
      <c r="FU66" s="158"/>
      <c r="FV66" s="158"/>
      <c r="FW66" s="158"/>
      <c r="FX66" s="158"/>
      <c r="FY66" s="158"/>
      <c r="FZ66" s="158"/>
      <c r="GA66" s="158"/>
      <c r="GB66" s="158"/>
      <c r="GC66" s="158"/>
      <c r="GD66" s="158"/>
      <c r="GE66" s="158"/>
      <c r="GF66" s="158"/>
    </row>
    <row r="67" spans="2:188" s="324" customFormat="1">
      <c r="B67" s="316">
        <v>61</v>
      </c>
      <c r="C67" s="370" t="s">
        <v>244</v>
      </c>
      <c r="D67" s="370" t="s">
        <v>459</v>
      </c>
      <c r="E67" s="422" t="s">
        <v>390</v>
      </c>
      <c r="F67" s="370" t="s">
        <v>392</v>
      </c>
      <c r="G67" s="371">
        <v>3</v>
      </c>
      <c r="H67" s="369">
        <v>300000</v>
      </c>
      <c r="I67" s="317">
        <f t="shared" si="0"/>
        <v>56250</v>
      </c>
      <c r="J67" s="249"/>
      <c r="K67" s="158"/>
      <c r="L67" s="158"/>
      <c r="M67" s="158"/>
      <c r="N67" s="158"/>
      <c r="O67" s="158"/>
      <c r="P67" s="158"/>
      <c r="Q67" s="158"/>
      <c r="R67" s="158"/>
      <c r="S67" s="158"/>
      <c r="T67" s="158"/>
      <c r="U67" s="158"/>
      <c r="V67" s="158"/>
      <c r="W67" s="158"/>
      <c r="X67" s="158"/>
      <c r="Y67" s="158"/>
      <c r="Z67" s="158"/>
      <c r="AA67" s="158"/>
      <c r="AB67" s="158"/>
      <c r="AC67" s="158"/>
      <c r="AD67" s="158"/>
      <c r="AE67" s="158"/>
      <c r="AF67" s="158"/>
      <c r="AG67" s="158"/>
      <c r="AH67" s="158"/>
      <c r="AI67" s="158"/>
      <c r="AJ67" s="158"/>
      <c r="AK67" s="158"/>
      <c r="AL67" s="158"/>
      <c r="AM67" s="158"/>
      <c r="AN67" s="158"/>
      <c r="AO67" s="158"/>
      <c r="AP67" s="158"/>
      <c r="AQ67" s="158"/>
      <c r="AR67" s="158"/>
      <c r="AS67" s="158"/>
      <c r="AT67" s="158"/>
      <c r="AU67" s="158"/>
      <c r="AV67" s="158"/>
      <c r="AW67" s="158"/>
      <c r="AX67" s="158"/>
      <c r="AY67" s="158"/>
      <c r="AZ67" s="158"/>
      <c r="BA67" s="158"/>
      <c r="BB67" s="158"/>
      <c r="BC67" s="158"/>
      <c r="BD67" s="158"/>
      <c r="BE67" s="158"/>
      <c r="BF67" s="158"/>
      <c r="BG67" s="158"/>
      <c r="BH67" s="158"/>
      <c r="BI67" s="158"/>
      <c r="BJ67" s="158"/>
      <c r="BK67" s="158"/>
      <c r="BL67" s="158"/>
      <c r="BM67" s="158"/>
      <c r="BN67" s="158"/>
      <c r="BO67" s="158"/>
      <c r="BP67" s="158"/>
      <c r="BQ67" s="158"/>
      <c r="BR67" s="158"/>
      <c r="BS67" s="158"/>
      <c r="BT67" s="158"/>
      <c r="BU67" s="158"/>
      <c r="BV67" s="158"/>
      <c r="BW67" s="158"/>
      <c r="BX67" s="158"/>
      <c r="BY67" s="158"/>
      <c r="BZ67" s="158"/>
      <c r="CA67" s="158"/>
      <c r="CB67" s="158"/>
      <c r="CC67" s="158"/>
      <c r="CD67" s="158"/>
      <c r="CE67" s="158"/>
      <c r="CF67" s="158"/>
      <c r="CG67" s="158"/>
      <c r="CH67" s="158"/>
      <c r="CI67" s="158"/>
      <c r="CJ67" s="158"/>
      <c r="CK67" s="158"/>
      <c r="CL67" s="158"/>
      <c r="CM67" s="158"/>
      <c r="CN67" s="158"/>
      <c r="CO67" s="158"/>
      <c r="CP67" s="158"/>
      <c r="CQ67" s="158"/>
      <c r="CR67" s="158"/>
      <c r="CS67" s="158"/>
      <c r="CT67" s="158"/>
      <c r="CU67" s="158"/>
      <c r="CV67" s="158"/>
      <c r="CW67" s="158"/>
      <c r="CX67" s="158"/>
      <c r="CY67" s="158"/>
      <c r="CZ67" s="158"/>
      <c r="DA67" s="158"/>
      <c r="DB67" s="158"/>
      <c r="DC67" s="158"/>
      <c r="DD67" s="158"/>
      <c r="DE67" s="158"/>
      <c r="DF67" s="158"/>
      <c r="DG67" s="158"/>
      <c r="DH67" s="158"/>
      <c r="DI67" s="158"/>
      <c r="DJ67" s="158"/>
      <c r="DK67" s="158"/>
      <c r="DL67" s="158"/>
      <c r="DM67" s="158"/>
      <c r="DN67" s="158"/>
      <c r="DO67" s="158"/>
      <c r="DP67" s="158"/>
      <c r="DQ67" s="158"/>
      <c r="DR67" s="158"/>
      <c r="DS67" s="158"/>
      <c r="DT67" s="158"/>
      <c r="DU67" s="158"/>
      <c r="DV67" s="158"/>
      <c r="DW67" s="158"/>
      <c r="DX67" s="158"/>
      <c r="DY67" s="158"/>
      <c r="DZ67" s="158"/>
      <c r="EA67" s="158"/>
      <c r="EB67" s="158"/>
      <c r="EC67" s="158"/>
      <c r="ED67" s="158"/>
      <c r="EE67" s="158"/>
      <c r="EF67" s="158"/>
      <c r="EG67" s="158"/>
      <c r="EH67" s="158"/>
      <c r="EI67" s="158"/>
      <c r="EJ67" s="158"/>
      <c r="EK67" s="158"/>
      <c r="EL67" s="158"/>
      <c r="EM67" s="158"/>
      <c r="EN67" s="158"/>
      <c r="EO67" s="158"/>
      <c r="EP67" s="158"/>
      <c r="EQ67" s="158"/>
      <c r="ER67" s="158"/>
      <c r="ES67" s="158"/>
      <c r="ET67" s="158"/>
      <c r="EU67" s="158"/>
      <c r="EV67" s="158"/>
      <c r="EW67" s="158"/>
      <c r="EX67" s="158"/>
      <c r="EY67" s="158"/>
      <c r="EZ67" s="158"/>
      <c r="FA67" s="158"/>
      <c r="FB67" s="158"/>
      <c r="FC67" s="158"/>
      <c r="FD67" s="158"/>
      <c r="FE67" s="158"/>
      <c r="FF67" s="158"/>
      <c r="FG67" s="158"/>
      <c r="FH67" s="158"/>
      <c r="FI67" s="158"/>
      <c r="FJ67" s="158"/>
      <c r="FK67" s="158"/>
      <c r="FL67" s="158"/>
      <c r="FM67" s="158"/>
      <c r="FN67" s="158"/>
      <c r="FO67" s="158"/>
      <c r="FP67" s="158"/>
      <c r="FQ67" s="158"/>
      <c r="FR67" s="158"/>
      <c r="FS67" s="158"/>
      <c r="FT67" s="158"/>
      <c r="FU67" s="158"/>
      <c r="FV67" s="158"/>
      <c r="FW67" s="158"/>
      <c r="FX67" s="158"/>
      <c r="FY67" s="158"/>
      <c r="FZ67" s="158"/>
      <c r="GA67" s="158"/>
      <c r="GB67" s="158"/>
      <c r="GC67" s="158"/>
      <c r="GD67" s="158"/>
      <c r="GE67" s="158"/>
      <c r="GF67" s="158"/>
    </row>
    <row r="68" spans="2:188" s="324" customFormat="1">
      <c r="B68" s="316">
        <v>62</v>
      </c>
      <c r="C68" s="370" t="s">
        <v>233</v>
      </c>
      <c r="D68" s="370" t="s">
        <v>460</v>
      </c>
      <c r="E68" s="422" t="s">
        <v>375</v>
      </c>
      <c r="F68" s="370" t="s">
        <v>395</v>
      </c>
      <c r="G68" s="371">
        <v>3</v>
      </c>
      <c r="H68" s="369">
        <v>300000</v>
      </c>
      <c r="I68" s="317">
        <f t="shared" si="0"/>
        <v>56250</v>
      </c>
      <c r="J68" s="249"/>
      <c r="K68" s="158"/>
      <c r="L68" s="158"/>
      <c r="M68" s="158"/>
      <c r="N68" s="158"/>
      <c r="O68" s="158"/>
      <c r="P68" s="158"/>
      <c r="Q68" s="158"/>
      <c r="R68" s="158"/>
      <c r="S68" s="158"/>
      <c r="T68" s="158"/>
      <c r="U68" s="158"/>
      <c r="V68" s="158"/>
      <c r="W68" s="158"/>
      <c r="X68" s="158"/>
      <c r="Y68" s="158"/>
      <c r="Z68" s="158"/>
      <c r="AA68" s="158"/>
      <c r="AB68" s="158"/>
      <c r="AC68" s="158"/>
      <c r="AD68" s="158"/>
      <c r="AE68" s="158"/>
      <c r="AF68" s="158"/>
      <c r="AG68" s="158"/>
      <c r="AH68" s="158"/>
      <c r="AI68" s="158"/>
      <c r="AJ68" s="158"/>
      <c r="AK68" s="158"/>
      <c r="AL68" s="158"/>
      <c r="AM68" s="158"/>
      <c r="AN68" s="158"/>
      <c r="AO68" s="158"/>
      <c r="AP68" s="158"/>
      <c r="AQ68" s="158"/>
      <c r="AR68" s="158"/>
      <c r="AS68" s="158"/>
      <c r="AT68" s="158"/>
      <c r="AU68" s="158"/>
      <c r="AV68" s="158"/>
      <c r="AW68" s="158"/>
      <c r="AX68" s="158"/>
      <c r="AY68" s="158"/>
      <c r="AZ68" s="158"/>
      <c r="BA68" s="158"/>
      <c r="BB68" s="158"/>
      <c r="BC68" s="158"/>
      <c r="BD68" s="158"/>
      <c r="BE68" s="158"/>
      <c r="BF68" s="158"/>
      <c r="BG68" s="158"/>
      <c r="BH68" s="158"/>
      <c r="BI68" s="158"/>
      <c r="BJ68" s="158"/>
      <c r="BK68" s="158"/>
      <c r="BL68" s="158"/>
      <c r="BM68" s="158"/>
      <c r="BN68" s="158"/>
      <c r="BO68" s="158"/>
      <c r="BP68" s="158"/>
      <c r="BQ68" s="158"/>
      <c r="BR68" s="158"/>
      <c r="BS68" s="158"/>
      <c r="BT68" s="158"/>
      <c r="BU68" s="158"/>
      <c r="BV68" s="158"/>
      <c r="BW68" s="158"/>
      <c r="BX68" s="158"/>
      <c r="BY68" s="158"/>
      <c r="BZ68" s="158"/>
      <c r="CA68" s="158"/>
      <c r="CB68" s="158"/>
      <c r="CC68" s="158"/>
      <c r="CD68" s="158"/>
      <c r="CE68" s="158"/>
      <c r="CF68" s="158"/>
      <c r="CG68" s="158"/>
      <c r="CH68" s="158"/>
      <c r="CI68" s="158"/>
      <c r="CJ68" s="158"/>
      <c r="CK68" s="158"/>
      <c r="CL68" s="158"/>
      <c r="CM68" s="158"/>
      <c r="CN68" s="158"/>
      <c r="CO68" s="158"/>
      <c r="CP68" s="158"/>
      <c r="CQ68" s="158"/>
      <c r="CR68" s="158"/>
      <c r="CS68" s="158"/>
      <c r="CT68" s="158"/>
      <c r="CU68" s="158"/>
      <c r="CV68" s="158"/>
      <c r="CW68" s="158"/>
      <c r="CX68" s="158"/>
      <c r="CY68" s="158"/>
      <c r="CZ68" s="158"/>
      <c r="DA68" s="158"/>
      <c r="DB68" s="158"/>
      <c r="DC68" s="158"/>
      <c r="DD68" s="158"/>
      <c r="DE68" s="158"/>
      <c r="DF68" s="158"/>
      <c r="DG68" s="158"/>
      <c r="DH68" s="158"/>
      <c r="DI68" s="158"/>
      <c r="DJ68" s="158"/>
      <c r="DK68" s="158"/>
      <c r="DL68" s="158"/>
      <c r="DM68" s="158"/>
      <c r="DN68" s="158"/>
      <c r="DO68" s="158"/>
      <c r="DP68" s="158"/>
      <c r="DQ68" s="158"/>
      <c r="DR68" s="158"/>
      <c r="DS68" s="158"/>
      <c r="DT68" s="158"/>
      <c r="DU68" s="158"/>
      <c r="DV68" s="158"/>
      <c r="DW68" s="158"/>
      <c r="DX68" s="158"/>
      <c r="DY68" s="158"/>
      <c r="DZ68" s="158"/>
      <c r="EA68" s="158"/>
      <c r="EB68" s="158"/>
      <c r="EC68" s="158"/>
      <c r="ED68" s="158"/>
      <c r="EE68" s="158"/>
      <c r="EF68" s="158"/>
      <c r="EG68" s="158"/>
      <c r="EH68" s="158"/>
      <c r="EI68" s="158"/>
      <c r="EJ68" s="158"/>
      <c r="EK68" s="158"/>
      <c r="EL68" s="158"/>
      <c r="EM68" s="158"/>
      <c r="EN68" s="158"/>
      <c r="EO68" s="158"/>
      <c r="EP68" s="158"/>
      <c r="EQ68" s="158"/>
      <c r="ER68" s="158"/>
      <c r="ES68" s="158"/>
      <c r="ET68" s="158"/>
      <c r="EU68" s="158"/>
      <c r="EV68" s="158"/>
      <c r="EW68" s="158"/>
      <c r="EX68" s="158"/>
      <c r="EY68" s="158"/>
      <c r="EZ68" s="158"/>
      <c r="FA68" s="158"/>
      <c r="FB68" s="158"/>
      <c r="FC68" s="158"/>
      <c r="FD68" s="158"/>
      <c r="FE68" s="158"/>
      <c r="FF68" s="158"/>
      <c r="FG68" s="158"/>
      <c r="FH68" s="158"/>
      <c r="FI68" s="158"/>
      <c r="FJ68" s="158"/>
      <c r="FK68" s="158"/>
      <c r="FL68" s="158"/>
      <c r="FM68" s="158"/>
      <c r="FN68" s="158"/>
      <c r="FO68" s="158"/>
      <c r="FP68" s="158"/>
      <c r="FQ68" s="158"/>
      <c r="FR68" s="158"/>
      <c r="FS68" s="158"/>
      <c r="FT68" s="158"/>
      <c r="FU68" s="158"/>
      <c r="FV68" s="158"/>
      <c r="FW68" s="158"/>
      <c r="FX68" s="158"/>
      <c r="FY68" s="158"/>
      <c r="FZ68" s="158"/>
      <c r="GA68" s="158"/>
      <c r="GB68" s="158"/>
      <c r="GC68" s="158"/>
      <c r="GD68" s="158"/>
      <c r="GE68" s="158"/>
      <c r="GF68" s="158"/>
    </row>
    <row r="69" spans="2:188" s="324" customFormat="1">
      <c r="B69" s="316">
        <v>63</v>
      </c>
      <c r="C69" s="370" t="s">
        <v>209</v>
      </c>
      <c r="D69" s="370" t="s">
        <v>400</v>
      </c>
      <c r="E69" s="422" t="s">
        <v>401</v>
      </c>
      <c r="F69" s="370" t="s">
        <v>395</v>
      </c>
      <c r="G69" s="371">
        <v>9</v>
      </c>
      <c r="H69" s="369">
        <v>900000</v>
      </c>
      <c r="I69" s="317">
        <f t="shared" si="0"/>
        <v>168750</v>
      </c>
      <c r="J69" s="249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58"/>
      <c r="Z69" s="158"/>
      <c r="AA69" s="158"/>
      <c r="AB69" s="158"/>
      <c r="AC69" s="158"/>
      <c r="AD69" s="158"/>
      <c r="AE69" s="158"/>
      <c r="AF69" s="158"/>
      <c r="AG69" s="158"/>
      <c r="AH69" s="158"/>
      <c r="AI69" s="158"/>
      <c r="AJ69" s="158"/>
      <c r="AK69" s="158"/>
      <c r="AL69" s="158"/>
      <c r="AM69" s="158"/>
      <c r="AN69" s="158"/>
      <c r="AO69" s="158"/>
      <c r="AP69" s="158"/>
      <c r="AQ69" s="158"/>
      <c r="AR69" s="158"/>
      <c r="AS69" s="158"/>
      <c r="AT69" s="158"/>
      <c r="AU69" s="158"/>
      <c r="AV69" s="158"/>
      <c r="AW69" s="158"/>
      <c r="AX69" s="158"/>
      <c r="AY69" s="158"/>
      <c r="AZ69" s="158"/>
      <c r="BA69" s="158"/>
      <c r="BB69" s="158"/>
      <c r="BC69" s="158"/>
      <c r="BD69" s="158"/>
      <c r="BE69" s="158"/>
      <c r="BF69" s="158"/>
      <c r="BG69" s="158"/>
      <c r="BH69" s="158"/>
      <c r="BI69" s="158"/>
      <c r="BJ69" s="158"/>
      <c r="BK69" s="158"/>
      <c r="BL69" s="158"/>
      <c r="BM69" s="158"/>
      <c r="BN69" s="158"/>
      <c r="BO69" s="158"/>
      <c r="BP69" s="158"/>
      <c r="BQ69" s="158"/>
      <c r="BR69" s="158"/>
      <c r="BS69" s="158"/>
      <c r="BT69" s="158"/>
      <c r="BU69" s="158"/>
      <c r="BV69" s="158"/>
      <c r="BW69" s="158"/>
      <c r="BX69" s="158"/>
      <c r="BY69" s="158"/>
      <c r="BZ69" s="158"/>
      <c r="CA69" s="158"/>
      <c r="CB69" s="158"/>
      <c r="CC69" s="158"/>
      <c r="CD69" s="158"/>
      <c r="CE69" s="158"/>
      <c r="CF69" s="158"/>
      <c r="CG69" s="158"/>
      <c r="CH69" s="158"/>
      <c r="CI69" s="158"/>
      <c r="CJ69" s="158"/>
      <c r="CK69" s="158"/>
      <c r="CL69" s="158"/>
      <c r="CM69" s="158"/>
      <c r="CN69" s="158"/>
      <c r="CO69" s="158"/>
      <c r="CP69" s="158"/>
      <c r="CQ69" s="158"/>
      <c r="CR69" s="158"/>
      <c r="CS69" s="158"/>
      <c r="CT69" s="158"/>
      <c r="CU69" s="158"/>
      <c r="CV69" s="158"/>
      <c r="CW69" s="158"/>
      <c r="CX69" s="158"/>
      <c r="CY69" s="158"/>
      <c r="CZ69" s="158"/>
      <c r="DA69" s="158"/>
      <c r="DB69" s="158"/>
      <c r="DC69" s="158"/>
      <c r="DD69" s="158"/>
      <c r="DE69" s="158"/>
      <c r="DF69" s="158"/>
      <c r="DG69" s="158"/>
      <c r="DH69" s="158"/>
      <c r="DI69" s="158"/>
      <c r="DJ69" s="158"/>
      <c r="DK69" s="158"/>
      <c r="DL69" s="158"/>
      <c r="DM69" s="158"/>
      <c r="DN69" s="158"/>
      <c r="DO69" s="158"/>
      <c r="DP69" s="158"/>
      <c r="DQ69" s="158"/>
      <c r="DR69" s="158"/>
      <c r="DS69" s="158"/>
      <c r="DT69" s="158"/>
      <c r="DU69" s="158"/>
      <c r="DV69" s="158"/>
      <c r="DW69" s="158"/>
      <c r="DX69" s="158"/>
      <c r="DY69" s="158"/>
      <c r="DZ69" s="158"/>
      <c r="EA69" s="158"/>
      <c r="EB69" s="158"/>
      <c r="EC69" s="158"/>
      <c r="ED69" s="158"/>
      <c r="EE69" s="158"/>
      <c r="EF69" s="158"/>
      <c r="EG69" s="158"/>
      <c r="EH69" s="158"/>
      <c r="EI69" s="158"/>
      <c r="EJ69" s="158"/>
      <c r="EK69" s="158"/>
      <c r="EL69" s="158"/>
      <c r="EM69" s="158"/>
      <c r="EN69" s="158"/>
      <c r="EO69" s="158"/>
      <c r="EP69" s="158"/>
      <c r="EQ69" s="158"/>
      <c r="ER69" s="158"/>
      <c r="ES69" s="158"/>
      <c r="ET69" s="158"/>
      <c r="EU69" s="158"/>
      <c r="EV69" s="158"/>
      <c r="EW69" s="158"/>
      <c r="EX69" s="158"/>
      <c r="EY69" s="158"/>
      <c r="EZ69" s="158"/>
      <c r="FA69" s="158"/>
      <c r="FB69" s="158"/>
      <c r="FC69" s="158"/>
      <c r="FD69" s="158"/>
      <c r="FE69" s="158"/>
      <c r="FF69" s="158"/>
      <c r="FG69" s="158"/>
      <c r="FH69" s="158"/>
      <c r="FI69" s="158"/>
      <c r="FJ69" s="158"/>
      <c r="FK69" s="158"/>
      <c r="FL69" s="158"/>
      <c r="FM69" s="158"/>
      <c r="FN69" s="158"/>
      <c r="FO69" s="158"/>
      <c r="FP69" s="158"/>
      <c r="FQ69" s="158"/>
      <c r="FR69" s="158"/>
      <c r="FS69" s="158"/>
      <c r="FT69" s="158"/>
      <c r="FU69" s="158"/>
      <c r="FV69" s="158"/>
      <c r="FW69" s="158"/>
      <c r="FX69" s="158"/>
      <c r="FY69" s="158"/>
      <c r="FZ69" s="158"/>
      <c r="GA69" s="158"/>
      <c r="GB69" s="158"/>
      <c r="GC69" s="158"/>
      <c r="GD69" s="158"/>
      <c r="GE69" s="158"/>
      <c r="GF69" s="158"/>
    </row>
    <row r="70" spans="2:188" s="324" customFormat="1">
      <c r="B70" s="316">
        <v>64</v>
      </c>
      <c r="C70" s="370" t="s">
        <v>230</v>
      </c>
      <c r="D70" s="370" t="s">
        <v>461</v>
      </c>
      <c r="E70" s="422" t="s">
        <v>451</v>
      </c>
      <c r="F70" s="370" t="s">
        <v>394</v>
      </c>
      <c r="G70" s="371">
        <v>1</v>
      </c>
      <c r="H70" s="369">
        <v>100000</v>
      </c>
      <c r="I70" s="317">
        <f t="shared" si="0"/>
        <v>18750</v>
      </c>
      <c r="J70" s="249"/>
      <c r="K70" s="158"/>
      <c r="L70" s="158"/>
      <c r="M70" s="158"/>
      <c r="N70" s="158"/>
      <c r="O70" s="158"/>
      <c r="P70" s="158"/>
      <c r="Q70" s="158"/>
      <c r="R70" s="158"/>
      <c r="S70" s="158"/>
      <c r="T70" s="158"/>
      <c r="U70" s="158"/>
      <c r="V70" s="158"/>
      <c r="W70" s="158"/>
      <c r="X70" s="158"/>
      <c r="Y70" s="158"/>
      <c r="Z70" s="158"/>
      <c r="AA70" s="158"/>
      <c r="AB70" s="158"/>
      <c r="AC70" s="158"/>
      <c r="AD70" s="158"/>
      <c r="AE70" s="158"/>
      <c r="AF70" s="158"/>
      <c r="AG70" s="158"/>
      <c r="AH70" s="158"/>
      <c r="AI70" s="158"/>
      <c r="AJ70" s="158"/>
      <c r="AK70" s="158"/>
      <c r="AL70" s="158"/>
      <c r="AM70" s="158"/>
      <c r="AN70" s="158"/>
      <c r="AO70" s="158"/>
      <c r="AP70" s="158"/>
      <c r="AQ70" s="158"/>
      <c r="AR70" s="158"/>
      <c r="AS70" s="158"/>
      <c r="AT70" s="158"/>
      <c r="AU70" s="158"/>
      <c r="AV70" s="158"/>
      <c r="AW70" s="158"/>
      <c r="AX70" s="158"/>
      <c r="AY70" s="158"/>
      <c r="AZ70" s="158"/>
      <c r="BA70" s="158"/>
      <c r="BB70" s="158"/>
      <c r="BC70" s="158"/>
      <c r="BD70" s="158"/>
      <c r="BE70" s="158"/>
      <c r="BF70" s="158"/>
      <c r="BG70" s="158"/>
      <c r="BH70" s="158"/>
      <c r="BI70" s="158"/>
      <c r="BJ70" s="158"/>
      <c r="BK70" s="158"/>
      <c r="BL70" s="158"/>
      <c r="BM70" s="158"/>
      <c r="BN70" s="158"/>
      <c r="BO70" s="158"/>
      <c r="BP70" s="158"/>
      <c r="BQ70" s="158"/>
      <c r="BR70" s="158"/>
      <c r="BS70" s="158"/>
      <c r="BT70" s="158"/>
      <c r="BU70" s="158"/>
      <c r="BV70" s="158"/>
      <c r="BW70" s="158"/>
      <c r="BX70" s="158"/>
      <c r="BY70" s="158"/>
      <c r="BZ70" s="158"/>
      <c r="CA70" s="158"/>
      <c r="CB70" s="158"/>
      <c r="CC70" s="158"/>
      <c r="CD70" s="158"/>
      <c r="CE70" s="158"/>
      <c r="CF70" s="158"/>
      <c r="CG70" s="158"/>
      <c r="CH70" s="158"/>
      <c r="CI70" s="158"/>
      <c r="CJ70" s="158"/>
      <c r="CK70" s="158"/>
      <c r="CL70" s="158"/>
      <c r="CM70" s="158"/>
      <c r="CN70" s="158"/>
      <c r="CO70" s="158"/>
      <c r="CP70" s="158"/>
      <c r="CQ70" s="158"/>
      <c r="CR70" s="158"/>
      <c r="CS70" s="158"/>
      <c r="CT70" s="158"/>
      <c r="CU70" s="158"/>
      <c r="CV70" s="158"/>
      <c r="CW70" s="158"/>
      <c r="CX70" s="158"/>
      <c r="CY70" s="158"/>
      <c r="CZ70" s="158"/>
      <c r="DA70" s="158"/>
      <c r="DB70" s="158"/>
      <c r="DC70" s="158"/>
      <c r="DD70" s="158"/>
      <c r="DE70" s="158"/>
      <c r="DF70" s="158"/>
      <c r="DG70" s="158"/>
      <c r="DH70" s="158"/>
      <c r="DI70" s="158"/>
      <c r="DJ70" s="158"/>
      <c r="DK70" s="158"/>
      <c r="DL70" s="158"/>
      <c r="DM70" s="158"/>
      <c r="DN70" s="158"/>
      <c r="DO70" s="158"/>
      <c r="DP70" s="158"/>
      <c r="DQ70" s="158"/>
      <c r="DR70" s="158"/>
      <c r="DS70" s="158"/>
      <c r="DT70" s="158"/>
      <c r="DU70" s="158"/>
      <c r="DV70" s="158"/>
      <c r="DW70" s="158"/>
      <c r="DX70" s="158"/>
      <c r="DY70" s="158"/>
      <c r="DZ70" s="158"/>
      <c r="EA70" s="158"/>
      <c r="EB70" s="158"/>
      <c r="EC70" s="158"/>
      <c r="ED70" s="158"/>
      <c r="EE70" s="158"/>
      <c r="EF70" s="158"/>
      <c r="EG70" s="158"/>
      <c r="EH70" s="158"/>
      <c r="EI70" s="158"/>
      <c r="EJ70" s="158"/>
      <c r="EK70" s="158"/>
      <c r="EL70" s="158"/>
      <c r="EM70" s="158"/>
      <c r="EN70" s="158"/>
      <c r="EO70" s="158"/>
      <c r="EP70" s="158"/>
      <c r="EQ70" s="158"/>
      <c r="ER70" s="158"/>
      <c r="ES70" s="158"/>
      <c r="ET70" s="158"/>
      <c r="EU70" s="158"/>
      <c r="EV70" s="158"/>
      <c r="EW70" s="158"/>
      <c r="EX70" s="158"/>
      <c r="EY70" s="158"/>
      <c r="EZ70" s="158"/>
      <c r="FA70" s="158"/>
      <c r="FB70" s="158"/>
      <c r="FC70" s="158"/>
      <c r="FD70" s="158"/>
      <c r="FE70" s="158"/>
      <c r="FF70" s="158"/>
      <c r="FG70" s="158"/>
      <c r="FH70" s="158"/>
      <c r="FI70" s="158"/>
      <c r="FJ70" s="158"/>
      <c r="FK70" s="158"/>
      <c r="FL70" s="158"/>
      <c r="FM70" s="158"/>
      <c r="FN70" s="158"/>
      <c r="FO70" s="158"/>
      <c r="FP70" s="158"/>
      <c r="FQ70" s="158"/>
      <c r="FR70" s="158"/>
      <c r="FS70" s="158"/>
      <c r="FT70" s="158"/>
      <c r="FU70" s="158"/>
      <c r="FV70" s="158"/>
      <c r="FW70" s="158"/>
      <c r="FX70" s="158"/>
      <c r="FY70" s="158"/>
      <c r="FZ70" s="158"/>
      <c r="GA70" s="158"/>
      <c r="GB70" s="158"/>
      <c r="GC70" s="158"/>
      <c r="GD70" s="158"/>
      <c r="GE70" s="158"/>
      <c r="GF70" s="158"/>
    </row>
    <row r="71" spans="2:188" s="324" customFormat="1">
      <c r="B71" s="316">
        <v>65</v>
      </c>
      <c r="C71" s="370" t="s">
        <v>238</v>
      </c>
      <c r="D71" s="370" t="s">
        <v>462</v>
      </c>
      <c r="E71" s="422" t="s">
        <v>463</v>
      </c>
      <c r="F71" s="370" t="s">
        <v>396</v>
      </c>
      <c r="G71" s="371">
        <v>1</v>
      </c>
      <c r="H71" s="369">
        <v>100000</v>
      </c>
      <c r="I71" s="317">
        <f t="shared" si="0"/>
        <v>18750</v>
      </c>
      <c r="J71" s="249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58"/>
      <c r="Z71" s="158"/>
      <c r="AA71" s="158"/>
      <c r="AB71" s="158"/>
      <c r="AC71" s="158"/>
      <c r="AD71" s="158"/>
      <c r="AE71" s="158"/>
      <c r="AF71" s="158"/>
      <c r="AG71" s="158"/>
      <c r="AH71" s="158"/>
      <c r="AI71" s="158"/>
      <c r="AJ71" s="158"/>
      <c r="AK71" s="158"/>
      <c r="AL71" s="158"/>
      <c r="AM71" s="158"/>
      <c r="AN71" s="158"/>
      <c r="AO71" s="158"/>
      <c r="AP71" s="158"/>
      <c r="AQ71" s="158"/>
      <c r="AR71" s="158"/>
      <c r="AS71" s="158"/>
      <c r="AT71" s="158"/>
      <c r="AU71" s="158"/>
      <c r="AV71" s="158"/>
      <c r="AW71" s="158"/>
      <c r="AX71" s="158"/>
      <c r="AY71" s="158"/>
      <c r="AZ71" s="158"/>
      <c r="BA71" s="158"/>
      <c r="BB71" s="158"/>
      <c r="BC71" s="158"/>
      <c r="BD71" s="158"/>
      <c r="BE71" s="158"/>
      <c r="BF71" s="158"/>
      <c r="BG71" s="158"/>
      <c r="BH71" s="158"/>
      <c r="BI71" s="158"/>
      <c r="BJ71" s="158"/>
      <c r="BK71" s="158"/>
      <c r="BL71" s="158"/>
      <c r="BM71" s="158"/>
      <c r="BN71" s="158"/>
      <c r="BO71" s="158"/>
      <c r="BP71" s="158"/>
      <c r="BQ71" s="158"/>
      <c r="BR71" s="158"/>
      <c r="BS71" s="158"/>
      <c r="BT71" s="158"/>
      <c r="BU71" s="158"/>
      <c r="BV71" s="158"/>
      <c r="BW71" s="158"/>
      <c r="BX71" s="158"/>
      <c r="BY71" s="158"/>
      <c r="BZ71" s="158"/>
      <c r="CA71" s="158"/>
      <c r="CB71" s="158"/>
      <c r="CC71" s="158"/>
      <c r="CD71" s="158"/>
      <c r="CE71" s="158"/>
      <c r="CF71" s="158"/>
      <c r="CG71" s="158"/>
      <c r="CH71" s="158"/>
      <c r="CI71" s="158"/>
      <c r="CJ71" s="158"/>
      <c r="CK71" s="158"/>
      <c r="CL71" s="158"/>
      <c r="CM71" s="158"/>
      <c r="CN71" s="158"/>
      <c r="CO71" s="158"/>
      <c r="CP71" s="158"/>
      <c r="CQ71" s="158"/>
      <c r="CR71" s="158"/>
      <c r="CS71" s="158"/>
      <c r="CT71" s="158"/>
      <c r="CU71" s="158"/>
      <c r="CV71" s="158"/>
      <c r="CW71" s="158"/>
      <c r="CX71" s="158"/>
      <c r="CY71" s="158"/>
      <c r="CZ71" s="158"/>
      <c r="DA71" s="158"/>
      <c r="DB71" s="158"/>
      <c r="DC71" s="158"/>
      <c r="DD71" s="158"/>
      <c r="DE71" s="158"/>
      <c r="DF71" s="158"/>
      <c r="DG71" s="158"/>
      <c r="DH71" s="158"/>
      <c r="DI71" s="158"/>
      <c r="DJ71" s="158"/>
      <c r="DK71" s="158"/>
      <c r="DL71" s="158"/>
      <c r="DM71" s="158"/>
      <c r="DN71" s="158"/>
      <c r="DO71" s="158"/>
      <c r="DP71" s="158"/>
      <c r="DQ71" s="158"/>
      <c r="DR71" s="158"/>
      <c r="DS71" s="158"/>
      <c r="DT71" s="158"/>
      <c r="DU71" s="158"/>
      <c r="DV71" s="158"/>
      <c r="DW71" s="158"/>
      <c r="DX71" s="158"/>
      <c r="DY71" s="158"/>
      <c r="DZ71" s="158"/>
      <c r="EA71" s="158"/>
      <c r="EB71" s="158"/>
      <c r="EC71" s="158"/>
      <c r="ED71" s="158"/>
      <c r="EE71" s="158"/>
      <c r="EF71" s="158"/>
      <c r="EG71" s="158"/>
      <c r="EH71" s="158"/>
      <c r="EI71" s="158"/>
      <c r="EJ71" s="158"/>
      <c r="EK71" s="158"/>
      <c r="EL71" s="158"/>
      <c r="EM71" s="158"/>
      <c r="EN71" s="158"/>
      <c r="EO71" s="158"/>
      <c r="EP71" s="158"/>
      <c r="EQ71" s="158"/>
      <c r="ER71" s="158"/>
      <c r="ES71" s="158"/>
      <c r="ET71" s="158"/>
      <c r="EU71" s="158"/>
      <c r="EV71" s="158"/>
      <c r="EW71" s="158"/>
      <c r="EX71" s="158"/>
      <c r="EY71" s="158"/>
      <c r="EZ71" s="158"/>
      <c r="FA71" s="158"/>
      <c r="FB71" s="158"/>
      <c r="FC71" s="158"/>
      <c r="FD71" s="158"/>
      <c r="FE71" s="158"/>
      <c r="FF71" s="158"/>
      <c r="FG71" s="158"/>
      <c r="FH71" s="158"/>
      <c r="FI71" s="158"/>
      <c r="FJ71" s="158"/>
      <c r="FK71" s="158"/>
      <c r="FL71" s="158"/>
      <c r="FM71" s="158"/>
      <c r="FN71" s="158"/>
      <c r="FO71" s="158"/>
      <c r="FP71" s="158"/>
      <c r="FQ71" s="158"/>
      <c r="FR71" s="158"/>
      <c r="FS71" s="158"/>
      <c r="FT71" s="158"/>
      <c r="FU71" s="158"/>
      <c r="FV71" s="158"/>
      <c r="FW71" s="158"/>
      <c r="FX71" s="158"/>
      <c r="FY71" s="158"/>
      <c r="FZ71" s="158"/>
      <c r="GA71" s="158"/>
      <c r="GB71" s="158"/>
      <c r="GC71" s="158"/>
      <c r="GD71" s="158"/>
      <c r="GE71" s="158"/>
      <c r="GF71" s="158"/>
    </row>
    <row r="72" spans="2:188" s="158" customFormat="1">
      <c r="B72" s="316">
        <v>66</v>
      </c>
      <c r="C72" s="370" t="s">
        <v>209</v>
      </c>
      <c r="D72" s="370" t="s">
        <v>389</v>
      </c>
      <c r="E72" s="422" t="s">
        <v>390</v>
      </c>
      <c r="F72" s="370" t="s">
        <v>464</v>
      </c>
      <c r="G72" s="371">
        <v>1</v>
      </c>
      <c r="H72" s="369">
        <v>200000</v>
      </c>
      <c r="I72" s="317">
        <f t="shared" ref="I72:I135" si="1">H72*25%*75%</f>
        <v>37500</v>
      </c>
      <c r="J72" s="249"/>
    </row>
    <row r="73" spans="2:188" s="324" customFormat="1">
      <c r="B73" s="316">
        <v>67</v>
      </c>
      <c r="C73" s="370" t="s">
        <v>224</v>
      </c>
      <c r="D73" s="370" t="s">
        <v>465</v>
      </c>
      <c r="E73" s="422" t="s">
        <v>381</v>
      </c>
      <c r="F73" s="370" t="s">
        <v>392</v>
      </c>
      <c r="G73" s="371">
        <v>2</v>
      </c>
      <c r="H73" s="369">
        <v>200000</v>
      </c>
      <c r="I73" s="317">
        <f t="shared" si="1"/>
        <v>37500</v>
      </c>
      <c r="J73" s="249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58"/>
      <c r="Z73" s="158"/>
      <c r="AA73" s="158"/>
      <c r="AB73" s="158"/>
      <c r="AC73" s="158"/>
      <c r="AD73" s="158"/>
      <c r="AE73" s="158"/>
      <c r="AF73" s="158"/>
      <c r="AG73" s="158"/>
      <c r="AH73" s="158"/>
      <c r="AI73" s="158"/>
      <c r="AJ73" s="158"/>
      <c r="AK73" s="158"/>
      <c r="AL73" s="158"/>
      <c r="AM73" s="158"/>
      <c r="AN73" s="158"/>
      <c r="AO73" s="158"/>
      <c r="AP73" s="158"/>
      <c r="AQ73" s="158"/>
      <c r="AR73" s="158"/>
      <c r="AS73" s="158"/>
      <c r="AT73" s="158"/>
      <c r="AU73" s="158"/>
      <c r="AV73" s="158"/>
      <c r="AW73" s="158"/>
      <c r="AX73" s="158"/>
      <c r="AY73" s="158"/>
      <c r="AZ73" s="158"/>
      <c r="BA73" s="158"/>
      <c r="BB73" s="158"/>
      <c r="BC73" s="158"/>
      <c r="BD73" s="158"/>
      <c r="BE73" s="158"/>
      <c r="BF73" s="158"/>
      <c r="BG73" s="158"/>
      <c r="BH73" s="158"/>
      <c r="BI73" s="158"/>
      <c r="BJ73" s="158"/>
      <c r="BK73" s="158"/>
      <c r="BL73" s="158"/>
      <c r="BM73" s="158"/>
      <c r="BN73" s="158"/>
      <c r="BO73" s="158"/>
      <c r="BP73" s="158"/>
      <c r="BQ73" s="158"/>
      <c r="BR73" s="158"/>
      <c r="BS73" s="158"/>
      <c r="BT73" s="158"/>
      <c r="BU73" s="158"/>
      <c r="BV73" s="158"/>
      <c r="BW73" s="158"/>
      <c r="BX73" s="158"/>
      <c r="BY73" s="158"/>
      <c r="BZ73" s="158"/>
      <c r="CA73" s="158"/>
      <c r="CB73" s="158"/>
      <c r="CC73" s="158"/>
      <c r="CD73" s="158"/>
      <c r="CE73" s="158"/>
      <c r="CF73" s="158"/>
      <c r="CG73" s="158"/>
      <c r="CH73" s="158"/>
      <c r="CI73" s="158"/>
      <c r="CJ73" s="158"/>
      <c r="CK73" s="158"/>
      <c r="CL73" s="158"/>
      <c r="CM73" s="158"/>
      <c r="CN73" s="158"/>
      <c r="CO73" s="158"/>
      <c r="CP73" s="158"/>
      <c r="CQ73" s="158"/>
      <c r="CR73" s="158"/>
      <c r="CS73" s="158"/>
      <c r="CT73" s="158"/>
      <c r="CU73" s="158"/>
      <c r="CV73" s="158"/>
      <c r="CW73" s="158"/>
      <c r="CX73" s="158"/>
      <c r="CY73" s="158"/>
      <c r="CZ73" s="158"/>
      <c r="DA73" s="158"/>
      <c r="DB73" s="158"/>
      <c r="DC73" s="158"/>
      <c r="DD73" s="158"/>
      <c r="DE73" s="158"/>
      <c r="DF73" s="158"/>
      <c r="DG73" s="158"/>
      <c r="DH73" s="158"/>
      <c r="DI73" s="158"/>
      <c r="DJ73" s="158"/>
      <c r="DK73" s="158"/>
      <c r="DL73" s="158"/>
      <c r="DM73" s="158"/>
      <c r="DN73" s="158"/>
      <c r="DO73" s="158"/>
      <c r="DP73" s="158"/>
      <c r="DQ73" s="158"/>
      <c r="DR73" s="158"/>
      <c r="DS73" s="158"/>
      <c r="DT73" s="158"/>
      <c r="DU73" s="158"/>
      <c r="DV73" s="158"/>
      <c r="DW73" s="158"/>
      <c r="DX73" s="158"/>
      <c r="DY73" s="158"/>
      <c r="DZ73" s="158"/>
      <c r="EA73" s="158"/>
      <c r="EB73" s="158"/>
      <c r="EC73" s="158"/>
      <c r="ED73" s="158"/>
      <c r="EE73" s="158"/>
      <c r="EF73" s="158"/>
      <c r="EG73" s="158"/>
      <c r="EH73" s="158"/>
      <c r="EI73" s="158"/>
      <c r="EJ73" s="158"/>
      <c r="EK73" s="158"/>
      <c r="EL73" s="158"/>
      <c r="EM73" s="158"/>
      <c r="EN73" s="158"/>
      <c r="EO73" s="158"/>
      <c r="EP73" s="158"/>
      <c r="EQ73" s="158"/>
      <c r="ER73" s="158"/>
      <c r="ES73" s="158"/>
      <c r="ET73" s="158"/>
      <c r="EU73" s="158"/>
      <c r="EV73" s="158"/>
      <c r="EW73" s="158"/>
      <c r="EX73" s="158"/>
      <c r="EY73" s="158"/>
      <c r="EZ73" s="158"/>
      <c r="FA73" s="158"/>
      <c r="FB73" s="158"/>
      <c r="FC73" s="158"/>
      <c r="FD73" s="158"/>
      <c r="FE73" s="158"/>
      <c r="FF73" s="158"/>
      <c r="FG73" s="158"/>
      <c r="FH73" s="158"/>
      <c r="FI73" s="158"/>
      <c r="FJ73" s="158"/>
      <c r="FK73" s="158"/>
      <c r="FL73" s="158"/>
      <c r="FM73" s="158"/>
      <c r="FN73" s="158"/>
      <c r="FO73" s="158"/>
      <c r="FP73" s="158"/>
      <c r="FQ73" s="158"/>
      <c r="FR73" s="158"/>
      <c r="FS73" s="158"/>
      <c r="FT73" s="158"/>
      <c r="FU73" s="158"/>
      <c r="FV73" s="158"/>
      <c r="FW73" s="158"/>
      <c r="FX73" s="158"/>
      <c r="FY73" s="158"/>
      <c r="FZ73" s="158"/>
      <c r="GA73" s="158"/>
      <c r="GB73" s="158"/>
      <c r="GC73" s="158"/>
      <c r="GD73" s="158"/>
      <c r="GE73" s="158"/>
      <c r="GF73" s="158"/>
    </row>
    <row r="74" spans="2:188" s="324" customFormat="1">
      <c r="B74" s="316">
        <v>68</v>
      </c>
      <c r="C74" s="370" t="s">
        <v>249</v>
      </c>
      <c r="D74" s="370" t="s">
        <v>155</v>
      </c>
      <c r="E74" s="422" t="s">
        <v>150</v>
      </c>
      <c r="F74" s="370" t="s">
        <v>395</v>
      </c>
      <c r="G74" s="371">
        <v>12</v>
      </c>
      <c r="H74" s="369">
        <v>1200000</v>
      </c>
      <c r="I74" s="317">
        <f t="shared" si="1"/>
        <v>225000</v>
      </c>
      <c r="J74" s="249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158"/>
      <c r="Z74" s="158"/>
      <c r="AA74" s="158"/>
      <c r="AB74" s="158"/>
      <c r="AC74" s="158"/>
      <c r="AD74" s="158"/>
      <c r="AE74" s="158"/>
      <c r="AF74" s="158"/>
      <c r="AG74" s="158"/>
      <c r="AH74" s="158"/>
      <c r="AI74" s="158"/>
      <c r="AJ74" s="158"/>
      <c r="AK74" s="158"/>
      <c r="AL74" s="158"/>
      <c r="AM74" s="158"/>
      <c r="AN74" s="158"/>
      <c r="AO74" s="158"/>
      <c r="AP74" s="158"/>
      <c r="AQ74" s="158"/>
      <c r="AR74" s="158"/>
      <c r="AS74" s="158"/>
      <c r="AT74" s="158"/>
      <c r="AU74" s="158"/>
      <c r="AV74" s="158"/>
      <c r="AW74" s="158"/>
      <c r="AX74" s="158"/>
      <c r="AY74" s="158"/>
      <c r="AZ74" s="158"/>
      <c r="BA74" s="158"/>
      <c r="BB74" s="158"/>
      <c r="BC74" s="158"/>
      <c r="BD74" s="158"/>
      <c r="BE74" s="158"/>
      <c r="BF74" s="158"/>
      <c r="BG74" s="158"/>
      <c r="BH74" s="158"/>
      <c r="BI74" s="158"/>
      <c r="BJ74" s="158"/>
      <c r="BK74" s="158"/>
      <c r="BL74" s="158"/>
      <c r="BM74" s="158"/>
      <c r="BN74" s="158"/>
      <c r="BO74" s="158"/>
      <c r="BP74" s="158"/>
      <c r="BQ74" s="158"/>
      <c r="BR74" s="158"/>
      <c r="BS74" s="158"/>
      <c r="BT74" s="158"/>
      <c r="BU74" s="158"/>
      <c r="BV74" s="158"/>
      <c r="BW74" s="158"/>
      <c r="BX74" s="158"/>
      <c r="BY74" s="158"/>
      <c r="BZ74" s="158"/>
      <c r="CA74" s="158"/>
      <c r="CB74" s="158"/>
      <c r="CC74" s="158"/>
      <c r="CD74" s="158"/>
      <c r="CE74" s="158"/>
      <c r="CF74" s="158"/>
      <c r="CG74" s="158"/>
      <c r="CH74" s="158"/>
      <c r="CI74" s="158"/>
      <c r="CJ74" s="158"/>
      <c r="CK74" s="158"/>
      <c r="CL74" s="158"/>
      <c r="CM74" s="158"/>
      <c r="CN74" s="158"/>
      <c r="CO74" s="158"/>
      <c r="CP74" s="158"/>
      <c r="CQ74" s="158"/>
      <c r="CR74" s="158"/>
      <c r="CS74" s="158"/>
      <c r="CT74" s="158"/>
      <c r="CU74" s="158"/>
      <c r="CV74" s="158"/>
      <c r="CW74" s="158"/>
      <c r="CX74" s="158"/>
      <c r="CY74" s="158"/>
      <c r="CZ74" s="158"/>
      <c r="DA74" s="158"/>
      <c r="DB74" s="158"/>
      <c r="DC74" s="158"/>
      <c r="DD74" s="158"/>
      <c r="DE74" s="158"/>
      <c r="DF74" s="158"/>
      <c r="DG74" s="158"/>
      <c r="DH74" s="158"/>
      <c r="DI74" s="158"/>
      <c r="DJ74" s="158"/>
      <c r="DK74" s="158"/>
      <c r="DL74" s="158"/>
      <c r="DM74" s="158"/>
      <c r="DN74" s="158"/>
      <c r="DO74" s="158"/>
      <c r="DP74" s="158"/>
      <c r="DQ74" s="158"/>
      <c r="DR74" s="158"/>
      <c r="DS74" s="158"/>
      <c r="DT74" s="158"/>
      <c r="DU74" s="158"/>
      <c r="DV74" s="158"/>
      <c r="DW74" s="158"/>
      <c r="DX74" s="158"/>
      <c r="DY74" s="158"/>
      <c r="DZ74" s="158"/>
      <c r="EA74" s="158"/>
      <c r="EB74" s="158"/>
      <c r="EC74" s="158"/>
      <c r="ED74" s="158"/>
      <c r="EE74" s="158"/>
      <c r="EF74" s="158"/>
      <c r="EG74" s="158"/>
      <c r="EH74" s="158"/>
      <c r="EI74" s="158"/>
      <c r="EJ74" s="158"/>
      <c r="EK74" s="158"/>
      <c r="EL74" s="158"/>
      <c r="EM74" s="158"/>
      <c r="EN74" s="158"/>
      <c r="EO74" s="158"/>
      <c r="EP74" s="158"/>
      <c r="EQ74" s="158"/>
      <c r="ER74" s="158"/>
      <c r="ES74" s="158"/>
      <c r="ET74" s="158"/>
      <c r="EU74" s="158"/>
      <c r="EV74" s="158"/>
      <c r="EW74" s="158"/>
      <c r="EX74" s="158"/>
      <c r="EY74" s="158"/>
      <c r="EZ74" s="158"/>
      <c r="FA74" s="158"/>
      <c r="FB74" s="158"/>
      <c r="FC74" s="158"/>
      <c r="FD74" s="158"/>
      <c r="FE74" s="158"/>
      <c r="FF74" s="158"/>
      <c r="FG74" s="158"/>
      <c r="FH74" s="158"/>
      <c r="FI74" s="158"/>
      <c r="FJ74" s="158"/>
      <c r="FK74" s="158"/>
      <c r="FL74" s="158"/>
      <c r="FM74" s="158"/>
      <c r="FN74" s="158"/>
      <c r="FO74" s="158"/>
      <c r="FP74" s="158"/>
      <c r="FQ74" s="158"/>
      <c r="FR74" s="158"/>
      <c r="FS74" s="158"/>
      <c r="FT74" s="158"/>
      <c r="FU74" s="158"/>
      <c r="FV74" s="158"/>
      <c r="FW74" s="158"/>
      <c r="FX74" s="158"/>
      <c r="FY74" s="158"/>
      <c r="FZ74" s="158"/>
      <c r="GA74" s="158"/>
      <c r="GB74" s="158"/>
      <c r="GC74" s="158"/>
      <c r="GD74" s="158"/>
      <c r="GE74" s="158"/>
      <c r="GF74" s="158"/>
    </row>
    <row r="75" spans="2:188" s="324" customFormat="1">
      <c r="B75" s="316">
        <v>69</v>
      </c>
      <c r="C75" s="370" t="s">
        <v>209</v>
      </c>
      <c r="D75" s="370" t="s">
        <v>433</v>
      </c>
      <c r="E75" s="422" t="s">
        <v>367</v>
      </c>
      <c r="F75" s="370" t="s">
        <v>395</v>
      </c>
      <c r="G75" s="371">
        <v>4</v>
      </c>
      <c r="H75" s="369">
        <v>400000</v>
      </c>
      <c r="I75" s="317">
        <f t="shared" si="1"/>
        <v>75000</v>
      </c>
      <c r="J75" s="355"/>
    </row>
    <row r="76" spans="2:188" s="324" customFormat="1">
      <c r="B76" s="316">
        <v>70</v>
      </c>
      <c r="C76" s="370" t="s">
        <v>222</v>
      </c>
      <c r="D76" s="370" t="s">
        <v>456</v>
      </c>
      <c r="E76" s="422" t="s">
        <v>405</v>
      </c>
      <c r="F76" s="370" t="s">
        <v>395</v>
      </c>
      <c r="G76" s="371">
        <v>4</v>
      </c>
      <c r="H76" s="369">
        <v>400000</v>
      </c>
      <c r="I76" s="317">
        <f t="shared" si="1"/>
        <v>75000</v>
      </c>
      <c r="J76" s="249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58"/>
      <c r="Z76" s="158"/>
      <c r="AA76" s="158"/>
      <c r="AB76" s="158"/>
      <c r="AC76" s="158"/>
      <c r="AD76" s="158"/>
      <c r="AE76" s="158"/>
      <c r="AF76" s="158"/>
      <c r="AG76" s="158"/>
      <c r="AH76" s="158"/>
      <c r="AI76" s="158"/>
      <c r="AJ76" s="158"/>
      <c r="AK76" s="158"/>
      <c r="AL76" s="158"/>
      <c r="AM76" s="158"/>
      <c r="AN76" s="158"/>
      <c r="AO76" s="158"/>
      <c r="AP76" s="158"/>
      <c r="AQ76" s="158"/>
      <c r="AR76" s="158"/>
      <c r="AS76" s="158"/>
      <c r="AT76" s="158"/>
      <c r="AU76" s="158"/>
      <c r="AV76" s="158"/>
      <c r="AW76" s="158"/>
      <c r="AX76" s="158"/>
      <c r="AY76" s="158"/>
      <c r="AZ76" s="158"/>
      <c r="BA76" s="158"/>
      <c r="BB76" s="158"/>
      <c r="BC76" s="158"/>
      <c r="BD76" s="158"/>
      <c r="BE76" s="158"/>
      <c r="BF76" s="158"/>
      <c r="BG76" s="158"/>
      <c r="BH76" s="158"/>
      <c r="BI76" s="158"/>
      <c r="BJ76" s="158"/>
      <c r="BK76" s="158"/>
      <c r="BL76" s="158"/>
      <c r="BM76" s="158"/>
      <c r="BN76" s="158"/>
      <c r="BO76" s="158"/>
      <c r="BP76" s="158"/>
      <c r="BQ76" s="158"/>
      <c r="BR76" s="158"/>
      <c r="BS76" s="158"/>
      <c r="BT76" s="158"/>
      <c r="BU76" s="158"/>
      <c r="BV76" s="158"/>
      <c r="BW76" s="158"/>
      <c r="BX76" s="158"/>
      <c r="BY76" s="158"/>
      <c r="BZ76" s="158"/>
      <c r="CA76" s="158"/>
      <c r="CB76" s="158"/>
      <c r="CC76" s="158"/>
      <c r="CD76" s="158"/>
      <c r="CE76" s="158"/>
      <c r="CF76" s="158"/>
      <c r="CG76" s="158"/>
      <c r="CH76" s="158"/>
      <c r="CI76" s="158"/>
      <c r="CJ76" s="158"/>
      <c r="CK76" s="158"/>
      <c r="CL76" s="158"/>
      <c r="CM76" s="158"/>
      <c r="CN76" s="158"/>
      <c r="CO76" s="158"/>
      <c r="CP76" s="158"/>
      <c r="CQ76" s="158"/>
      <c r="CR76" s="158"/>
      <c r="CS76" s="158"/>
      <c r="CT76" s="158"/>
      <c r="CU76" s="158"/>
      <c r="CV76" s="158"/>
      <c r="CW76" s="158"/>
      <c r="CX76" s="158"/>
      <c r="CY76" s="158"/>
      <c r="CZ76" s="158"/>
      <c r="DA76" s="158"/>
      <c r="DB76" s="158"/>
      <c r="DC76" s="158"/>
      <c r="DD76" s="158"/>
      <c r="DE76" s="158"/>
      <c r="DF76" s="158"/>
      <c r="DG76" s="158"/>
      <c r="DH76" s="158"/>
      <c r="DI76" s="158"/>
      <c r="DJ76" s="158"/>
      <c r="DK76" s="158"/>
      <c r="DL76" s="158"/>
      <c r="DM76" s="158"/>
      <c r="DN76" s="158"/>
      <c r="DO76" s="158"/>
      <c r="DP76" s="158"/>
      <c r="DQ76" s="158"/>
      <c r="DR76" s="158"/>
      <c r="DS76" s="158"/>
      <c r="DT76" s="158"/>
      <c r="DU76" s="158"/>
      <c r="DV76" s="158"/>
      <c r="DW76" s="158"/>
      <c r="DX76" s="158"/>
      <c r="DY76" s="158"/>
      <c r="DZ76" s="158"/>
      <c r="EA76" s="158"/>
      <c r="EB76" s="158"/>
      <c r="EC76" s="158"/>
      <c r="ED76" s="158"/>
      <c r="EE76" s="158"/>
      <c r="EF76" s="158"/>
      <c r="EG76" s="158"/>
      <c r="EH76" s="158"/>
      <c r="EI76" s="158"/>
      <c r="EJ76" s="158"/>
      <c r="EK76" s="158"/>
      <c r="EL76" s="158"/>
      <c r="EM76" s="158"/>
      <c r="EN76" s="158"/>
      <c r="EO76" s="158"/>
      <c r="EP76" s="158"/>
      <c r="EQ76" s="158"/>
      <c r="ER76" s="158"/>
      <c r="ES76" s="158"/>
      <c r="ET76" s="158"/>
      <c r="EU76" s="158"/>
      <c r="EV76" s="158"/>
      <c r="EW76" s="158"/>
      <c r="EX76" s="158"/>
      <c r="EY76" s="158"/>
      <c r="EZ76" s="158"/>
      <c r="FA76" s="158"/>
      <c r="FB76" s="158"/>
      <c r="FC76" s="158"/>
      <c r="FD76" s="158"/>
      <c r="FE76" s="158"/>
      <c r="FF76" s="158"/>
      <c r="FG76" s="158"/>
      <c r="FH76" s="158"/>
      <c r="FI76" s="158"/>
      <c r="FJ76" s="158"/>
      <c r="FK76" s="158"/>
      <c r="FL76" s="158"/>
      <c r="FM76" s="158"/>
      <c r="FN76" s="158"/>
      <c r="FO76" s="158"/>
      <c r="FP76" s="158"/>
      <c r="FQ76" s="158"/>
      <c r="FR76" s="158"/>
      <c r="FS76" s="158"/>
      <c r="FT76" s="158"/>
      <c r="FU76" s="158"/>
      <c r="FV76" s="158"/>
      <c r="FW76" s="158"/>
      <c r="FX76" s="158"/>
      <c r="FY76" s="158"/>
      <c r="FZ76" s="158"/>
      <c r="GA76" s="158"/>
      <c r="GB76" s="158"/>
      <c r="GC76" s="158"/>
      <c r="GD76" s="158"/>
      <c r="GE76" s="158"/>
      <c r="GF76" s="158"/>
    </row>
    <row r="77" spans="2:188" s="324" customFormat="1">
      <c r="B77" s="316">
        <v>71</v>
      </c>
      <c r="C77" s="370" t="s">
        <v>251</v>
      </c>
      <c r="D77" s="370" t="s">
        <v>427</v>
      </c>
      <c r="E77" s="422" t="s">
        <v>359</v>
      </c>
      <c r="F77" s="370" t="s">
        <v>394</v>
      </c>
      <c r="G77" s="371">
        <v>1</v>
      </c>
      <c r="H77" s="369">
        <v>40300</v>
      </c>
      <c r="I77" s="317">
        <f t="shared" si="1"/>
        <v>7556.25</v>
      </c>
      <c r="J77" s="249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58"/>
      <c r="Z77" s="158"/>
      <c r="AA77" s="158"/>
      <c r="AB77" s="158"/>
      <c r="AC77" s="158"/>
      <c r="AD77" s="158"/>
      <c r="AE77" s="158"/>
      <c r="AF77" s="158"/>
      <c r="AG77" s="158"/>
      <c r="AH77" s="158"/>
      <c r="AI77" s="158"/>
      <c r="AJ77" s="158"/>
      <c r="AK77" s="158"/>
      <c r="AL77" s="158"/>
      <c r="AM77" s="158"/>
      <c r="AN77" s="158"/>
      <c r="AO77" s="158"/>
      <c r="AP77" s="158"/>
      <c r="AQ77" s="158"/>
      <c r="AR77" s="158"/>
      <c r="AS77" s="158"/>
      <c r="AT77" s="158"/>
      <c r="AU77" s="158"/>
      <c r="AV77" s="158"/>
      <c r="AW77" s="158"/>
      <c r="AX77" s="158"/>
      <c r="AY77" s="158"/>
      <c r="AZ77" s="158"/>
      <c r="BA77" s="158"/>
      <c r="BB77" s="158"/>
      <c r="BC77" s="158"/>
      <c r="BD77" s="158"/>
      <c r="BE77" s="158"/>
      <c r="BF77" s="158"/>
      <c r="BG77" s="158"/>
      <c r="BH77" s="158"/>
      <c r="BI77" s="158"/>
      <c r="BJ77" s="158"/>
      <c r="BK77" s="158"/>
      <c r="BL77" s="158"/>
      <c r="BM77" s="158"/>
      <c r="BN77" s="158"/>
      <c r="BO77" s="158"/>
      <c r="BP77" s="158"/>
      <c r="BQ77" s="158"/>
      <c r="BR77" s="158"/>
      <c r="BS77" s="158"/>
      <c r="BT77" s="158"/>
      <c r="BU77" s="158"/>
      <c r="BV77" s="158"/>
      <c r="BW77" s="158"/>
      <c r="BX77" s="158"/>
      <c r="BY77" s="158"/>
      <c r="BZ77" s="158"/>
      <c r="CA77" s="158"/>
      <c r="CB77" s="158"/>
      <c r="CC77" s="158"/>
      <c r="CD77" s="158"/>
      <c r="CE77" s="158"/>
      <c r="CF77" s="158"/>
      <c r="CG77" s="158"/>
      <c r="CH77" s="158"/>
      <c r="CI77" s="158"/>
      <c r="CJ77" s="158"/>
      <c r="CK77" s="158"/>
      <c r="CL77" s="158"/>
      <c r="CM77" s="158"/>
      <c r="CN77" s="158"/>
      <c r="CO77" s="158"/>
      <c r="CP77" s="158"/>
      <c r="CQ77" s="158"/>
      <c r="CR77" s="158"/>
      <c r="CS77" s="158"/>
      <c r="CT77" s="158"/>
      <c r="CU77" s="158"/>
      <c r="CV77" s="158"/>
      <c r="CW77" s="158"/>
      <c r="CX77" s="158"/>
      <c r="CY77" s="158"/>
      <c r="CZ77" s="158"/>
      <c r="DA77" s="158"/>
      <c r="DB77" s="158"/>
      <c r="DC77" s="158"/>
      <c r="DD77" s="158"/>
      <c r="DE77" s="158"/>
      <c r="DF77" s="158"/>
      <c r="DG77" s="158"/>
      <c r="DH77" s="158"/>
      <c r="DI77" s="158"/>
      <c r="DJ77" s="158"/>
      <c r="DK77" s="158"/>
      <c r="DL77" s="158"/>
      <c r="DM77" s="158"/>
      <c r="DN77" s="158"/>
      <c r="DO77" s="158"/>
      <c r="DP77" s="158"/>
      <c r="DQ77" s="158"/>
      <c r="DR77" s="158"/>
      <c r="DS77" s="158"/>
      <c r="DT77" s="158"/>
      <c r="DU77" s="158"/>
      <c r="DV77" s="158"/>
      <c r="DW77" s="158"/>
      <c r="DX77" s="158"/>
      <c r="DY77" s="158"/>
      <c r="DZ77" s="158"/>
      <c r="EA77" s="158"/>
      <c r="EB77" s="158"/>
      <c r="EC77" s="158"/>
      <c r="ED77" s="158"/>
      <c r="EE77" s="158"/>
      <c r="EF77" s="158"/>
      <c r="EG77" s="158"/>
      <c r="EH77" s="158"/>
      <c r="EI77" s="158"/>
      <c r="EJ77" s="158"/>
      <c r="EK77" s="158"/>
      <c r="EL77" s="158"/>
      <c r="EM77" s="158"/>
      <c r="EN77" s="158"/>
      <c r="EO77" s="158"/>
      <c r="EP77" s="158"/>
      <c r="EQ77" s="158"/>
      <c r="ER77" s="158"/>
      <c r="ES77" s="158"/>
      <c r="ET77" s="158"/>
      <c r="EU77" s="158"/>
      <c r="EV77" s="158"/>
      <c r="EW77" s="158"/>
      <c r="EX77" s="158"/>
      <c r="EY77" s="158"/>
      <c r="EZ77" s="158"/>
      <c r="FA77" s="158"/>
      <c r="FB77" s="158"/>
      <c r="FC77" s="158"/>
      <c r="FD77" s="158"/>
      <c r="FE77" s="158"/>
      <c r="FF77" s="158"/>
      <c r="FG77" s="158"/>
      <c r="FH77" s="158"/>
      <c r="FI77" s="158"/>
      <c r="FJ77" s="158"/>
      <c r="FK77" s="158"/>
      <c r="FL77" s="158"/>
      <c r="FM77" s="158"/>
      <c r="FN77" s="158"/>
      <c r="FO77" s="158"/>
      <c r="FP77" s="158"/>
      <c r="FQ77" s="158"/>
      <c r="FR77" s="158"/>
      <c r="FS77" s="158"/>
      <c r="FT77" s="158"/>
      <c r="FU77" s="158"/>
      <c r="FV77" s="158"/>
      <c r="FW77" s="158"/>
      <c r="FX77" s="158"/>
      <c r="FY77" s="158"/>
      <c r="FZ77" s="158"/>
      <c r="GA77" s="158"/>
      <c r="GB77" s="158"/>
      <c r="GC77" s="158"/>
      <c r="GD77" s="158"/>
      <c r="GE77" s="158"/>
      <c r="GF77" s="158"/>
    </row>
    <row r="78" spans="2:188" s="324" customFormat="1">
      <c r="B78" s="316">
        <v>72</v>
      </c>
      <c r="C78" s="370" t="s">
        <v>236</v>
      </c>
      <c r="D78" s="370" t="s">
        <v>418</v>
      </c>
      <c r="E78" s="422" t="s">
        <v>419</v>
      </c>
      <c r="F78" s="370" t="s">
        <v>394</v>
      </c>
      <c r="G78" s="371">
        <v>1</v>
      </c>
      <c r="H78" s="369">
        <v>100000</v>
      </c>
      <c r="I78" s="317">
        <f t="shared" si="1"/>
        <v>18750</v>
      </c>
      <c r="J78" s="249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  <c r="AA78" s="158"/>
      <c r="AB78" s="158"/>
      <c r="AC78" s="158"/>
      <c r="AD78" s="158"/>
      <c r="AE78" s="158"/>
      <c r="AF78" s="158"/>
      <c r="AG78" s="158"/>
      <c r="AH78" s="158"/>
      <c r="AI78" s="158"/>
      <c r="AJ78" s="158"/>
      <c r="AK78" s="158"/>
      <c r="AL78" s="158"/>
      <c r="AM78" s="158"/>
      <c r="AN78" s="158"/>
      <c r="AO78" s="158"/>
      <c r="AP78" s="158"/>
      <c r="AQ78" s="158"/>
      <c r="AR78" s="158"/>
      <c r="AS78" s="158"/>
      <c r="AT78" s="158"/>
      <c r="AU78" s="158"/>
      <c r="AV78" s="158"/>
      <c r="AW78" s="158"/>
      <c r="AX78" s="158"/>
      <c r="AY78" s="158"/>
      <c r="AZ78" s="158"/>
      <c r="BA78" s="158"/>
      <c r="BB78" s="158"/>
      <c r="BC78" s="158"/>
      <c r="BD78" s="158"/>
      <c r="BE78" s="158"/>
      <c r="BF78" s="158"/>
      <c r="BG78" s="158"/>
      <c r="BH78" s="158"/>
      <c r="BI78" s="158"/>
      <c r="BJ78" s="158"/>
      <c r="BK78" s="158"/>
      <c r="BL78" s="158"/>
      <c r="BM78" s="158"/>
      <c r="BN78" s="158"/>
      <c r="BO78" s="158"/>
      <c r="BP78" s="158"/>
      <c r="BQ78" s="158"/>
      <c r="BR78" s="158"/>
      <c r="BS78" s="158"/>
      <c r="BT78" s="158"/>
      <c r="BU78" s="158"/>
      <c r="BV78" s="158"/>
      <c r="BW78" s="158"/>
      <c r="BX78" s="158"/>
      <c r="BY78" s="158"/>
      <c r="BZ78" s="158"/>
      <c r="CA78" s="158"/>
      <c r="CB78" s="158"/>
      <c r="CC78" s="158"/>
      <c r="CD78" s="158"/>
      <c r="CE78" s="158"/>
      <c r="CF78" s="158"/>
      <c r="CG78" s="158"/>
      <c r="CH78" s="158"/>
      <c r="CI78" s="158"/>
      <c r="CJ78" s="158"/>
      <c r="CK78" s="158"/>
      <c r="CL78" s="158"/>
      <c r="CM78" s="158"/>
      <c r="CN78" s="158"/>
      <c r="CO78" s="158"/>
      <c r="CP78" s="158"/>
      <c r="CQ78" s="158"/>
      <c r="CR78" s="158"/>
      <c r="CS78" s="158"/>
      <c r="CT78" s="158"/>
      <c r="CU78" s="158"/>
      <c r="CV78" s="158"/>
      <c r="CW78" s="158"/>
      <c r="CX78" s="158"/>
      <c r="CY78" s="158"/>
      <c r="CZ78" s="158"/>
      <c r="DA78" s="158"/>
      <c r="DB78" s="158"/>
      <c r="DC78" s="158"/>
      <c r="DD78" s="158"/>
      <c r="DE78" s="158"/>
      <c r="DF78" s="158"/>
      <c r="DG78" s="158"/>
      <c r="DH78" s="158"/>
      <c r="DI78" s="158"/>
      <c r="DJ78" s="158"/>
      <c r="DK78" s="158"/>
      <c r="DL78" s="158"/>
      <c r="DM78" s="158"/>
      <c r="DN78" s="158"/>
      <c r="DO78" s="158"/>
      <c r="DP78" s="158"/>
      <c r="DQ78" s="158"/>
      <c r="DR78" s="158"/>
      <c r="DS78" s="158"/>
      <c r="DT78" s="158"/>
      <c r="DU78" s="158"/>
      <c r="DV78" s="158"/>
      <c r="DW78" s="158"/>
      <c r="DX78" s="158"/>
      <c r="DY78" s="158"/>
      <c r="DZ78" s="158"/>
      <c r="EA78" s="158"/>
      <c r="EB78" s="158"/>
      <c r="EC78" s="158"/>
      <c r="ED78" s="158"/>
      <c r="EE78" s="158"/>
      <c r="EF78" s="158"/>
      <c r="EG78" s="158"/>
      <c r="EH78" s="158"/>
      <c r="EI78" s="158"/>
      <c r="EJ78" s="158"/>
      <c r="EK78" s="158"/>
      <c r="EL78" s="158"/>
      <c r="EM78" s="158"/>
      <c r="EN78" s="158"/>
      <c r="EO78" s="158"/>
      <c r="EP78" s="158"/>
      <c r="EQ78" s="158"/>
      <c r="ER78" s="158"/>
      <c r="ES78" s="158"/>
      <c r="ET78" s="158"/>
      <c r="EU78" s="158"/>
      <c r="EV78" s="158"/>
      <c r="EW78" s="158"/>
      <c r="EX78" s="158"/>
      <c r="EY78" s="158"/>
      <c r="EZ78" s="158"/>
      <c r="FA78" s="158"/>
      <c r="FB78" s="158"/>
      <c r="FC78" s="158"/>
      <c r="FD78" s="158"/>
      <c r="FE78" s="158"/>
      <c r="FF78" s="158"/>
      <c r="FG78" s="158"/>
      <c r="FH78" s="158"/>
      <c r="FI78" s="158"/>
      <c r="FJ78" s="158"/>
      <c r="FK78" s="158"/>
      <c r="FL78" s="158"/>
      <c r="FM78" s="158"/>
      <c r="FN78" s="158"/>
      <c r="FO78" s="158"/>
      <c r="FP78" s="158"/>
      <c r="FQ78" s="158"/>
      <c r="FR78" s="158"/>
      <c r="FS78" s="158"/>
      <c r="FT78" s="158"/>
      <c r="FU78" s="158"/>
      <c r="FV78" s="158"/>
      <c r="FW78" s="158"/>
      <c r="FX78" s="158"/>
      <c r="FY78" s="158"/>
      <c r="FZ78" s="158"/>
      <c r="GA78" s="158"/>
      <c r="GB78" s="158"/>
      <c r="GC78" s="158"/>
      <c r="GD78" s="158"/>
      <c r="GE78" s="158"/>
      <c r="GF78" s="158"/>
    </row>
    <row r="79" spans="2:188" s="324" customFormat="1">
      <c r="B79" s="316">
        <v>73</v>
      </c>
      <c r="C79" s="370" t="s">
        <v>449</v>
      </c>
      <c r="D79" s="370" t="s">
        <v>450</v>
      </c>
      <c r="E79" s="422" t="s">
        <v>451</v>
      </c>
      <c r="F79" s="370" t="s">
        <v>395</v>
      </c>
      <c r="G79" s="371">
        <v>3</v>
      </c>
      <c r="H79" s="369">
        <v>300000</v>
      </c>
      <c r="I79" s="317">
        <f t="shared" si="1"/>
        <v>56250</v>
      </c>
      <c r="J79" s="355"/>
    </row>
    <row r="80" spans="2:188" s="324" customFormat="1">
      <c r="B80" s="316">
        <v>74</v>
      </c>
      <c r="C80" s="370" t="s">
        <v>466</v>
      </c>
      <c r="D80" s="370" t="s">
        <v>467</v>
      </c>
      <c r="E80" s="422" t="s">
        <v>468</v>
      </c>
      <c r="F80" s="370" t="s">
        <v>394</v>
      </c>
      <c r="G80" s="371">
        <v>1</v>
      </c>
      <c r="H80" s="369">
        <v>100000</v>
      </c>
      <c r="I80" s="317">
        <f t="shared" si="1"/>
        <v>18750</v>
      </c>
      <c r="J80" s="355"/>
    </row>
    <row r="81" spans="2:188" s="324" customFormat="1">
      <c r="B81" s="316">
        <v>75</v>
      </c>
      <c r="C81" s="370" t="s">
        <v>212</v>
      </c>
      <c r="D81" s="370" t="s">
        <v>434</v>
      </c>
      <c r="E81" s="422" t="s">
        <v>435</v>
      </c>
      <c r="F81" s="370" t="s">
        <v>392</v>
      </c>
      <c r="G81" s="371">
        <v>4</v>
      </c>
      <c r="H81" s="369">
        <v>400000</v>
      </c>
      <c r="I81" s="317">
        <f t="shared" si="1"/>
        <v>75000</v>
      </c>
      <c r="J81" s="355"/>
    </row>
    <row r="82" spans="2:188" s="324" customFormat="1">
      <c r="B82" s="316">
        <v>76</v>
      </c>
      <c r="C82" s="370" t="s">
        <v>385</v>
      </c>
      <c r="D82" s="370" t="s">
        <v>458</v>
      </c>
      <c r="E82" s="422" t="s">
        <v>367</v>
      </c>
      <c r="F82" s="370" t="s">
        <v>431</v>
      </c>
      <c r="G82" s="371">
        <v>1</v>
      </c>
      <c r="H82" s="369">
        <v>400000</v>
      </c>
      <c r="I82" s="317">
        <f t="shared" si="1"/>
        <v>75000</v>
      </c>
      <c r="J82" s="249"/>
      <c r="K82" s="158"/>
      <c r="L82" s="15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58"/>
      <c r="Z82" s="158"/>
      <c r="AA82" s="158"/>
      <c r="AB82" s="158"/>
      <c r="AC82" s="158"/>
      <c r="AD82" s="158"/>
      <c r="AE82" s="158"/>
      <c r="AF82" s="158"/>
      <c r="AG82" s="158"/>
      <c r="AH82" s="158"/>
      <c r="AI82" s="158"/>
      <c r="AJ82" s="158"/>
      <c r="AK82" s="158"/>
      <c r="AL82" s="158"/>
      <c r="AM82" s="158"/>
      <c r="AN82" s="158"/>
      <c r="AO82" s="158"/>
      <c r="AP82" s="158"/>
      <c r="AQ82" s="158"/>
      <c r="AR82" s="158"/>
      <c r="AS82" s="158"/>
      <c r="AT82" s="158"/>
      <c r="AU82" s="158"/>
      <c r="AV82" s="158"/>
      <c r="AW82" s="158"/>
      <c r="AX82" s="158"/>
      <c r="AY82" s="158"/>
      <c r="AZ82" s="158"/>
      <c r="BA82" s="158"/>
      <c r="BB82" s="158"/>
      <c r="BC82" s="158"/>
      <c r="BD82" s="158"/>
      <c r="BE82" s="158"/>
      <c r="BF82" s="158"/>
      <c r="BG82" s="158"/>
      <c r="BH82" s="158"/>
      <c r="BI82" s="158"/>
      <c r="BJ82" s="158"/>
      <c r="BK82" s="158"/>
      <c r="BL82" s="158"/>
      <c r="BM82" s="158"/>
      <c r="BN82" s="158"/>
      <c r="BO82" s="158"/>
      <c r="BP82" s="158"/>
      <c r="BQ82" s="158"/>
      <c r="BR82" s="158"/>
      <c r="BS82" s="158"/>
      <c r="BT82" s="158"/>
      <c r="BU82" s="158"/>
      <c r="BV82" s="158"/>
      <c r="BW82" s="158"/>
      <c r="BX82" s="158"/>
      <c r="BY82" s="158"/>
      <c r="BZ82" s="158"/>
      <c r="CA82" s="158"/>
      <c r="CB82" s="158"/>
      <c r="CC82" s="158"/>
      <c r="CD82" s="158"/>
      <c r="CE82" s="158"/>
      <c r="CF82" s="158"/>
      <c r="CG82" s="158"/>
      <c r="CH82" s="158"/>
      <c r="CI82" s="158"/>
      <c r="CJ82" s="158"/>
      <c r="CK82" s="158"/>
      <c r="CL82" s="158"/>
      <c r="CM82" s="158"/>
      <c r="CN82" s="158"/>
      <c r="CO82" s="158"/>
      <c r="CP82" s="158"/>
      <c r="CQ82" s="158"/>
      <c r="CR82" s="158"/>
      <c r="CS82" s="158"/>
      <c r="CT82" s="158"/>
      <c r="CU82" s="158"/>
      <c r="CV82" s="158"/>
      <c r="CW82" s="158"/>
      <c r="CX82" s="158"/>
      <c r="CY82" s="158"/>
      <c r="CZ82" s="158"/>
      <c r="DA82" s="158"/>
      <c r="DB82" s="158"/>
      <c r="DC82" s="158"/>
      <c r="DD82" s="158"/>
      <c r="DE82" s="158"/>
      <c r="DF82" s="158"/>
      <c r="DG82" s="158"/>
      <c r="DH82" s="158"/>
      <c r="DI82" s="158"/>
      <c r="DJ82" s="158"/>
      <c r="DK82" s="158"/>
      <c r="DL82" s="158"/>
      <c r="DM82" s="158"/>
      <c r="DN82" s="158"/>
      <c r="DO82" s="158"/>
      <c r="DP82" s="158"/>
      <c r="DQ82" s="158"/>
      <c r="DR82" s="158"/>
      <c r="DS82" s="158"/>
      <c r="DT82" s="158"/>
      <c r="DU82" s="158"/>
      <c r="DV82" s="158"/>
      <c r="DW82" s="158"/>
      <c r="DX82" s="158"/>
      <c r="DY82" s="158"/>
      <c r="DZ82" s="158"/>
      <c r="EA82" s="158"/>
      <c r="EB82" s="158"/>
      <c r="EC82" s="158"/>
      <c r="ED82" s="158"/>
      <c r="EE82" s="158"/>
      <c r="EF82" s="158"/>
      <c r="EG82" s="158"/>
      <c r="EH82" s="158"/>
      <c r="EI82" s="158"/>
      <c r="EJ82" s="158"/>
      <c r="EK82" s="158"/>
      <c r="EL82" s="158"/>
      <c r="EM82" s="158"/>
      <c r="EN82" s="158"/>
      <c r="EO82" s="158"/>
      <c r="EP82" s="158"/>
      <c r="EQ82" s="158"/>
      <c r="ER82" s="158"/>
      <c r="ES82" s="158"/>
      <c r="ET82" s="158"/>
      <c r="EU82" s="158"/>
      <c r="EV82" s="158"/>
      <c r="EW82" s="158"/>
      <c r="EX82" s="158"/>
      <c r="EY82" s="158"/>
      <c r="EZ82" s="158"/>
      <c r="FA82" s="158"/>
      <c r="FB82" s="158"/>
      <c r="FC82" s="158"/>
      <c r="FD82" s="158"/>
      <c r="FE82" s="158"/>
      <c r="FF82" s="158"/>
      <c r="FG82" s="158"/>
      <c r="FH82" s="158"/>
      <c r="FI82" s="158"/>
      <c r="FJ82" s="158"/>
      <c r="FK82" s="158"/>
      <c r="FL82" s="158"/>
      <c r="FM82" s="158"/>
      <c r="FN82" s="158"/>
      <c r="FO82" s="158"/>
      <c r="FP82" s="158"/>
      <c r="FQ82" s="158"/>
      <c r="FR82" s="158"/>
      <c r="FS82" s="158"/>
      <c r="FT82" s="158"/>
      <c r="FU82" s="158"/>
      <c r="FV82" s="158"/>
      <c r="FW82" s="158"/>
      <c r="FX82" s="158"/>
      <c r="FY82" s="158"/>
      <c r="FZ82" s="158"/>
      <c r="GA82" s="158"/>
      <c r="GB82" s="158"/>
      <c r="GC82" s="158"/>
      <c r="GD82" s="158"/>
      <c r="GE82" s="158"/>
      <c r="GF82" s="158"/>
    </row>
    <row r="83" spans="2:188" s="324" customFormat="1">
      <c r="B83" s="316">
        <v>77</v>
      </c>
      <c r="C83" s="370" t="s">
        <v>385</v>
      </c>
      <c r="D83" s="370" t="s">
        <v>252</v>
      </c>
      <c r="E83" s="422" t="s">
        <v>426</v>
      </c>
      <c r="F83" s="370" t="s">
        <v>392</v>
      </c>
      <c r="G83" s="371">
        <v>4</v>
      </c>
      <c r="H83" s="369">
        <v>400000</v>
      </c>
      <c r="I83" s="317">
        <f t="shared" si="1"/>
        <v>75000</v>
      </c>
      <c r="J83" s="249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  <c r="Z83" s="158"/>
      <c r="AA83" s="158"/>
      <c r="AB83" s="158"/>
      <c r="AC83" s="158"/>
      <c r="AD83" s="158"/>
      <c r="AE83" s="158"/>
      <c r="AF83" s="158"/>
      <c r="AG83" s="158"/>
      <c r="AH83" s="158"/>
      <c r="AI83" s="158"/>
      <c r="AJ83" s="158"/>
      <c r="AK83" s="158"/>
      <c r="AL83" s="158"/>
      <c r="AM83" s="158"/>
      <c r="AN83" s="158"/>
      <c r="AO83" s="158"/>
      <c r="AP83" s="158"/>
      <c r="AQ83" s="158"/>
      <c r="AR83" s="158"/>
      <c r="AS83" s="158"/>
      <c r="AT83" s="158"/>
      <c r="AU83" s="158"/>
      <c r="AV83" s="158"/>
      <c r="AW83" s="158"/>
      <c r="AX83" s="158"/>
      <c r="AY83" s="158"/>
      <c r="AZ83" s="158"/>
      <c r="BA83" s="158"/>
      <c r="BB83" s="158"/>
      <c r="BC83" s="158"/>
      <c r="BD83" s="158"/>
      <c r="BE83" s="158"/>
      <c r="BF83" s="158"/>
      <c r="BG83" s="158"/>
      <c r="BH83" s="158"/>
      <c r="BI83" s="158"/>
      <c r="BJ83" s="158"/>
      <c r="BK83" s="158"/>
      <c r="BL83" s="158"/>
      <c r="BM83" s="158"/>
      <c r="BN83" s="158"/>
      <c r="BO83" s="158"/>
      <c r="BP83" s="158"/>
      <c r="BQ83" s="158"/>
      <c r="BR83" s="158"/>
      <c r="BS83" s="158"/>
      <c r="BT83" s="158"/>
      <c r="BU83" s="158"/>
      <c r="BV83" s="158"/>
      <c r="BW83" s="158"/>
      <c r="BX83" s="158"/>
      <c r="BY83" s="158"/>
      <c r="BZ83" s="158"/>
      <c r="CA83" s="158"/>
      <c r="CB83" s="158"/>
      <c r="CC83" s="158"/>
      <c r="CD83" s="158"/>
      <c r="CE83" s="158"/>
      <c r="CF83" s="158"/>
      <c r="CG83" s="158"/>
      <c r="CH83" s="158"/>
      <c r="CI83" s="158"/>
      <c r="CJ83" s="158"/>
      <c r="CK83" s="158"/>
      <c r="CL83" s="158"/>
      <c r="CM83" s="158"/>
      <c r="CN83" s="158"/>
      <c r="CO83" s="158"/>
      <c r="CP83" s="158"/>
      <c r="CQ83" s="158"/>
      <c r="CR83" s="158"/>
      <c r="CS83" s="158"/>
      <c r="CT83" s="158"/>
      <c r="CU83" s="158"/>
      <c r="CV83" s="158"/>
      <c r="CW83" s="158"/>
      <c r="CX83" s="158"/>
      <c r="CY83" s="158"/>
      <c r="CZ83" s="158"/>
      <c r="DA83" s="158"/>
      <c r="DB83" s="158"/>
      <c r="DC83" s="158"/>
      <c r="DD83" s="158"/>
      <c r="DE83" s="158"/>
      <c r="DF83" s="158"/>
      <c r="DG83" s="158"/>
      <c r="DH83" s="158"/>
      <c r="DI83" s="158"/>
      <c r="DJ83" s="158"/>
      <c r="DK83" s="158"/>
      <c r="DL83" s="158"/>
      <c r="DM83" s="158"/>
      <c r="DN83" s="158"/>
      <c r="DO83" s="158"/>
      <c r="DP83" s="158"/>
      <c r="DQ83" s="158"/>
      <c r="DR83" s="158"/>
      <c r="DS83" s="158"/>
      <c r="DT83" s="158"/>
      <c r="DU83" s="158"/>
      <c r="DV83" s="158"/>
      <c r="DW83" s="158"/>
      <c r="DX83" s="158"/>
      <c r="DY83" s="158"/>
      <c r="DZ83" s="158"/>
      <c r="EA83" s="158"/>
      <c r="EB83" s="158"/>
      <c r="EC83" s="158"/>
      <c r="ED83" s="158"/>
      <c r="EE83" s="158"/>
      <c r="EF83" s="158"/>
      <c r="EG83" s="158"/>
      <c r="EH83" s="158"/>
      <c r="EI83" s="158"/>
      <c r="EJ83" s="158"/>
      <c r="EK83" s="158"/>
      <c r="EL83" s="158"/>
      <c r="EM83" s="158"/>
      <c r="EN83" s="158"/>
      <c r="EO83" s="158"/>
      <c r="EP83" s="158"/>
      <c r="EQ83" s="158"/>
      <c r="ER83" s="158"/>
      <c r="ES83" s="158"/>
      <c r="ET83" s="158"/>
      <c r="EU83" s="158"/>
      <c r="EV83" s="158"/>
      <c r="EW83" s="158"/>
      <c r="EX83" s="158"/>
      <c r="EY83" s="158"/>
      <c r="EZ83" s="158"/>
      <c r="FA83" s="158"/>
      <c r="FB83" s="158"/>
      <c r="FC83" s="158"/>
      <c r="FD83" s="158"/>
      <c r="FE83" s="158"/>
      <c r="FF83" s="158"/>
      <c r="FG83" s="158"/>
      <c r="FH83" s="158"/>
      <c r="FI83" s="158"/>
      <c r="FJ83" s="158"/>
      <c r="FK83" s="158"/>
      <c r="FL83" s="158"/>
      <c r="FM83" s="158"/>
      <c r="FN83" s="158"/>
      <c r="FO83" s="158"/>
      <c r="FP83" s="158"/>
      <c r="FQ83" s="158"/>
      <c r="FR83" s="158"/>
      <c r="FS83" s="158"/>
      <c r="FT83" s="158"/>
      <c r="FU83" s="158"/>
      <c r="FV83" s="158"/>
      <c r="FW83" s="158"/>
      <c r="FX83" s="158"/>
      <c r="FY83" s="158"/>
      <c r="FZ83" s="158"/>
      <c r="GA83" s="158"/>
      <c r="GB83" s="158"/>
      <c r="GC83" s="158"/>
      <c r="GD83" s="158"/>
      <c r="GE83" s="158"/>
      <c r="GF83" s="158"/>
    </row>
    <row r="84" spans="2:188" s="324" customFormat="1">
      <c r="B84" s="316">
        <v>78</v>
      </c>
      <c r="C84" s="370" t="s">
        <v>249</v>
      </c>
      <c r="D84" s="370" t="s">
        <v>469</v>
      </c>
      <c r="E84" s="422" t="s">
        <v>405</v>
      </c>
      <c r="F84" s="370" t="s">
        <v>395</v>
      </c>
      <c r="G84" s="371">
        <v>2</v>
      </c>
      <c r="H84" s="369">
        <v>200000</v>
      </c>
      <c r="I84" s="317">
        <f t="shared" si="1"/>
        <v>37500</v>
      </c>
      <c r="J84" s="249"/>
      <c r="K84" s="158"/>
      <c r="L84" s="158"/>
      <c r="M84" s="158"/>
      <c r="N84" s="158"/>
      <c r="O84" s="158"/>
      <c r="P84" s="158"/>
      <c r="Q84" s="158"/>
      <c r="R84" s="158"/>
      <c r="S84" s="158"/>
      <c r="T84" s="158"/>
      <c r="U84" s="158"/>
      <c r="V84" s="158"/>
      <c r="W84" s="158"/>
      <c r="X84" s="158"/>
      <c r="Y84" s="158"/>
      <c r="Z84" s="158"/>
      <c r="AA84" s="158"/>
      <c r="AB84" s="158"/>
      <c r="AC84" s="158"/>
      <c r="AD84" s="158"/>
      <c r="AE84" s="158"/>
      <c r="AF84" s="158"/>
      <c r="AG84" s="158"/>
      <c r="AH84" s="158"/>
      <c r="AI84" s="158"/>
      <c r="AJ84" s="158"/>
      <c r="AK84" s="158"/>
      <c r="AL84" s="158"/>
      <c r="AM84" s="158"/>
      <c r="AN84" s="158"/>
      <c r="AO84" s="158"/>
      <c r="AP84" s="158"/>
      <c r="AQ84" s="158"/>
      <c r="AR84" s="158"/>
      <c r="AS84" s="158"/>
      <c r="AT84" s="158"/>
      <c r="AU84" s="158"/>
      <c r="AV84" s="158"/>
      <c r="AW84" s="158"/>
      <c r="AX84" s="158"/>
      <c r="AY84" s="158"/>
      <c r="AZ84" s="158"/>
      <c r="BA84" s="158"/>
      <c r="BB84" s="158"/>
      <c r="BC84" s="158"/>
      <c r="BD84" s="158"/>
      <c r="BE84" s="158"/>
      <c r="BF84" s="158"/>
      <c r="BG84" s="158"/>
      <c r="BH84" s="158"/>
      <c r="BI84" s="158"/>
      <c r="BJ84" s="158"/>
      <c r="BK84" s="158"/>
      <c r="BL84" s="158"/>
      <c r="BM84" s="158"/>
      <c r="BN84" s="158"/>
      <c r="BO84" s="158"/>
      <c r="BP84" s="158"/>
      <c r="BQ84" s="158"/>
      <c r="BR84" s="158"/>
      <c r="BS84" s="158"/>
      <c r="BT84" s="158"/>
      <c r="BU84" s="158"/>
      <c r="BV84" s="158"/>
      <c r="BW84" s="158"/>
      <c r="BX84" s="158"/>
      <c r="BY84" s="158"/>
      <c r="BZ84" s="158"/>
      <c r="CA84" s="158"/>
      <c r="CB84" s="158"/>
      <c r="CC84" s="158"/>
      <c r="CD84" s="158"/>
      <c r="CE84" s="158"/>
      <c r="CF84" s="158"/>
      <c r="CG84" s="158"/>
      <c r="CH84" s="158"/>
      <c r="CI84" s="158"/>
      <c r="CJ84" s="158"/>
      <c r="CK84" s="158"/>
      <c r="CL84" s="158"/>
      <c r="CM84" s="158"/>
      <c r="CN84" s="158"/>
      <c r="CO84" s="158"/>
      <c r="CP84" s="158"/>
      <c r="CQ84" s="158"/>
      <c r="CR84" s="158"/>
      <c r="CS84" s="158"/>
      <c r="CT84" s="158"/>
      <c r="CU84" s="158"/>
      <c r="CV84" s="158"/>
      <c r="CW84" s="158"/>
      <c r="CX84" s="158"/>
      <c r="CY84" s="158"/>
      <c r="CZ84" s="158"/>
      <c r="DA84" s="158"/>
      <c r="DB84" s="158"/>
      <c r="DC84" s="158"/>
      <c r="DD84" s="158"/>
      <c r="DE84" s="158"/>
      <c r="DF84" s="158"/>
      <c r="DG84" s="158"/>
      <c r="DH84" s="158"/>
      <c r="DI84" s="158"/>
      <c r="DJ84" s="158"/>
      <c r="DK84" s="158"/>
      <c r="DL84" s="158"/>
      <c r="DM84" s="158"/>
      <c r="DN84" s="158"/>
      <c r="DO84" s="158"/>
      <c r="DP84" s="158"/>
      <c r="DQ84" s="158"/>
      <c r="DR84" s="158"/>
      <c r="DS84" s="158"/>
      <c r="DT84" s="158"/>
      <c r="DU84" s="158"/>
      <c r="DV84" s="158"/>
      <c r="DW84" s="158"/>
      <c r="DX84" s="158"/>
      <c r="DY84" s="158"/>
      <c r="DZ84" s="158"/>
      <c r="EA84" s="158"/>
      <c r="EB84" s="158"/>
      <c r="EC84" s="158"/>
      <c r="ED84" s="158"/>
      <c r="EE84" s="158"/>
      <c r="EF84" s="158"/>
      <c r="EG84" s="158"/>
      <c r="EH84" s="158"/>
      <c r="EI84" s="158"/>
      <c r="EJ84" s="158"/>
      <c r="EK84" s="158"/>
      <c r="EL84" s="158"/>
      <c r="EM84" s="158"/>
      <c r="EN84" s="158"/>
      <c r="EO84" s="158"/>
      <c r="EP84" s="158"/>
      <c r="EQ84" s="158"/>
      <c r="ER84" s="158"/>
      <c r="ES84" s="158"/>
      <c r="ET84" s="158"/>
      <c r="EU84" s="158"/>
      <c r="EV84" s="158"/>
      <c r="EW84" s="158"/>
      <c r="EX84" s="158"/>
      <c r="EY84" s="158"/>
      <c r="EZ84" s="158"/>
      <c r="FA84" s="158"/>
      <c r="FB84" s="158"/>
      <c r="FC84" s="158"/>
      <c r="FD84" s="158"/>
      <c r="FE84" s="158"/>
      <c r="FF84" s="158"/>
      <c r="FG84" s="158"/>
      <c r="FH84" s="158"/>
      <c r="FI84" s="158"/>
      <c r="FJ84" s="158"/>
      <c r="FK84" s="158"/>
      <c r="FL84" s="158"/>
      <c r="FM84" s="158"/>
      <c r="FN84" s="158"/>
      <c r="FO84" s="158"/>
      <c r="FP84" s="158"/>
      <c r="FQ84" s="158"/>
      <c r="FR84" s="158"/>
      <c r="FS84" s="158"/>
      <c r="FT84" s="158"/>
      <c r="FU84" s="158"/>
      <c r="FV84" s="158"/>
      <c r="FW84" s="158"/>
      <c r="FX84" s="158"/>
      <c r="FY84" s="158"/>
      <c r="FZ84" s="158"/>
      <c r="GA84" s="158"/>
      <c r="GB84" s="158"/>
      <c r="GC84" s="158"/>
      <c r="GD84" s="158"/>
      <c r="GE84" s="158"/>
      <c r="GF84" s="158"/>
    </row>
    <row r="85" spans="2:188" s="324" customFormat="1">
      <c r="B85" s="316">
        <v>79</v>
      </c>
      <c r="C85" s="370" t="s">
        <v>244</v>
      </c>
      <c r="D85" s="370" t="s">
        <v>470</v>
      </c>
      <c r="E85" s="422" t="s">
        <v>153</v>
      </c>
      <c r="F85" s="370" t="s">
        <v>395</v>
      </c>
      <c r="G85" s="371">
        <v>5</v>
      </c>
      <c r="H85" s="369">
        <v>500000</v>
      </c>
      <c r="I85" s="317">
        <f t="shared" si="1"/>
        <v>93750</v>
      </c>
      <c r="J85" s="249"/>
      <c r="K85" s="158"/>
      <c r="L85" s="158"/>
      <c r="M85" s="158"/>
      <c r="N85" s="158"/>
      <c r="O85" s="158"/>
      <c r="P85" s="158"/>
      <c r="Q85" s="158"/>
      <c r="R85" s="158"/>
      <c r="S85" s="158"/>
      <c r="T85" s="158"/>
      <c r="U85" s="158"/>
      <c r="V85" s="158"/>
      <c r="W85" s="158"/>
      <c r="X85" s="158"/>
      <c r="Y85" s="158"/>
      <c r="Z85" s="158"/>
      <c r="AA85" s="158"/>
      <c r="AB85" s="158"/>
      <c r="AC85" s="158"/>
      <c r="AD85" s="158"/>
      <c r="AE85" s="158"/>
      <c r="AF85" s="158"/>
      <c r="AG85" s="158"/>
      <c r="AH85" s="158"/>
      <c r="AI85" s="158"/>
      <c r="AJ85" s="158"/>
      <c r="AK85" s="158"/>
      <c r="AL85" s="158"/>
      <c r="AM85" s="158"/>
      <c r="AN85" s="158"/>
      <c r="AO85" s="158"/>
      <c r="AP85" s="158"/>
      <c r="AQ85" s="158"/>
      <c r="AR85" s="158"/>
      <c r="AS85" s="158"/>
      <c r="AT85" s="158"/>
      <c r="AU85" s="158"/>
      <c r="AV85" s="158"/>
      <c r="AW85" s="158"/>
      <c r="AX85" s="158"/>
      <c r="AY85" s="158"/>
      <c r="AZ85" s="158"/>
      <c r="BA85" s="158"/>
      <c r="BB85" s="158"/>
      <c r="BC85" s="158"/>
      <c r="BD85" s="158"/>
      <c r="BE85" s="158"/>
      <c r="BF85" s="158"/>
      <c r="BG85" s="158"/>
      <c r="BH85" s="158"/>
      <c r="BI85" s="158"/>
      <c r="BJ85" s="158"/>
      <c r="BK85" s="158"/>
      <c r="BL85" s="158"/>
      <c r="BM85" s="158"/>
      <c r="BN85" s="158"/>
      <c r="BO85" s="158"/>
      <c r="BP85" s="158"/>
      <c r="BQ85" s="158"/>
      <c r="BR85" s="158"/>
      <c r="BS85" s="158"/>
      <c r="BT85" s="158"/>
      <c r="BU85" s="158"/>
      <c r="BV85" s="158"/>
      <c r="BW85" s="158"/>
      <c r="BX85" s="158"/>
      <c r="BY85" s="158"/>
      <c r="BZ85" s="158"/>
      <c r="CA85" s="158"/>
      <c r="CB85" s="158"/>
      <c r="CC85" s="158"/>
      <c r="CD85" s="158"/>
      <c r="CE85" s="158"/>
      <c r="CF85" s="158"/>
      <c r="CG85" s="158"/>
      <c r="CH85" s="158"/>
      <c r="CI85" s="158"/>
      <c r="CJ85" s="158"/>
      <c r="CK85" s="158"/>
      <c r="CL85" s="158"/>
      <c r="CM85" s="158"/>
      <c r="CN85" s="158"/>
      <c r="CO85" s="158"/>
      <c r="CP85" s="158"/>
      <c r="CQ85" s="158"/>
      <c r="CR85" s="158"/>
      <c r="CS85" s="158"/>
      <c r="CT85" s="158"/>
      <c r="CU85" s="158"/>
      <c r="CV85" s="158"/>
      <c r="CW85" s="158"/>
      <c r="CX85" s="158"/>
      <c r="CY85" s="158"/>
      <c r="CZ85" s="158"/>
      <c r="DA85" s="158"/>
      <c r="DB85" s="158"/>
      <c r="DC85" s="158"/>
      <c r="DD85" s="158"/>
      <c r="DE85" s="158"/>
      <c r="DF85" s="158"/>
      <c r="DG85" s="158"/>
      <c r="DH85" s="158"/>
      <c r="DI85" s="158"/>
      <c r="DJ85" s="158"/>
      <c r="DK85" s="158"/>
      <c r="DL85" s="158"/>
      <c r="DM85" s="158"/>
      <c r="DN85" s="158"/>
      <c r="DO85" s="158"/>
      <c r="DP85" s="158"/>
      <c r="DQ85" s="158"/>
      <c r="DR85" s="158"/>
      <c r="DS85" s="158"/>
      <c r="DT85" s="158"/>
      <c r="DU85" s="158"/>
      <c r="DV85" s="158"/>
      <c r="DW85" s="158"/>
      <c r="DX85" s="158"/>
      <c r="DY85" s="158"/>
      <c r="DZ85" s="158"/>
      <c r="EA85" s="158"/>
      <c r="EB85" s="158"/>
      <c r="EC85" s="158"/>
      <c r="ED85" s="158"/>
      <c r="EE85" s="158"/>
      <c r="EF85" s="158"/>
      <c r="EG85" s="158"/>
      <c r="EH85" s="158"/>
      <c r="EI85" s="158"/>
      <c r="EJ85" s="158"/>
      <c r="EK85" s="158"/>
      <c r="EL85" s="158"/>
      <c r="EM85" s="158"/>
      <c r="EN85" s="158"/>
      <c r="EO85" s="158"/>
      <c r="EP85" s="158"/>
      <c r="EQ85" s="158"/>
      <c r="ER85" s="158"/>
      <c r="ES85" s="158"/>
      <c r="ET85" s="158"/>
      <c r="EU85" s="158"/>
      <c r="EV85" s="158"/>
      <c r="EW85" s="158"/>
      <c r="EX85" s="158"/>
      <c r="EY85" s="158"/>
      <c r="EZ85" s="158"/>
      <c r="FA85" s="158"/>
      <c r="FB85" s="158"/>
      <c r="FC85" s="158"/>
      <c r="FD85" s="158"/>
      <c r="FE85" s="158"/>
      <c r="FF85" s="158"/>
      <c r="FG85" s="158"/>
      <c r="FH85" s="158"/>
      <c r="FI85" s="158"/>
      <c r="FJ85" s="158"/>
      <c r="FK85" s="158"/>
      <c r="FL85" s="158"/>
      <c r="FM85" s="158"/>
      <c r="FN85" s="158"/>
      <c r="FO85" s="158"/>
      <c r="FP85" s="158"/>
      <c r="FQ85" s="158"/>
      <c r="FR85" s="158"/>
      <c r="FS85" s="158"/>
      <c r="FT85" s="158"/>
      <c r="FU85" s="158"/>
      <c r="FV85" s="158"/>
      <c r="FW85" s="158"/>
      <c r="FX85" s="158"/>
      <c r="FY85" s="158"/>
      <c r="FZ85" s="158"/>
      <c r="GA85" s="158"/>
      <c r="GB85" s="158"/>
      <c r="GC85" s="158"/>
      <c r="GD85" s="158"/>
      <c r="GE85" s="158"/>
      <c r="GF85" s="158"/>
    </row>
    <row r="86" spans="2:188" s="324" customFormat="1">
      <c r="B86" s="316">
        <v>80</v>
      </c>
      <c r="C86" s="370" t="s">
        <v>244</v>
      </c>
      <c r="D86" s="370" t="s">
        <v>459</v>
      </c>
      <c r="E86" s="422" t="s">
        <v>390</v>
      </c>
      <c r="F86" s="370" t="s">
        <v>395</v>
      </c>
      <c r="G86" s="371">
        <v>3</v>
      </c>
      <c r="H86" s="369">
        <v>300000</v>
      </c>
      <c r="I86" s="317">
        <f t="shared" si="1"/>
        <v>56250</v>
      </c>
      <c r="J86" s="249"/>
      <c r="K86" s="158"/>
      <c r="L86" s="158"/>
      <c r="M86" s="158"/>
      <c r="N86" s="158"/>
      <c r="O86" s="158"/>
      <c r="P86" s="158"/>
      <c r="Q86" s="158"/>
      <c r="R86" s="158"/>
      <c r="S86" s="158"/>
      <c r="T86" s="158"/>
      <c r="U86" s="158"/>
      <c r="V86" s="158"/>
      <c r="W86" s="158"/>
      <c r="X86" s="158"/>
      <c r="Y86" s="158"/>
      <c r="Z86" s="158"/>
      <c r="AA86" s="158"/>
      <c r="AB86" s="158"/>
      <c r="AC86" s="158"/>
      <c r="AD86" s="158"/>
      <c r="AE86" s="158"/>
      <c r="AF86" s="158"/>
      <c r="AG86" s="158"/>
      <c r="AH86" s="158"/>
      <c r="AI86" s="158"/>
      <c r="AJ86" s="158"/>
      <c r="AK86" s="158"/>
      <c r="AL86" s="158"/>
      <c r="AM86" s="158"/>
      <c r="AN86" s="158"/>
      <c r="AO86" s="158"/>
      <c r="AP86" s="158"/>
      <c r="AQ86" s="158"/>
      <c r="AR86" s="158"/>
      <c r="AS86" s="158"/>
      <c r="AT86" s="158"/>
      <c r="AU86" s="158"/>
      <c r="AV86" s="158"/>
      <c r="AW86" s="158"/>
      <c r="AX86" s="158"/>
      <c r="AY86" s="158"/>
      <c r="AZ86" s="158"/>
      <c r="BA86" s="158"/>
      <c r="BB86" s="158"/>
      <c r="BC86" s="158"/>
      <c r="BD86" s="158"/>
      <c r="BE86" s="158"/>
      <c r="BF86" s="158"/>
      <c r="BG86" s="158"/>
      <c r="BH86" s="158"/>
      <c r="BI86" s="158"/>
      <c r="BJ86" s="158"/>
      <c r="BK86" s="158"/>
      <c r="BL86" s="158"/>
      <c r="BM86" s="158"/>
      <c r="BN86" s="158"/>
      <c r="BO86" s="158"/>
      <c r="BP86" s="158"/>
      <c r="BQ86" s="158"/>
      <c r="BR86" s="158"/>
      <c r="BS86" s="158"/>
      <c r="BT86" s="158"/>
      <c r="BU86" s="158"/>
      <c r="BV86" s="158"/>
      <c r="BW86" s="158"/>
      <c r="BX86" s="158"/>
      <c r="BY86" s="158"/>
      <c r="BZ86" s="158"/>
      <c r="CA86" s="158"/>
      <c r="CB86" s="158"/>
      <c r="CC86" s="158"/>
      <c r="CD86" s="158"/>
      <c r="CE86" s="158"/>
      <c r="CF86" s="158"/>
      <c r="CG86" s="158"/>
      <c r="CH86" s="158"/>
      <c r="CI86" s="158"/>
      <c r="CJ86" s="158"/>
      <c r="CK86" s="158"/>
      <c r="CL86" s="158"/>
      <c r="CM86" s="158"/>
      <c r="CN86" s="158"/>
      <c r="CO86" s="158"/>
      <c r="CP86" s="158"/>
      <c r="CQ86" s="158"/>
      <c r="CR86" s="158"/>
      <c r="CS86" s="158"/>
      <c r="CT86" s="158"/>
      <c r="CU86" s="158"/>
      <c r="CV86" s="158"/>
      <c r="CW86" s="158"/>
      <c r="CX86" s="158"/>
      <c r="CY86" s="158"/>
      <c r="CZ86" s="158"/>
      <c r="DA86" s="158"/>
      <c r="DB86" s="158"/>
      <c r="DC86" s="158"/>
      <c r="DD86" s="158"/>
      <c r="DE86" s="158"/>
      <c r="DF86" s="158"/>
      <c r="DG86" s="158"/>
      <c r="DH86" s="158"/>
      <c r="DI86" s="158"/>
      <c r="DJ86" s="158"/>
      <c r="DK86" s="158"/>
      <c r="DL86" s="158"/>
      <c r="DM86" s="158"/>
      <c r="DN86" s="158"/>
      <c r="DO86" s="158"/>
      <c r="DP86" s="158"/>
      <c r="DQ86" s="158"/>
      <c r="DR86" s="158"/>
      <c r="DS86" s="158"/>
      <c r="DT86" s="158"/>
      <c r="DU86" s="158"/>
      <c r="DV86" s="158"/>
      <c r="DW86" s="158"/>
      <c r="DX86" s="158"/>
      <c r="DY86" s="158"/>
      <c r="DZ86" s="158"/>
      <c r="EA86" s="158"/>
      <c r="EB86" s="158"/>
      <c r="EC86" s="158"/>
      <c r="ED86" s="158"/>
      <c r="EE86" s="158"/>
      <c r="EF86" s="158"/>
      <c r="EG86" s="158"/>
      <c r="EH86" s="158"/>
      <c r="EI86" s="158"/>
      <c r="EJ86" s="158"/>
      <c r="EK86" s="158"/>
      <c r="EL86" s="158"/>
      <c r="EM86" s="158"/>
      <c r="EN86" s="158"/>
      <c r="EO86" s="158"/>
      <c r="EP86" s="158"/>
      <c r="EQ86" s="158"/>
      <c r="ER86" s="158"/>
      <c r="ES86" s="158"/>
      <c r="ET86" s="158"/>
      <c r="EU86" s="158"/>
      <c r="EV86" s="158"/>
      <c r="EW86" s="158"/>
      <c r="EX86" s="158"/>
      <c r="EY86" s="158"/>
      <c r="EZ86" s="158"/>
      <c r="FA86" s="158"/>
      <c r="FB86" s="158"/>
      <c r="FC86" s="158"/>
      <c r="FD86" s="158"/>
      <c r="FE86" s="158"/>
      <c r="FF86" s="158"/>
      <c r="FG86" s="158"/>
      <c r="FH86" s="158"/>
      <c r="FI86" s="158"/>
      <c r="FJ86" s="158"/>
      <c r="FK86" s="158"/>
      <c r="FL86" s="158"/>
      <c r="FM86" s="158"/>
      <c r="FN86" s="158"/>
      <c r="FO86" s="158"/>
      <c r="FP86" s="158"/>
      <c r="FQ86" s="158"/>
      <c r="FR86" s="158"/>
      <c r="FS86" s="158"/>
      <c r="FT86" s="158"/>
      <c r="FU86" s="158"/>
      <c r="FV86" s="158"/>
      <c r="FW86" s="158"/>
      <c r="FX86" s="158"/>
      <c r="FY86" s="158"/>
      <c r="FZ86" s="158"/>
      <c r="GA86" s="158"/>
      <c r="GB86" s="158"/>
      <c r="GC86" s="158"/>
      <c r="GD86" s="158"/>
      <c r="GE86" s="158"/>
      <c r="GF86" s="158"/>
    </row>
    <row r="87" spans="2:188" s="324" customFormat="1">
      <c r="B87" s="316">
        <v>81</v>
      </c>
      <c r="C87" s="370" t="s">
        <v>244</v>
      </c>
      <c r="D87" s="370" t="s">
        <v>156</v>
      </c>
      <c r="E87" s="422" t="s">
        <v>152</v>
      </c>
      <c r="F87" s="370" t="s">
        <v>392</v>
      </c>
      <c r="G87" s="371">
        <v>9</v>
      </c>
      <c r="H87" s="369">
        <v>900000</v>
      </c>
      <c r="I87" s="317">
        <f t="shared" si="1"/>
        <v>168750</v>
      </c>
      <c r="J87" s="355"/>
    </row>
    <row r="88" spans="2:188" s="324" customFormat="1">
      <c r="B88" s="316">
        <v>82</v>
      </c>
      <c r="C88" s="370" t="s">
        <v>233</v>
      </c>
      <c r="D88" s="370" t="s">
        <v>360</v>
      </c>
      <c r="E88" s="422" t="s">
        <v>361</v>
      </c>
      <c r="F88" s="370" t="s">
        <v>392</v>
      </c>
      <c r="G88" s="371">
        <v>4</v>
      </c>
      <c r="H88" s="369">
        <v>400000</v>
      </c>
      <c r="I88" s="317">
        <f t="shared" si="1"/>
        <v>75000</v>
      </c>
      <c r="J88" s="355"/>
    </row>
    <row r="89" spans="2:188" s="324" customFormat="1">
      <c r="B89" s="316">
        <v>83</v>
      </c>
      <c r="C89" s="370" t="s">
        <v>244</v>
      </c>
      <c r="D89" s="370" t="s">
        <v>471</v>
      </c>
      <c r="E89" s="422" t="s">
        <v>152</v>
      </c>
      <c r="F89" s="370" t="s">
        <v>396</v>
      </c>
      <c r="G89" s="371">
        <v>1</v>
      </c>
      <c r="H89" s="369">
        <v>100000</v>
      </c>
      <c r="I89" s="317">
        <f t="shared" si="1"/>
        <v>18750</v>
      </c>
      <c r="J89" s="355"/>
    </row>
    <row r="90" spans="2:188" s="324" customFormat="1">
      <c r="B90" s="316">
        <v>84</v>
      </c>
      <c r="C90" s="370" t="s">
        <v>233</v>
      </c>
      <c r="D90" s="370" t="s">
        <v>360</v>
      </c>
      <c r="E90" s="422" t="s">
        <v>361</v>
      </c>
      <c r="F90" s="370" t="s">
        <v>395</v>
      </c>
      <c r="G90" s="371">
        <v>3</v>
      </c>
      <c r="H90" s="369">
        <v>300000</v>
      </c>
      <c r="I90" s="317">
        <f t="shared" si="1"/>
        <v>56250</v>
      </c>
      <c r="J90" s="355"/>
    </row>
    <row r="91" spans="2:188" s="324" customFormat="1">
      <c r="B91" s="316">
        <v>85</v>
      </c>
      <c r="C91" s="370" t="s">
        <v>212</v>
      </c>
      <c r="D91" s="370" t="s">
        <v>443</v>
      </c>
      <c r="E91" s="422" t="s">
        <v>149</v>
      </c>
      <c r="F91" s="370" t="s">
        <v>392</v>
      </c>
      <c r="G91" s="371">
        <v>7</v>
      </c>
      <c r="H91" s="369">
        <v>700000</v>
      </c>
      <c r="I91" s="317">
        <f t="shared" si="1"/>
        <v>131250</v>
      </c>
      <c r="J91" s="249"/>
      <c r="K91" s="158"/>
      <c r="L91" s="158"/>
      <c r="M91" s="158"/>
      <c r="N91" s="158"/>
      <c r="O91" s="158"/>
      <c r="P91" s="158"/>
      <c r="Q91" s="158"/>
      <c r="R91" s="158"/>
      <c r="S91" s="158"/>
      <c r="T91" s="158"/>
      <c r="U91" s="158"/>
      <c r="V91" s="158"/>
      <c r="W91" s="158"/>
      <c r="X91" s="158"/>
      <c r="Y91" s="158"/>
      <c r="Z91" s="158"/>
      <c r="AA91" s="158"/>
      <c r="AB91" s="158"/>
      <c r="AC91" s="158"/>
      <c r="AD91" s="158"/>
      <c r="AE91" s="158"/>
      <c r="AF91" s="158"/>
      <c r="AG91" s="158"/>
      <c r="AH91" s="158"/>
      <c r="AI91" s="158"/>
      <c r="AJ91" s="158"/>
      <c r="AK91" s="158"/>
      <c r="AL91" s="158"/>
      <c r="AM91" s="158"/>
      <c r="AN91" s="158"/>
      <c r="AO91" s="158"/>
      <c r="AP91" s="158"/>
      <c r="AQ91" s="158"/>
      <c r="AR91" s="158"/>
      <c r="AS91" s="158"/>
      <c r="AT91" s="158"/>
      <c r="AU91" s="158"/>
      <c r="AV91" s="158"/>
      <c r="AW91" s="158"/>
      <c r="AX91" s="158"/>
      <c r="AY91" s="158"/>
      <c r="AZ91" s="158"/>
      <c r="BA91" s="158"/>
      <c r="BB91" s="158"/>
      <c r="BC91" s="158"/>
      <c r="BD91" s="158"/>
      <c r="BE91" s="158"/>
      <c r="BF91" s="158"/>
      <c r="BG91" s="158"/>
      <c r="BH91" s="158"/>
      <c r="BI91" s="158"/>
      <c r="BJ91" s="158"/>
      <c r="BK91" s="158"/>
      <c r="BL91" s="158"/>
      <c r="BM91" s="158"/>
      <c r="BN91" s="158"/>
      <c r="BO91" s="158"/>
      <c r="BP91" s="158"/>
      <c r="BQ91" s="158"/>
      <c r="BR91" s="158"/>
      <c r="BS91" s="158"/>
      <c r="BT91" s="158"/>
      <c r="BU91" s="158"/>
      <c r="BV91" s="158"/>
      <c r="BW91" s="158"/>
      <c r="BX91" s="158"/>
      <c r="BY91" s="158"/>
      <c r="BZ91" s="158"/>
      <c r="CA91" s="158"/>
      <c r="CB91" s="158"/>
      <c r="CC91" s="158"/>
      <c r="CD91" s="158"/>
      <c r="CE91" s="158"/>
      <c r="CF91" s="158"/>
      <c r="CG91" s="158"/>
      <c r="CH91" s="158"/>
      <c r="CI91" s="158"/>
      <c r="CJ91" s="158"/>
      <c r="CK91" s="158"/>
      <c r="CL91" s="158"/>
      <c r="CM91" s="158"/>
      <c r="CN91" s="158"/>
      <c r="CO91" s="158"/>
      <c r="CP91" s="158"/>
      <c r="CQ91" s="158"/>
      <c r="CR91" s="158"/>
      <c r="CS91" s="158"/>
      <c r="CT91" s="158"/>
      <c r="CU91" s="158"/>
      <c r="CV91" s="158"/>
      <c r="CW91" s="158"/>
      <c r="CX91" s="158"/>
      <c r="CY91" s="158"/>
      <c r="CZ91" s="158"/>
      <c r="DA91" s="158"/>
      <c r="DB91" s="158"/>
      <c r="DC91" s="158"/>
      <c r="DD91" s="158"/>
      <c r="DE91" s="158"/>
      <c r="DF91" s="158"/>
      <c r="DG91" s="158"/>
      <c r="DH91" s="158"/>
      <c r="DI91" s="158"/>
      <c r="DJ91" s="158"/>
      <c r="DK91" s="158"/>
      <c r="DL91" s="158"/>
      <c r="DM91" s="158"/>
      <c r="DN91" s="158"/>
      <c r="DO91" s="158"/>
      <c r="DP91" s="158"/>
      <c r="DQ91" s="158"/>
      <c r="DR91" s="158"/>
      <c r="DS91" s="158"/>
      <c r="DT91" s="158"/>
      <c r="DU91" s="158"/>
      <c r="DV91" s="158"/>
      <c r="DW91" s="158"/>
      <c r="DX91" s="158"/>
      <c r="DY91" s="158"/>
      <c r="DZ91" s="158"/>
      <c r="EA91" s="158"/>
      <c r="EB91" s="158"/>
      <c r="EC91" s="158"/>
      <c r="ED91" s="158"/>
      <c r="EE91" s="158"/>
      <c r="EF91" s="158"/>
      <c r="EG91" s="158"/>
      <c r="EH91" s="158"/>
      <c r="EI91" s="158"/>
      <c r="EJ91" s="158"/>
      <c r="EK91" s="158"/>
      <c r="EL91" s="158"/>
      <c r="EM91" s="158"/>
      <c r="EN91" s="158"/>
      <c r="EO91" s="158"/>
      <c r="EP91" s="158"/>
      <c r="EQ91" s="158"/>
      <c r="ER91" s="158"/>
      <c r="ES91" s="158"/>
      <c r="ET91" s="158"/>
      <c r="EU91" s="158"/>
      <c r="EV91" s="158"/>
      <c r="EW91" s="158"/>
      <c r="EX91" s="158"/>
      <c r="EY91" s="158"/>
      <c r="EZ91" s="158"/>
      <c r="FA91" s="158"/>
      <c r="FB91" s="158"/>
      <c r="FC91" s="158"/>
      <c r="FD91" s="158"/>
      <c r="FE91" s="158"/>
      <c r="FF91" s="158"/>
      <c r="FG91" s="158"/>
      <c r="FH91" s="158"/>
      <c r="FI91" s="158"/>
      <c r="FJ91" s="158"/>
      <c r="FK91" s="158"/>
      <c r="FL91" s="158"/>
      <c r="FM91" s="158"/>
      <c r="FN91" s="158"/>
      <c r="FO91" s="158"/>
      <c r="FP91" s="158"/>
      <c r="FQ91" s="158"/>
      <c r="FR91" s="158"/>
      <c r="FS91" s="158"/>
      <c r="FT91" s="158"/>
      <c r="FU91" s="158"/>
      <c r="FV91" s="158"/>
      <c r="FW91" s="158"/>
      <c r="FX91" s="158"/>
      <c r="FY91" s="158"/>
      <c r="FZ91" s="158"/>
      <c r="GA91" s="158"/>
      <c r="GB91" s="158"/>
      <c r="GC91" s="158"/>
      <c r="GD91" s="158"/>
      <c r="GE91" s="158"/>
      <c r="GF91" s="158"/>
    </row>
    <row r="92" spans="2:188" s="324" customFormat="1">
      <c r="B92" s="316">
        <v>86</v>
      </c>
      <c r="C92" s="370" t="s">
        <v>236</v>
      </c>
      <c r="D92" s="370" t="s">
        <v>227</v>
      </c>
      <c r="E92" s="422" t="s">
        <v>472</v>
      </c>
      <c r="F92" s="370" t="s">
        <v>392</v>
      </c>
      <c r="G92" s="371">
        <v>4</v>
      </c>
      <c r="H92" s="369">
        <v>400000</v>
      </c>
      <c r="I92" s="317">
        <f t="shared" si="1"/>
        <v>75000</v>
      </c>
      <c r="J92" s="249"/>
      <c r="K92" s="158"/>
      <c r="L92" s="158"/>
      <c r="M92" s="158"/>
      <c r="N92" s="158"/>
      <c r="O92" s="158"/>
      <c r="P92" s="158"/>
      <c r="Q92" s="158"/>
      <c r="R92" s="158"/>
      <c r="S92" s="158"/>
      <c r="T92" s="158"/>
      <c r="U92" s="158"/>
      <c r="V92" s="158"/>
      <c r="W92" s="158"/>
      <c r="X92" s="158"/>
      <c r="Y92" s="158"/>
      <c r="Z92" s="158"/>
      <c r="AA92" s="158"/>
      <c r="AB92" s="158"/>
      <c r="AC92" s="158"/>
      <c r="AD92" s="158"/>
      <c r="AE92" s="158"/>
      <c r="AF92" s="158"/>
      <c r="AG92" s="158"/>
      <c r="AH92" s="158"/>
      <c r="AI92" s="158"/>
      <c r="AJ92" s="158"/>
      <c r="AK92" s="158"/>
      <c r="AL92" s="158"/>
      <c r="AM92" s="158"/>
      <c r="AN92" s="158"/>
      <c r="AO92" s="158"/>
      <c r="AP92" s="158"/>
      <c r="AQ92" s="158"/>
      <c r="AR92" s="158"/>
      <c r="AS92" s="158"/>
      <c r="AT92" s="158"/>
      <c r="AU92" s="158"/>
      <c r="AV92" s="158"/>
      <c r="AW92" s="158"/>
      <c r="AX92" s="158"/>
      <c r="AY92" s="158"/>
      <c r="AZ92" s="158"/>
      <c r="BA92" s="158"/>
      <c r="BB92" s="158"/>
      <c r="BC92" s="158"/>
      <c r="BD92" s="158"/>
      <c r="BE92" s="158"/>
      <c r="BF92" s="158"/>
      <c r="BG92" s="158"/>
      <c r="BH92" s="158"/>
      <c r="BI92" s="158"/>
      <c r="BJ92" s="158"/>
      <c r="BK92" s="158"/>
      <c r="BL92" s="158"/>
      <c r="BM92" s="158"/>
      <c r="BN92" s="158"/>
      <c r="BO92" s="158"/>
      <c r="BP92" s="158"/>
      <c r="BQ92" s="158"/>
      <c r="BR92" s="158"/>
      <c r="BS92" s="158"/>
      <c r="BT92" s="158"/>
      <c r="BU92" s="158"/>
      <c r="BV92" s="158"/>
      <c r="BW92" s="158"/>
      <c r="BX92" s="158"/>
      <c r="BY92" s="158"/>
      <c r="BZ92" s="158"/>
      <c r="CA92" s="158"/>
      <c r="CB92" s="158"/>
      <c r="CC92" s="158"/>
      <c r="CD92" s="158"/>
      <c r="CE92" s="158"/>
      <c r="CF92" s="158"/>
      <c r="CG92" s="158"/>
      <c r="CH92" s="158"/>
      <c r="CI92" s="158"/>
      <c r="CJ92" s="158"/>
      <c r="CK92" s="158"/>
      <c r="CL92" s="158"/>
      <c r="CM92" s="158"/>
      <c r="CN92" s="158"/>
      <c r="CO92" s="158"/>
      <c r="CP92" s="158"/>
      <c r="CQ92" s="158"/>
      <c r="CR92" s="158"/>
      <c r="CS92" s="158"/>
      <c r="CT92" s="158"/>
      <c r="CU92" s="158"/>
      <c r="CV92" s="158"/>
      <c r="CW92" s="158"/>
      <c r="CX92" s="158"/>
      <c r="CY92" s="158"/>
      <c r="CZ92" s="158"/>
      <c r="DA92" s="158"/>
      <c r="DB92" s="158"/>
      <c r="DC92" s="158"/>
      <c r="DD92" s="158"/>
      <c r="DE92" s="158"/>
      <c r="DF92" s="158"/>
      <c r="DG92" s="158"/>
      <c r="DH92" s="158"/>
      <c r="DI92" s="158"/>
      <c r="DJ92" s="158"/>
      <c r="DK92" s="158"/>
      <c r="DL92" s="158"/>
      <c r="DM92" s="158"/>
      <c r="DN92" s="158"/>
      <c r="DO92" s="158"/>
      <c r="DP92" s="158"/>
      <c r="DQ92" s="158"/>
      <c r="DR92" s="158"/>
      <c r="DS92" s="158"/>
      <c r="DT92" s="158"/>
      <c r="DU92" s="158"/>
      <c r="DV92" s="158"/>
      <c r="DW92" s="158"/>
      <c r="DX92" s="158"/>
      <c r="DY92" s="158"/>
      <c r="DZ92" s="158"/>
      <c r="EA92" s="158"/>
      <c r="EB92" s="158"/>
      <c r="EC92" s="158"/>
      <c r="ED92" s="158"/>
      <c r="EE92" s="158"/>
      <c r="EF92" s="158"/>
      <c r="EG92" s="158"/>
      <c r="EH92" s="158"/>
      <c r="EI92" s="158"/>
      <c r="EJ92" s="158"/>
      <c r="EK92" s="158"/>
      <c r="EL92" s="158"/>
      <c r="EM92" s="158"/>
      <c r="EN92" s="158"/>
      <c r="EO92" s="158"/>
      <c r="EP92" s="158"/>
      <c r="EQ92" s="158"/>
      <c r="ER92" s="158"/>
      <c r="ES92" s="158"/>
      <c r="ET92" s="158"/>
      <c r="EU92" s="158"/>
      <c r="EV92" s="158"/>
      <c r="EW92" s="158"/>
      <c r="EX92" s="158"/>
      <c r="EY92" s="158"/>
      <c r="EZ92" s="158"/>
      <c r="FA92" s="158"/>
      <c r="FB92" s="158"/>
      <c r="FC92" s="158"/>
      <c r="FD92" s="158"/>
      <c r="FE92" s="158"/>
      <c r="FF92" s="158"/>
      <c r="FG92" s="158"/>
      <c r="FH92" s="158"/>
      <c r="FI92" s="158"/>
      <c r="FJ92" s="158"/>
      <c r="FK92" s="158"/>
      <c r="FL92" s="158"/>
      <c r="FM92" s="158"/>
      <c r="FN92" s="158"/>
      <c r="FO92" s="158"/>
      <c r="FP92" s="158"/>
      <c r="FQ92" s="158"/>
      <c r="FR92" s="158"/>
      <c r="FS92" s="158"/>
      <c r="FT92" s="158"/>
      <c r="FU92" s="158"/>
      <c r="FV92" s="158"/>
      <c r="FW92" s="158"/>
      <c r="FX92" s="158"/>
      <c r="FY92" s="158"/>
      <c r="FZ92" s="158"/>
      <c r="GA92" s="158"/>
      <c r="GB92" s="158"/>
      <c r="GC92" s="158"/>
      <c r="GD92" s="158"/>
      <c r="GE92" s="158"/>
      <c r="GF92" s="158"/>
    </row>
    <row r="93" spans="2:188" s="324" customFormat="1">
      <c r="B93" s="316">
        <v>87</v>
      </c>
      <c r="C93" s="370" t="s">
        <v>224</v>
      </c>
      <c r="D93" s="370" t="s">
        <v>473</v>
      </c>
      <c r="E93" s="422" t="s">
        <v>399</v>
      </c>
      <c r="F93" s="370" t="s">
        <v>395</v>
      </c>
      <c r="G93" s="371">
        <v>9</v>
      </c>
      <c r="H93" s="369">
        <v>900000</v>
      </c>
      <c r="I93" s="317">
        <f t="shared" si="1"/>
        <v>168750</v>
      </c>
      <c r="J93" s="249"/>
      <c r="K93" s="158"/>
      <c r="L93" s="158"/>
      <c r="M93" s="158"/>
      <c r="N93" s="158"/>
      <c r="O93" s="158"/>
      <c r="P93" s="158"/>
      <c r="Q93" s="158"/>
      <c r="R93" s="158"/>
      <c r="S93" s="158"/>
      <c r="T93" s="158"/>
      <c r="U93" s="158"/>
      <c r="V93" s="158"/>
      <c r="W93" s="158"/>
      <c r="X93" s="158"/>
      <c r="Y93" s="158"/>
      <c r="Z93" s="158"/>
      <c r="AA93" s="158"/>
      <c r="AB93" s="158"/>
      <c r="AC93" s="158"/>
      <c r="AD93" s="158"/>
      <c r="AE93" s="158"/>
      <c r="AF93" s="158"/>
      <c r="AG93" s="158"/>
      <c r="AH93" s="158"/>
      <c r="AI93" s="158"/>
      <c r="AJ93" s="158"/>
      <c r="AK93" s="158"/>
      <c r="AL93" s="158"/>
      <c r="AM93" s="158"/>
      <c r="AN93" s="158"/>
      <c r="AO93" s="158"/>
      <c r="AP93" s="158"/>
      <c r="AQ93" s="158"/>
      <c r="AR93" s="158"/>
      <c r="AS93" s="158"/>
      <c r="AT93" s="158"/>
      <c r="AU93" s="158"/>
      <c r="AV93" s="158"/>
      <c r="AW93" s="158"/>
      <c r="AX93" s="158"/>
      <c r="AY93" s="158"/>
      <c r="AZ93" s="158"/>
      <c r="BA93" s="158"/>
      <c r="BB93" s="158"/>
      <c r="BC93" s="158"/>
      <c r="BD93" s="158"/>
      <c r="BE93" s="158"/>
      <c r="BF93" s="158"/>
      <c r="BG93" s="158"/>
      <c r="BH93" s="158"/>
      <c r="BI93" s="158"/>
      <c r="BJ93" s="158"/>
      <c r="BK93" s="158"/>
      <c r="BL93" s="158"/>
      <c r="BM93" s="158"/>
      <c r="BN93" s="158"/>
      <c r="BO93" s="158"/>
      <c r="BP93" s="158"/>
      <c r="BQ93" s="158"/>
      <c r="BR93" s="158"/>
      <c r="BS93" s="158"/>
      <c r="BT93" s="158"/>
      <c r="BU93" s="158"/>
      <c r="BV93" s="158"/>
      <c r="BW93" s="158"/>
      <c r="BX93" s="158"/>
      <c r="BY93" s="158"/>
      <c r="BZ93" s="158"/>
      <c r="CA93" s="158"/>
      <c r="CB93" s="158"/>
      <c r="CC93" s="158"/>
      <c r="CD93" s="158"/>
      <c r="CE93" s="158"/>
      <c r="CF93" s="158"/>
      <c r="CG93" s="158"/>
      <c r="CH93" s="158"/>
      <c r="CI93" s="158"/>
      <c r="CJ93" s="158"/>
      <c r="CK93" s="158"/>
      <c r="CL93" s="158"/>
      <c r="CM93" s="158"/>
      <c r="CN93" s="158"/>
      <c r="CO93" s="158"/>
      <c r="CP93" s="158"/>
      <c r="CQ93" s="158"/>
      <c r="CR93" s="158"/>
      <c r="CS93" s="158"/>
      <c r="CT93" s="158"/>
      <c r="CU93" s="158"/>
      <c r="CV93" s="158"/>
      <c r="CW93" s="158"/>
      <c r="CX93" s="158"/>
      <c r="CY93" s="158"/>
      <c r="CZ93" s="158"/>
      <c r="DA93" s="158"/>
      <c r="DB93" s="158"/>
      <c r="DC93" s="158"/>
      <c r="DD93" s="158"/>
      <c r="DE93" s="158"/>
      <c r="DF93" s="158"/>
      <c r="DG93" s="158"/>
      <c r="DH93" s="158"/>
      <c r="DI93" s="158"/>
      <c r="DJ93" s="158"/>
      <c r="DK93" s="158"/>
      <c r="DL93" s="158"/>
      <c r="DM93" s="158"/>
      <c r="DN93" s="158"/>
      <c r="DO93" s="158"/>
      <c r="DP93" s="158"/>
      <c r="DQ93" s="158"/>
      <c r="DR93" s="158"/>
      <c r="DS93" s="158"/>
      <c r="DT93" s="158"/>
      <c r="DU93" s="158"/>
      <c r="DV93" s="158"/>
      <c r="DW93" s="158"/>
      <c r="DX93" s="158"/>
      <c r="DY93" s="158"/>
      <c r="DZ93" s="158"/>
      <c r="EA93" s="158"/>
      <c r="EB93" s="158"/>
      <c r="EC93" s="158"/>
      <c r="ED93" s="158"/>
      <c r="EE93" s="158"/>
      <c r="EF93" s="158"/>
      <c r="EG93" s="158"/>
      <c r="EH93" s="158"/>
      <c r="EI93" s="158"/>
      <c r="EJ93" s="158"/>
      <c r="EK93" s="158"/>
      <c r="EL93" s="158"/>
      <c r="EM93" s="158"/>
      <c r="EN93" s="158"/>
      <c r="EO93" s="158"/>
      <c r="EP93" s="158"/>
      <c r="EQ93" s="158"/>
      <c r="ER93" s="158"/>
      <c r="ES93" s="158"/>
      <c r="ET93" s="158"/>
      <c r="EU93" s="158"/>
      <c r="EV93" s="158"/>
      <c r="EW93" s="158"/>
      <c r="EX93" s="158"/>
      <c r="EY93" s="158"/>
      <c r="EZ93" s="158"/>
      <c r="FA93" s="158"/>
      <c r="FB93" s="158"/>
      <c r="FC93" s="158"/>
      <c r="FD93" s="158"/>
      <c r="FE93" s="158"/>
      <c r="FF93" s="158"/>
      <c r="FG93" s="158"/>
      <c r="FH93" s="158"/>
      <c r="FI93" s="158"/>
      <c r="FJ93" s="158"/>
      <c r="FK93" s="158"/>
      <c r="FL93" s="158"/>
      <c r="FM93" s="158"/>
      <c r="FN93" s="158"/>
      <c r="FO93" s="158"/>
      <c r="FP93" s="158"/>
      <c r="FQ93" s="158"/>
      <c r="FR93" s="158"/>
      <c r="FS93" s="158"/>
      <c r="FT93" s="158"/>
      <c r="FU93" s="158"/>
      <c r="FV93" s="158"/>
      <c r="FW93" s="158"/>
      <c r="FX93" s="158"/>
      <c r="FY93" s="158"/>
      <c r="FZ93" s="158"/>
      <c r="GA93" s="158"/>
      <c r="GB93" s="158"/>
      <c r="GC93" s="158"/>
      <c r="GD93" s="158"/>
      <c r="GE93" s="158"/>
      <c r="GF93" s="158"/>
    </row>
    <row r="94" spans="2:188" s="324" customFormat="1">
      <c r="B94" s="316">
        <v>88</v>
      </c>
      <c r="C94" s="370" t="s">
        <v>230</v>
      </c>
      <c r="D94" s="370" t="s">
        <v>422</v>
      </c>
      <c r="E94" s="422" t="s">
        <v>388</v>
      </c>
      <c r="F94" s="370" t="s">
        <v>392</v>
      </c>
      <c r="G94" s="371">
        <v>5</v>
      </c>
      <c r="H94" s="369">
        <v>500000</v>
      </c>
      <c r="I94" s="317">
        <f t="shared" si="1"/>
        <v>93750</v>
      </c>
      <c r="J94" s="249"/>
      <c r="K94" s="158"/>
      <c r="L94" s="158"/>
      <c r="M94" s="158"/>
      <c r="N94" s="158"/>
      <c r="O94" s="158"/>
      <c r="P94" s="158"/>
      <c r="Q94" s="158"/>
      <c r="R94" s="158"/>
      <c r="S94" s="158"/>
      <c r="T94" s="158"/>
      <c r="U94" s="158"/>
      <c r="V94" s="158"/>
      <c r="W94" s="158"/>
      <c r="X94" s="158"/>
      <c r="Y94" s="158"/>
      <c r="Z94" s="158"/>
      <c r="AA94" s="158"/>
      <c r="AB94" s="158"/>
      <c r="AC94" s="158"/>
      <c r="AD94" s="158"/>
      <c r="AE94" s="158"/>
      <c r="AF94" s="158"/>
      <c r="AG94" s="158"/>
      <c r="AH94" s="158"/>
      <c r="AI94" s="158"/>
      <c r="AJ94" s="158"/>
      <c r="AK94" s="158"/>
      <c r="AL94" s="158"/>
      <c r="AM94" s="158"/>
      <c r="AN94" s="158"/>
      <c r="AO94" s="158"/>
      <c r="AP94" s="158"/>
      <c r="AQ94" s="158"/>
      <c r="AR94" s="158"/>
      <c r="AS94" s="158"/>
      <c r="AT94" s="158"/>
      <c r="AU94" s="158"/>
      <c r="AV94" s="158"/>
      <c r="AW94" s="158"/>
      <c r="AX94" s="158"/>
      <c r="AY94" s="158"/>
      <c r="AZ94" s="158"/>
      <c r="BA94" s="158"/>
      <c r="BB94" s="158"/>
      <c r="BC94" s="158"/>
      <c r="BD94" s="158"/>
      <c r="BE94" s="158"/>
      <c r="BF94" s="158"/>
      <c r="BG94" s="158"/>
      <c r="BH94" s="158"/>
      <c r="BI94" s="158"/>
      <c r="BJ94" s="158"/>
      <c r="BK94" s="158"/>
      <c r="BL94" s="158"/>
      <c r="BM94" s="158"/>
      <c r="BN94" s="158"/>
      <c r="BO94" s="158"/>
      <c r="BP94" s="158"/>
      <c r="BQ94" s="158"/>
      <c r="BR94" s="158"/>
      <c r="BS94" s="158"/>
      <c r="BT94" s="158"/>
      <c r="BU94" s="158"/>
      <c r="BV94" s="158"/>
      <c r="BW94" s="158"/>
      <c r="BX94" s="158"/>
      <c r="BY94" s="158"/>
      <c r="BZ94" s="158"/>
      <c r="CA94" s="158"/>
      <c r="CB94" s="158"/>
      <c r="CC94" s="158"/>
      <c r="CD94" s="158"/>
      <c r="CE94" s="158"/>
      <c r="CF94" s="158"/>
      <c r="CG94" s="158"/>
      <c r="CH94" s="158"/>
      <c r="CI94" s="158"/>
      <c r="CJ94" s="158"/>
      <c r="CK94" s="158"/>
      <c r="CL94" s="158"/>
      <c r="CM94" s="158"/>
      <c r="CN94" s="158"/>
      <c r="CO94" s="158"/>
      <c r="CP94" s="158"/>
      <c r="CQ94" s="158"/>
      <c r="CR94" s="158"/>
      <c r="CS94" s="158"/>
      <c r="CT94" s="158"/>
      <c r="CU94" s="158"/>
      <c r="CV94" s="158"/>
      <c r="CW94" s="158"/>
      <c r="CX94" s="158"/>
      <c r="CY94" s="158"/>
      <c r="CZ94" s="158"/>
      <c r="DA94" s="158"/>
      <c r="DB94" s="158"/>
      <c r="DC94" s="158"/>
      <c r="DD94" s="158"/>
      <c r="DE94" s="158"/>
      <c r="DF94" s="158"/>
      <c r="DG94" s="158"/>
      <c r="DH94" s="158"/>
      <c r="DI94" s="158"/>
      <c r="DJ94" s="158"/>
      <c r="DK94" s="158"/>
      <c r="DL94" s="158"/>
      <c r="DM94" s="158"/>
      <c r="DN94" s="158"/>
      <c r="DO94" s="158"/>
      <c r="DP94" s="158"/>
      <c r="DQ94" s="158"/>
      <c r="DR94" s="158"/>
      <c r="DS94" s="158"/>
      <c r="DT94" s="158"/>
      <c r="DU94" s="158"/>
      <c r="DV94" s="158"/>
      <c r="DW94" s="158"/>
      <c r="DX94" s="158"/>
      <c r="DY94" s="158"/>
      <c r="DZ94" s="158"/>
      <c r="EA94" s="158"/>
      <c r="EB94" s="158"/>
      <c r="EC94" s="158"/>
      <c r="ED94" s="158"/>
      <c r="EE94" s="158"/>
      <c r="EF94" s="158"/>
      <c r="EG94" s="158"/>
      <c r="EH94" s="158"/>
      <c r="EI94" s="158"/>
      <c r="EJ94" s="158"/>
      <c r="EK94" s="158"/>
      <c r="EL94" s="158"/>
      <c r="EM94" s="158"/>
      <c r="EN94" s="158"/>
      <c r="EO94" s="158"/>
      <c r="EP94" s="158"/>
      <c r="EQ94" s="158"/>
      <c r="ER94" s="158"/>
      <c r="ES94" s="158"/>
      <c r="ET94" s="158"/>
      <c r="EU94" s="158"/>
      <c r="EV94" s="158"/>
      <c r="EW94" s="158"/>
      <c r="EX94" s="158"/>
      <c r="EY94" s="158"/>
      <c r="EZ94" s="158"/>
      <c r="FA94" s="158"/>
      <c r="FB94" s="158"/>
      <c r="FC94" s="158"/>
      <c r="FD94" s="158"/>
      <c r="FE94" s="158"/>
      <c r="FF94" s="158"/>
      <c r="FG94" s="158"/>
      <c r="FH94" s="158"/>
      <c r="FI94" s="158"/>
      <c r="FJ94" s="158"/>
      <c r="FK94" s="158"/>
      <c r="FL94" s="158"/>
      <c r="FM94" s="158"/>
      <c r="FN94" s="158"/>
      <c r="FO94" s="158"/>
      <c r="FP94" s="158"/>
      <c r="FQ94" s="158"/>
      <c r="FR94" s="158"/>
      <c r="FS94" s="158"/>
      <c r="FT94" s="158"/>
      <c r="FU94" s="158"/>
      <c r="FV94" s="158"/>
      <c r="FW94" s="158"/>
      <c r="FX94" s="158"/>
      <c r="FY94" s="158"/>
      <c r="FZ94" s="158"/>
      <c r="GA94" s="158"/>
      <c r="GB94" s="158"/>
      <c r="GC94" s="158"/>
      <c r="GD94" s="158"/>
      <c r="GE94" s="158"/>
      <c r="GF94" s="158"/>
    </row>
    <row r="95" spans="2:188" s="324" customFormat="1">
      <c r="B95" s="316">
        <v>89</v>
      </c>
      <c r="C95" s="370" t="s">
        <v>215</v>
      </c>
      <c r="D95" s="370" t="s">
        <v>372</v>
      </c>
      <c r="E95" s="422" t="s">
        <v>373</v>
      </c>
      <c r="F95" s="370" t="s">
        <v>395</v>
      </c>
      <c r="G95" s="371">
        <v>2</v>
      </c>
      <c r="H95" s="369">
        <v>200000</v>
      </c>
      <c r="I95" s="317">
        <f t="shared" si="1"/>
        <v>37500</v>
      </c>
      <c r="J95" s="249"/>
      <c r="K95" s="158"/>
      <c r="L95" s="158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  <c r="Y95" s="158"/>
      <c r="Z95" s="158"/>
      <c r="AA95" s="158"/>
      <c r="AB95" s="158"/>
      <c r="AC95" s="158"/>
      <c r="AD95" s="158"/>
      <c r="AE95" s="158"/>
      <c r="AF95" s="158"/>
      <c r="AG95" s="158"/>
      <c r="AH95" s="158"/>
      <c r="AI95" s="158"/>
      <c r="AJ95" s="158"/>
      <c r="AK95" s="158"/>
      <c r="AL95" s="158"/>
      <c r="AM95" s="158"/>
      <c r="AN95" s="158"/>
      <c r="AO95" s="158"/>
      <c r="AP95" s="158"/>
      <c r="AQ95" s="158"/>
      <c r="AR95" s="158"/>
      <c r="AS95" s="158"/>
      <c r="AT95" s="158"/>
      <c r="AU95" s="158"/>
      <c r="AV95" s="158"/>
      <c r="AW95" s="158"/>
      <c r="AX95" s="158"/>
      <c r="AY95" s="158"/>
      <c r="AZ95" s="158"/>
      <c r="BA95" s="158"/>
      <c r="BB95" s="158"/>
      <c r="BC95" s="158"/>
      <c r="BD95" s="158"/>
      <c r="BE95" s="158"/>
      <c r="BF95" s="158"/>
      <c r="BG95" s="158"/>
      <c r="BH95" s="158"/>
      <c r="BI95" s="158"/>
      <c r="BJ95" s="158"/>
      <c r="BK95" s="158"/>
      <c r="BL95" s="158"/>
      <c r="BM95" s="158"/>
      <c r="BN95" s="158"/>
      <c r="BO95" s="158"/>
      <c r="BP95" s="158"/>
      <c r="BQ95" s="158"/>
      <c r="BR95" s="158"/>
      <c r="BS95" s="158"/>
      <c r="BT95" s="158"/>
      <c r="BU95" s="158"/>
      <c r="BV95" s="158"/>
      <c r="BW95" s="158"/>
      <c r="BX95" s="158"/>
      <c r="BY95" s="158"/>
      <c r="BZ95" s="158"/>
      <c r="CA95" s="158"/>
      <c r="CB95" s="158"/>
      <c r="CC95" s="158"/>
      <c r="CD95" s="158"/>
      <c r="CE95" s="158"/>
      <c r="CF95" s="158"/>
      <c r="CG95" s="158"/>
      <c r="CH95" s="158"/>
      <c r="CI95" s="158"/>
      <c r="CJ95" s="158"/>
      <c r="CK95" s="158"/>
      <c r="CL95" s="158"/>
      <c r="CM95" s="158"/>
      <c r="CN95" s="158"/>
      <c r="CO95" s="158"/>
      <c r="CP95" s="158"/>
      <c r="CQ95" s="158"/>
      <c r="CR95" s="158"/>
      <c r="CS95" s="158"/>
      <c r="CT95" s="158"/>
      <c r="CU95" s="158"/>
      <c r="CV95" s="158"/>
      <c r="CW95" s="158"/>
      <c r="CX95" s="158"/>
      <c r="CY95" s="158"/>
      <c r="CZ95" s="158"/>
      <c r="DA95" s="158"/>
      <c r="DB95" s="158"/>
      <c r="DC95" s="158"/>
      <c r="DD95" s="158"/>
      <c r="DE95" s="158"/>
      <c r="DF95" s="158"/>
      <c r="DG95" s="158"/>
      <c r="DH95" s="158"/>
      <c r="DI95" s="158"/>
      <c r="DJ95" s="158"/>
      <c r="DK95" s="158"/>
      <c r="DL95" s="158"/>
      <c r="DM95" s="158"/>
      <c r="DN95" s="158"/>
      <c r="DO95" s="158"/>
      <c r="DP95" s="158"/>
      <c r="DQ95" s="158"/>
      <c r="DR95" s="158"/>
      <c r="DS95" s="158"/>
      <c r="DT95" s="158"/>
      <c r="DU95" s="158"/>
      <c r="DV95" s="158"/>
      <c r="DW95" s="158"/>
      <c r="DX95" s="158"/>
      <c r="DY95" s="158"/>
      <c r="DZ95" s="158"/>
      <c r="EA95" s="158"/>
      <c r="EB95" s="158"/>
      <c r="EC95" s="158"/>
      <c r="ED95" s="158"/>
      <c r="EE95" s="158"/>
      <c r="EF95" s="158"/>
      <c r="EG95" s="158"/>
      <c r="EH95" s="158"/>
      <c r="EI95" s="158"/>
      <c r="EJ95" s="158"/>
      <c r="EK95" s="158"/>
      <c r="EL95" s="158"/>
      <c r="EM95" s="158"/>
      <c r="EN95" s="158"/>
      <c r="EO95" s="158"/>
      <c r="EP95" s="158"/>
      <c r="EQ95" s="158"/>
      <c r="ER95" s="158"/>
      <c r="ES95" s="158"/>
      <c r="ET95" s="158"/>
      <c r="EU95" s="158"/>
      <c r="EV95" s="158"/>
      <c r="EW95" s="158"/>
      <c r="EX95" s="158"/>
      <c r="EY95" s="158"/>
      <c r="EZ95" s="158"/>
      <c r="FA95" s="158"/>
      <c r="FB95" s="158"/>
      <c r="FC95" s="158"/>
      <c r="FD95" s="158"/>
      <c r="FE95" s="158"/>
      <c r="FF95" s="158"/>
      <c r="FG95" s="158"/>
      <c r="FH95" s="158"/>
      <c r="FI95" s="158"/>
      <c r="FJ95" s="158"/>
      <c r="FK95" s="158"/>
      <c r="FL95" s="158"/>
      <c r="FM95" s="158"/>
      <c r="FN95" s="158"/>
      <c r="FO95" s="158"/>
      <c r="FP95" s="158"/>
      <c r="FQ95" s="158"/>
      <c r="FR95" s="158"/>
      <c r="FS95" s="158"/>
      <c r="FT95" s="158"/>
      <c r="FU95" s="158"/>
      <c r="FV95" s="158"/>
      <c r="FW95" s="158"/>
      <c r="FX95" s="158"/>
      <c r="FY95" s="158"/>
      <c r="FZ95" s="158"/>
      <c r="GA95" s="158"/>
      <c r="GB95" s="158"/>
      <c r="GC95" s="158"/>
      <c r="GD95" s="158"/>
      <c r="GE95" s="158"/>
      <c r="GF95" s="158"/>
    </row>
    <row r="96" spans="2:188" s="324" customFormat="1">
      <c r="B96" s="316">
        <v>90</v>
      </c>
      <c r="C96" s="370" t="s">
        <v>222</v>
      </c>
      <c r="D96" s="370" t="s">
        <v>474</v>
      </c>
      <c r="E96" s="422" t="s">
        <v>475</v>
      </c>
      <c r="F96" s="370" t="s">
        <v>392</v>
      </c>
      <c r="G96" s="371">
        <v>3</v>
      </c>
      <c r="H96" s="369">
        <v>300000</v>
      </c>
      <c r="I96" s="317">
        <f t="shared" si="1"/>
        <v>56250</v>
      </c>
      <c r="J96" s="249"/>
      <c r="K96" s="158"/>
      <c r="L96" s="158"/>
      <c r="M96" s="158"/>
      <c r="N96" s="158"/>
      <c r="O96" s="158"/>
      <c r="P96" s="158"/>
      <c r="Q96" s="158"/>
      <c r="R96" s="158"/>
      <c r="S96" s="158"/>
      <c r="T96" s="158"/>
      <c r="U96" s="158"/>
      <c r="V96" s="158"/>
      <c r="W96" s="158"/>
      <c r="X96" s="158"/>
      <c r="Y96" s="158"/>
      <c r="Z96" s="158"/>
      <c r="AA96" s="158"/>
      <c r="AB96" s="158"/>
      <c r="AC96" s="158"/>
      <c r="AD96" s="158"/>
      <c r="AE96" s="158"/>
      <c r="AF96" s="158"/>
      <c r="AG96" s="158"/>
      <c r="AH96" s="158"/>
      <c r="AI96" s="158"/>
      <c r="AJ96" s="158"/>
      <c r="AK96" s="158"/>
      <c r="AL96" s="158"/>
      <c r="AM96" s="158"/>
      <c r="AN96" s="158"/>
      <c r="AO96" s="158"/>
      <c r="AP96" s="158"/>
      <c r="AQ96" s="158"/>
      <c r="AR96" s="158"/>
      <c r="AS96" s="158"/>
      <c r="AT96" s="158"/>
      <c r="AU96" s="158"/>
      <c r="AV96" s="158"/>
      <c r="AW96" s="158"/>
      <c r="AX96" s="158"/>
      <c r="AY96" s="158"/>
      <c r="AZ96" s="158"/>
      <c r="BA96" s="158"/>
      <c r="BB96" s="158"/>
      <c r="BC96" s="158"/>
      <c r="BD96" s="158"/>
      <c r="BE96" s="158"/>
      <c r="BF96" s="158"/>
      <c r="BG96" s="158"/>
      <c r="BH96" s="158"/>
      <c r="BI96" s="158"/>
      <c r="BJ96" s="158"/>
      <c r="BK96" s="158"/>
      <c r="BL96" s="158"/>
      <c r="BM96" s="158"/>
      <c r="BN96" s="158"/>
      <c r="BO96" s="158"/>
      <c r="BP96" s="158"/>
      <c r="BQ96" s="158"/>
      <c r="BR96" s="158"/>
      <c r="BS96" s="158"/>
      <c r="BT96" s="158"/>
      <c r="BU96" s="158"/>
      <c r="BV96" s="158"/>
      <c r="BW96" s="158"/>
      <c r="BX96" s="158"/>
      <c r="BY96" s="158"/>
      <c r="BZ96" s="158"/>
      <c r="CA96" s="158"/>
      <c r="CB96" s="158"/>
      <c r="CC96" s="158"/>
      <c r="CD96" s="158"/>
      <c r="CE96" s="158"/>
      <c r="CF96" s="158"/>
      <c r="CG96" s="158"/>
      <c r="CH96" s="158"/>
      <c r="CI96" s="158"/>
      <c r="CJ96" s="158"/>
      <c r="CK96" s="158"/>
      <c r="CL96" s="158"/>
      <c r="CM96" s="158"/>
      <c r="CN96" s="158"/>
      <c r="CO96" s="158"/>
      <c r="CP96" s="158"/>
      <c r="CQ96" s="158"/>
      <c r="CR96" s="158"/>
      <c r="CS96" s="158"/>
      <c r="CT96" s="158"/>
      <c r="CU96" s="158"/>
      <c r="CV96" s="158"/>
      <c r="CW96" s="158"/>
      <c r="CX96" s="158"/>
      <c r="CY96" s="158"/>
      <c r="CZ96" s="158"/>
      <c r="DA96" s="158"/>
      <c r="DB96" s="158"/>
      <c r="DC96" s="158"/>
      <c r="DD96" s="158"/>
      <c r="DE96" s="158"/>
      <c r="DF96" s="158"/>
      <c r="DG96" s="158"/>
      <c r="DH96" s="158"/>
      <c r="DI96" s="158"/>
      <c r="DJ96" s="158"/>
      <c r="DK96" s="158"/>
      <c r="DL96" s="158"/>
      <c r="DM96" s="158"/>
      <c r="DN96" s="158"/>
      <c r="DO96" s="158"/>
      <c r="DP96" s="158"/>
      <c r="DQ96" s="158"/>
      <c r="DR96" s="158"/>
      <c r="DS96" s="158"/>
      <c r="DT96" s="158"/>
      <c r="DU96" s="158"/>
      <c r="DV96" s="158"/>
      <c r="DW96" s="158"/>
      <c r="DX96" s="158"/>
      <c r="DY96" s="158"/>
      <c r="DZ96" s="158"/>
      <c r="EA96" s="158"/>
      <c r="EB96" s="158"/>
      <c r="EC96" s="158"/>
      <c r="ED96" s="158"/>
      <c r="EE96" s="158"/>
      <c r="EF96" s="158"/>
      <c r="EG96" s="158"/>
      <c r="EH96" s="158"/>
      <c r="EI96" s="158"/>
      <c r="EJ96" s="158"/>
      <c r="EK96" s="158"/>
      <c r="EL96" s="158"/>
      <c r="EM96" s="158"/>
      <c r="EN96" s="158"/>
      <c r="EO96" s="158"/>
      <c r="EP96" s="158"/>
      <c r="EQ96" s="158"/>
      <c r="ER96" s="158"/>
      <c r="ES96" s="158"/>
      <c r="ET96" s="158"/>
      <c r="EU96" s="158"/>
      <c r="EV96" s="158"/>
      <c r="EW96" s="158"/>
      <c r="EX96" s="158"/>
      <c r="EY96" s="158"/>
      <c r="EZ96" s="158"/>
      <c r="FA96" s="158"/>
      <c r="FB96" s="158"/>
      <c r="FC96" s="158"/>
      <c r="FD96" s="158"/>
      <c r="FE96" s="158"/>
      <c r="FF96" s="158"/>
      <c r="FG96" s="158"/>
      <c r="FH96" s="158"/>
      <c r="FI96" s="158"/>
      <c r="FJ96" s="158"/>
      <c r="FK96" s="158"/>
      <c r="FL96" s="158"/>
      <c r="FM96" s="158"/>
      <c r="FN96" s="158"/>
      <c r="FO96" s="158"/>
      <c r="FP96" s="158"/>
      <c r="FQ96" s="158"/>
      <c r="FR96" s="158"/>
      <c r="FS96" s="158"/>
      <c r="FT96" s="158"/>
      <c r="FU96" s="158"/>
      <c r="FV96" s="158"/>
      <c r="FW96" s="158"/>
      <c r="FX96" s="158"/>
      <c r="FY96" s="158"/>
      <c r="FZ96" s="158"/>
      <c r="GA96" s="158"/>
      <c r="GB96" s="158"/>
      <c r="GC96" s="158"/>
      <c r="GD96" s="158"/>
      <c r="GE96" s="158"/>
      <c r="GF96" s="158"/>
    </row>
    <row r="97" spans="2:188" s="324" customFormat="1">
      <c r="B97" s="316">
        <v>91</v>
      </c>
      <c r="C97" s="370" t="s">
        <v>197</v>
      </c>
      <c r="D97" s="370" t="s">
        <v>476</v>
      </c>
      <c r="E97" s="422" t="s">
        <v>373</v>
      </c>
      <c r="F97" s="370" t="s">
        <v>396</v>
      </c>
      <c r="G97" s="371">
        <v>1</v>
      </c>
      <c r="H97" s="369">
        <v>40300</v>
      </c>
      <c r="I97" s="317">
        <f t="shared" si="1"/>
        <v>7556.25</v>
      </c>
      <c r="J97" s="249"/>
      <c r="K97" s="158"/>
      <c r="L97" s="158"/>
      <c r="M97" s="158"/>
      <c r="N97" s="158"/>
      <c r="O97" s="158"/>
      <c r="P97" s="158"/>
      <c r="Q97" s="158"/>
      <c r="R97" s="158"/>
      <c r="S97" s="158"/>
      <c r="T97" s="158"/>
      <c r="U97" s="158"/>
      <c r="V97" s="158"/>
      <c r="W97" s="158"/>
      <c r="X97" s="158"/>
      <c r="Y97" s="158"/>
      <c r="Z97" s="158"/>
      <c r="AA97" s="158"/>
      <c r="AB97" s="158"/>
      <c r="AC97" s="158"/>
      <c r="AD97" s="158"/>
      <c r="AE97" s="158"/>
      <c r="AF97" s="158"/>
      <c r="AG97" s="158"/>
      <c r="AH97" s="158"/>
      <c r="AI97" s="158"/>
      <c r="AJ97" s="158"/>
      <c r="AK97" s="158"/>
      <c r="AL97" s="158"/>
      <c r="AM97" s="158"/>
      <c r="AN97" s="158"/>
      <c r="AO97" s="158"/>
      <c r="AP97" s="158"/>
      <c r="AQ97" s="158"/>
      <c r="AR97" s="158"/>
      <c r="AS97" s="158"/>
      <c r="AT97" s="158"/>
      <c r="AU97" s="158"/>
      <c r="AV97" s="158"/>
      <c r="AW97" s="158"/>
      <c r="AX97" s="158"/>
      <c r="AY97" s="158"/>
      <c r="AZ97" s="158"/>
      <c r="BA97" s="158"/>
      <c r="BB97" s="158"/>
      <c r="BC97" s="158"/>
      <c r="BD97" s="158"/>
      <c r="BE97" s="158"/>
      <c r="BF97" s="158"/>
      <c r="BG97" s="158"/>
      <c r="BH97" s="158"/>
      <c r="BI97" s="158"/>
      <c r="BJ97" s="158"/>
      <c r="BK97" s="158"/>
      <c r="BL97" s="158"/>
      <c r="BM97" s="158"/>
      <c r="BN97" s="158"/>
      <c r="BO97" s="158"/>
      <c r="BP97" s="158"/>
      <c r="BQ97" s="158"/>
      <c r="BR97" s="158"/>
      <c r="BS97" s="158"/>
      <c r="BT97" s="158"/>
      <c r="BU97" s="158"/>
      <c r="BV97" s="158"/>
      <c r="BW97" s="158"/>
      <c r="BX97" s="158"/>
      <c r="BY97" s="158"/>
      <c r="BZ97" s="158"/>
      <c r="CA97" s="158"/>
      <c r="CB97" s="158"/>
      <c r="CC97" s="158"/>
      <c r="CD97" s="158"/>
      <c r="CE97" s="158"/>
      <c r="CF97" s="158"/>
      <c r="CG97" s="158"/>
      <c r="CH97" s="158"/>
      <c r="CI97" s="158"/>
      <c r="CJ97" s="158"/>
      <c r="CK97" s="158"/>
      <c r="CL97" s="158"/>
      <c r="CM97" s="158"/>
      <c r="CN97" s="158"/>
      <c r="CO97" s="158"/>
      <c r="CP97" s="158"/>
      <c r="CQ97" s="158"/>
      <c r="CR97" s="158"/>
      <c r="CS97" s="158"/>
      <c r="CT97" s="158"/>
      <c r="CU97" s="158"/>
      <c r="CV97" s="158"/>
      <c r="CW97" s="158"/>
      <c r="CX97" s="158"/>
      <c r="CY97" s="158"/>
      <c r="CZ97" s="158"/>
      <c r="DA97" s="158"/>
      <c r="DB97" s="158"/>
      <c r="DC97" s="158"/>
      <c r="DD97" s="158"/>
      <c r="DE97" s="158"/>
      <c r="DF97" s="158"/>
      <c r="DG97" s="158"/>
      <c r="DH97" s="158"/>
      <c r="DI97" s="158"/>
      <c r="DJ97" s="158"/>
      <c r="DK97" s="158"/>
      <c r="DL97" s="158"/>
      <c r="DM97" s="158"/>
      <c r="DN97" s="158"/>
      <c r="DO97" s="158"/>
      <c r="DP97" s="158"/>
      <c r="DQ97" s="158"/>
      <c r="DR97" s="158"/>
      <c r="DS97" s="158"/>
      <c r="DT97" s="158"/>
      <c r="DU97" s="158"/>
      <c r="DV97" s="158"/>
      <c r="DW97" s="158"/>
      <c r="DX97" s="158"/>
      <c r="DY97" s="158"/>
      <c r="DZ97" s="158"/>
      <c r="EA97" s="158"/>
      <c r="EB97" s="158"/>
      <c r="EC97" s="158"/>
      <c r="ED97" s="158"/>
      <c r="EE97" s="158"/>
      <c r="EF97" s="158"/>
      <c r="EG97" s="158"/>
      <c r="EH97" s="158"/>
      <c r="EI97" s="158"/>
      <c r="EJ97" s="158"/>
      <c r="EK97" s="158"/>
      <c r="EL97" s="158"/>
      <c r="EM97" s="158"/>
      <c r="EN97" s="158"/>
      <c r="EO97" s="158"/>
      <c r="EP97" s="158"/>
      <c r="EQ97" s="158"/>
      <c r="ER97" s="158"/>
      <c r="ES97" s="158"/>
      <c r="ET97" s="158"/>
      <c r="EU97" s="158"/>
      <c r="EV97" s="158"/>
      <c r="EW97" s="158"/>
      <c r="EX97" s="158"/>
      <c r="EY97" s="158"/>
      <c r="EZ97" s="158"/>
      <c r="FA97" s="158"/>
      <c r="FB97" s="158"/>
      <c r="FC97" s="158"/>
      <c r="FD97" s="158"/>
      <c r="FE97" s="158"/>
      <c r="FF97" s="158"/>
      <c r="FG97" s="158"/>
      <c r="FH97" s="158"/>
      <c r="FI97" s="158"/>
      <c r="FJ97" s="158"/>
      <c r="FK97" s="158"/>
      <c r="FL97" s="158"/>
      <c r="FM97" s="158"/>
      <c r="FN97" s="158"/>
      <c r="FO97" s="158"/>
      <c r="FP97" s="158"/>
      <c r="FQ97" s="158"/>
      <c r="FR97" s="158"/>
      <c r="FS97" s="158"/>
      <c r="FT97" s="158"/>
      <c r="FU97" s="158"/>
      <c r="FV97" s="158"/>
      <c r="FW97" s="158"/>
      <c r="FX97" s="158"/>
      <c r="FY97" s="158"/>
      <c r="FZ97" s="158"/>
      <c r="GA97" s="158"/>
      <c r="GB97" s="158"/>
      <c r="GC97" s="158"/>
      <c r="GD97" s="158"/>
      <c r="GE97" s="158"/>
      <c r="GF97" s="158"/>
    </row>
    <row r="98" spans="2:188" s="324" customFormat="1">
      <c r="B98" s="316">
        <v>92</v>
      </c>
      <c r="C98" s="370" t="s">
        <v>197</v>
      </c>
      <c r="D98" s="370" t="s">
        <v>477</v>
      </c>
      <c r="E98" s="422" t="s">
        <v>478</v>
      </c>
      <c r="F98" s="370" t="s">
        <v>396</v>
      </c>
      <c r="G98" s="371">
        <v>1</v>
      </c>
      <c r="H98" s="369">
        <v>40300</v>
      </c>
      <c r="I98" s="317">
        <f t="shared" si="1"/>
        <v>7556.25</v>
      </c>
      <c r="J98" s="249"/>
      <c r="K98" s="158"/>
      <c r="L98" s="158"/>
      <c r="M98" s="158"/>
      <c r="N98" s="158"/>
      <c r="O98" s="158"/>
      <c r="P98" s="158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  <c r="AB98" s="158"/>
      <c r="AC98" s="158"/>
      <c r="AD98" s="158"/>
      <c r="AE98" s="158"/>
      <c r="AF98" s="158"/>
      <c r="AG98" s="158"/>
      <c r="AH98" s="158"/>
      <c r="AI98" s="158"/>
      <c r="AJ98" s="158"/>
      <c r="AK98" s="158"/>
      <c r="AL98" s="158"/>
      <c r="AM98" s="158"/>
      <c r="AN98" s="158"/>
      <c r="AO98" s="158"/>
      <c r="AP98" s="158"/>
      <c r="AQ98" s="158"/>
      <c r="AR98" s="158"/>
      <c r="AS98" s="158"/>
      <c r="AT98" s="158"/>
      <c r="AU98" s="158"/>
      <c r="AV98" s="158"/>
      <c r="AW98" s="158"/>
      <c r="AX98" s="158"/>
      <c r="AY98" s="158"/>
      <c r="AZ98" s="158"/>
      <c r="BA98" s="158"/>
      <c r="BB98" s="158"/>
      <c r="BC98" s="158"/>
      <c r="BD98" s="158"/>
      <c r="BE98" s="158"/>
      <c r="BF98" s="158"/>
      <c r="BG98" s="158"/>
      <c r="BH98" s="158"/>
      <c r="BI98" s="158"/>
      <c r="BJ98" s="158"/>
      <c r="BK98" s="158"/>
      <c r="BL98" s="158"/>
      <c r="BM98" s="158"/>
      <c r="BN98" s="158"/>
      <c r="BO98" s="158"/>
      <c r="BP98" s="158"/>
      <c r="BQ98" s="158"/>
      <c r="BR98" s="158"/>
      <c r="BS98" s="158"/>
      <c r="BT98" s="158"/>
      <c r="BU98" s="158"/>
      <c r="BV98" s="158"/>
      <c r="BW98" s="158"/>
      <c r="BX98" s="158"/>
      <c r="BY98" s="158"/>
      <c r="BZ98" s="158"/>
      <c r="CA98" s="158"/>
      <c r="CB98" s="158"/>
      <c r="CC98" s="158"/>
      <c r="CD98" s="158"/>
      <c r="CE98" s="158"/>
      <c r="CF98" s="158"/>
      <c r="CG98" s="158"/>
      <c r="CH98" s="158"/>
      <c r="CI98" s="158"/>
      <c r="CJ98" s="158"/>
      <c r="CK98" s="158"/>
      <c r="CL98" s="158"/>
      <c r="CM98" s="158"/>
      <c r="CN98" s="158"/>
      <c r="CO98" s="158"/>
      <c r="CP98" s="158"/>
      <c r="CQ98" s="158"/>
      <c r="CR98" s="158"/>
      <c r="CS98" s="158"/>
      <c r="CT98" s="158"/>
      <c r="CU98" s="158"/>
      <c r="CV98" s="158"/>
      <c r="CW98" s="158"/>
      <c r="CX98" s="158"/>
      <c r="CY98" s="158"/>
      <c r="CZ98" s="158"/>
      <c r="DA98" s="158"/>
      <c r="DB98" s="158"/>
      <c r="DC98" s="158"/>
      <c r="DD98" s="158"/>
      <c r="DE98" s="158"/>
      <c r="DF98" s="158"/>
      <c r="DG98" s="158"/>
      <c r="DH98" s="158"/>
      <c r="DI98" s="158"/>
      <c r="DJ98" s="158"/>
      <c r="DK98" s="158"/>
      <c r="DL98" s="158"/>
      <c r="DM98" s="158"/>
      <c r="DN98" s="158"/>
      <c r="DO98" s="158"/>
      <c r="DP98" s="158"/>
      <c r="DQ98" s="158"/>
      <c r="DR98" s="158"/>
      <c r="DS98" s="158"/>
      <c r="DT98" s="158"/>
      <c r="DU98" s="158"/>
      <c r="DV98" s="158"/>
      <c r="DW98" s="158"/>
      <c r="DX98" s="158"/>
      <c r="DY98" s="158"/>
      <c r="DZ98" s="158"/>
      <c r="EA98" s="158"/>
      <c r="EB98" s="158"/>
      <c r="EC98" s="158"/>
      <c r="ED98" s="158"/>
      <c r="EE98" s="158"/>
      <c r="EF98" s="158"/>
      <c r="EG98" s="158"/>
      <c r="EH98" s="158"/>
      <c r="EI98" s="158"/>
      <c r="EJ98" s="158"/>
      <c r="EK98" s="158"/>
      <c r="EL98" s="158"/>
      <c r="EM98" s="158"/>
      <c r="EN98" s="158"/>
      <c r="EO98" s="158"/>
      <c r="EP98" s="158"/>
      <c r="EQ98" s="158"/>
      <c r="ER98" s="158"/>
      <c r="ES98" s="158"/>
      <c r="ET98" s="158"/>
      <c r="EU98" s="158"/>
      <c r="EV98" s="158"/>
      <c r="EW98" s="158"/>
      <c r="EX98" s="158"/>
      <c r="EY98" s="158"/>
      <c r="EZ98" s="158"/>
      <c r="FA98" s="158"/>
      <c r="FB98" s="158"/>
      <c r="FC98" s="158"/>
      <c r="FD98" s="158"/>
      <c r="FE98" s="158"/>
      <c r="FF98" s="158"/>
      <c r="FG98" s="158"/>
      <c r="FH98" s="158"/>
      <c r="FI98" s="158"/>
      <c r="FJ98" s="158"/>
      <c r="FK98" s="158"/>
      <c r="FL98" s="158"/>
      <c r="FM98" s="158"/>
      <c r="FN98" s="158"/>
      <c r="FO98" s="158"/>
      <c r="FP98" s="158"/>
      <c r="FQ98" s="158"/>
      <c r="FR98" s="158"/>
      <c r="FS98" s="158"/>
      <c r="FT98" s="158"/>
      <c r="FU98" s="158"/>
      <c r="FV98" s="158"/>
      <c r="FW98" s="158"/>
      <c r="FX98" s="158"/>
      <c r="FY98" s="158"/>
      <c r="FZ98" s="158"/>
      <c r="GA98" s="158"/>
      <c r="GB98" s="158"/>
      <c r="GC98" s="158"/>
      <c r="GD98" s="158"/>
      <c r="GE98" s="158"/>
      <c r="GF98" s="158"/>
    </row>
    <row r="99" spans="2:188" s="324" customFormat="1">
      <c r="B99" s="316">
        <v>93</v>
      </c>
      <c r="C99" s="370" t="s">
        <v>256</v>
      </c>
      <c r="D99" s="370" t="s">
        <v>479</v>
      </c>
      <c r="E99" s="422" t="s">
        <v>359</v>
      </c>
      <c r="F99" s="370" t="s">
        <v>396</v>
      </c>
      <c r="G99" s="371">
        <v>1</v>
      </c>
      <c r="H99" s="369">
        <v>100000</v>
      </c>
      <c r="I99" s="317">
        <f t="shared" si="1"/>
        <v>18750</v>
      </c>
      <c r="J99" s="355"/>
    </row>
    <row r="100" spans="2:188" s="324" customFormat="1">
      <c r="B100" s="316">
        <v>94</v>
      </c>
      <c r="C100" s="370" t="s">
        <v>233</v>
      </c>
      <c r="D100" s="370" t="s">
        <v>349</v>
      </c>
      <c r="E100" s="422" t="s">
        <v>350</v>
      </c>
      <c r="F100" s="370" t="s">
        <v>392</v>
      </c>
      <c r="G100" s="371">
        <v>4</v>
      </c>
      <c r="H100" s="369">
        <v>400000</v>
      </c>
      <c r="I100" s="317">
        <f t="shared" si="1"/>
        <v>75000</v>
      </c>
      <c r="J100" s="355"/>
    </row>
    <row r="101" spans="2:188" s="324" customFormat="1">
      <c r="B101" s="316">
        <v>95</v>
      </c>
      <c r="C101" s="370" t="s">
        <v>215</v>
      </c>
      <c r="D101" s="370" t="s">
        <v>372</v>
      </c>
      <c r="E101" s="422" t="s">
        <v>373</v>
      </c>
      <c r="F101" s="370" t="s">
        <v>431</v>
      </c>
      <c r="G101" s="371">
        <v>1</v>
      </c>
      <c r="H101" s="369">
        <v>400000</v>
      </c>
      <c r="I101" s="317">
        <f t="shared" si="1"/>
        <v>75000</v>
      </c>
      <c r="J101" s="355"/>
    </row>
    <row r="102" spans="2:188" s="324" customFormat="1">
      <c r="B102" s="316">
        <v>96</v>
      </c>
      <c r="C102" s="370" t="s">
        <v>385</v>
      </c>
      <c r="D102" s="370" t="s">
        <v>341</v>
      </c>
      <c r="E102" s="422" t="s">
        <v>401</v>
      </c>
      <c r="F102" s="370" t="s">
        <v>480</v>
      </c>
      <c r="G102" s="371">
        <v>1</v>
      </c>
      <c r="H102" s="369">
        <v>101800</v>
      </c>
      <c r="I102" s="317">
        <f t="shared" si="1"/>
        <v>19087.5</v>
      </c>
      <c r="J102" s="355"/>
    </row>
    <row r="103" spans="2:188" s="324" customFormat="1">
      <c r="B103" s="316">
        <v>97</v>
      </c>
      <c r="C103" s="370" t="s">
        <v>233</v>
      </c>
      <c r="D103" s="370" t="s">
        <v>447</v>
      </c>
      <c r="E103" s="422" t="s">
        <v>350</v>
      </c>
      <c r="F103" s="370" t="s">
        <v>395</v>
      </c>
      <c r="G103" s="371">
        <v>7</v>
      </c>
      <c r="H103" s="369">
        <v>700000</v>
      </c>
      <c r="I103" s="317">
        <f t="shared" si="1"/>
        <v>131250</v>
      </c>
      <c r="J103" s="355"/>
    </row>
    <row r="104" spans="2:188" s="324" customFormat="1">
      <c r="B104" s="316">
        <v>98</v>
      </c>
      <c r="C104" s="370" t="s">
        <v>233</v>
      </c>
      <c r="D104" s="370" t="s">
        <v>481</v>
      </c>
      <c r="E104" s="422" t="s">
        <v>482</v>
      </c>
      <c r="F104" s="370" t="s">
        <v>395</v>
      </c>
      <c r="G104" s="371">
        <v>1</v>
      </c>
      <c r="H104" s="369">
        <v>100000</v>
      </c>
      <c r="I104" s="317">
        <f t="shared" si="1"/>
        <v>18750</v>
      </c>
      <c r="J104" s="355"/>
    </row>
    <row r="105" spans="2:188" s="324" customFormat="1">
      <c r="B105" s="316">
        <v>99</v>
      </c>
      <c r="C105" s="370" t="s">
        <v>253</v>
      </c>
      <c r="D105" s="370" t="s">
        <v>483</v>
      </c>
      <c r="E105" s="422" t="s">
        <v>484</v>
      </c>
      <c r="F105" s="370" t="s">
        <v>485</v>
      </c>
      <c r="G105" s="371">
        <v>1</v>
      </c>
      <c r="H105" s="369">
        <v>500000</v>
      </c>
      <c r="I105" s="317">
        <f t="shared" si="1"/>
        <v>93750</v>
      </c>
      <c r="J105" s="355"/>
    </row>
    <row r="106" spans="2:188" s="324" customFormat="1">
      <c r="B106" s="316">
        <v>100</v>
      </c>
      <c r="C106" s="370" t="s">
        <v>230</v>
      </c>
      <c r="D106" s="370" t="s">
        <v>393</v>
      </c>
      <c r="E106" s="422" t="s">
        <v>152</v>
      </c>
      <c r="F106" s="370" t="s">
        <v>396</v>
      </c>
      <c r="G106" s="371">
        <v>1</v>
      </c>
      <c r="H106" s="369">
        <v>100000</v>
      </c>
      <c r="I106" s="317">
        <f t="shared" si="1"/>
        <v>18750</v>
      </c>
      <c r="J106" s="355"/>
    </row>
    <row r="107" spans="2:188" s="324" customFormat="1">
      <c r="B107" s="316">
        <v>101</v>
      </c>
      <c r="C107" s="370" t="s">
        <v>209</v>
      </c>
      <c r="D107" s="370" t="s">
        <v>384</v>
      </c>
      <c r="E107" s="422" t="s">
        <v>377</v>
      </c>
      <c r="F107" s="370" t="s">
        <v>395</v>
      </c>
      <c r="G107" s="371">
        <v>11</v>
      </c>
      <c r="H107" s="369">
        <v>1100000</v>
      </c>
      <c r="I107" s="317">
        <f t="shared" si="1"/>
        <v>206250</v>
      </c>
      <c r="J107" s="355"/>
    </row>
    <row r="108" spans="2:188" s="324" customFormat="1">
      <c r="B108" s="316">
        <v>102</v>
      </c>
      <c r="C108" s="370" t="s">
        <v>230</v>
      </c>
      <c r="D108" s="370" t="s">
        <v>434</v>
      </c>
      <c r="E108" s="422" t="s">
        <v>435</v>
      </c>
      <c r="F108" s="370" t="s">
        <v>396</v>
      </c>
      <c r="G108" s="371">
        <v>1</v>
      </c>
      <c r="H108" s="369">
        <v>40300</v>
      </c>
      <c r="I108" s="317">
        <f t="shared" si="1"/>
        <v>7556.25</v>
      </c>
      <c r="J108" s="355"/>
    </row>
    <row r="109" spans="2:188" s="324" customFormat="1">
      <c r="B109" s="316">
        <v>103</v>
      </c>
      <c r="C109" s="370" t="s">
        <v>200</v>
      </c>
      <c r="D109" s="370" t="s">
        <v>486</v>
      </c>
      <c r="E109" s="422" t="s">
        <v>146</v>
      </c>
      <c r="F109" s="370" t="s">
        <v>487</v>
      </c>
      <c r="G109" s="371">
        <v>1</v>
      </c>
      <c r="H109" s="369">
        <v>282000</v>
      </c>
      <c r="I109" s="317">
        <f t="shared" si="1"/>
        <v>52875</v>
      </c>
      <c r="J109" s="355"/>
    </row>
    <row r="110" spans="2:188" s="324" customFormat="1">
      <c r="B110" s="316">
        <v>104</v>
      </c>
      <c r="C110" s="370" t="s">
        <v>256</v>
      </c>
      <c r="D110" s="370" t="s">
        <v>488</v>
      </c>
      <c r="E110" s="422" t="s">
        <v>451</v>
      </c>
      <c r="F110" s="370" t="s">
        <v>395</v>
      </c>
      <c r="G110" s="371">
        <v>1</v>
      </c>
      <c r="H110" s="369">
        <v>100000</v>
      </c>
      <c r="I110" s="317">
        <f t="shared" si="1"/>
        <v>18750</v>
      </c>
      <c r="J110" s="355"/>
    </row>
    <row r="111" spans="2:188" s="324" customFormat="1">
      <c r="B111" s="316">
        <v>105</v>
      </c>
      <c r="C111" s="370" t="s">
        <v>238</v>
      </c>
      <c r="D111" s="370" t="s">
        <v>369</v>
      </c>
      <c r="E111" s="422" t="s">
        <v>355</v>
      </c>
      <c r="F111" s="370" t="s">
        <v>395</v>
      </c>
      <c r="G111" s="371">
        <v>11</v>
      </c>
      <c r="H111" s="369">
        <v>1100000</v>
      </c>
      <c r="I111" s="317">
        <f t="shared" si="1"/>
        <v>206250</v>
      </c>
      <c r="J111" s="355"/>
    </row>
    <row r="112" spans="2:188" s="324" customFormat="1">
      <c r="B112" s="316">
        <v>106</v>
      </c>
      <c r="C112" s="370" t="s">
        <v>249</v>
      </c>
      <c r="D112" s="370" t="s">
        <v>489</v>
      </c>
      <c r="E112" s="422" t="s">
        <v>490</v>
      </c>
      <c r="F112" s="370" t="s">
        <v>392</v>
      </c>
      <c r="G112" s="371">
        <v>5</v>
      </c>
      <c r="H112" s="369">
        <v>500000</v>
      </c>
      <c r="I112" s="317">
        <f t="shared" si="1"/>
        <v>93750</v>
      </c>
      <c r="J112" s="355"/>
    </row>
    <row r="113" spans="2:188" s="324" customFormat="1">
      <c r="B113" s="316">
        <v>107</v>
      </c>
      <c r="C113" s="370" t="s">
        <v>244</v>
      </c>
      <c r="D113" s="370" t="s">
        <v>413</v>
      </c>
      <c r="E113" s="422" t="s">
        <v>414</v>
      </c>
      <c r="F113" s="370" t="s">
        <v>392</v>
      </c>
      <c r="G113" s="371">
        <v>6</v>
      </c>
      <c r="H113" s="369">
        <v>600000</v>
      </c>
      <c r="I113" s="317">
        <f t="shared" si="1"/>
        <v>112500</v>
      </c>
      <c r="J113" s="355"/>
    </row>
    <row r="114" spans="2:188" s="324" customFormat="1">
      <c r="B114" s="316">
        <v>108</v>
      </c>
      <c r="C114" s="370" t="s">
        <v>224</v>
      </c>
      <c r="D114" s="370" t="s">
        <v>376</v>
      </c>
      <c r="E114" s="422" t="s">
        <v>377</v>
      </c>
      <c r="F114" s="370" t="s">
        <v>395</v>
      </c>
      <c r="G114" s="371">
        <v>22</v>
      </c>
      <c r="H114" s="369">
        <v>2200000</v>
      </c>
      <c r="I114" s="317">
        <f t="shared" si="1"/>
        <v>412500</v>
      </c>
      <c r="J114" s="355"/>
    </row>
    <row r="115" spans="2:188" s="324" customFormat="1">
      <c r="B115" s="316">
        <v>109</v>
      </c>
      <c r="C115" s="370" t="s">
        <v>215</v>
      </c>
      <c r="D115" s="370" t="s">
        <v>387</v>
      </c>
      <c r="E115" s="422" t="s">
        <v>388</v>
      </c>
      <c r="F115" s="370" t="s">
        <v>395</v>
      </c>
      <c r="G115" s="371">
        <v>1</v>
      </c>
      <c r="H115" s="369">
        <v>100000</v>
      </c>
      <c r="I115" s="317">
        <f t="shared" si="1"/>
        <v>18750</v>
      </c>
      <c r="J115" s="355"/>
    </row>
    <row r="116" spans="2:188" s="324" customFormat="1">
      <c r="B116" s="316">
        <v>110</v>
      </c>
      <c r="C116" s="370" t="s">
        <v>212</v>
      </c>
      <c r="D116" s="370" t="s">
        <v>491</v>
      </c>
      <c r="E116" s="422" t="s">
        <v>148</v>
      </c>
      <c r="F116" s="370" t="s">
        <v>492</v>
      </c>
      <c r="G116" s="371">
        <v>1</v>
      </c>
      <c r="H116" s="369">
        <v>121400</v>
      </c>
      <c r="I116" s="317">
        <f t="shared" si="1"/>
        <v>22762.5</v>
      </c>
      <c r="J116" s="355"/>
    </row>
    <row r="117" spans="2:188" s="324" customFormat="1">
      <c r="B117" s="316">
        <v>111</v>
      </c>
      <c r="C117" s="370" t="s">
        <v>256</v>
      </c>
      <c r="D117" s="370" t="s">
        <v>443</v>
      </c>
      <c r="E117" s="422" t="s">
        <v>149</v>
      </c>
      <c r="F117" s="370" t="s">
        <v>392</v>
      </c>
      <c r="G117" s="371">
        <v>4</v>
      </c>
      <c r="H117" s="369">
        <v>400000</v>
      </c>
      <c r="I117" s="317">
        <f t="shared" si="1"/>
        <v>75000</v>
      </c>
      <c r="J117" s="355"/>
    </row>
    <row r="118" spans="2:188" s="324" customFormat="1">
      <c r="B118" s="316">
        <v>112</v>
      </c>
      <c r="C118" s="370" t="s">
        <v>200</v>
      </c>
      <c r="D118" s="370" t="s">
        <v>493</v>
      </c>
      <c r="E118" s="422" t="s">
        <v>365</v>
      </c>
      <c r="F118" s="370" t="s">
        <v>396</v>
      </c>
      <c r="G118" s="371">
        <v>1</v>
      </c>
      <c r="H118" s="369">
        <v>40300</v>
      </c>
      <c r="I118" s="317">
        <f t="shared" si="1"/>
        <v>7556.25</v>
      </c>
      <c r="J118" s="355"/>
    </row>
    <row r="119" spans="2:188" s="324" customFormat="1">
      <c r="B119" s="316">
        <v>113</v>
      </c>
      <c r="C119" s="370" t="s">
        <v>209</v>
      </c>
      <c r="D119" s="370" t="s">
        <v>494</v>
      </c>
      <c r="E119" s="422" t="s">
        <v>371</v>
      </c>
      <c r="F119" s="370" t="s">
        <v>396</v>
      </c>
      <c r="G119" s="371">
        <v>1</v>
      </c>
      <c r="H119" s="369">
        <v>100000</v>
      </c>
      <c r="I119" s="317">
        <f t="shared" si="1"/>
        <v>18750</v>
      </c>
      <c r="J119" s="355"/>
    </row>
    <row r="120" spans="2:188" s="324" customFormat="1">
      <c r="B120" s="316">
        <v>114</v>
      </c>
      <c r="C120" s="370" t="s">
        <v>253</v>
      </c>
      <c r="D120" s="370" t="s">
        <v>495</v>
      </c>
      <c r="E120" s="422" t="s">
        <v>430</v>
      </c>
      <c r="F120" s="370" t="s">
        <v>431</v>
      </c>
      <c r="G120" s="371">
        <v>1</v>
      </c>
      <c r="H120" s="369">
        <v>400000</v>
      </c>
      <c r="I120" s="317">
        <f t="shared" si="1"/>
        <v>75000</v>
      </c>
      <c r="J120" s="355"/>
    </row>
    <row r="121" spans="2:188" s="324" customFormat="1">
      <c r="B121" s="316">
        <v>115</v>
      </c>
      <c r="C121" s="370" t="s">
        <v>222</v>
      </c>
      <c r="D121" s="370" t="s">
        <v>380</v>
      </c>
      <c r="E121" s="422" t="s">
        <v>381</v>
      </c>
      <c r="F121" s="370" t="s">
        <v>395</v>
      </c>
      <c r="G121" s="371">
        <v>2</v>
      </c>
      <c r="H121" s="369">
        <v>200000</v>
      </c>
      <c r="I121" s="317">
        <f t="shared" si="1"/>
        <v>37500</v>
      </c>
      <c r="J121" s="355"/>
    </row>
    <row r="122" spans="2:188" s="158" customFormat="1">
      <c r="B122" s="316">
        <v>116</v>
      </c>
      <c r="C122" s="370" t="s">
        <v>466</v>
      </c>
      <c r="D122" s="370" t="s">
        <v>467</v>
      </c>
      <c r="E122" s="422" t="s">
        <v>468</v>
      </c>
      <c r="F122" s="370" t="s">
        <v>395</v>
      </c>
      <c r="G122" s="371">
        <v>1</v>
      </c>
      <c r="H122" s="369">
        <v>100000</v>
      </c>
      <c r="I122" s="317">
        <f t="shared" si="1"/>
        <v>18750</v>
      </c>
      <c r="J122" s="355"/>
      <c r="K122" s="324"/>
      <c r="L122" s="324"/>
      <c r="M122" s="324"/>
      <c r="N122" s="324"/>
      <c r="O122" s="324"/>
      <c r="P122" s="324"/>
      <c r="Q122" s="324"/>
      <c r="R122" s="324"/>
      <c r="S122" s="324"/>
      <c r="T122" s="324"/>
      <c r="U122" s="324"/>
      <c r="V122" s="324"/>
      <c r="W122" s="324"/>
      <c r="X122" s="324"/>
      <c r="Y122" s="324"/>
      <c r="Z122" s="324"/>
      <c r="AA122" s="324"/>
      <c r="AB122" s="324"/>
      <c r="AC122" s="324"/>
      <c r="AD122" s="324"/>
      <c r="AE122" s="324"/>
      <c r="AF122" s="324"/>
      <c r="AG122" s="324"/>
      <c r="AH122" s="324"/>
      <c r="AI122" s="324"/>
      <c r="AJ122" s="324"/>
      <c r="AK122" s="324"/>
      <c r="AL122" s="324"/>
      <c r="AM122" s="324"/>
      <c r="AN122" s="324"/>
      <c r="AO122" s="324"/>
      <c r="AP122" s="324"/>
      <c r="AQ122" s="324"/>
      <c r="AR122" s="324"/>
      <c r="AS122" s="324"/>
      <c r="AT122" s="324"/>
      <c r="AU122" s="324"/>
      <c r="AV122" s="324"/>
      <c r="AW122" s="324"/>
      <c r="AX122" s="324"/>
      <c r="AY122" s="324"/>
      <c r="AZ122" s="324"/>
      <c r="BA122" s="324"/>
      <c r="BB122" s="324"/>
      <c r="BC122" s="324"/>
      <c r="BD122" s="324"/>
      <c r="BE122" s="324"/>
      <c r="BF122" s="324"/>
      <c r="BG122" s="324"/>
      <c r="BH122" s="324"/>
      <c r="BI122" s="324"/>
      <c r="BJ122" s="324"/>
      <c r="BK122" s="324"/>
      <c r="BL122" s="324"/>
      <c r="BM122" s="324"/>
      <c r="BN122" s="324"/>
      <c r="BO122" s="324"/>
      <c r="BP122" s="324"/>
      <c r="BQ122" s="324"/>
      <c r="BR122" s="324"/>
      <c r="BS122" s="324"/>
      <c r="BT122" s="324"/>
      <c r="BU122" s="324"/>
      <c r="BV122" s="324"/>
      <c r="BW122" s="324"/>
      <c r="BX122" s="324"/>
      <c r="BY122" s="324"/>
      <c r="BZ122" s="324"/>
      <c r="CA122" s="324"/>
      <c r="CB122" s="324"/>
      <c r="CC122" s="324"/>
      <c r="CD122" s="324"/>
      <c r="CE122" s="324"/>
      <c r="CF122" s="324"/>
      <c r="CG122" s="324"/>
      <c r="CH122" s="324"/>
      <c r="CI122" s="324"/>
      <c r="CJ122" s="324"/>
      <c r="CK122" s="324"/>
      <c r="CL122" s="324"/>
      <c r="CM122" s="324"/>
      <c r="CN122" s="324"/>
      <c r="CO122" s="324"/>
      <c r="CP122" s="324"/>
      <c r="CQ122" s="324"/>
      <c r="CR122" s="324"/>
      <c r="CS122" s="324"/>
      <c r="CT122" s="324"/>
      <c r="CU122" s="324"/>
      <c r="CV122" s="324"/>
      <c r="CW122" s="324"/>
      <c r="CX122" s="324"/>
      <c r="CY122" s="324"/>
      <c r="CZ122" s="324"/>
      <c r="DA122" s="324"/>
      <c r="DB122" s="324"/>
      <c r="DC122" s="324"/>
      <c r="DD122" s="324"/>
      <c r="DE122" s="324"/>
      <c r="DF122" s="324"/>
      <c r="DG122" s="324"/>
      <c r="DH122" s="324"/>
      <c r="DI122" s="324"/>
      <c r="DJ122" s="324"/>
      <c r="DK122" s="324"/>
      <c r="DL122" s="324"/>
      <c r="DM122" s="324"/>
      <c r="DN122" s="324"/>
      <c r="DO122" s="324"/>
      <c r="DP122" s="324"/>
      <c r="DQ122" s="324"/>
      <c r="DR122" s="324"/>
      <c r="DS122" s="324"/>
      <c r="DT122" s="324"/>
      <c r="DU122" s="324"/>
      <c r="DV122" s="324"/>
      <c r="DW122" s="324"/>
      <c r="DX122" s="324"/>
      <c r="DY122" s="324"/>
      <c r="DZ122" s="324"/>
      <c r="EA122" s="324"/>
      <c r="EB122" s="324"/>
      <c r="EC122" s="324"/>
      <c r="ED122" s="324"/>
      <c r="EE122" s="324"/>
      <c r="EF122" s="324"/>
      <c r="EG122" s="324"/>
      <c r="EH122" s="324"/>
      <c r="EI122" s="324"/>
      <c r="EJ122" s="324"/>
      <c r="EK122" s="324"/>
      <c r="EL122" s="324"/>
      <c r="EM122" s="324"/>
      <c r="EN122" s="324"/>
      <c r="EO122" s="324"/>
      <c r="EP122" s="324"/>
      <c r="EQ122" s="324"/>
      <c r="ER122" s="324"/>
      <c r="ES122" s="324"/>
      <c r="ET122" s="324"/>
      <c r="EU122" s="324"/>
      <c r="EV122" s="324"/>
      <c r="EW122" s="324"/>
      <c r="EX122" s="324"/>
      <c r="EY122" s="324"/>
      <c r="EZ122" s="324"/>
      <c r="FA122" s="324"/>
      <c r="FB122" s="324"/>
      <c r="FC122" s="324"/>
      <c r="FD122" s="324"/>
      <c r="FE122" s="324"/>
      <c r="FF122" s="324"/>
      <c r="FG122" s="324"/>
      <c r="FH122" s="324"/>
      <c r="FI122" s="324"/>
      <c r="FJ122" s="324"/>
      <c r="FK122" s="324"/>
      <c r="FL122" s="324"/>
      <c r="FM122" s="324"/>
      <c r="FN122" s="324"/>
      <c r="FO122" s="324"/>
      <c r="FP122" s="324"/>
      <c r="FQ122" s="324"/>
      <c r="FR122" s="324"/>
      <c r="FS122" s="324"/>
      <c r="FT122" s="324"/>
      <c r="FU122" s="324"/>
      <c r="FV122" s="324"/>
      <c r="FW122" s="324"/>
      <c r="FX122" s="324"/>
      <c r="FY122" s="324"/>
      <c r="FZ122" s="324"/>
      <c r="GA122" s="324"/>
      <c r="GB122" s="324"/>
      <c r="GC122" s="324"/>
      <c r="GD122" s="324"/>
      <c r="GE122" s="324"/>
      <c r="GF122" s="324"/>
    </row>
    <row r="123" spans="2:188" s="158" customFormat="1" ht="14.25" customHeight="1">
      <c r="B123" s="316">
        <v>117</v>
      </c>
      <c r="C123" s="370" t="s">
        <v>222</v>
      </c>
      <c r="D123" s="370" t="s">
        <v>474</v>
      </c>
      <c r="E123" s="422" t="s">
        <v>475</v>
      </c>
      <c r="F123" s="370" t="s">
        <v>395</v>
      </c>
      <c r="G123" s="371">
        <v>2</v>
      </c>
      <c r="H123" s="369">
        <v>200000</v>
      </c>
      <c r="I123" s="317">
        <f t="shared" si="1"/>
        <v>37500</v>
      </c>
      <c r="J123" s="355"/>
      <c r="K123" s="324"/>
      <c r="L123" s="324"/>
      <c r="M123" s="324"/>
      <c r="N123" s="324"/>
      <c r="O123" s="324"/>
      <c r="P123" s="324"/>
      <c r="Q123" s="324"/>
      <c r="R123" s="324"/>
      <c r="S123" s="324"/>
      <c r="T123" s="324"/>
      <c r="U123" s="324"/>
      <c r="V123" s="324"/>
      <c r="W123" s="324"/>
      <c r="X123" s="324"/>
      <c r="Y123" s="324"/>
      <c r="Z123" s="324"/>
      <c r="AA123" s="324"/>
      <c r="AB123" s="324"/>
      <c r="AC123" s="324"/>
      <c r="AD123" s="324"/>
      <c r="AE123" s="324"/>
      <c r="AF123" s="324"/>
      <c r="AG123" s="324"/>
      <c r="AH123" s="324"/>
      <c r="AI123" s="324"/>
      <c r="AJ123" s="324"/>
      <c r="AK123" s="324"/>
      <c r="AL123" s="324"/>
      <c r="AM123" s="324"/>
      <c r="AN123" s="324"/>
      <c r="AO123" s="324"/>
      <c r="AP123" s="324"/>
      <c r="AQ123" s="324"/>
      <c r="AR123" s="324"/>
      <c r="AS123" s="324"/>
      <c r="AT123" s="324"/>
      <c r="AU123" s="324"/>
      <c r="AV123" s="324"/>
      <c r="AW123" s="324"/>
      <c r="AX123" s="324"/>
      <c r="AY123" s="324"/>
      <c r="AZ123" s="324"/>
      <c r="BA123" s="324"/>
      <c r="BB123" s="324"/>
      <c r="BC123" s="324"/>
      <c r="BD123" s="324"/>
      <c r="BE123" s="324"/>
      <c r="BF123" s="324"/>
      <c r="BG123" s="324"/>
      <c r="BH123" s="324"/>
      <c r="BI123" s="324"/>
      <c r="BJ123" s="324"/>
      <c r="BK123" s="324"/>
      <c r="BL123" s="324"/>
      <c r="BM123" s="324"/>
      <c r="BN123" s="324"/>
      <c r="BO123" s="324"/>
      <c r="BP123" s="324"/>
      <c r="BQ123" s="324"/>
      <c r="BR123" s="324"/>
      <c r="BS123" s="324"/>
      <c r="BT123" s="324"/>
      <c r="BU123" s="324"/>
      <c r="BV123" s="324"/>
      <c r="BW123" s="324"/>
      <c r="BX123" s="324"/>
      <c r="BY123" s="324"/>
      <c r="BZ123" s="324"/>
      <c r="CA123" s="324"/>
      <c r="CB123" s="324"/>
      <c r="CC123" s="324"/>
      <c r="CD123" s="324"/>
      <c r="CE123" s="324"/>
      <c r="CF123" s="324"/>
      <c r="CG123" s="324"/>
      <c r="CH123" s="324"/>
      <c r="CI123" s="324"/>
      <c r="CJ123" s="324"/>
      <c r="CK123" s="324"/>
      <c r="CL123" s="324"/>
      <c r="CM123" s="324"/>
      <c r="CN123" s="324"/>
      <c r="CO123" s="324"/>
      <c r="CP123" s="324"/>
      <c r="CQ123" s="324"/>
      <c r="CR123" s="324"/>
      <c r="CS123" s="324"/>
      <c r="CT123" s="324"/>
      <c r="CU123" s="324"/>
      <c r="CV123" s="324"/>
      <c r="CW123" s="324"/>
      <c r="CX123" s="324"/>
      <c r="CY123" s="324"/>
      <c r="CZ123" s="324"/>
      <c r="DA123" s="324"/>
      <c r="DB123" s="324"/>
      <c r="DC123" s="324"/>
      <c r="DD123" s="324"/>
      <c r="DE123" s="324"/>
      <c r="DF123" s="324"/>
      <c r="DG123" s="324"/>
      <c r="DH123" s="324"/>
      <c r="DI123" s="324"/>
      <c r="DJ123" s="324"/>
      <c r="DK123" s="324"/>
      <c r="DL123" s="324"/>
      <c r="DM123" s="324"/>
      <c r="DN123" s="324"/>
      <c r="DO123" s="324"/>
      <c r="DP123" s="324"/>
      <c r="DQ123" s="324"/>
      <c r="DR123" s="324"/>
      <c r="DS123" s="324"/>
      <c r="DT123" s="324"/>
      <c r="DU123" s="324"/>
      <c r="DV123" s="324"/>
      <c r="DW123" s="324"/>
      <c r="DX123" s="324"/>
      <c r="DY123" s="324"/>
      <c r="DZ123" s="324"/>
      <c r="EA123" s="324"/>
      <c r="EB123" s="324"/>
      <c r="EC123" s="324"/>
      <c r="ED123" s="324"/>
      <c r="EE123" s="324"/>
      <c r="EF123" s="324"/>
      <c r="EG123" s="324"/>
      <c r="EH123" s="324"/>
      <c r="EI123" s="324"/>
      <c r="EJ123" s="324"/>
      <c r="EK123" s="324"/>
      <c r="EL123" s="324"/>
      <c r="EM123" s="324"/>
      <c r="EN123" s="324"/>
      <c r="EO123" s="324"/>
      <c r="EP123" s="324"/>
      <c r="EQ123" s="324"/>
      <c r="ER123" s="324"/>
      <c r="ES123" s="324"/>
      <c r="ET123" s="324"/>
      <c r="EU123" s="324"/>
      <c r="EV123" s="324"/>
      <c r="EW123" s="324"/>
      <c r="EX123" s="324"/>
      <c r="EY123" s="324"/>
      <c r="EZ123" s="324"/>
      <c r="FA123" s="324"/>
      <c r="FB123" s="324"/>
      <c r="FC123" s="324"/>
      <c r="FD123" s="324"/>
      <c r="FE123" s="324"/>
      <c r="FF123" s="324"/>
      <c r="FG123" s="324"/>
      <c r="FH123" s="324"/>
      <c r="FI123" s="324"/>
      <c r="FJ123" s="324"/>
      <c r="FK123" s="324"/>
      <c r="FL123" s="324"/>
      <c r="FM123" s="324"/>
      <c r="FN123" s="324"/>
      <c r="FO123" s="324"/>
      <c r="FP123" s="324"/>
      <c r="FQ123" s="324"/>
      <c r="FR123" s="324"/>
      <c r="FS123" s="324"/>
      <c r="FT123" s="324"/>
      <c r="FU123" s="324"/>
      <c r="FV123" s="324"/>
      <c r="FW123" s="324"/>
      <c r="FX123" s="324"/>
      <c r="FY123" s="324"/>
      <c r="FZ123" s="324"/>
      <c r="GA123" s="324"/>
      <c r="GB123" s="324"/>
      <c r="GC123" s="324"/>
      <c r="GD123" s="324"/>
      <c r="GE123" s="324"/>
      <c r="GF123" s="324"/>
    </row>
    <row r="124" spans="2:188" s="158" customFormat="1">
      <c r="B124" s="316">
        <v>118</v>
      </c>
      <c r="C124" s="370" t="s">
        <v>261</v>
      </c>
      <c r="D124" s="370" t="s">
        <v>496</v>
      </c>
      <c r="E124" s="422" t="s">
        <v>497</v>
      </c>
      <c r="F124" s="370" t="s">
        <v>395</v>
      </c>
      <c r="G124" s="371">
        <v>4</v>
      </c>
      <c r="H124" s="369">
        <v>400000</v>
      </c>
      <c r="I124" s="317">
        <f t="shared" si="1"/>
        <v>75000</v>
      </c>
      <c r="J124" s="355"/>
      <c r="K124" s="324"/>
      <c r="L124" s="324"/>
      <c r="M124" s="324"/>
      <c r="N124" s="324"/>
      <c r="O124" s="324"/>
      <c r="P124" s="324"/>
      <c r="Q124" s="324"/>
      <c r="R124" s="324"/>
      <c r="S124" s="324"/>
      <c r="T124" s="324"/>
      <c r="U124" s="324"/>
      <c r="V124" s="324"/>
      <c r="W124" s="324"/>
      <c r="X124" s="324"/>
      <c r="Y124" s="324"/>
      <c r="Z124" s="324"/>
      <c r="AA124" s="324"/>
      <c r="AB124" s="324"/>
      <c r="AC124" s="324"/>
      <c r="AD124" s="324"/>
      <c r="AE124" s="324"/>
      <c r="AF124" s="324"/>
      <c r="AG124" s="324"/>
      <c r="AH124" s="324"/>
      <c r="AI124" s="324"/>
      <c r="AJ124" s="324"/>
      <c r="AK124" s="324"/>
      <c r="AL124" s="324"/>
      <c r="AM124" s="324"/>
      <c r="AN124" s="324"/>
      <c r="AO124" s="324"/>
      <c r="AP124" s="324"/>
      <c r="AQ124" s="324"/>
      <c r="AR124" s="324"/>
      <c r="AS124" s="324"/>
      <c r="AT124" s="324"/>
      <c r="AU124" s="324"/>
      <c r="AV124" s="324"/>
      <c r="AW124" s="324"/>
      <c r="AX124" s="324"/>
      <c r="AY124" s="324"/>
      <c r="AZ124" s="324"/>
      <c r="BA124" s="324"/>
      <c r="BB124" s="324"/>
      <c r="BC124" s="324"/>
      <c r="BD124" s="324"/>
      <c r="BE124" s="324"/>
      <c r="BF124" s="324"/>
      <c r="BG124" s="324"/>
      <c r="BH124" s="324"/>
      <c r="BI124" s="324"/>
      <c r="BJ124" s="324"/>
      <c r="BK124" s="324"/>
      <c r="BL124" s="324"/>
      <c r="BM124" s="324"/>
      <c r="BN124" s="324"/>
      <c r="BO124" s="324"/>
      <c r="BP124" s="324"/>
      <c r="BQ124" s="324"/>
      <c r="BR124" s="324"/>
      <c r="BS124" s="324"/>
      <c r="BT124" s="324"/>
      <c r="BU124" s="324"/>
      <c r="BV124" s="324"/>
      <c r="BW124" s="324"/>
      <c r="BX124" s="324"/>
      <c r="BY124" s="324"/>
      <c r="BZ124" s="324"/>
      <c r="CA124" s="324"/>
      <c r="CB124" s="324"/>
      <c r="CC124" s="324"/>
      <c r="CD124" s="324"/>
      <c r="CE124" s="324"/>
      <c r="CF124" s="324"/>
      <c r="CG124" s="324"/>
      <c r="CH124" s="324"/>
      <c r="CI124" s="324"/>
      <c r="CJ124" s="324"/>
      <c r="CK124" s="324"/>
      <c r="CL124" s="324"/>
      <c r="CM124" s="324"/>
      <c r="CN124" s="324"/>
      <c r="CO124" s="324"/>
      <c r="CP124" s="324"/>
      <c r="CQ124" s="324"/>
      <c r="CR124" s="324"/>
      <c r="CS124" s="324"/>
      <c r="CT124" s="324"/>
      <c r="CU124" s="324"/>
      <c r="CV124" s="324"/>
      <c r="CW124" s="324"/>
      <c r="CX124" s="324"/>
      <c r="CY124" s="324"/>
      <c r="CZ124" s="324"/>
      <c r="DA124" s="324"/>
      <c r="DB124" s="324"/>
      <c r="DC124" s="324"/>
      <c r="DD124" s="324"/>
      <c r="DE124" s="324"/>
      <c r="DF124" s="324"/>
      <c r="DG124" s="324"/>
      <c r="DH124" s="324"/>
      <c r="DI124" s="324"/>
      <c r="DJ124" s="324"/>
      <c r="DK124" s="324"/>
      <c r="DL124" s="324"/>
      <c r="DM124" s="324"/>
      <c r="DN124" s="324"/>
      <c r="DO124" s="324"/>
      <c r="DP124" s="324"/>
      <c r="DQ124" s="324"/>
      <c r="DR124" s="324"/>
      <c r="DS124" s="324"/>
      <c r="DT124" s="324"/>
      <c r="DU124" s="324"/>
      <c r="DV124" s="324"/>
      <c r="DW124" s="324"/>
      <c r="DX124" s="324"/>
      <c r="DY124" s="324"/>
      <c r="DZ124" s="324"/>
      <c r="EA124" s="324"/>
      <c r="EB124" s="324"/>
      <c r="EC124" s="324"/>
      <c r="ED124" s="324"/>
      <c r="EE124" s="324"/>
      <c r="EF124" s="324"/>
      <c r="EG124" s="324"/>
      <c r="EH124" s="324"/>
      <c r="EI124" s="324"/>
      <c r="EJ124" s="324"/>
      <c r="EK124" s="324"/>
      <c r="EL124" s="324"/>
      <c r="EM124" s="324"/>
      <c r="EN124" s="324"/>
      <c r="EO124" s="324"/>
      <c r="EP124" s="324"/>
      <c r="EQ124" s="324"/>
      <c r="ER124" s="324"/>
      <c r="ES124" s="324"/>
      <c r="ET124" s="324"/>
      <c r="EU124" s="324"/>
      <c r="EV124" s="324"/>
      <c r="EW124" s="324"/>
      <c r="EX124" s="324"/>
      <c r="EY124" s="324"/>
      <c r="EZ124" s="324"/>
      <c r="FA124" s="324"/>
      <c r="FB124" s="324"/>
      <c r="FC124" s="324"/>
      <c r="FD124" s="324"/>
      <c r="FE124" s="324"/>
      <c r="FF124" s="324"/>
      <c r="FG124" s="324"/>
      <c r="FH124" s="324"/>
      <c r="FI124" s="324"/>
      <c r="FJ124" s="324"/>
      <c r="FK124" s="324"/>
      <c r="FL124" s="324"/>
      <c r="FM124" s="324"/>
      <c r="FN124" s="324"/>
      <c r="FO124" s="324"/>
      <c r="FP124" s="324"/>
      <c r="FQ124" s="324"/>
      <c r="FR124" s="324"/>
      <c r="FS124" s="324"/>
      <c r="FT124" s="324"/>
      <c r="FU124" s="324"/>
      <c r="FV124" s="324"/>
      <c r="FW124" s="324"/>
      <c r="FX124" s="324"/>
      <c r="FY124" s="324"/>
      <c r="FZ124" s="324"/>
      <c r="GA124" s="324"/>
      <c r="GB124" s="324"/>
      <c r="GC124" s="324"/>
      <c r="GD124" s="324"/>
      <c r="GE124" s="324"/>
      <c r="GF124" s="324"/>
    </row>
    <row r="125" spans="2:188" s="158" customFormat="1">
      <c r="B125" s="316">
        <v>119</v>
      </c>
      <c r="C125" s="370" t="s">
        <v>230</v>
      </c>
      <c r="D125" s="370" t="s">
        <v>498</v>
      </c>
      <c r="E125" s="422" t="s">
        <v>499</v>
      </c>
      <c r="F125" s="370" t="s">
        <v>395</v>
      </c>
      <c r="G125" s="371">
        <v>3</v>
      </c>
      <c r="H125" s="369">
        <v>300000</v>
      </c>
      <c r="I125" s="317">
        <f t="shared" si="1"/>
        <v>56250</v>
      </c>
      <c r="J125" s="355"/>
      <c r="K125" s="324"/>
      <c r="L125" s="324"/>
      <c r="M125" s="324"/>
      <c r="N125" s="324"/>
      <c r="O125" s="324"/>
      <c r="P125" s="324"/>
      <c r="Q125" s="324"/>
      <c r="R125" s="324"/>
      <c r="S125" s="324"/>
      <c r="T125" s="324"/>
      <c r="U125" s="324"/>
      <c r="V125" s="324"/>
      <c r="W125" s="324"/>
      <c r="X125" s="324"/>
      <c r="Y125" s="324"/>
      <c r="Z125" s="324"/>
      <c r="AA125" s="324"/>
      <c r="AB125" s="324"/>
      <c r="AC125" s="324"/>
      <c r="AD125" s="324"/>
      <c r="AE125" s="324"/>
      <c r="AF125" s="324"/>
      <c r="AG125" s="324"/>
      <c r="AH125" s="324"/>
      <c r="AI125" s="324"/>
      <c r="AJ125" s="324"/>
      <c r="AK125" s="324"/>
      <c r="AL125" s="324"/>
      <c r="AM125" s="324"/>
      <c r="AN125" s="324"/>
      <c r="AO125" s="324"/>
      <c r="AP125" s="324"/>
      <c r="AQ125" s="324"/>
      <c r="AR125" s="324"/>
      <c r="AS125" s="324"/>
      <c r="AT125" s="324"/>
      <c r="AU125" s="324"/>
      <c r="AV125" s="324"/>
      <c r="AW125" s="324"/>
      <c r="AX125" s="324"/>
      <c r="AY125" s="324"/>
      <c r="AZ125" s="324"/>
      <c r="BA125" s="324"/>
      <c r="BB125" s="324"/>
      <c r="BC125" s="324"/>
      <c r="BD125" s="324"/>
      <c r="BE125" s="324"/>
      <c r="BF125" s="324"/>
      <c r="BG125" s="324"/>
      <c r="BH125" s="324"/>
      <c r="BI125" s="324"/>
      <c r="BJ125" s="324"/>
      <c r="BK125" s="324"/>
      <c r="BL125" s="324"/>
      <c r="BM125" s="324"/>
      <c r="BN125" s="324"/>
      <c r="BO125" s="324"/>
      <c r="BP125" s="324"/>
      <c r="BQ125" s="324"/>
      <c r="BR125" s="324"/>
      <c r="BS125" s="324"/>
      <c r="BT125" s="324"/>
      <c r="BU125" s="324"/>
      <c r="BV125" s="324"/>
      <c r="BW125" s="324"/>
      <c r="BX125" s="324"/>
      <c r="BY125" s="324"/>
      <c r="BZ125" s="324"/>
      <c r="CA125" s="324"/>
      <c r="CB125" s="324"/>
      <c r="CC125" s="324"/>
      <c r="CD125" s="324"/>
      <c r="CE125" s="324"/>
      <c r="CF125" s="324"/>
      <c r="CG125" s="324"/>
      <c r="CH125" s="324"/>
      <c r="CI125" s="324"/>
      <c r="CJ125" s="324"/>
      <c r="CK125" s="324"/>
      <c r="CL125" s="324"/>
      <c r="CM125" s="324"/>
      <c r="CN125" s="324"/>
      <c r="CO125" s="324"/>
      <c r="CP125" s="324"/>
      <c r="CQ125" s="324"/>
      <c r="CR125" s="324"/>
      <c r="CS125" s="324"/>
      <c r="CT125" s="324"/>
      <c r="CU125" s="324"/>
      <c r="CV125" s="324"/>
      <c r="CW125" s="324"/>
      <c r="CX125" s="324"/>
      <c r="CY125" s="324"/>
      <c r="CZ125" s="324"/>
      <c r="DA125" s="324"/>
      <c r="DB125" s="324"/>
      <c r="DC125" s="324"/>
      <c r="DD125" s="324"/>
      <c r="DE125" s="324"/>
      <c r="DF125" s="324"/>
      <c r="DG125" s="324"/>
      <c r="DH125" s="324"/>
      <c r="DI125" s="324"/>
      <c r="DJ125" s="324"/>
      <c r="DK125" s="324"/>
      <c r="DL125" s="324"/>
      <c r="DM125" s="324"/>
      <c r="DN125" s="324"/>
      <c r="DO125" s="324"/>
      <c r="DP125" s="324"/>
      <c r="DQ125" s="324"/>
      <c r="DR125" s="324"/>
      <c r="DS125" s="324"/>
      <c r="DT125" s="324"/>
      <c r="DU125" s="324"/>
      <c r="DV125" s="324"/>
      <c r="DW125" s="324"/>
      <c r="DX125" s="324"/>
      <c r="DY125" s="324"/>
      <c r="DZ125" s="324"/>
      <c r="EA125" s="324"/>
      <c r="EB125" s="324"/>
      <c r="EC125" s="324"/>
      <c r="ED125" s="324"/>
      <c r="EE125" s="324"/>
      <c r="EF125" s="324"/>
      <c r="EG125" s="324"/>
      <c r="EH125" s="324"/>
      <c r="EI125" s="324"/>
      <c r="EJ125" s="324"/>
      <c r="EK125" s="324"/>
      <c r="EL125" s="324"/>
      <c r="EM125" s="324"/>
      <c r="EN125" s="324"/>
      <c r="EO125" s="324"/>
      <c r="EP125" s="324"/>
      <c r="EQ125" s="324"/>
      <c r="ER125" s="324"/>
      <c r="ES125" s="324"/>
      <c r="ET125" s="324"/>
      <c r="EU125" s="324"/>
      <c r="EV125" s="324"/>
      <c r="EW125" s="324"/>
      <c r="EX125" s="324"/>
      <c r="EY125" s="324"/>
      <c r="EZ125" s="324"/>
      <c r="FA125" s="324"/>
      <c r="FB125" s="324"/>
      <c r="FC125" s="324"/>
      <c r="FD125" s="324"/>
      <c r="FE125" s="324"/>
      <c r="FF125" s="324"/>
      <c r="FG125" s="324"/>
      <c r="FH125" s="324"/>
      <c r="FI125" s="324"/>
      <c r="FJ125" s="324"/>
      <c r="FK125" s="324"/>
      <c r="FL125" s="324"/>
      <c r="FM125" s="324"/>
      <c r="FN125" s="324"/>
      <c r="FO125" s="324"/>
      <c r="FP125" s="324"/>
      <c r="FQ125" s="324"/>
      <c r="FR125" s="324"/>
      <c r="FS125" s="324"/>
      <c r="FT125" s="324"/>
      <c r="FU125" s="324"/>
      <c r="FV125" s="324"/>
      <c r="FW125" s="324"/>
      <c r="FX125" s="324"/>
      <c r="FY125" s="324"/>
      <c r="FZ125" s="324"/>
      <c r="GA125" s="324"/>
      <c r="GB125" s="324"/>
      <c r="GC125" s="324"/>
      <c r="GD125" s="324"/>
      <c r="GE125" s="324"/>
      <c r="GF125" s="324"/>
    </row>
    <row r="126" spans="2:188" s="158" customFormat="1">
      <c r="B126" s="316">
        <v>120</v>
      </c>
      <c r="C126" s="370" t="s">
        <v>200</v>
      </c>
      <c r="D126" s="370" t="s">
        <v>500</v>
      </c>
      <c r="E126" s="422" t="s">
        <v>373</v>
      </c>
      <c r="F126" s="370" t="s">
        <v>392</v>
      </c>
      <c r="G126" s="371">
        <v>3</v>
      </c>
      <c r="H126" s="369">
        <v>300000</v>
      </c>
      <c r="I126" s="317">
        <f t="shared" si="1"/>
        <v>56250</v>
      </c>
      <c r="J126" s="355"/>
      <c r="K126" s="324"/>
      <c r="L126" s="324"/>
      <c r="M126" s="324"/>
      <c r="N126" s="324"/>
      <c r="O126" s="324"/>
      <c r="P126" s="324"/>
      <c r="Q126" s="324"/>
      <c r="R126" s="324"/>
      <c r="S126" s="324"/>
      <c r="T126" s="324"/>
      <c r="U126" s="324"/>
      <c r="V126" s="324"/>
      <c r="W126" s="324"/>
      <c r="X126" s="324"/>
      <c r="Y126" s="324"/>
      <c r="Z126" s="324"/>
      <c r="AA126" s="324"/>
      <c r="AB126" s="324"/>
      <c r="AC126" s="324"/>
      <c r="AD126" s="324"/>
      <c r="AE126" s="324"/>
      <c r="AF126" s="324"/>
      <c r="AG126" s="324"/>
      <c r="AH126" s="324"/>
      <c r="AI126" s="324"/>
      <c r="AJ126" s="324"/>
      <c r="AK126" s="324"/>
      <c r="AL126" s="324"/>
      <c r="AM126" s="324"/>
      <c r="AN126" s="324"/>
      <c r="AO126" s="324"/>
      <c r="AP126" s="324"/>
      <c r="AQ126" s="324"/>
      <c r="AR126" s="324"/>
      <c r="AS126" s="324"/>
      <c r="AT126" s="324"/>
      <c r="AU126" s="324"/>
      <c r="AV126" s="324"/>
      <c r="AW126" s="324"/>
      <c r="AX126" s="324"/>
      <c r="AY126" s="324"/>
      <c r="AZ126" s="324"/>
      <c r="BA126" s="324"/>
      <c r="BB126" s="324"/>
      <c r="BC126" s="324"/>
      <c r="BD126" s="324"/>
      <c r="BE126" s="324"/>
      <c r="BF126" s="324"/>
      <c r="BG126" s="324"/>
      <c r="BH126" s="324"/>
      <c r="BI126" s="324"/>
      <c r="BJ126" s="324"/>
      <c r="BK126" s="324"/>
      <c r="BL126" s="324"/>
      <c r="BM126" s="324"/>
      <c r="BN126" s="324"/>
      <c r="BO126" s="324"/>
      <c r="BP126" s="324"/>
      <c r="BQ126" s="324"/>
      <c r="BR126" s="324"/>
      <c r="BS126" s="324"/>
      <c r="BT126" s="324"/>
      <c r="BU126" s="324"/>
      <c r="BV126" s="324"/>
      <c r="BW126" s="324"/>
      <c r="BX126" s="324"/>
      <c r="BY126" s="324"/>
      <c r="BZ126" s="324"/>
      <c r="CA126" s="324"/>
      <c r="CB126" s="324"/>
      <c r="CC126" s="324"/>
      <c r="CD126" s="324"/>
      <c r="CE126" s="324"/>
      <c r="CF126" s="324"/>
      <c r="CG126" s="324"/>
      <c r="CH126" s="324"/>
      <c r="CI126" s="324"/>
      <c r="CJ126" s="324"/>
      <c r="CK126" s="324"/>
      <c r="CL126" s="324"/>
      <c r="CM126" s="324"/>
      <c r="CN126" s="324"/>
      <c r="CO126" s="324"/>
      <c r="CP126" s="324"/>
      <c r="CQ126" s="324"/>
      <c r="CR126" s="324"/>
      <c r="CS126" s="324"/>
      <c r="CT126" s="324"/>
      <c r="CU126" s="324"/>
      <c r="CV126" s="324"/>
      <c r="CW126" s="324"/>
      <c r="CX126" s="324"/>
      <c r="CY126" s="324"/>
      <c r="CZ126" s="324"/>
      <c r="DA126" s="324"/>
      <c r="DB126" s="324"/>
      <c r="DC126" s="324"/>
      <c r="DD126" s="324"/>
      <c r="DE126" s="324"/>
      <c r="DF126" s="324"/>
      <c r="DG126" s="324"/>
      <c r="DH126" s="324"/>
      <c r="DI126" s="324"/>
      <c r="DJ126" s="324"/>
      <c r="DK126" s="324"/>
      <c r="DL126" s="324"/>
      <c r="DM126" s="324"/>
      <c r="DN126" s="324"/>
      <c r="DO126" s="324"/>
      <c r="DP126" s="324"/>
      <c r="DQ126" s="324"/>
      <c r="DR126" s="324"/>
      <c r="DS126" s="324"/>
      <c r="DT126" s="324"/>
      <c r="DU126" s="324"/>
      <c r="DV126" s="324"/>
      <c r="DW126" s="324"/>
      <c r="DX126" s="324"/>
      <c r="DY126" s="324"/>
      <c r="DZ126" s="324"/>
      <c r="EA126" s="324"/>
      <c r="EB126" s="324"/>
      <c r="EC126" s="324"/>
      <c r="ED126" s="324"/>
      <c r="EE126" s="324"/>
      <c r="EF126" s="324"/>
      <c r="EG126" s="324"/>
      <c r="EH126" s="324"/>
      <c r="EI126" s="324"/>
      <c r="EJ126" s="324"/>
      <c r="EK126" s="324"/>
      <c r="EL126" s="324"/>
      <c r="EM126" s="324"/>
      <c r="EN126" s="324"/>
      <c r="EO126" s="324"/>
      <c r="EP126" s="324"/>
      <c r="EQ126" s="324"/>
      <c r="ER126" s="324"/>
      <c r="ES126" s="324"/>
      <c r="ET126" s="324"/>
      <c r="EU126" s="324"/>
      <c r="EV126" s="324"/>
      <c r="EW126" s="324"/>
      <c r="EX126" s="324"/>
      <c r="EY126" s="324"/>
      <c r="EZ126" s="324"/>
      <c r="FA126" s="324"/>
      <c r="FB126" s="324"/>
      <c r="FC126" s="324"/>
      <c r="FD126" s="324"/>
      <c r="FE126" s="324"/>
      <c r="FF126" s="324"/>
      <c r="FG126" s="324"/>
      <c r="FH126" s="324"/>
      <c r="FI126" s="324"/>
      <c r="FJ126" s="324"/>
      <c r="FK126" s="324"/>
      <c r="FL126" s="324"/>
      <c r="FM126" s="324"/>
      <c r="FN126" s="324"/>
      <c r="FO126" s="324"/>
      <c r="FP126" s="324"/>
      <c r="FQ126" s="324"/>
      <c r="FR126" s="324"/>
      <c r="FS126" s="324"/>
      <c r="FT126" s="324"/>
      <c r="FU126" s="324"/>
      <c r="FV126" s="324"/>
      <c r="FW126" s="324"/>
      <c r="FX126" s="324"/>
      <c r="FY126" s="324"/>
      <c r="FZ126" s="324"/>
      <c r="GA126" s="324"/>
      <c r="GB126" s="324"/>
      <c r="GC126" s="324"/>
      <c r="GD126" s="324"/>
      <c r="GE126" s="324"/>
      <c r="GF126" s="324"/>
    </row>
    <row r="127" spans="2:188" s="158" customFormat="1">
      <c r="B127" s="316">
        <v>121</v>
      </c>
      <c r="C127" s="370" t="s">
        <v>230</v>
      </c>
      <c r="D127" s="370" t="s">
        <v>501</v>
      </c>
      <c r="E127" s="422" t="s">
        <v>390</v>
      </c>
      <c r="F127" s="370" t="s">
        <v>392</v>
      </c>
      <c r="G127" s="371">
        <v>3</v>
      </c>
      <c r="H127" s="369">
        <v>300000</v>
      </c>
      <c r="I127" s="317">
        <f t="shared" si="1"/>
        <v>56250</v>
      </c>
      <c r="J127" s="355"/>
      <c r="K127" s="324"/>
      <c r="L127" s="324"/>
      <c r="M127" s="324"/>
      <c r="N127" s="324"/>
      <c r="O127" s="324"/>
      <c r="P127" s="324"/>
      <c r="Q127" s="324"/>
      <c r="R127" s="324"/>
      <c r="S127" s="324"/>
      <c r="T127" s="324"/>
      <c r="U127" s="324"/>
      <c r="V127" s="324"/>
      <c r="W127" s="324"/>
      <c r="X127" s="324"/>
      <c r="Y127" s="324"/>
      <c r="Z127" s="324"/>
      <c r="AA127" s="324"/>
      <c r="AB127" s="324"/>
      <c r="AC127" s="324"/>
      <c r="AD127" s="324"/>
      <c r="AE127" s="324"/>
      <c r="AF127" s="324"/>
      <c r="AG127" s="324"/>
      <c r="AH127" s="324"/>
      <c r="AI127" s="324"/>
      <c r="AJ127" s="324"/>
      <c r="AK127" s="324"/>
      <c r="AL127" s="324"/>
      <c r="AM127" s="324"/>
      <c r="AN127" s="324"/>
      <c r="AO127" s="324"/>
      <c r="AP127" s="324"/>
      <c r="AQ127" s="324"/>
      <c r="AR127" s="324"/>
      <c r="AS127" s="324"/>
      <c r="AT127" s="324"/>
      <c r="AU127" s="324"/>
      <c r="AV127" s="324"/>
      <c r="AW127" s="324"/>
      <c r="AX127" s="324"/>
      <c r="AY127" s="324"/>
      <c r="AZ127" s="324"/>
      <c r="BA127" s="324"/>
      <c r="BB127" s="324"/>
      <c r="BC127" s="324"/>
      <c r="BD127" s="324"/>
      <c r="BE127" s="324"/>
      <c r="BF127" s="324"/>
      <c r="BG127" s="324"/>
      <c r="BH127" s="324"/>
      <c r="BI127" s="324"/>
      <c r="BJ127" s="324"/>
      <c r="BK127" s="324"/>
      <c r="BL127" s="324"/>
      <c r="BM127" s="324"/>
      <c r="BN127" s="324"/>
      <c r="BO127" s="324"/>
      <c r="BP127" s="324"/>
      <c r="BQ127" s="324"/>
      <c r="BR127" s="324"/>
      <c r="BS127" s="324"/>
      <c r="BT127" s="324"/>
      <c r="BU127" s="324"/>
      <c r="BV127" s="324"/>
      <c r="BW127" s="324"/>
      <c r="BX127" s="324"/>
      <c r="BY127" s="324"/>
      <c r="BZ127" s="324"/>
      <c r="CA127" s="324"/>
      <c r="CB127" s="324"/>
      <c r="CC127" s="324"/>
      <c r="CD127" s="324"/>
      <c r="CE127" s="324"/>
      <c r="CF127" s="324"/>
      <c r="CG127" s="324"/>
      <c r="CH127" s="324"/>
      <c r="CI127" s="324"/>
      <c r="CJ127" s="324"/>
      <c r="CK127" s="324"/>
      <c r="CL127" s="324"/>
      <c r="CM127" s="324"/>
      <c r="CN127" s="324"/>
      <c r="CO127" s="324"/>
      <c r="CP127" s="324"/>
      <c r="CQ127" s="324"/>
      <c r="CR127" s="324"/>
      <c r="CS127" s="324"/>
      <c r="CT127" s="324"/>
      <c r="CU127" s="324"/>
      <c r="CV127" s="324"/>
      <c r="CW127" s="324"/>
      <c r="CX127" s="324"/>
      <c r="CY127" s="324"/>
      <c r="CZ127" s="324"/>
      <c r="DA127" s="324"/>
      <c r="DB127" s="324"/>
      <c r="DC127" s="324"/>
      <c r="DD127" s="324"/>
      <c r="DE127" s="324"/>
      <c r="DF127" s="324"/>
      <c r="DG127" s="324"/>
      <c r="DH127" s="324"/>
      <c r="DI127" s="324"/>
      <c r="DJ127" s="324"/>
      <c r="DK127" s="324"/>
      <c r="DL127" s="324"/>
      <c r="DM127" s="324"/>
      <c r="DN127" s="324"/>
      <c r="DO127" s="324"/>
      <c r="DP127" s="324"/>
      <c r="DQ127" s="324"/>
      <c r="DR127" s="324"/>
      <c r="DS127" s="324"/>
      <c r="DT127" s="324"/>
      <c r="DU127" s="324"/>
      <c r="DV127" s="324"/>
      <c r="DW127" s="324"/>
      <c r="DX127" s="324"/>
      <c r="DY127" s="324"/>
      <c r="DZ127" s="324"/>
      <c r="EA127" s="324"/>
      <c r="EB127" s="324"/>
      <c r="EC127" s="324"/>
      <c r="ED127" s="324"/>
      <c r="EE127" s="324"/>
      <c r="EF127" s="324"/>
      <c r="EG127" s="324"/>
      <c r="EH127" s="324"/>
      <c r="EI127" s="324"/>
      <c r="EJ127" s="324"/>
      <c r="EK127" s="324"/>
      <c r="EL127" s="324"/>
      <c r="EM127" s="324"/>
      <c r="EN127" s="324"/>
      <c r="EO127" s="324"/>
      <c r="EP127" s="324"/>
      <c r="EQ127" s="324"/>
      <c r="ER127" s="324"/>
      <c r="ES127" s="324"/>
      <c r="ET127" s="324"/>
      <c r="EU127" s="324"/>
      <c r="EV127" s="324"/>
      <c r="EW127" s="324"/>
      <c r="EX127" s="324"/>
      <c r="EY127" s="324"/>
      <c r="EZ127" s="324"/>
      <c r="FA127" s="324"/>
      <c r="FB127" s="324"/>
      <c r="FC127" s="324"/>
      <c r="FD127" s="324"/>
      <c r="FE127" s="324"/>
      <c r="FF127" s="324"/>
      <c r="FG127" s="324"/>
      <c r="FH127" s="324"/>
      <c r="FI127" s="324"/>
      <c r="FJ127" s="324"/>
      <c r="FK127" s="324"/>
      <c r="FL127" s="324"/>
      <c r="FM127" s="324"/>
      <c r="FN127" s="324"/>
      <c r="FO127" s="324"/>
      <c r="FP127" s="324"/>
      <c r="FQ127" s="324"/>
      <c r="FR127" s="324"/>
      <c r="FS127" s="324"/>
      <c r="FT127" s="324"/>
      <c r="FU127" s="324"/>
      <c r="FV127" s="324"/>
      <c r="FW127" s="324"/>
      <c r="FX127" s="324"/>
      <c r="FY127" s="324"/>
      <c r="FZ127" s="324"/>
      <c r="GA127" s="324"/>
      <c r="GB127" s="324"/>
      <c r="GC127" s="324"/>
      <c r="GD127" s="324"/>
      <c r="GE127" s="324"/>
      <c r="GF127" s="324"/>
    </row>
    <row r="128" spans="2:188" s="158" customFormat="1">
      <c r="B128" s="316">
        <v>122</v>
      </c>
      <c r="C128" s="370" t="s">
        <v>212</v>
      </c>
      <c r="D128" s="370" t="s">
        <v>462</v>
      </c>
      <c r="E128" s="422" t="s">
        <v>463</v>
      </c>
      <c r="F128" s="370" t="s">
        <v>392</v>
      </c>
      <c r="G128" s="371">
        <v>3</v>
      </c>
      <c r="H128" s="369">
        <v>300000</v>
      </c>
      <c r="I128" s="317">
        <f t="shared" si="1"/>
        <v>56250</v>
      </c>
      <c r="J128" s="249"/>
    </row>
    <row r="129" spans="2:10" s="158" customFormat="1">
      <c r="B129" s="316">
        <v>123</v>
      </c>
      <c r="C129" s="370" t="s">
        <v>233</v>
      </c>
      <c r="D129" s="370" t="s">
        <v>502</v>
      </c>
      <c r="E129" s="422" t="s">
        <v>503</v>
      </c>
      <c r="F129" s="370" t="s">
        <v>394</v>
      </c>
      <c r="G129" s="371">
        <v>1</v>
      </c>
      <c r="H129" s="369">
        <v>40300</v>
      </c>
      <c r="I129" s="317">
        <f t="shared" si="1"/>
        <v>7556.25</v>
      </c>
      <c r="J129" s="249"/>
    </row>
    <row r="130" spans="2:10" s="158" customFormat="1">
      <c r="B130" s="316">
        <v>124</v>
      </c>
      <c r="C130" s="370" t="s">
        <v>197</v>
      </c>
      <c r="D130" s="370" t="s">
        <v>504</v>
      </c>
      <c r="E130" s="422" t="s">
        <v>468</v>
      </c>
      <c r="F130" s="370" t="s">
        <v>396</v>
      </c>
      <c r="G130" s="371">
        <v>1</v>
      </c>
      <c r="H130" s="369">
        <v>40300</v>
      </c>
      <c r="I130" s="317">
        <f t="shared" si="1"/>
        <v>7556.25</v>
      </c>
      <c r="J130" s="249"/>
    </row>
    <row r="131" spans="2:10" s="158" customFormat="1">
      <c r="B131" s="316">
        <v>125</v>
      </c>
      <c r="C131" s="370" t="s">
        <v>251</v>
      </c>
      <c r="D131" s="370" t="s">
        <v>227</v>
      </c>
      <c r="E131" s="422" t="s">
        <v>472</v>
      </c>
      <c r="F131" s="370" t="s">
        <v>394</v>
      </c>
      <c r="G131" s="371">
        <v>1</v>
      </c>
      <c r="H131" s="369">
        <v>40300</v>
      </c>
      <c r="I131" s="317">
        <f t="shared" si="1"/>
        <v>7556.25</v>
      </c>
      <c r="J131" s="249"/>
    </row>
    <row r="132" spans="2:10" s="158" customFormat="1">
      <c r="B132" s="316">
        <v>126</v>
      </c>
      <c r="C132" s="370" t="s">
        <v>302</v>
      </c>
      <c r="D132" s="370" t="s">
        <v>505</v>
      </c>
      <c r="E132" s="422" t="s">
        <v>426</v>
      </c>
      <c r="F132" s="370" t="s">
        <v>396</v>
      </c>
      <c r="G132" s="371">
        <v>1</v>
      </c>
      <c r="H132" s="369">
        <v>35600</v>
      </c>
      <c r="I132" s="317">
        <f t="shared" si="1"/>
        <v>6675</v>
      </c>
      <c r="J132" s="249"/>
    </row>
    <row r="133" spans="2:10" s="158" customFormat="1">
      <c r="B133" s="316">
        <v>127</v>
      </c>
      <c r="C133" s="370" t="s">
        <v>249</v>
      </c>
      <c r="D133" s="370" t="s">
        <v>506</v>
      </c>
      <c r="E133" s="422" t="s">
        <v>365</v>
      </c>
      <c r="F133" s="370" t="s">
        <v>394</v>
      </c>
      <c r="G133" s="371">
        <v>1</v>
      </c>
      <c r="H133" s="369">
        <v>100000</v>
      </c>
      <c r="I133" s="317">
        <f t="shared" si="1"/>
        <v>18750</v>
      </c>
      <c r="J133" s="249"/>
    </row>
    <row r="134" spans="2:10" s="158" customFormat="1">
      <c r="B134" s="316">
        <v>128</v>
      </c>
      <c r="C134" s="370" t="s">
        <v>233</v>
      </c>
      <c r="D134" s="370" t="s">
        <v>378</v>
      </c>
      <c r="E134" s="422" t="s">
        <v>379</v>
      </c>
      <c r="F134" s="370" t="s">
        <v>395</v>
      </c>
      <c r="G134" s="371">
        <v>11</v>
      </c>
      <c r="H134" s="369">
        <v>1100000</v>
      </c>
      <c r="I134" s="317">
        <f t="shared" si="1"/>
        <v>206250</v>
      </c>
      <c r="J134" s="249"/>
    </row>
    <row r="135" spans="2:10" s="158" customFormat="1">
      <c r="B135" s="316">
        <v>129</v>
      </c>
      <c r="C135" s="370" t="s">
        <v>244</v>
      </c>
      <c r="D135" s="370" t="s">
        <v>370</v>
      </c>
      <c r="E135" s="422" t="s">
        <v>371</v>
      </c>
      <c r="F135" s="370" t="s">
        <v>392</v>
      </c>
      <c r="G135" s="371">
        <v>2</v>
      </c>
      <c r="H135" s="369">
        <v>200000</v>
      </c>
      <c r="I135" s="317">
        <f t="shared" si="1"/>
        <v>37500</v>
      </c>
      <c r="J135" s="249"/>
    </row>
    <row r="136" spans="2:10" s="158" customFormat="1">
      <c r="B136" s="316">
        <v>130</v>
      </c>
      <c r="C136" s="370" t="s">
        <v>209</v>
      </c>
      <c r="D136" s="370" t="s">
        <v>384</v>
      </c>
      <c r="E136" s="422" t="s">
        <v>377</v>
      </c>
      <c r="F136" s="370" t="s">
        <v>392</v>
      </c>
      <c r="G136" s="371">
        <v>11</v>
      </c>
      <c r="H136" s="369">
        <v>1100000</v>
      </c>
      <c r="I136" s="317">
        <f t="shared" ref="I136:I199" si="2">H136*25%*75%</f>
        <v>206250</v>
      </c>
      <c r="J136" s="249"/>
    </row>
    <row r="137" spans="2:10" s="158" customFormat="1">
      <c r="B137" s="316">
        <v>131</v>
      </c>
      <c r="C137" s="370" t="s">
        <v>212</v>
      </c>
      <c r="D137" s="370" t="s">
        <v>353</v>
      </c>
      <c r="E137" s="422" t="s">
        <v>147</v>
      </c>
      <c r="F137" s="370" t="s">
        <v>392</v>
      </c>
      <c r="G137" s="371">
        <v>3</v>
      </c>
      <c r="H137" s="369">
        <v>300000</v>
      </c>
      <c r="I137" s="317">
        <f t="shared" si="2"/>
        <v>56250</v>
      </c>
      <c r="J137" s="249"/>
    </row>
    <row r="138" spans="2:10" s="158" customFormat="1">
      <c r="B138" s="316">
        <v>132</v>
      </c>
      <c r="C138" s="370" t="s">
        <v>224</v>
      </c>
      <c r="D138" s="370" t="s">
        <v>507</v>
      </c>
      <c r="E138" s="422" t="s">
        <v>441</v>
      </c>
      <c r="F138" s="370" t="s">
        <v>431</v>
      </c>
      <c r="G138" s="371">
        <v>1</v>
      </c>
      <c r="H138" s="369">
        <v>400000</v>
      </c>
      <c r="I138" s="317">
        <f t="shared" si="2"/>
        <v>75000</v>
      </c>
      <c r="J138" s="249"/>
    </row>
    <row r="139" spans="2:10" s="158" customFormat="1">
      <c r="B139" s="316">
        <v>133</v>
      </c>
      <c r="C139" s="370" t="s">
        <v>385</v>
      </c>
      <c r="D139" s="370" t="s">
        <v>252</v>
      </c>
      <c r="E139" s="422" t="s">
        <v>426</v>
      </c>
      <c r="F139" s="370" t="s">
        <v>395</v>
      </c>
      <c r="G139" s="371">
        <v>4</v>
      </c>
      <c r="H139" s="369">
        <v>400000</v>
      </c>
      <c r="I139" s="317">
        <f t="shared" si="2"/>
        <v>75000</v>
      </c>
      <c r="J139" s="249"/>
    </row>
    <row r="140" spans="2:10" s="158" customFormat="1">
      <c r="B140" s="316">
        <v>134</v>
      </c>
      <c r="C140" s="370" t="s">
        <v>212</v>
      </c>
      <c r="D140" s="370" t="s">
        <v>411</v>
      </c>
      <c r="E140" s="422" t="s">
        <v>412</v>
      </c>
      <c r="F140" s="370" t="s">
        <v>392</v>
      </c>
      <c r="G140" s="371">
        <v>3</v>
      </c>
      <c r="H140" s="369">
        <v>300000</v>
      </c>
      <c r="I140" s="317">
        <f t="shared" si="2"/>
        <v>56250</v>
      </c>
      <c r="J140" s="249"/>
    </row>
    <row r="141" spans="2:10" s="158" customFormat="1">
      <c r="B141" s="316">
        <v>135</v>
      </c>
      <c r="C141" s="370" t="s">
        <v>261</v>
      </c>
      <c r="D141" s="370" t="s">
        <v>496</v>
      </c>
      <c r="E141" s="422" t="s">
        <v>497</v>
      </c>
      <c r="F141" s="370" t="s">
        <v>392</v>
      </c>
      <c r="G141" s="371">
        <v>2</v>
      </c>
      <c r="H141" s="369">
        <v>200000</v>
      </c>
      <c r="I141" s="317">
        <f t="shared" si="2"/>
        <v>37500</v>
      </c>
      <c r="J141" s="249"/>
    </row>
    <row r="142" spans="2:10" s="158" customFormat="1" ht="26.4">
      <c r="B142" s="316">
        <v>136</v>
      </c>
      <c r="C142" s="370" t="s">
        <v>249</v>
      </c>
      <c r="D142" s="370" t="s">
        <v>508</v>
      </c>
      <c r="E142" s="422" t="s">
        <v>490</v>
      </c>
      <c r="F142" s="370" t="s">
        <v>448</v>
      </c>
      <c r="G142" s="371">
        <v>1</v>
      </c>
      <c r="H142" s="369">
        <v>250000</v>
      </c>
      <c r="I142" s="317">
        <f t="shared" si="2"/>
        <v>46875</v>
      </c>
      <c r="J142" s="249"/>
    </row>
    <row r="143" spans="2:10" s="158" customFormat="1">
      <c r="B143" s="316">
        <v>137</v>
      </c>
      <c r="C143" s="370" t="s">
        <v>209</v>
      </c>
      <c r="D143" s="370" t="s">
        <v>509</v>
      </c>
      <c r="E143" s="422" t="s">
        <v>510</v>
      </c>
      <c r="F143" s="370" t="s">
        <v>410</v>
      </c>
      <c r="G143" s="371">
        <v>1</v>
      </c>
      <c r="H143" s="369">
        <v>100000</v>
      </c>
      <c r="I143" s="317">
        <f t="shared" si="2"/>
        <v>18750</v>
      </c>
      <c r="J143" s="249"/>
    </row>
    <row r="144" spans="2:10" s="158" customFormat="1">
      <c r="B144" s="316">
        <v>138</v>
      </c>
      <c r="C144" s="370" t="s">
        <v>233</v>
      </c>
      <c r="D144" s="370" t="s">
        <v>378</v>
      </c>
      <c r="E144" s="422" t="s">
        <v>379</v>
      </c>
      <c r="F144" s="370" t="s">
        <v>392</v>
      </c>
      <c r="G144" s="371">
        <v>3</v>
      </c>
      <c r="H144" s="369">
        <v>300000</v>
      </c>
      <c r="I144" s="317">
        <f t="shared" si="2"/>
        <v>56250</v>
      </c>
      <c r="J144" s="249"/>
    </row>
    <row r="145" spans="2:10" s="158" customFormat="1">
      <c r="B145" s="316">
        <v>139</v>
      </c>
      <c r="C145" s="370" t="s">
        <v>233</v>
      </c>
      <c r="D145" s="370" t="s">
        <v>349</v>
      </c>
      <c r="E145" s="422" t="s">
        <v>350</v>
      </c>
      <c r="F145" s="370" t="s">
        <v>395</v>
      </c>
      <c r="G145" s="371">
        <v>7</v>
      </c>
      <c r="H145" s="369">
        <v>700000</v>
      </c>
      <c r="I145" s="317">
        <f t="shared" si="2"/>
        <v>131250</v>
      </c>
      <c r="J145" s="249"/>
    </row>
    <row r="146" spans="2:10" s="158" customFormat="1">
      <c r="B146" s="316">
        <v>140</v>
      </c>
      <c r="C146" s="370" t="s">
        <v>222</v>
      </c>
      <c r="D146" s="370" t="s">
        <v>456</v>
      </c>
      <c r="E146" s="422" t="s">
        <v>405</v>
      </c>
      <c r="F146" s="370" t="s">
        <v>392</v>
      </c>
      <c r="G146" s="371">
        <v>2</v>
      </c>
      <c r="H146" s="369">
        <v>200000</v>
      </c>
      <c r="I146" s="317">
        <f t="shared" si="2"/>
        <v>37500</v>
      </c>
      <c r="J146" s="249"/>
    </row>
    <row r="147" spans="2:10" s="158" customFormat="1">
      <c r="B147" s="316">
        <v>141</v>
      </c>
      <c r="C147" s="370" t="s">
        <v>224</v>
      </c>
      <c r="D147" s="370" t="s">
        <v>511</v>
      </c>
      <c r="E147" s="422" t="s">
        <v>148</v>
      </c>
      <c r="F147" s="370" t="s">
        <v>395</v>
      </c>
      <c r="G147" s="371">
        <v>3</v>
      </c>
      <c r="H147" s="369">
        <v>300000</v>
      </c>
      <c r="I147" s="317">
        <f t="shared" si="2"/>
        <v>56250</v>
      </c>
      <c r="J147" s="249"/>
    </row>
    <row r="148" spans="2:10" s="158" customFormat="1">
      <c r="B148" s="316">
        <v>142</v>
      </c>
      <c r="C148" s="370" t="s">
        <v>230</v>
      </c>
      <c r="D148" s="370" t="s">
        <v>501</v>
      </c>
      <c r="E148" s="422" t="s">
        <v>390</v>
      </c>
      <c r="F148" s="370" t="s">
        <v>395</v>
      </c>
      <c r="G148" s="371">
        <v>2</v>
      </c>
      <c r="H148" s="369">
        <v>200000</v>
      </c>
      <c r="I148" s="317">
        <f t="shared" si="2"/>
        <v>37500</v>
      </c>
      <c r="J148" s="249"/>
    </row>
    <row r="149" spans="2:10" s="158" customFormat="1">
      <c r="B149" s="316">
        <v>143</v>
      </c>
      <c r="C149" s="370" t="s">
        <v>251</v>
      </c>
      <c r="D149" s="370" t="s">
        <v>512</v>
      </c>
      <c r="E149" s="422" t="s">
        <v>151</v>
      </c>
      <c r="F149" s="370" t="s">
        <v>392</v>
      </c>
      <c r="G149" s="371">
        <v>3</v>
      </c>
      <c r="H149" s="369">
        <v>300000</v>
      </c>
      <c r="I149" s="317">
        <f t="shared" si="2"/>
        <v>56250</v>
      </c>
      <c r="J149" s="249"/>
    </row>
    <row r="150" spans="2:10" s="158" customFormat="1">
      <c r="B150" s="316">
        <v>144</v>
      </c>
      <c r="C150" s="370" t="s">
        <v>233</v>
      </c>
      <c r="D150" s="370" t="s">
        <v>447</v>
      </c>
      <c r="E150" s="422" t="s">
        <v>350</v>
      </c>
      <c r="F150" s="370" t="s">
        <v>392</v>
      </c>
      <c r="G150" s="371">
        <v>16</v>
      </c>
      <c r="H150" s="369">
        <v>1600000</v>
      </c>
      <c r="I150" s="317">
        <f t="shared" si="2"/>
        <v>300000</v>
      </c>
      <c r="J150" s="249"/>
    </row>
    <row r="151" spans="2:10" s="158" customFormat="1">
      <c r="B151" s="316">
        <v>145</v>
      </c>
      <c r="C151" s="370" t="s">
        <v>222</v>
      </c>
      <c r="D151" s="370" t="s">
        <v>418</v>
      </c>
      <c r="E151" s="422" t="s">
        <v>419</v>
      </c>
      <c r="F151" s="370" t="s">
        <v>395</v>
      </c>
      <c r="G151" s="371">
        <v>3</v>
      </c>
      <c r="H151" s="369">
        <v>300000</v>
      </c>
      <c r="I151" s="317">
        <f t="shared" si="2"/>
        <v>56250</v>
      </c>
      <c r="J151" s="249"/>
    </row>
    <row r="152" spans="2:10" s="158" customFormat="1">
      <c r="B152" s="316">
        <v>146</v>
      </c>
      <c r="C152" s="370" t="s">
        <v>244</v>
      </c>
      <c r="D152" s="370" t="s">
        <v>374</v>
      </c>
      <c r="E152" s="422" t="s">
        <v>375</v>
      </c>
      <c r="F152" s="370" t="s">
        <v>394</v>
      </c>
      <c r="G152" s="371">
        <v>1</v>
      </c>
      <c r="H152" s="369">
        <v>100000</v>
      </c>
      <c r="I152" s="317">
        <f t="shared" si="2"/>
        <v>18750</v>
      </c>
      <c r="J152" s="249"/>
    </row>
    <row r="153" spans="2:10" s="158" customFormat="1">
      <c r="B153" s="316">
        <v>147</v>
      </c>
      <c r="C153" s="370" t="s">
        <v>233</v>
      </c>
      <c r="D153" s="370" t="s">
        <v>400</v>
      </c>
      <c r="E153" s="422" t="s">
        <v>513</v>
      </c>
      <c r="F153" s="370" t="s">
        <v>396</v>
      </c>
      <c r="G153" s="371">
        <v>1</v>
      </c>
      <c r="H153" s="369">
        <v>100000</v>
      </c>
      <c r="I153" s="317">
        <f t="shared" si="2"/>
        <v>18750</v>
      </c>
      <c r="J153" s="249"/>
    </row>
    <row r="154" spans="2:10" s="158" customFormat="1">
      <c r="B154" s="316">
        <v>148</v>
      </c>
      <c r="C154" s="370" t="s">
        <v>238</v>
      </c>
      <c r="D154" s="370" t="s">
        <v>474</v>
      </c>
      <c r="E154" s="422" t="s">
        <v>475</v>
      </c>
      <c r="F154" s="370" t="s">
        <v>394</v>
      </c>
      <c r="G154" s="371">
        <v>1</v>
      </c>
      <c r="H154" s="369">
        <v>100000</v>
      </c>
      <c r="I154" s="317">
        <f t="shared" si="2"/>
        <v>18750</v>
      </c>
      <c r="J154" s="249"/>
    </row>
    <row r="155" spans="2:10" s="158" customFormat="1">
      <c r="B155" s="316">
        <v>149</v>
      </c>
      <c r="C155" s="370" t="s">
        <v>385</v>
      </c>
      <c r="D155" s="370" t="s">
        <v>341</v>
      </c>
      <c r="E155" s="422" t="s">
        <v>401</v>
      </c>
      <c r="F155" s="370" t="s">
        <v>392</v>
      </c>
      <c r="G155" s="371">
        <v>4</v>
      </c>
      <c r="H155" s="369">
        <v>400000</v>
      </c>
      <c r="I155" s="317">
        <f t="shared" si="2"/>
        <v>75000</v>
      </c>
      <c r="J155" s="249"/>
    </row>
    <row r="156" spans="2:10" s="158" customFormat="1">
      <c r="B156" s="316">
        <v>150</v>
      </c>
      <c r="C156" s="370" t="s">
        <v>222</v>
      </c>
      <c r="D156" s="370" t="s">
        <v>514</v>
      </c>
      <c r="E156" s="422" t="s">
        <v>373</v>
      </c>
      <c r="F156" s="370" t="s">
        <v>392</v>
      </c>
      <c r="G156" s="371">
        <v>6</v>
      </c>
      <c r="H156" s="369">
        <v>600000</v>
      </c>
      <c r="I156" s="317">
        <f t="shared" si="2"/>
        <v>112500</v>
      </c>
      <c r="J156" s="249"/>
    </row>
    <row r="157" spans="2:10" s="158" customFormat="1">
      <c r="B157" s="316">
        <v>151</v>
      </c>
      <c r="C157" s="370" t="s">
        <v>385</v>
      </c>
      <c r="D157" s="370" t="s">
        <v>341</v>
      </c>
      <c r="E157" s="422" t="s">
        <v>401</v>
      </c>
      <c r="F157" s="370" t="s">
        <v>395</v>
      </c>
      <c r="G157" s="371">
        <v>2</v>
      </c>
      <c r="H157" s="369">
        <v>200000</v>
      </c>
      <c r="I157" s="317">
        <f t="shared" si="2"/>
        <v>37500</v>
      </c>
      <c r="J157" s="249"/>
    </row>
    <row r="158" spans="2:10" s="158" customFormat="1">
      <c r="B158" s="316">
        <v>152</v>
      </c>
      <c r="C158" s="370" t="s">
        <v>212</v>
      </c>
      <c r="D158" s="370" t="s">
        <v>515</v>
      </c>
      <c r="E158" s="422" t="s">
        <v>134</v>
      </c>
      <c r="F158" s="370" t="s">
        <v>394</v>
      </c>
      <c r="G158" s="371">
        <v>1</v>
      </c>
      <c r="H158" s="369">
        <v>40300</v>
      </c>
      <c r="I158" s="317">
        <f t="shared" si="2"/>
        <v>7556.25</v>
      </c>
      <c r="J158" s="249"/>
    </row>
    <row r="159" spans="2:10" s="158" customFormat="1">
      <c r="B159" s="316">
        <v>153</v>
      </c>
      <c r="C159" s="370" t="s">
        <v>233</v>
      </c>
      <c r="D159" s="370" t="s">
        <v>516</v>
      </c>
      <c r="E159" s="422" t="s">
        <v>379</v>
      </c>
      <c r="F159" s="370" t="s">
        <v>410</v>
      </c>
      <c r="G159" s="371">
        <v>1</v>
      </c>
      <c r="H159" s="369">
        <v>100000</v>
      </c>
      <c r="I159" s="317">
        <f t="shared" si="2"/>
        <v>18750</v>
      </c>
      <c r="J159" s="249"/>
    </row>
    <row r="160" spans="2:10" s="158" customFormat="1">
      <c r="B160" s="316">
        <v>154</v>
      </c>
      <c r="C160" s="370" t="s">
        <v>385</v>
      </c>
      <c r="D160" s="370" t="s">
        <v>386</v>
      </c>
      <c r="E160" s="422" t="s">
        <v>365</v>
      </c>
      <c r="F160" s="370" t="s">
        <v>392</v>
      </c>
      <c r="G160" s="371">
        <v>4</v>
      </c>
      <c r="H160" s="369">
        <v>400000</v>
      </c>
      <c r="I160" s="317">
        <f t="shared" si="2"/>
        <v>75000</v>
      </c>
      <c r="J160" s="249"/>
    </row>
    <row r="161" spans="2:10" s="158" customFormat="1">
      <c r="B161" s="316">
        <v>155</v>
      </c>
      <c r="C161" s="370" t="s">
        <v>249</v>
      </c>
      <c r="D161" s="370" t="s">
        <v>517</v>
      </c>
      <c r="E161" s="422" t="s">
        <v>401</v>
      </c>
      <c r="F161" s="370" t="s">
        <v>518</v>
      </c>
      <c r="G161" s="371">
        <v>1</v>
      </c>
      <c r="H161" s="369">
        <v>101800</v>
      </c>
      <c r="I161" s="317">
        <f t="shared" si="2"/>
        <v>19087.5</v>
      </c>
      <c r="J161" s="249"/>
    </row>
    <row r="162" spans="2:10" s="158" customFormat="1">
      <c r="B162" s="316">
        <v>156</v>
      </c>
      <c r="C162" s="370" t="s">
        <v>200</v>
      </c>
      <c r="D162" s="370" t="s">
        <v>519</v>
      </c>
      <c r="E162" s="422" t="s">
        <v>520</v>
      </c>
      <c r="F162" s="370" t="s">
        <v>521</v>
      </c>
      <c r="G162" s="371">
        <v>1</v>
      </c>
      <c r="H162" s="369">
        <v>372700</v>
      </c>
      <c r="I162" s="317">
        <f t="shared" si="2"/>
        <v>69881.25</v>
      </c>
      <c r="J162" s="249"/>
    </row>
    <row r="163" spans="2:10" s="158" customFormat="1">
      <c r="B163" s="316">
        <v>157</v>
      </c>
      <c r="C163" s="370" t="s">
        <v>385</v>
      </c>
      <c r="D163" s="370" t="s">
        <v>386</v>
      </c>
      <c r="E163" s="422" t="s">
        <v>365</v>
      </c>
      <c r="F163" s="370" t="s">
        <v>395</v>
      </c>
      <c r="G163" s="371">
        <v>2</v>
      </c>
      <c r="H163" s="369">
        <v>200000</v>
      </c>
      <c r="I163" s="317">
        <f t="shared" si="2"/>
        <v>37500</v>
      </c>
      <c r="J163" s="249"/>
    </row>
    <row r="164" spans="2:10" s="158" customFormat="1">
      <c r="B164" s="316">
        <v>158</v>
      </c>
      <c r="C164" s="370" t="s">
        <v>256</v>
      </c>
      <c r="D164" s="370" t="s">
        <v>488</v>
      </c>
      <c r="E164" s="422" t="s">
        <v>451</v>
      </c>
      <c r="F164" s="370" t="s">
        <v>392</v>
      </c>
      <c r="G164" s="371">
        <v>1</v>
      </c>
      <c r="H164" s="369">
        <v>100000</v>
      </c>
      <c r="I164" s="317">
        <f t="shared" si="2"/>
        <v>18750</v>
      </c>
      <c r="J164" s="249"/>
    </row>
    <row r="165" spans="2:10" s="158" customFormat="1">
      <c r="B165" s="316">
        <v>159</v>
      </c>
      <c r="C165" s="370" t="s">
        <v>256</v>
      </c>
      <c r="D165" s="370" t="s">
        <v>443</v>
      </c>
      <c r="E165" s="422" t="s">
        <v>149</v>
      </c>
      <c r="F165" s="370" t="s">
        <v>395</v>
      </c>
      <c r="G165" s="371">
        <v>3</v>
      </c>
      <c r="H165" s="369">
        <v>300000</v>
      </c>
      <c r="I165" s="317">
        <f t="shared" si="2"/>
        <v>56250</v>
      </c>
      <c r="J165" s="249"/>
    </row>
    <row r="166" spans="2:10" s="158" customFormat="1">
      <c r="B166" s="316">
        <v>160</v>
      </c>
      <c r="C166" s="370" t="s">
        <v>236</v>
      </c>
      <c r="D166" s="370" t="s">
        <v>522</v>
      </c>
      <c r="E166" s="422" t="s">
        <v>523</v>
      </c>
      <c r="F166" s="370" t="s">
        <v>395</v>
      </c>
      <c r="G166" s="371">
        <v>6</v>
      </c>
      <c r="H166" s="369">
        <v>600000</v>
      </c>
      <c r="I166" s="317">
        <f t="shared" si="2"/>
        <v>112500</v>
      </c>
      <c r="J166" s="249"/>
    </row>
    <row r="167" spans="2:10" s="158" customFormat="1">
      <c r="B167" s="316">
        <v>161</v>
      </c>
      <c r="C167" s="370" t="s">
        <v>200</v>
      </c>
      <c r="D167" s="370" t="s">
        <v>524</v>
      </c>
      <c r="E167" s="422" t="s">
        <v>525</v>
      </c>
      <c r="F167" s="370" t="s">
        <v>392</v>
      </c>
      <c r="G167" s="371">
        <v>6</v>
      </c>
      <c r="H167" s="369">
        <v>600000</v>
      </c>
      <c r="I167" s="317">
        <f t="shared" si="2"/>
        <v>112500</v>
      </c>
      <c r="J167" s="249"/>
    </row>
    <row r="168" spans="2:10" s="158" customFormat="1">
      <c r="B168" s="316">
        <v>162</v>
      </c>
      <c r="C168" s="370" t="s">
        <v>230</v>
      </c>
      <c r="D168" s="370" t="s">
        <v>471</v>
      </c>
      <c r="E168" s="422" t="s">
        <v>152</v>
      </c>
      <c r="F168" s="370" t="s">
        <v>392</v>
      </c>
      <c r="G168" s="371">
        <v>2</v>
      </c>
      <c r="H168" s="369">
        <v>200000</v>
      </c>
      <c r="I168" s="317">
        <f t="shared" si="2"/>
        <v>37500</v>
      </c>
      <c r="J168" s="249"/>
    </row>
    <row r="169" spans="2:10" s="158" customFormat="1">
      <c r="B169" s="316">
        <v>163</v>
      </c>
      <c r="C169" s="370" t="s">
        <v>200</v>
      </c>
      <c r="D169" s="370" t="s">
        <v>420</v>
      </c>
      <c r="E169" s="422" t="s">
        <v>153</v>
      </c>
      <c r="F169" s="370" t="s">
        <v>395</v>
      </c>
      <c r="G169" s="371">
        <v>2</v>
      </c>
      <c r="H169" s="369">
        <v>200000</v>
      </c>
      <c r="I169" s="317">
        <f t="shared" si="2"/>
        <v>37500</v>
      </c>
      <c r="J169" s="249"/>
    </row>
    <row r="170" spans="2:10" s="158" customFormat="1" ht="26.4">
      <c r="B170" s="316">
        <v>164</v>
      </c>
      <c r="C170" s="370" t="s">
        <v>249</v>
      </c>
      <c r="D170" s="370" t="s">
        <v>526</v>
      </c>
      <c r="E170" s="422" t="s">
        <v>152</v>
      </c>
      <c r="F170" s="370" t="s">
        <v>527</v>
      </c>
      <c r="G170" s="371">
        <v>1</v>
      </c>
      <c r="H170" s="369">
        <v>275600</v>
      </c>
      <c r="I170" s="317">
        <f t="shared" si="2"/>
        <v>51675</v>
      </c>
      <c r="J170" s="249"/>
    </row>
    <row r="171" spans="2:10" s="158" customFormat="1">
      <c r="B171" s="316">
        <v>165</v>
      </c>
      <c r="C171" s="370" t="s">
        <v>385</v>
      </c>
      <c r="D171" s="370" t="s">
        <v>397</v>
      </c>
      <c r="E171" s="422" t="s">
        <v>150</v>
      </c>
      <c r="F171" s="370" t="s">
        <v>395</v>
      </c>
      <c r="G171" s="371">
        <v>1</v>
      </c>
      <c r="H171" s="369">
        <v>100000</v>
      </c>
      <c r="I171" s="317">
        <f t="shared" si="2"/>
        <v>18750</v>
      </c>
      <c r="J171" s="249"/>
    </row>
    <row r="172" spans="2:10" s="158" customFormat="1">
      <c r="B172" s="316">
        <v>166</v>
      </c>
      <c r="C172" s="370" t="s">
        <v>200</v>
      </c>
      <c r="D172" s="370" t="s">
        <v>528</v>
      </c>
      <c r="E172" s="422" t="s">
        <v>417</v>
      </c>
      <c r="F172" s="370" t="s">
        <v>396</v>
      </c>
      <c r="G172" s="371">
        <v>1</v>
      </c>
      <c r="H172" s="369">
        <v>40300</v>
      </c>
      <c r="I172" s="317">
        <f t="shared" si="2"/>
        <v>7556.25</v>
      </c>
      <c r="J172" s="249"/>
    </row>
    <row r="173" spans="2:10" s="158" customFormat="1">
      <c r="B173" s="316">
        <v>167</v>
      </c>
      <c r="C173" s="370" t="s">
        <v>238</v>
      </c>
      <c r="D173" s="370" t="s">
        <v>380</v>
      </c>
      <c r="E173" s="422" t="s">
        <v>381</v>
      </c>
      <c r="F173" s="370" t="s">
        <v>396</v>
      </c>
      <c r="G173" s="371">
        <v>1</v>
      </c>
      <c r="H173" s="369">
        <v>40300</v>
      </c>
      <c r="I173" s="317">
        <f t="shared" si="2"/>
        <v>7556.25</v>
      </c>
      <c r="J173" s="249"/>
    </row>
    <row r="174" spans="2:10" s="158" customFormat="1">
      <c r="B174" s="316">
        <v>168</v>
      </c>
      <c r="C174" s="370" t="s">
        <v>253</v>
      </c>
      <c r="D174" s="370" t="s">
        <v>529</v>
      </c>
      <c r="E174" s="422" t="s">
        <v>530</v>
      </c>
      <c r="F174" s="370" t="s">
        <v>395</v>
      </c>
      <c r="G174" s="371">
        <v>1</v>
      </c>
      <c r="H174" s="369">
        <v>100000</v>
      </c>
      <c r="I174" s="317">
        <f t="shared" si="2"/>
        <v>18750</v>
      </c>
      <c r="J174" s="249"/>
    </row>
    <row r="175" spans="2:10" s="158" customFormat="1">
      <c r="B175" s="316">
        <v>169</v>
      </c>
      <c r="C175" s="370" t="s">
        <v>258</v>
      </c>
      <c r="D175" s="370" t="s">
        <v>362</v>
      </c>
      <c r="E175" s="422" t="s">
        <v>363</v>
      </c>
      <c r="F175" s="370" t="s">
        <v>392</v>
      </c>
      <c r="G175" s="371">
        <v>2</v>
      </c>
      <c r="H175" s="369">
        <v>200000</v>
      </c>
      <c r="I175" s="317">
        <f t="shared" si="2"/>
        <v>37500</v>
      </c>
      <c r="J175" s="249"/>
    </row>
    <row r="176" spans="2:10" s="158" customFormat="1">
      <c r="B176" s="316">
        <v>170</v>
      </c>
      <c r="C176" s="370" t="s">
        <v>244</v>
      </c>
      <c r="D176" s="370" t="s">
        <v>459</v>
      </c>
      <c r="E176" s="422" t="s">
        <v>390</v>
      </c>
      <c r="F176" s="370" t="s">
        <v>480</v>
      </c>
      <c r="G176" s="371">
        <v>1</v>
      </c>
      <c r="H176" s="369">
        <v>101800</v>
      </c>
      <c r="I176" s="317">
        <f t="shared" si="2"/>
        <v>19087.5</v>
      </c>
      <c r="J176" s="249"/>
    </row>
    <row r="177" spans="2:10" s="158" customFormat="1">
      <c r="B177" s="316">
        <v>171</v>
      </c>
      <c r="C177" s="370" t="s">
        <v>230</v>
      </c>
      <c r="D177" s="370" t="s">
        <v>422</v>
      </c>
      <c r="E177" s="422" t="s">
        <v>388</v>
      </c>
      <c r="F177" s="370" t="s">
        <v>395</v>
      </c>
      <c r="G177" s="371">
        <v>5</v>
      </c>
      <c r="H177" s="369">
        <v>500000</v>
      </c>
      <c r="I177" s="317">
        <f t="shared" si="2"/>
        <v>93750</v>
      </c>
      <c r="J177" s="249"/>
    </row>
    <row r="178" spans="2:10" s="158" customFormat="1">
      <c r="B178" s="316">
        <v>172</v>
      </c>
      <c r="C178" s="370" t="s">
        <v>230</v>
      </c>
      <c r="D178" s="370" t="s">
        <v>446</v>
      </c>
      <c r="E178" s="422" t="s">
        <v>441</v>
      </c>
      <c r="F178" s="370" t="s">
        <v>392</v>
      </c>
      <c r="G178" s="371">
        <v>5</v>
      </c>
      <c r="H178" s="369">
        <v>500000</v>
      </c>
      <c r="I178" s="317">
        <f t="shared" si="2"/>
        <v>93750</v>
      </c>
      <c r="J178" s="249"/>
    </row>
    <row r="179" spans="2:10" s="158" customFormat="1">
      <c r="B179" s="316">
        <v>173</v>
      </c>
      <c r="C179" s="370" t="s">
        <v>222</v>
      </c>
      <c r="D179" s="370" t="s">
        <v>181</v>
      </c>
      <c r="E179" s="422" t="s">
        <v>134</v>
      </c>
      <c r="F179" s="370" t="s">
        <v>392</v>
      </c>
      <c r="G179" s="371">
        <v>12</v>
      </c>
      <c r="H179" s="369">
        <v>1200000</v>
      </c>
      <c r="I179" s="317">
        <f t="shared" si="2"/>
        <v>225000</v>
      </c>
      <c r="J179" s="249"/>
    </row>
    <row r="180" spans="2:10" s="158" customFormat="1">
      <c r="B180" s="316">
        <v>174</v>
      </c>
      <c r="C180" s="370" t="s">
        <v>224</v>
      </c>
      <c r="D180" s="370" t="s">
        <v>465</v>
      </c>
      <c r="E180" s="422" t="s">
        <v>381</v>
      </c>
      <c r="F180" s="370" t="s">
        <v>395</v>
      </c>
      <c r="G180" s="371">
        <v>1</v>
      </c>
      <c r="H180" s="369">
        <v>100000</v>
      </c>
      <c r="I180" s="317">
        <f t="shared" si="2"/>
        <v>18750</v>
      </c>
      <c r="J180" s="249"/>
    </row>
    <row r="181" spans="2:10" s="158" customFormat="1">
      <c r="B181" s="316">
        <v>175</v>
      </c>
      <c r="C181" s="370" t="s">
        <v>258</v>
      </c>
      <c r="D181" s="370" t="s">
        <v>356</v>
      </c>
      <c r="E181" s="422" t="s">
        <v>357</v>
      </c>
      <c r="F181" s="370" t="s">
        <v>392</v>
      </c>
      <c r="G181" s="371">
        <v>3</v>
      </c>
      <c r="H181" s="369">
        <v>300000</v>
      </c>
      <c r="I181" s="317">
        <f t="shared" si="2"/>
        <v>56250</v>
      </c>
      <c r="J181" s="249"/>
    </row>
    <row r="182" spans="2:10" s="158" customFormat="1">
      <c r="B182" s="316">
        <v>176</v>
      </c>
      <c r="C182" s="370" t="s">
        <v>200</v>
      </c>
      <c r="D182" s="370" t="s">
        <v>531</v>
      </c>
      <c r="E182" s="422" t="s">
        <v>499</v>
      </c>
      <c r="F182" s="370" t="s">
        <v>395</v>
      </c>
      <c r="G182" s="371">
        <v>3</v>
      </c>
      <c r="H182" s="369">
        <v>300000</v>
      </c>
      <c r="I182" s="317">
        <f t="shared" si="2"/>
        <v>56250</v>
      </c>
      <c r="J182" s="249"/>
    </row>
    <row r="183" spans="2:10" s="158" customFormat="1">
      <c r="B183" s="316">
        <v>177</v>
      </c>
      <c r="C183" s="370" t="s">
        <v>197</v>
      </c>
      <c r="D183" s="370" t="s">
        <v>532</v>
      </c>
      <c r="E183" s="422" t="s">
        <v>371</v>
      </c>
      <c r="F183" s="370" t="s">
        <v>392</v>
      </c>
      <c r="G183" s="371">
        <v>6</v>
      </c>
      <c r="H183" s="369">
        <v>600000</v>
      </c>
      <c r="I183" s="317">
        <f t="shared" si="2"/>
        <v>112500</v>
      </c>
      <c r="J183" s="249"/>
    </row>
    <row r="184" spans="2:10" s="158" customFormat="1">
      <c r="B184" s="316">
        <v>178</v>
      </c>
      <c r="C184" s="370" t="s">
        <v>249</v>
      </c>
      <c r="D184" s="370" t="s">
        <v>155</v>
      </c>
      <c r="E184" s="422" t="s">
        <v>150</v>
      </c>
      <c r="F184" s="370" t="s">
        <v>392</v>
      </c>
      <c r="G184" s="371">
        <v>4</v>
      </c>
      <c r="H184" s="369">
        <v>400000</v>
      </c>
      <c r="I184" s="317">
        <f t="shared" si="2"/>
        <v>75000</v>
      </c>
      <c r="J184" s="249"/>
    </row>
    <row r="185" spans="2:10" s="158" customFormat="1">
      <c r="B185" s="316">
        <v>179</v>
      </c>
      <c r="C185" s="370" t="s">
        <v>200</v>
      </c>
      <c r="D185" s="370" t="s">
        <v>437</v>
      </c>
      <c r="E185" s="422" t="s">
        <v>438</v>
      </c>
      <c r="F185" s="370" t="s">
        <v>395</v>
      </c>
      <c r="G185" s="371">
        <v>2</v>
      </c>
      <c r="H185" s="369">
        <v>200000</v>
      </c>
      <c r="I185" s="317">
        <f t="shared" si="2"/>
        <v>37500</v>
      </c>
      <c r="J185" s="249"/>
    </row>
    <row r="186" spans="2:10" s="158" customFormat="1">
      <c r="B186" s="316">
        <v>180</v>
      </c>
      <c r="C186" s="370" t="s">
        <v>200</v>
      </c>
      <c r="D186" s="370" t="s">
        <v>351</v>
      </c>
      <c r="E186" s="422" t="s">
        <v>352</v>
      </c>
      <c r="F186" s="370" t="s">
        <v>392</v>
      </c>
      <c r="G186" s="371">
        <v>4</v>
      </c>
      <c r="H186" s="369">
        <v>400000</v>
      </c>
      <c r="I186" s="317">
        <f t="shared" si="2"/>
        <v>75000</v>
      </c>
      <c r="J186" s="249"/>
    </row>
    <row r="187" spans="2:10" s="158" customFormat="1">
      <c r="B187" s="316">
        <v>181</v>
      </c>
      <c r="C187" s="370" t="s">
        <v>244</v>
      </c>
      <c r="D187" s="370" t="s">
        <v>498</v>
      </c>
      <c r="E187" s="422" t="s">
        <v>499</v>
      </c>
      <c r="F187" s="370" t="s">
        <v>394</v>
      </c>
      <c r="G187" s="371">
        <v>1</v>
      </c>
      <c r="H187" s="369">
        <v>40300</v>
      </c>
      <c r="I187" s="317">
        <f t="shared" si="2"/>
        <v>7556.25</v>
      </c>
      <c r="J187" s="249"/>
    </row>
    <row r="188" spans="2:10" s="158" customFormat="1">
      <c r="B188" s="316">
        <v>182</v>
      </c>
      <c r="C188" s="370" t="s">
        <v>256</v>
      </c>
      <c r="D188" s="370" t="s">
        <v>533</v>
      </c>
      <c r="E188" s="422" t="s">
        <v>412</v>
      </c>
      <c r="F188" s="370" t="s">
        <v>396</v>
      </c>
      <c r="G188" s="371">
        <v>1</v>
      </c>
      <c r="H188" s="369">
        <v>100000</v>
      </c>
      <c r="I188" s="317">
        <f t="shared" si="2"/>
        <v>18750</v>
      </c>
      <c r="J188" s="249"/>
    </row>
    <row r="189" spans="2:10" s="158" customFormat="1">
      <c r="B189" s="316">
        <v>183</v>
      </c>
      <c r="C189" s="370" t="s">
        <v>209</v>
      </c>
      <c r="D189" s="370" t="s">
        <v>534</v>
      </c>
      <c r="E189" s="422" t="s">
        <v>453</v>
      </c>
      <c r="F189" s="370" t="s">
        <v>396</v>
      </c>
      <c r="G189" s="371">
        <v>1</v>
      </c>
      <c r="H189" s="369">
        <v>100000</v>
      </c>
      <c r="I189" s="317">
        <f t="shared" si="2"/>
        <v>18750</v>
      </c>
      <c r="J189" s="249"/>
    </row>
    <row r="190" spans="2:10" s="158" customFormat="1">
      <c r="B190" s="316">
        <v>184</v>
      </c>
      <c r="C190" s="370" t="s">
        <v>253</v>
      </c>
      <c r="D190" s="370" t="s">
        <v>495</v>
      </c>
      <c r="E190" s="422" t="s">
        <v>430</v>
      </c>
      <c r="F190" s="370" t="s">
        <v>395</v>
      </c>
      <c r="G190" s="371">
        <v>1</v>
      </c>
      <c r="H190" s="369">
        <v>100000</v>
      </c>
      <c r="I190" s="317">
        <f t="shared" si="2"/>
        <v>18750</v>
      </c>
      <c r="J190" s="249"/>
    </row>
    <row r="191" spans="2:10" s="158" customFormat="1">
      <c r="B191" s="316">
        <v>185</v>
      </c>
      <c r="C191" s="370" t="s">
        <v>224</v>
      </c>
      <c r="D191" s="370" t="s">
        <v>366</v>
      </c>
      <c r="E191" s="422" t="s">
        <v>367</v>
      </c>
      <c r="F191" s="370" t="s">
        <v>392</v>
      </c>
      <c r="G191" s="371">
        <v>2</v>
      </c>
      <c r="H191" s="369">
        <v>200000</v>
      </c>
      <c r="I191" s="317">
        <f t="shared" si="2"/>
        <v>37500</v>
      </c>
      <c r="J191" s="249"/>
    </row>
    <row r="192" spans="2:10" s="158" customFormat="1">
      <c r="B192" s="316">
        <v>186</v>
      </c>
      <c r="C192" s="370" t="s">
        <v>324</v>
      </c>
      <c r="D192" s="370" t="s">
        <v>535</v>
      </c>
      <c r="E192" s="422" t="s">
        <v>490</v>
      </c>
      <c r="F192" s="370" t="s">
        <v>395</v>
      </c>
      <c r="G192" s="371">
        <v>3</v>
      </c>
      <c r="H192" s="369">
        <v>300000</v>
      </c>
      <c r="I192" s="317">
        <f t="shared" si="2"/>
        <v>56250</v>
      </c>
      <c r="J192" s="249"/>
    </row>
    <row r="193" spans="2:188" s="158" customFormat="1">
      <c r="B193" s="316">
        <v>187</v>
      </c>
      <c r="C193" s="370" t="s">
        <v>209</v>
      </c>
      <c r="D193" s="370" t="s">
        <v>389</v>
      </c>
      <c r="E193" s="422" t="s">
        <v>390</v>
      </c>
      <c r="F193" s="370" t="s">
        <v>392</v>
      </c>
      <c r="G193" s="371">
        <v>16</v>
      </c>
      <c r="H193" s="369">
        <v>1600000</v>
      </c>
      <c r="I193" s="317">
        <f t="shared" si="2"/>
        <v>300000</v>
      </c>
      <c r="J193" s="249"/>
    </row>
    <row r="194" spans="2:188" s="158" customFormat="1">
      <c r="B194" s="316">
        <v>188</v>
      </c>
      <c r="C194" s="370" t="s">
        <v>256</v>
      </c>
      <c r="D194" s="370" t="s">
        <v>358</v>
      </c>
      <c r="E194" s="422" t="s">
        <v>359</v>
      </c>
      <c r="F194" s="370" t="s">
        <v>392</v>
      </c>
      <c r="G194" s="371">
        <v>4</v>
      </c>
      <c r="H194" s="369">
        <v>400000</v>
      </c>
      <c r="I194" s="317">
        <f t="shared" si="2"/>
        <v>75000</v>
      </c>
      <c r="J194" s="249"/>
    </row>
    <row r="195" spans="2:188" s="158" customFormat="1">
      <c r="B195" s="316">
        <v>189</v>
      </c>
      <c r="C195" s="370" t="s">
        <v>236</v>
      </c>
      <c r="D195" s="370" t="s">
        <v>536</v>
      </c>
      <c r="E195" s="422" t="s">
        <v>537</v>
      </c>
      <c r="F195" s="370" t="s">
        <v>392</v>
      </c>
      <c r="G195" s="371">
        <v>5</v>
      </c>
      <c r="H195" s="369">
        <v>500000</v>
      </c>
      <c r="I195" s="317">
        <f t="shared" si="2"/>
        <v>93750</v>
      </c>
      <c r="J195" s="249"/>
    </row>
    <row r="196" spans="2:188" s="158" customFormat="1">
      <c r="B196" s="316">
        <v>190</v>
      </c>
      <c r="C196" s="370" t="s">
        <v>212</v>
      </c>
      <c r="D196" s="370" t="s">
        <v>538</v>
      </c>
      <c r="E196" s="422" t="s">
        <v>539</v>
      </c>
      <c r="F196" s="370" t="s">
        <v>392</v>
      </c>
      <c r="G196" s="371">
        <v>21</v>
      </c>
      <c r="H196" s="369">
        <v>2100000</v>
      </c>
      <c r="I196" s="317">
        <f t="shared" si="2"/>
        <v>393750</v>
      </c>
      <c r="J196" s="249"/>
    </row>
    <row r="197" spans="2:188" s="158" customFormat="1">
      <c r="B197" s="316">
        <v>191</v>
      </c>
      <c r="C197" s="370" t="s">
        <v>251</v>
      </c>
      <c r="D197" s="370" t="s">
        <v>512</v>
      </c>
      <c r="E197" s="422" t="s">
        <v>151</v>
      </c>
      <c r="F197" s="370" t="s">
        <v>395</v>
      </c>
      <c r="G197" s="371">
        <v>7</v>
      </c>
      <c r="H197" s="369">
        <v>700000</v>
      </c>
      <c r="I197" s="317">
        <f t="shared" si="2"/>
        <v>131250</v>
      </c>
      <c r="J197" s="249"/>
    </row>
    <row r="198" spans="2:188" s="158" customFormat="1">
      <c r="B198" s="316">
        <v>192</v>
      </c>
      <c r="C198" s="370" t="s">
        <v>236</v>
      </c>
      <c r="D198" s="370" t="s">
        <v>398</v>
      </c>
      <c r="E198" s="422" t="s">
        <v>399</v>
      </c>
      <c r="F198" s="370" t="s">
        <v>395</v>
      </c>
      <c r="G198" s="371">
        <v>9</v>
      </c>
      <c r="H198" s="369">
        <v>900000</v>
      </c>
      <c r="I198" s="317">
        <f t="shared" si="2"/>
        <v>168750</v>
      </c>
      <c r="J198" s="249"/>
    </row>
    <row r="199" spans="2:188" s="158" customFormat="1">
      <c r="B199" s="316">
        <v>193</v>
      </c>
      <c r="C199" s="370" t="s">
        <v>249</v>
      </c>
      <c r="D199" s="370" t="s">
        <v>454</v>
      </c>
      <c r="E199" s="422" t="s">
        <v>152</v>
      </c>
      <c r="F199" s="370" t="s">
        <v>392</v>
      </c>
      <c r="G199" s="371">
        <v>6</v>
      </c>
      <c r="H199" s="369">
        <v>600000</v>
      </c>
      <c r="I199" s="317">
        <f t="shared" si="2"/>
        <v>112500</v>
      </c>
      <c r="J199" s="249"/>
    </row>
    <row r="200" spans="2:188" s="158" customFormat="1">
      <c r="B200" s="316">
        <v>194</v>
      </c>
      <c r="C200" s="370" t="s">
        <v>253</v>
      </c>
      <c r="D200" s="370" t="s">
        <v>529</v>
      </c>
      <c r="E200" s="422" t="s">
        <v>530</v>
      </c>
      <c r="F200" s="370" t="s">
        <v>392</v>
      </c>
      <c r="G200" s="371">
        <v>1</v>
      </c>
      <c r="H200" s="369">
        <v>100000</v>
      </c>
      <c r="I200" s="317">
        <f t="shared" ref="I200:I263" si="3">H200*25%*75%</f>
        <v>18750</v>
      </c>
      <c r="J200" s="249"/>
    </row>
    <row r="201" spans="2:188" s="158" customFormat="1">
      <c r="B201" s="316">
        <v>195</v>
      </c>
      <c r="C201" s="370" t="s">
        <v>212</v>
      </c>
      <c r="D201" s="370" t="s">
        <v>462</v>
      </c>
      <c r="E201" s="422" t="s">
        <v>463</v>
      </c>
      <c r="F201" s="370" t="s">
        <v>395</v>
      </c>
      <c r="G201" s="371">
        <v>2</v>
      </c>
      <c r="H201" s="369">
        <v>200000</v>
      </c>
      <c r="I201" s="317">
        <f t="shared" si="3"/>
        <v>37500</v>
      </c>
      <c r="J201" s="249"/>
    </row>
    <row r="202" spans="2:188" s="158" customFormat="1">
      <c r="B202" s="316">
        <v>196</v>
      </c>
      <c r="C202" s="370" t="s">
        <v>200</v>
      </c>
      <c r="D202" s="370" t="s">
        <v>524</v>
      </c>
      <c r="E202" s="422" t="s">
        <v>525</v>
      </c>
      <c r="F202" s="370" t="s">
        <v>395</v>
      </c>
      <c r="G202" s="371">
        <v>3</v>
      </c>
      <c r="H202" s="369">
        <v>300000</v>
      </c>
      <c r="I202" s="317">
        <f t="shared" si="3"/>
        <v>56250</v>
      </c>
      <c r="J202" s="249"/>
    </row>
    <row r="203" spans="2:188" s="158" customFormat="1">
      <c r="B203" s="316">
        <v>197</v>
      </c>
      <c r="C203" s="370" t="s">
        <v>212</v>
      </c>
      <c r="D203" s="370" t="s">
        <v>402</v>
      </c>
      <c r="E203" s="422" t="s">
        <v>403</v>
      </c>
      <c r="F203" s="370" t="s">
        <v>392</v>
      </c>
      <c r="G203" s="371">
        <v>1</v>
      </c>
      <c r="H203" s="369">
        <v>100000</v>
      </c>
      <c r="I203" s="317">
        <f t="shared" si="3"/>
        <v>18750</v>
      </c>
      <c r="J203" s="249"/>
    </row>
    <row r="204" spans="2:188" s="158" customFormat="1">
      <c r="B204" s="316">
        <v>198</v>
      </c>
      <c r="C204" s="370" t="s">
        <v>251</v>
      </c>
      <c r="D204" s="370" t="s">
        <v>540</v>
      </c>
      <c r="E204" s="422" t="s">
        <v>152</v>
      </c>
      <c r="F204" s="370" t="s">
        <v>410</v>
      </c>
      <c r="G204" s="371">
        <v>1</v>
      </c>
      <c r="H204" s="369">
        <v>100000</v>
      </c>
      <c r="I204" s="317">
        <f t="shared" si="3"/>
        <v>18750</v>
      </c>
      <c r="J204" s="249"/>
    </row>
    <row r="205" spans="2:188" s="158" customFormat="1">
      <c r="B205" s="316">
        <v>199</v>
      </c>
      <c r="C205" s="370" t="s">
        <v>224</v>
      </c>
      <c r="D205" s="370" t="s">
        <v>473</v>
      </c>
      <c r="E205" s="422" t="s">
        <v>399</v>
      </c>
      <c r="F205" s="370" t="s">
        <v>392</v>
      </c>
      <c r="G205" s="371">
        <v>5</v>
      </c>
      <c r="H205" s="369">
        <v>500000</v>
      </c>
      <c r="I205" s="317">
        <f t="shared" si="3"/>
        <v>93750</v>
      </c>
      <c r="J205" s="249"/>
    </row>
    <row r="206" spans="2:188" s="158" customFormat="1">
      <c r="B206" s="316">
        <v>200</v>
      </c>
      <c r="C206" s="370" t="s">
        <v>256</v>
      </c>
      <c r="D206" s="370" t="s">
        <v>514</v>
      </c>
      <c r="E206" s="422" t="s">
        <v>373</v>
      </c>
      <c r="F206" s="370" t="s">
        <v>396</v>
      </c>
      <c r="G206" s="371">
        <v>1</v>
      </c>
      <c r="H206" s="369">
        <v>100000</v>
      </c>
      <c r="I206" s="317">
        <f t="shared" si="3"/>
        <v>18750</v>
      </c>
      <c r="J206" s="355"/>
      <c r="K206" s="324"/>
      <c r="L206" s="324"/>
      <c r="M206" s="324"/>
      <c r="N206" s="324"/>
      <c r="O206" s="324"/>
      <c r="P206" s="324"/>
      <c r="Q206" s="324"/>
      <c r="R206" s="324"/>
      <c r="S206" s="324"/>
      <c r="T206" s="324"/>
      <c r="U206" s="324"/>
      <c r="V206" s="324"/>
      <c r="W206" s="324"/>
      <c r="X206" s="324"/>
      <c r="Y206" s="324"/>
      <c r="Z206" s="324"/>
      <c r="AA206" s="324"/>
      <c r="AB206" s="324"/>
      <c r="AC206" s="324"/>
      <c r="AD206" s="324"/>
      <c r="AE206" s="324"/>
      <c r="AF206" s="324"/>
      <c r="AG206" s="324"/>
      <c r="AH206" s="324"/>
      <c r="AI206" s="324"/>
      <c r="AJ206" s="324"/>
      <c r="AK206" s="324"/>
      <c r="AL206" s="324"/>
      <c r="AM206" s="324"/>
      <c r="AN206" s="324"/>
      <c r="AO206" s="324"/>
      <c r="AP206" s="324"/>
      <c r="AQ206" s="324"/>
      <c r="AR206" s="324"/>
      <c r="AS206" s="324"/>
      <c r="AT206" s="324"/>
      <c r="AU206" s="324"/>
      <c r="AV206" s="324"/>
      <c r="AW206" s="324"/>
      <c r="AX206" s="324"/>
      <c r="AY206" s="324"/>
      <c r="AZ206" s="324"/>
      <c r="BA206" s="324"/>
      <c r="BB206" s="324"/>
      <c r="BC206" s="324"/>
      <c r="BD206" s="324"/>
      <c r="BE206" s="324"/>
      <c r="BF206" s="324"/>
      <c r="BG206" s="324"/>
      <c r="BH206" s="324"/>
      <c r="BI206" s="324"/>
      <c r="BJ206" s="324"/>
      <c r="BK206" s="324"/>
      <c r="BL206" s="324"/>
      <c r="BM206" s="324"/>
      <c r="BN206" s="324"/>
      <c r="BO206" s="324"/>
      <c r="BP206" s="324"/>
      <c r="BQ206" s="324"/>
      <c r="BR206" s="324"/>
      <c r="BS206" s="324"/>
      <c r="BT206" s="324"/>
      <c r="BU206" s="324"/>
      <c r="BV206" s="324"/>
      <c r="BW206" s="324"/>
      <c r="BX206" s="324"/>
      <c r="BY206" s="324"/>
      <c r="BZ206" s="324"/>
      <c r="CA206" s="324"/>
      <c r="CB206" s="324"/>
      <c r="CC206" s="324"/>
      <c r="CD206" s="324"/>
      <c r="CE206" s="324"/>
      <c r="CF206" s="324"/>
      <c r="CG206" s="324"/>
      <c r="CH206" s="324"/>
      <c r="CI206" s="324"/>
      <c r="CJ206" s="324"/>
      <c r="CK206" s="324"/>
      <c r="CL206" s="324"/>
      <c r="CM206" s="324"/>
      <c r="CN206" s="324"/>
      <c r="CO206" s="324"/>
      <c r="CP206" s="324"/>
      <c r="CQ206" s="324"/>
      <c r="CR206" s="324"/>
      <c r="CS206" s="324"/>
      <c r="CT206" s="324"/>
      <c r="CU206" s="324"/>
      <c r="CV206" s="324"/>
      <c r="CW206" s="324"/>
      <c r="CX206" s="324"/>
      <c r="CY206" s="324"/>
      <c r="CZ206" s="324"/>
      <c r="DA206" s="324"/>
      <c r="DB206" s="324"/>
      <c r="DC206" s="324"/>
      <c r="DD206" s="324"/>
      <c r="DE206" s="324"/>
      <c r="DF206" s="324"/>
      <c r="DG206" s="324"/>
      <c r="DH206" s="324"/>
      <c r="DI206" s="324"/>
      <c r="DJ206" s="324"/>
      <c r="DK206" s="324"/>
      <c r="DL206" s="324"/>
      <c r="DM206" s="324"/>
      <c r="DN206" s="324"/>
      <c r="DO206" s="324"/>
      <c r="DP206" s="324"/>
      <c r="DQ206" s="324"/>
      <c r="DR206" s="324"/>
      <c r="DS206" s="324"/>
      <c r="DT206" s="324"/>
      <c r="DU206" s="324"/>
      <c r="DV206" s="324"/>
      <c r="DW206" s="324"/>
      <c r="DX206" s="324"/>
      <c r="DY206" s="324"/>
      <c r="DZ206" s="324"/>
      <c r="EA206" s="324"/>
      <c r="EB206" s="324"/>
      <c r="EC206" s="324"/>
      <c r="ED206" s="324"/>
      <c r="EE206" s="324"/>
      <c r="EF206" s="324"/>
      <c r="EG206" s="324"/>
      <c r="EH206" s="324"/>
      <c r="EI206" s="324"/>
      <c r="EJ206" s="324"/>
      <c r="EK206" s="324"/>
      <c r="EL206" s="324"/>
      <c r="EM206" s="324"/>
      <c r="EN206" s="324"/>
      <c r="EO206" s="324"/>
      <c r="EP206" s="324"/>
      <c r="EQ206" s="324"/>
      <c r="ER206" s="324"/>
      <c r="ES206" s="324"/>
      <c r="ET206" s="324"/>
      <c r="EU206" s="324"/>
      <c r="EV206" s="324"/>
      <c r="EW206" s="324"/>
      <c r="EX206" s="324"/>
      <c r="EY206" s="324"/>
      <c r="EZ206" s="324"/>
      <c r="FA206" s="324"/>
      <c r="FB206" s="324"/>
      <c r="FC206" s="324"/>
      <c r="FD206" s="324"/>
      <c r="FE206" s="324"/>
      <c r="FF206" s="324"/>
      <c r="FG206" s="324"/>
      <c r="FH206" s="324"/>
      <c r="FI206" s="324"/>
      <c r="FJ206" s="324"/>
      <c r="FK206" s="324"/>
      <c r="FL206" s="324"/>
      <c r="FM206" s="324"/>
      <c r="FN206" s="324"/>
      <c r="FO206" s="324"/>
      <c r="FP206" s="324"/>
      <c r="FQ206" s="324"/>
      <c r="FR206" s="324"/>
      <c r="FS206" s="324"/>
      <c r="FT206" s="324"/>
      <c r="FU206" s="324"/>
      <c r="FV206" s="324"/>
      <c r="FW206" s="324"/>
      <c r="FX206" s="324"/>
      <c r="FY206" s="324"/>
      <c r="FZ206" s="324"/>
      <c r="GA206" s="324"/>
      <c r="GB206" s="324"/>
      <c r="GC206" s="324"/>
      <c r="GD206" s="324"/>
      <c r="GE206" s="324"/>
      <c r="GF206" s="324"/>
    </row>
    <row r="207" spans="2:188" s="158" customFormat="1">
      <c r="B207" s="316">
        <v>201</v>
      </c>
      <c r="C207" s="370" t="s">
        <v>253</v>
      </c>
      <c r="D207" s="370" t="s">
        <v>459</v>
      </c>
      <c r="E207" s="422" t="s">
        <v>390</v>
      </c>
      <c r="F207" s="370" t="s">
        <v>396</v>
      </c>
      <c r="G207" s="371">
        <v>1</v>
      </c>
      <c r="H207" s="369">
        <v>100000</v>
      </c>
      <c r="I207" s="317">
        <f t="shared" si="3"/>
        <v>18750</v>
      </c>
      <c r="J207" s="249"/>
    </row>
    <row r="208" spans="2:188" s="158" customFormat="1">
      <c r="B208" s="316">
        <v>202</v>
      </c>
      <c r="C208" s="370" t="s">
        <v>256</v>
      </c>
      <c r="D208" s="370" t="s">
        <v>541</v>
      </c>
      <c r="E208" s="422" t="s">
        <v>542</v>
      </c>
      <c r="F208" s="370" t="s">
        <v>410</v>
      </c>
      <c r="G208" s="371">
        <v>1</v>
      </c>
      <c r="H208" s="369">
        <v>100000</v>
      </c>
      <c r="I208" s="317">
        <f t="shared" si="3"/>
        <v>18750</v>
      </c>
      <c r="J208" s="249"/>
    </row>
    <row r="209" spans="2:10" s="158" customFormat="1">
      <c r="B209" s="316">
        <v>203</v>
      </c>
      <c r="C209" s="370" t="s">
        <v>324</v>
      </c>
      <c r="D209" s="370" t="s">
        <v>535</v>
      </c>
      <c r="E209" s="422" t="s">
        <v>490</v>
      </c>
      <c r="F209" s="370" t="s">
        <v>392</v>
      </c>
      <c r="G209" s="371">
        <v>4</v>
      </c>
      <c r="H209" s="369">
        <v>400000</v>
      </c>
      <c r="I209" s="317">
        <f t="shared" si="3"/>
        <v>75000</v>
      </c>
      <c r="J209" s="249"/>
    </row>
    <row r="210" spans="2:10" s="158" customFormat="1">
      <c r="B210" s="316">
        <v>204</v>
      </c>
      <c r="C210" s="370" t="s">
        <v>236</v>
      </c>
      <c r="D210" s="370" t="s">
        <v>536</v>
      </c>
      <c r="E210" s="422" t="s">
        <v>537</v>
      </c>
      <c r="F210" s="370" t="s">
        <v>395</v>
      </c>
      <c r="G210" s="371">
        <v>8</v>
      </c>
      <c r="H210" s="369">
        <v>800000</v>
      </c>
      <c r="I210" s="317">
        <f t="shared" si="3"/>
        <v>150000</v>
      </c>
      <c r="J210" s="249"/>
    </row>
    <row r="211" spans="2:10" s="158" customFormat="1">
      <c r="B211" s="316">
        <v>205</v>
      </c>
      <c r="C211" s="370" t="s">
        <v>244</v>
      </c>
      <c r="D211" s="370" t="s">
        <v>156</v>
      </c>
      <c r="E211" s="422" t="s">
        <v>152</v>
      </c>
      <c r="F211" s="370" t="s">
        <v>395</v>
      </c>
      <c r="G211" s="371">
        <v>12</v>
      </c>
      <c r="H211" s="369">
        <v>1200000</v>
      </c>
      <c r="I211" s="317">
        <f t="shared" si="3"/>
        <v>225000</v>
      </c>
      <c r="J211" s="249"/>
    </row>
    <row r="212" spans="2:10" s="158" customFormat="1">
      <c r="B212" s="316">
        <v>206</v>
      </c>
      <c r="C212" s="370" t="s">
        <v>222</v>
      </c>
      <c r="D212" s="370" t="s">
        <v>514</v>
      </c>
      <c r="E212" s="422" t="s">
        <v>373</v>
      </c>
      <c r="F212" s="370" t="s">
        <v>395</v>
      </c>
      <c r="G212" s="371">
        <v>6</v>
      </c>
      <c r="H212" s="369">
        <v>600000</v>
      </c>
      <c r="I212" s="317">
        <f t="shared" si="3"/>
        <v>112500</v>
      </c>
      <c r="J212" s="249"/>
    </row>
    <row r="213" spans="2:10" s="158" customFormat="1">
      <c r="B213" s="316">
        <v>207</v>
      </c>
      <c r="C213" s="370" t="s">
        <v>249</v>
      </c>
      <c r="D213" s="370" t="s">
        <v>346</v>
      </c>
      <c r="E213" s="422" t="s">
        <v>347</v>
      </c>
      <c r="F213" s="370" t="s">
        <v>392</v>
      </c>
      <c r="G213" s="371">
        <v>22</v>
      </c>
      <c r="H213" s="369">
        <v>2200000</v>
      </c>
      <c r="I213" s="317">
        <f t="shared" si="3"/>
        <v>412500</v>
      </c>
      <c r="J213" s="249"/>
    </row>
    <row r="214" spans="2:10" s="158" customFormat="1">
      <c r="B214" s="316">
        <v>208</v>
      </c>
      <c r="C214" s="370" t="s">
        <v>230</v>
      </c>
      <c r="D214" s="370" t="s">
        <v>498</v>
      </c>
      <c r="E214" s="422" t="s">
        <v>499</v>
      </c>
      <c r="F214" s="370" t="s">
        <v>392</v>
      </c>
      <c r="G214" s="371">
        <v>5</v>
      </c>
      <c r="H214" s="369">
        <v>500000</v>
      </c>
      <c r="I214" s="317">
        <f t="shared" si="3"/>
        <v>93750</v>
      </c>
      <c r="J214" s="249"/>
    </row>
    <row r="215" spans="2:10" s="158" customFormat="1">
      <c r="B215" s="316">
        <v>209</v>
      </c>
      <c r="C215" s="370" t="s">
        <v>197</v>
      </c>
      <c r="D215" s="370" t="s">
        <v>543</v>
      </c>
      <c r="E215" s="422" t="s">
        <v>542</v>
      </c>
      <c r="F215" s="370" t="s">
        <v>431</v>
      </c>
      <c r="G215" s="371">
        <v>1</v>
      </c>
      <c r="H215" s="369">
        <v>400000</v>
      </c>
      <c r="I215" s="317">
        <f t="shared" si="3"/>
        <v>75000</v>
      </c>
      <c r="J215" s="249"/>
    </row>
    <row r="216" spans="2:10" s="158" customFormat="1">
      <c r="B216" s="316">
        <v>210</v>
      </c>
      <c r="C216" s="370" t="s">
        <v>233</v>
      </c>
      <c r="D216" s="370" t="s">
        <v>364</v>
      </c>
      <c r="E216" s="422" t="s">
        <v>365</v>
      </c>
      <c r="F216" s="370" t="s">
        <v>395</v>
      </c>
      <c r="G216" s="371">
        <v>17</v>
      </c>
      <c r="H216" s="369">
        <v>1700000</v>
      </c>
      <c r="I216" s="317">
        <f t="shared" si="3"/>
        <v>318750</v>
      </c>
      <c r="J216" s="249"/>
    </row>
    <row r="217" spans="2:10" s="158" customFormat="1">
      <c r="B217" s="316">
        <v>211</v>
      </c>
      <c r="C217" s="370" t="s">
        <v>215</v>
      </c>
      <c r="D217" s="370" t="s">
        <v>544</v>
      </c>
      <c r="E217" s="422" t="s">
        <v>441</v>
      </c>
      <c r="F217" s="370" t="s">
        <v>431</v>
      </c>
      <c r="G217" s="371">
        <v>1</v>
      </c>
      <c r="H217" s="369">
        <v>400000</v>
      </c>
      <c r="I217" s="317">
        <f t="shared" si="3"/>
        <v>75000</v>
      </c>
      <c r="J217" s="249"/>
    </row>
    <row r="218" spans="2:10" s="158" customFormat="1">
      <c r="B218" s="316">
        <v>212</v>
      </c>
      <c r="C218" s="370" t="s">
        <v>244</v>
      </c>
      <c r="D218" s="370" t="s">
        <v>545</v>
      </c>
      <c r="E218" s="422" t="s">
        <v>523</v>
      </c>
      <c r="F218" s="370" t="s">
        <v>394</v>
      </c>
      <c r="G218" s="371">
        <v>1</v>
      </c>
      <c r="H218" s="369">
        <v>40300</v>
      </c>
      <c r="I218" s="317">
        <f t="shared" si="3"/>
        <v>7556.25</v>
      </c>
      <c r="J218" s="249"/>
    </row>
    <row r="219" spans="2:10" s="158" customFormat="1">
      <c r="B219" s="316">
        <v>213</v>
      </c>
      <c r="C219" s="370" t="s">
        <v>233</v>
      </c>
      <c r="D219" s="370" t="s">
        <v>546</v>
      </c>
      <c r="E219" s="422" t="s">
        <v>525</v>
      </c>
      <c r="F219" s="370" t="s">
        <v>394</v>
      </c>
      <c r="G219" s="371">
        <v>1</v>
      </c>
      <c r="H219" s="369">
        <v>100000</v>
      </c>
      <c r="I219" s="317">
        <f t="shared" si="3"/>
        <v>18750</v>
      </c>
      <c r="J219" s="249"/>
    </row>
    <row r="220" spans="2:10" s="158" customFormat="1">
      <c r="B220" s="316">
        <v>214</v>
      </c>
      <c r="C220" s="370" t="s">
        <v>212</v>
      </c>
      <c r="D220" s="370" t="s">
        <v>547</v>
      </c>
      <c r="E220" s="422" t="s">
        <v>154</v>
      </c>
      <c r="F220" s="370" t="s">
        <v>394</v>
      </c>
      <c r="G220" s="371">
        <v>1</v>
      </c>
      <c r="H220" s="369">
        <v>100000</v>
      </c>
      <c r="I220" s="317">
        <f t="shared" si="3"/>
        <v>18750</v>
      </c>
      <c r="J220" s="249"/>
    </row>
    <row r="221" spans="2:10" s="158" customFormat="1">
      <c r="B221" s="316">
        <v>215</v>
      </c>
      <c r="C221" s="370" t="s">
        <v>238</v>
      </c>
      <c r="D221" s="370" t="s">
        <v>369</v>
      </c>
      <c r="E221" s="422" t="s">
        <v>355</v>
      </c>
      <c r="F221" s="370" t="s">
        <v>392</v>
      </c>
      <c r="G221" s="371">
        <v>6</v>
      </c>
      <c r="H221" s="369">
        <v>600000</v>
      </c>
      <c r="I221" s="317">
        <f t="shared" si="3"/>
        <v>112500</v>
      </c>
      <c r="J221" s="249"/>
    </row>
    <row r="222" spans="2:10" s="158" customFormat="1">
      <c r="B222" s="316">
        <v>216</v>
      </c>
      <c r="C222" s="370" t="s">
        <v>236</v>
      </c>
      <c r="D222" s="370" t="s">
        <v>227</v>
      </c>
      <c r="E222" s="422" t="s">
        <v>472</v>
      </c>
      <c r="F222" s="370" t="s">
        <v>395</v>
      </c>
      <c r="G222" s="371">
        <v>8</v>
      </c>
      <c r="H222" s="369">
        <v>800000</v>
      </c>
      <c r="I222" s="317">
        <f t="shared" si="3"/>
        <v>150000</v>
      </c>
      <c r="J222" s="249"/>
    </row>
    <row r="223" spans="2:10" s="158" customFormat="1">
      <c r="B223" s="316">
        <v>217</v>
      </c>
      <c r="C223" s="370" t="s">
        <v>224</v>
      </c>
      <c r="D223" s="370" t="s">
        <v>452</v>
      </c>
      <c r="E223" s="422" t="s">
        <v>453</v>
      </c>
      <c r="F223" s="370" t="s">
        <v>395</v>
      </c>
      <c r="G223" s="371">
        <v>4</v>
      </c>
      <c r="H223" s="369">
        <v>400000</v>
      </c>
      <c r="I223" s="317">
        <f t="shared" si="3"/>
        <v>75000</v>
      </c>
      <c r="J223" s="249"/>
    </row>
    <row r="224" spans="2:10" s="158" customFormat="1">
      <c r="B224" s="316">
        <v>218</v>
      </c>
      <c r="C224" s="370" t="s">
        <v>212</v>
      </c>
      <c r="D224" s="370" t="s">
        <v>411</v>
      </c>
      <c r="E224" s="422" t="s">
        <v>412</v>
      </c>
      <c r="F224" s="370" t="s">
        <v>395</v>
      </c>
      <c r="G224" s="371">
        <v>3</v>
      </c>
      <c r="H224" s="369">
        <v>300000</v>
      </c>
      <c r="I224" s="317">
        <f t="shared" si="3"/>
        <v>56250</v>
      </c>
      <c r="J224" s="249"/>
    </row>
    <row r="225" spans="2:188" s="158" customFormat="1">
      <c r="B225" s="316">
        <v>219</v>
      </c>
      <c r="C225" s="370" t="s">
        <v>212</v>
      </c>
      <c r="D225" s="370" t="s">
        <v>538</v>
      </c>
      <c r="E225" s="422" t="s">
        <v>539</v>
      </c>
      <c r="F225" s="370" t="s">
        <v>395</v>
      </c>
      <c r="G225" s="371">
        <v>18</v>
      </c>
      <c r="H225" s="369">
        <v>1800000</v>
      </c>
      <c r="I225" s="317">
        <f t="shared" si="3"/>
        <v>337500</v>
      </c>
      <c r="J225" s="355"/>
      <c r="K225" s="324"/>
      <c r="L225" s="324"/>
      <c r="M225" s="324"/>
      <c r="N225" s="324"/>
      <c r="O225" s="324"/>
      <c r="P225" s="324"/>
      <c r="Q225" s="324"/>
      <c r="R225" s="324"/>
      <c r="S225" s="324"/>
      <c r="T225" s="324"/>
      <c r="U225" s="324"/>
      <c r="V225" s="324"/>
      <c r="W225" s="324"/>
      <c r="X225" s="324"/>
      <c r="Y225" s="324"/>
      <c r="Z225" s="324"/>
      <c r="AA225" s="324"/>
      <c r="AB225" s="324"/>
      <c r="AC225" s="324"/>
      <c r="AD225" s="324"/>
      <c r="AE225" s="324"/>
      <c r="AF225" s="324"/>
      <c r="AG225" s="324"/>
      <c r="AH225" s="324"/>
      <c r="AI225" s="324"/>
      <c r="AJ225" s="324"/>
      <c r="AK225" s="324"/>
      <c r="AL225" s="324"/>
      <c r="AM225" s="324"/>
      <c r="AN225" s="324"/>
      <c r="AO225" s="324"/>
      <c r="AP225" s="324"/>
      <c r="AQ225" s="324"/>
      <c r="AR225" s="324"/>
      <c r="AS225" s="324"/>
      <c r="AT225" s="324"/>
      <c r="AU225" s="324"/>
      <c r="AV225" s="324"/>
      <c r="AW225" s="324"/>
      <c r="AX225" s="324"/>
      <c r="AY225" s="324"/>
      <c r="AZ225" s="324"/>
      <c r="BA225" s="324"/>
      <c r="BB225" s="324"/>
      <c r="BC225" s="324"/>
      <c r="BD225" s="324"/>
      <c r="BE225" s="324"/>
      <c r="BF225" s="324"/>
      <c r="BG225" s="324"/>
      <c r="BH225" s="324"/>
      <c r="BI225" s="324"/>
      <c r="BJ225" s="324"/>
      <c r="BK225" s="324"/>
      <c r="BL225" s="324"/>
      <c r="BM225" s="324"/>
      <c r="BN225" s="324"/>
      <c r="BO225" s="324"/>
      <c r="BP225" s="324"/>
      <c r="BQ225" s="324"/>
      <c r="BR225" s="324"/>
      <c r="BS225" s="324"/>
      <c r="BT225" s="324"/>
      <c r="BU225" s="324"/>
      <c r="BV225" s="324"/>
      <c r="BW225" s="324"/>
      <c r="BX225" s="324"/>
      <c r="BY225" s="324"/>
      <c r="BZ225" s="324"/>
      <c r="CA225" s="324"/>
      <c r="CB225" s="324"/>
      <c r="CC225" s="324"/>
      <c r="CD225" s="324"/>
      <c r="CE225" s="324"/>
      <c r="CF225" s="324"/>
      <c r="CG225" s="324"/>
      <c r="CH225" s="324"/>
      <c r="CI225" s="324"/>
      <c r="CJ225" s="324"/>
      <c r="CK225" s="324"/>
      <c r="CL225" s="324"/>
      <c r="CM225" s="324"/>
      <c r="CN225" s="324"/>
      <c r="CO225" s="324"/>
      <c r="CP225" s="324"/>
      <c r="CQ225" s="324"/>
      <c r="CR225" s="324"/>
      <c r="CS225" s="324"/>
      <c r="CT225" s="324"/>
      <c r="CU225" s="324"/>
      <c r="CV225" s="324"/>
      <c r="CW225" s="324"/>
      <c r="CX225" s="324"/>
      <c r="CY225" s="324"/>
      <c r="CZ225" s="324"/>
      <c r="DA225" s="324"/>
      <c r="DB225" s="324"/>
      <c r="DC225" s="324"/>
      <c r="DD225" s="324"/>
      <c r="DE225" s="324"/>
      <c r="DF225" s="324"/>
      <c r="DG225" s="324"/>
      <c r="DH225" s="324"/>
      <c r="DI225" s="324"/>
      <c r="DJ225" s="324"/>
      <c r="DK225" s="324"/>
      <c r="DL225" s="324"/>
      <c r="DM225" s="324"/>
      <c r="DN225" s="324"/>
      <c r="DO225" s="324"/>
      <c r="DP225" s="324"/>
      <c r="DQ225" s="324"/>
      <c r="DR225" s="324"/>
      <c r="DS225" s="324"/>
      <c r="DT225" s="324"/>
      <c r="DU225" s="324"/>
      <c r="DV225" s="324"/>
      <c r="DW225" s="324"/>
      <c r="DX225" s="324"/>
      <c r="DY225" s="324"/>
      <c r="DZ225" s="324"/>
      <c r="EA225" s="324"/>
      <c r="EB225" s="324"/>
      <c r="EC225" s="324"/>
      <c r="ED225" s="324"/>
      <c r="EE225" s="324"/>
      <c r="EF225" s="324"/>
      <c r="EG225" s="324"/>
      <c r="EH225" s="324"/>
      <c r="EI225" s="324"/>
      <c r="EJ225" s="324"/>
      <c r="EK225" s="324"/>
      <c r="EL225" s="324"/>
      <c r="EM225" s="324"/>
      <c r="EN225" s="324"/>
      <c r="EO225" s="324"/>
      <c r="EP225" s="324"/>
      <c r="EQ225" s="324"/>
      <c r="ER225" s="324"/>
      <c r="ES225" s="324"/>
      <c r="ET225" s="324"/>
      <c r="EU225" s="324"/>
      <c r="EV225" s="324"/>
      <c r="EW225" s="324"/>
      <c r="EX225" s="324"/>
      <c r="EY225" s="324"/>
      <c r="EZ225" s="324"/>
      <c r="FA225" s="324"/>
      <c r="FB225" s="324"/>
      <c r="FC225" s="324"/>
      <c r="FD225" s="324"/>
      <c r="FE225" s="324"/>
      <c r="FF225" s="324"/>
      <c r="FG225" s="324"/>
      <c r="FH225" s="324"/>
      <c r="FI225" s="324"/>
      <c r="FJ225" s="324"/>
      <c r="FK225" s="324"/>
      <c r="FL225" s="324"/>
      <c r="FM225" s="324"/>
      <c r="FN225" s="324"/>
      <c r="FO225" s="324"/>
      <c r="FP225" s="324"/>
      <c r="FQ225" s="324"/>
      <c r="FR225" s="324"/>
      <c r="FS225" s="324"/>
      <c r="FT225" s="324"/>
      <c r="FU225" s="324"/>
      <c r="FV225" s="324"/>
      <c r="FW225" s="324"/>
      <c r="FX225" s="324"/>
      <c r="FY225" s="324"/>
      <c r="FZ225" s="324"/>
      <c r="GA225" s="324"/>
      <c r="GB225" s="324"/>
      <c r="GC225" s="324"/>
      <c r="GD225" s="324"/>
      <c r="GE225" s="324"/>
      <c r="GF225" s="324"/>
    </row>
    <row r="226" spans="2:188" s="158" customFormat="1">
      <c r="B226" s="316">
        <v>220</v>
      </c>
      <c r="C226" s="370" t="s">
        <v>197</v>
      </c>
      <c r="D226" s="370" t="s">
        <v>532</v>
      </c>
      <c r="E226" s="422" t="s">
        <v>371</v>
      </c>
      <c r="F226" s="370" t="s">
        <v>395</v>
      </c>
      <c r="G226" s="371">
        <v>5</v>
      </c>
      <c r="H226" s="369">
        <v>500000</v>
      </c>
      <c r="I226" s="317">
        <f t="shared" si="3"/>
        <v>93750</v>
      </c>
      <c r="J226" s="355"/>
      <c r="K226" s="324"/>
      <c r="L226" s="324"/>
      <c r="M226" s="324"/>
      <c r="N226" s="324"/>
      <c r="O226" s="324"/>
      <c r="P226" s="324"/>
      <c r="Q226" s="324"/>
      <c r="R226" s="324"/>
      <c r="S226" s="324"/>
      <c r="T226" s="324"/>
      <c r="U226" s="324"/>
      <c r="V226" s="324"/>
      <c r="W226" s="324"/>
      <c r="X226" s="324"/>
      <c r="Y226" s="324"/>
      <c r="Z226" s="324"/>
      <c r="AA226" s="324"/>
      <c r="AB226" s="324"/>
      <c r="AC226" s="324"/>
      <c r="AD226" s="324"/>
      <c r="AE226" s="324"/>
      <c r="AF226" s="324"/>
      <c r="AG226" s="324"/>
      <c r="AH226" s="324"/>
      <c r="AI226" s="324"/>
      <c r="AJ226" s="324"/>
      <c r="AK226" s="324"/>
      <c r="AL226" s="324"/>
      <c r="AM226" s="324"/>
      <c r="AN226" s="324"/>
      <c r="AO226" s="324"/>
      <c r="AP226" s="324"/>
      <c r="AQ226" s="324"/>
      <c r="AR226" s="324"/>
      <c r="AS226" s="324"/>
      <c r="AT226" s="324"/>
      <c r="AU226" s="324"/>
      <c r="AV226" s="324"/>
      <c r="AW226" s="324"/>
      <c r="AX226" s="324"/>
      <c r="AY226" s="324"/>
      <c r="AZ226" s="324"/>
      <c r="BA226" s="324"/>
      <c r="BB226" s="324"/>
      <c r="BC226" s="324"/>
      <c r="BD226" s="324"/>
      <c r="BE226" s="324"/>
      <c r="BF226" s="324"/>
      <c r="BG226" s="324"/>
      <c r="BH226" s="324"/>
      <c r="BI226" s="324"/>
      <c r="BJ226" s="324"/>
      <c r="BK226" s="324"/>
      <c r="BL226" s="324"/>
      <c r="BM226" s="324"/>
      <c r="BN226" s="324"/>
      <c r="BO226" s="324"/>
      <c r="BP226" s="324"/>
      <c r="BQ226" s="324"/>
      <c r="BR226" s="324"/>
      <c r="BS226" s="324"/>
      <c r="BT226" s="324"/>
      <c r="BU226" s="324"/>
      <c r="BV226" s="324"/>
      <c r="BW226" s="324"/>
      <c r="BX226" s="324"/>
      <c r="BY226" s="324"/>
      <c r="BZ226" s="324"/>
      <c r="CA226" s="324"/>
      <c r="CB226" s="324"/>
      <c r="CC226" s="324"/>
      <c r="CD226" s="324"/>
      <c r="CE226" s="324"/>
      <c r="CF226" s="324"/>
      <c r="CG226" s="324"/>
      <c r="CH226" s="324"/>
      <c r="CI226" s="324"/>
      <c r="CJ226" s="324"/>
      <c r="CK226" s="324"/>
      <c r="CL226" s="324"/>
      <c r="CM226" s="324"/>
      <c r="CN226" s="324"/>
      <c r="CO226" s="324"/>
      <c r="CP226" s="324"/>
      <c r="CQ226" s="324"/>
      <c r="CR226" s="324"/>
      <c r="CS226" s="324"/>
      <c r="CT226" s="324"/>
      <c r="CU226" s="324"/>
      <c r="CV226" s="324"/>
      <c r="CW226" s="324"/>
      <c r="CX226" s="324"/>
      <c r="CY226" s="324"/>
      <c r="CZ226" s="324"/>
      <c r="DA226" s="324"/>
      <c r="DB226" s="324"/>
      <c r="DC226" s="324"/>
      <c r="DD226" s="324"/>
      <c r="DE226" s="324"/>
      <c r="DF226" s="324"/>
      <c r="DG226" s="324"/>
      <c r="DH226" s="324"/>
      <c r="DI226" s="324"/>
      <c r="DJ226" s="324"/>
      <c r="DK226" s="324"/>
      <c r="DL226" s="324"/>
      <c r="DM226" s="324"/>
      <c r="DN226" s="324"/>
      <c r="DO226" s="324"/>
      <c r="DP226" s="324"/>
      <c r="DQ226" s="324"/>
      <c r="DR226" s="324"/>
      <c r="DS226" s="324"/>
      <c r="DT226" s="324"/>
      <c r="DU226" s="324"/>
      <c r="DV226" s="324"/>
      <c r="DW226" s="324"/>
      <c r="DX226" s="324"/>
      <c r="DY226" s="324"/>
      <c r="DZ226" s="324"/>
      <c r="EA226" s="324"/>
      <c r="EB226" s="324"/>
      <c r="EC226" s="324"/>
      <c r="ED226" s="324"/>
      <c r="EE226" s="324"/>
      <c r="EF226" s="324"/>
      <c r="EG226" s="324"/>
      <c r="EH226" s="324"/>
      <c r="EI226" s="324"/>
      <c r="EJ226" s="324"/>
      <c r="EK226" s="324"/>
      <c r="EL226" s="324"/>
      <c r="EM226" s="324"/>
      <c r="EN226" s="324"/>
      <c r="EO226" s="324"/>
      <c r="EP226" s="324"/>
      <c r="EQ226" s="324"/>
      <c r="ER226" s="324"/>
      <c r="ES226" s="324"/>
      <c r="ET226" s="324"/>
      <c r="EU226" s="324"/>
      <c r="EV226" s="324"/>
      <c r="EW226" s="324"/>
      <c r="EX226" s="324"/>
      <c r="EY226" s="324"/>
      <c r="EZ226" s="324"/>
      <c r="FA226" s="324"/>
      <c r="FB226" s="324"/>
      <c r="FC226" s="324"/>
      <c r="FD226" s="324"/>
      <c r="FE226" s="324"/>
      <c r="FF226" s="324"/>
      <c r="FG226" s="324"/>
      <c r="FH226" s="324"/>
      <c r="FI226" s="324"/>
      <c r="FJ226" s="324"/>
      <c r="FK226" s="324"/>
      <c r="FL226" s="324"/>
      <c r="FM226" s="324"/>
      <c r="FN226" s="324"/>
      <c r="FO226" s="324"/>
      <c r="FP226" s="324"/>
      <c r="FQ226" s="324"/>
      <c r="FR226" s="324"/>
      <c r="FS226" s="324"/>
      <c r="FT226" s="324"/>
      <c r="FU226" s="324"/>
      <c r="FV226" s="324"/>
      <c r="FW226" s="324"/>
      <c r="FX226" s="324"/>
      <c r="FY226" s="324"/>
      <c r="FZ226" s="324"/>
      <c r="GA226" s="324"/>
      <c r="GB226" s="324"/>
      <c r="GC226" s="324"/>
      <c r="GD226" s="324"/>
      <c r="GE226" s="324"/>
      <c r="GF226" s="324"/>
    </row>
    <row r="227" spans="2:188" s="158" customFormat="1">
      <c r="B227" s="316">
        <v>221</v>
      </c>
      <c r="C227" s="370" t="s">
        <v>253</v>
      </c>
      <c r="D227" s="370" t="s">
        <v>349</v>
      </c>
      <c r="E227" s="422" t="s">
        <v>350</v>
      </c>
      <c r="F227" s="370" t="s">
        <v>396</v>
      </c>
      <c r="G227" s="371">
        <v>1</v>
      </c>
      <c r="H227" s="369">
        <v>40300</v>
      </c>
      <c r="I227" s="317">
        <f t="shared" si="3"/>
        <v>7556.25</v>
      </c>
      <c r="J227" s="249"/>
    </row>
    <row r="228" spans="2:188" s="158" customFormat="1">
      <c r="B228" s="316">
        <v>222</v>
      </c>
      <c r="C228" s="370" t="s">
        <v>249</v>
      </c>
      <c r="D228" s="370" t="s">
        <v>366</v>
      </c>
      <c r="E228" s="422" t="s">
        <v>367</v>
      </c>
      <c r="F228" s="370" t="s">
        <v>394</v>
      </c>
      <c r="G228" s="371">
        <v>1</v>
      </c>
      <c r="H228" s="369">
        <v>40300</v>
      </c>
      <c r="I228" s="317">
        <f t="shared" si="3"/>
        <v>7556.25</v>
      </c>
      <c r="J228" s="249"/>
    </row>
    <row r="229" spans="2:188" s="158" customFormat="1">
      <c r="B229" s="316">
        <v>223</v>
      </c>
      <c r="C229" s="370" t="s">
        <v>249</v>
      </c>
      <c r="D229" s="370" t="s">
        <v>473</v>
      </c>
      <c r="E229" s="422" t="s">
        <v>399</v>
      </c>
      <c r="F229" s="370" t="s">
        <v>394</v>
      </c>
      <c r="G229" s="371">
        <v>1</v>
      </c>
      <c r="H229" s="369">
        <v>100000</v>
      </c>
      <c r="I229" s="317">
        <f t="shared" si="3"/>
        <v>18750</v>
      </c>
      <c r="J229" s="249"/>
    </row>
    <row r="230" spans="2:188" s="158" customFormat="1">
      <c r="B230" s="316">
        <v>224</v>
      </c>
      <c r="C230" s="370" t="s">
        <v>324</v>
      </c>
      <c r="D230" s="370" t="s">
        <v>548</v>
      </c>
      <c r="E230" s="422" t="s">
        <v>525</v>
      </c>
      <c r="F230" s="370" t="s">
        <v>408</v>
      </c>
      <c r="G230" s="371">
        <v>1</v>
      </c>
      <c r="H230" s="369">
        <v>200000</v>
      </c>
      <c r="I230" s="317">
        <f t="shared" si="3"/>
        <v>37500</v>
      </c>
      <c r="J230" s="249"/>
    </row>
    <row r="231" spans="2:188" s="158" customFormat="1">
      <c r="B231" s="316">
        <v>225</v>
      </c>
      <c r="C231" s="370" t="s">
        <v>249</v>
      </c>
      <c r="D231" s="370" t="s">
        <v>501</v>
      </c>
      <c r="E231" s="422" t="s">
        <v>390</v>
      </c>
      <c r="F231" s="370" t="s">
        <v>396</v>
      </c>
      <c r="G231" s="371">
        <v>1</v>
      </c>
      <c r="H231" s="369">
        <v>100000</v>
      </c>
      <c r="I231" s="317">
        <f t="shared" si="3"/>
        <v>18750</v>
      </c>
      <c r="J231" s="355"/>
      <c r="K231" s="324"/>
      <c r="L231" s="324"/>
      <c r="M231" s="324"/>
      <c r="N231" s="324"/>
      <c r="O231" s="324"/>
      <c r="P231" s="324"/>
      <c r="Q231" s="324"/>
      <c r="R231" s="324"/>
      <c r="S231" s="324"/>
      <c r="T231" s="324"/>
      <c r="U231" s="324"/>
      <c r="V231" s="324"/>
      <c r="W231" s="324"/>
      <c r="X231" s="324"/>
      <c r="Y231" s="324"/>
      <c r="Z231" s="324"/>
      <c r="AA231" s="324"/>
      <c r="AB231" s="324"/>
      <c r="AC231" s="324"/>
      <c r="AD231" s="324"/>
      <c r="AE231" s="324"/>
      <c r="AF231" s="324"/>
      <c r="AG231" s="324"/>
      <c r="AH231" s="324"/>
      <c r="AI231" s="324"/>
      <c r="AJ231" s="324"/>
      <c r="AK231" s="324"/>
      <c r="AL231" s="324"/>
      <c r="AM231" s="324"/>
      <c r="AN231" s="324"/>
      <c r="AO231" s="324"/>
      <c r="AP231" s="324"/>
      <c r="AQ231" s="324"/>
      <c r="AR231" s="324"/>
      <c r="AS231" s="324"/>
      <c r="AT231" s="324"/>
      <c r="AU231" s="324"/>
      <c r="AV231" s="324"/>
      <c r="AW231" s="324"/>
      <c r="AX231" s="324"/>
      <c r="AY231" s="324"/>
      <c r="AZ231" s="324"/>
      <c r="BA231" s="324"/>
      <c r="BB231" s="324"/>
      <c r="BC231" s="324"/>
      <c r="BD231" s="324"/>
      <c r="BE231" s="324"/>
      <c r="BF231" s="324"/>
      <c r="BG231" s="324"/>
      <c r="BH231" s="324"/>
      <c r="BI231" s="324"/>
      <c r="BJ231" s="324"/>
      <c r="BK231" s="324"/>
      <c r="BL231" s="324"/>
      <c r="BM231" s="324"/>
      <c r="BN231" s="324"/>
      <c r="BO231" s="324"/>
      <c r="BP231" s="324"/>
      <c r="BQ231" s="324"/>
      <c r="BR231" s="324"/>
      <c r="BS231" s="324"/>
      <c r="BT231" s="324"/>
      <c r="BU231" s="324"/>
      <c r="BV231" s="324"/>
      <c r="BW231" s="324"/>
      <c r="BX231" s="324"/>
      <c r="BY231" s="324"/>
      <c r="BZ231" s="324"/>
      <c r="CA231" s="324"/>
      <c r="CB231" s="324"/>
      <c r="CC231" s="324"/>
      <c r="CD231" s="324"/>
      <c r="CE231" s="324"/>
      <c r="CF231" s="324"/>
      <c r="CG231" s="324"/>
      <c r="CH231" s="324"/>
      <c r="CI231" s="324"/>
      <c r="CJ231" s="324"/>
      <c r="CK231" s="324"/>
      <c r="CL231" s="324"/>
      <c r="CM231" s="324"/>
      <c r="CN231" s="324"/>
      <c r="CO231" s="324"/>
      <c r="CP231" s="324"/>
      <c r="CQ231" s="324"/>
      <c r="CR231" s="324"/>
      <c r="CS231" s="324"/>
      <c r="CT231" s="324"/>
      <c r="CU231" s="324"/>
      <c r="CV231" s="324"/>
      <c r="CW231" s="324"/>
      <c r="CX231" s="324"/>
      <c r="CY231" s="324"/>
      <c r="CZ231" s="324"/>
      <c r="DA231" s="324"/>
      <c r="DB231" s="324"/>
      <c r="DC231" s="324"/>
      <c r="DD231" s="324"/>
      <c r="DE231" s="324"/>
      <c r="DF231" s="324"/>
      <c r="DG231" s="324"/>
      <c r="DH231" s="324"/>
      <c r="DI231" s="324"/>
      <c r="DJ231" s="324"/>
      <c r="DK231" s="324"/>
      <c r="DL231" s="324"/>
      <c r="DM231" s="324"/>
      <c r="DN231" s="324"/>
      <c r="DO231" s="324"/>
      <c r="DP231" s="324"/>
      <c r="DQ231" s="324"/>
      <c r="DR231" s="324"/>
      <c r="DS231" s="324"/>
      <c r="DT231" s="324"/>
      <c r="DU231" s="324"/>
      <c r="DV231" s="324"/>
      <c r="DW231" s="324"/>
      <c r="DX231" s="324"/>
      <c r="DY231" s="324"/>
      <c r="DZ231" s="324"/>
      <c r="EA231" s="324"/>
      <c r="EB231" s="324"/>
      <c r="EC231" s="324"/>
      <c r="ED231" s="324"/>
      <c r="EE231" s="324"/>
      <c r="EF231" s="324"/>
      <c r="EG231" s="324"/>
      <c r="EH231" s="324"/>
      <c r="EI231" s="324"/>
      <c r="EJ231" s="324"/>
      <c r="EK231" s="324"/>
      <c r="EL231" s="324"/>
      <c r="EM231" s="324"/>
      <c r="EN231" s="324"/>
      <c r="EO231" s="324"/>
      <c r="EP231" s="324"/>
      <c r="EQ231" s="324"/>
      <c r="ER231" s="324"/>
      <c r="ES231" s="324"/>
      <c r="ET231" s="324"/>
      <c r="EU231" s="324"/>
      <c r="EV231" s="324"/>
      <c r="EW231" s="324"/>
      <c r="EX231" s="324"/>
      <c r="EY231" s="324"/>
      <c r="EZ231" s="324"/>
      <c r="FA231" s="324"/>
      <c r="FB231" s="324"/>
      <c r="FC231" s="324"/>
      <c r="FD231" s="324"/>
      <c r="FE231" s="324"/>
      <c r="FF231" s="324"/>
      <c r="FG231" s="324"/>
      <c r="FH231" s="324"/>
      <c r="FI231" s="324"/>
      <c r="FJ231" s="324"/>
      <c r="FK231" s="324"/>
      <c r="FL231" s="324"/>
      <c r="FM231" s="324"/>
      <c r="FN231" s="324"/>
      <c r="FO231" s="324"/>
      <c r="FP231" s="324"/>
      <c r="FQ231" s="324"/>
      <c r="FR231" s="324"/>
      <c r="FS231" s="324"/>
      <c r="FT231" s="324"/>
      <c r="FU231" s="324"/>
      <c r="FV231" s="324"/>
      <c r="FW231" s="324"/>
      <c r="FX231" s="324"/>
      <c r="FY231" s="324"/>
      <c r="FZ231" s="324"/>
      <c r="GA231" s="324"/>
      <c r="GB231" s="324"/>
      <c r="GC231" s="324"/>
      <c r="GD231" s="324"/>
      <c r="GE231" s="324"/>
      <c r="GF231" s="324"/>
    </row>
    <row r="232" spans="2:188" s="158" customFormat="1">
      <c r="B232" s="316">
        <v>226</v>
      </c>
      <c r="C232" s="370" t="s">
        <v>244</v>
      </c>
      <c r="D232" s="370" t="s">
        <v>479</v>
      </c>
      <c r="E232" s="422" t="s">
        <v>359</v>
      </c>
      <c r="F232" s="370" t="s">
        <v>392</v>
      </c>
      <c r="G232" s="371">
        <v>1</v>
      </c>
      <c r="H232" s="369">
        <v>100000</v>
      </c>
      <c r="I232" s="317">
        <f t="shared" si="3"/>
        <v>18750</v>
      </c>
      <c r="J232" s="355"/>
      <c r="K232" s="324"/>
      <c r="L232" s="324"/>
      <c r="M232" s="324"/>
      <c r="N232" s="324"/>
      <c r="O232" s="324"/>
      <c r="P232" s="324"/>
      <c r="Q232" s="324"/>
      <c r="R232" s="324"/>
      <c r="S232" s="324"/>
      <c r="T232" s="324"/>
      <c r="U232" s="324"/>
      <c r="V232" s="324"/>
      <c r="W232" s="324"/>
      <c r="X232" s="324"/>
      <c r="Y232" s="324"/>
      <c r="Z232" s="324"/>
      <c r="AA232" s="324"/>
      <c r="AB232" s="324"/>
      <c r="AC232" s="324"/>
      <c r="AD232" s="324"/>
      <c r="AE232" s="324"/>
      <c r="AF232" s="324"/>
      <c r="AG232" s="324"/>
      <c r="AH232" s="324"/>
      <c r="AI232" s="324"/>
      <c r="AJ232" s="324"/>
      <c r="AK232" s="324"/>
      <c r="AL232" s="324"/>
      <c r="AM232" s="324"/>
      <c r="AN232" s="324"/>
      <c r="AO232" s="324"/>
      <c r="AP232" s="324"/>
      <c r="AQ232" s="324"/>
      <c r="AR232" s="324"/>
      <c r="AS232" s="324"/>
      <c r="AT232" s="324"/>
      <c r="AU232" s="324"/>
      <c r="AV232" s="324"/>
      <c r="AW232" s="324"/>
      <c r="AX232" s="324"/>
      <c r="AY232" s="324"/>
      <c r="AZ232" s="324"/>
      <c r="BA232" s="324"/>
      <c r="BB232" s="324"/>
      <c r="BC232" s="324"/>
      <c r="BD232" s="324"/>
      <c r="BE232" s="324"/>
      <c r="BF232" s="324"/>
      <c r="BG232" s="324"/>
      <c r="BH232" s="324"/>
      <c r="BI232" s="324"/>
      <c r="BJ232" s="324"/>
      <c r="BK232" s="324"/>
      <c r="BL232" s="324"/>
      <c r="BM232" s="324"/>
      <c r="BN232" s="324"/>
      <c r="BO232" s="324"/>
      <c r="BP232" s="324"/>
      <c r="BQ232" s="324"/>
      <c r="BR232" s="324"/>
      <c r="BS232" s="324"/>
      <c r="BT232" s="324"/>
      <c r="BU232" s="324"/>
      <c r="BV232" s="324"/>
      <c r="BW232" s="324"/>
      <c r="BX232" s="324"/>
      <c r="BY232" s="324"/>
      <c r="BZ232" s="324"/>
      <c r="CA232" s="324"/>
      <c r="CB232" s="324"/>
      <c r="CC232" s="324"/>
      <c r="CD232" s="324"/>
      <c r="CE232" s="324"/>
      <c r="CF232" s="324"/>
      <c r="CG232" s="324"/>
      <c r="CH232" s="324"/>
      <c r="CI232" s="324"/>
      <c r="CJ232" s="324"/>
      <c r="CK232" s="324"/>
      <c r="CL232" s="324"/>
      <c r="CM232" s="324"/>
      <c r="CN232" s="324"/>
      <c r="CO232" s="324"/>
      <c r="CP232" s="324"/>
      <c r="CQ232" s="324"/>
      <c r="CR232" s="324"/>
      <c r="CS232" s="324"/>
      <c r="CT232" s="324"/>
      <c r="CU232" s="324"/>
      <c r="CV232" s="324"/>
      <c r="CW232" s="324"/>
      <c r="CX232" s="324"/>
      <c r="CY232" s="324"/>
      <c r="CZ232" s="324"/>
      <c r="DA232" s="324"/>
      <c r="DB232" s="324"/>
      <c r="DC232" s="324"/>
      <c r="DD232" s="324"/>
      <c r="DE232" s="324"/>
      <c r="DF232" s="324"/>
      <c r="DG232" s="324"/>
      <c r="DH232" s="324"/>
      <c r="DI232" s="324"/>
      <c r="DJ232" s="324"/>
      <c r="DK232" s="324"/>
      <c r="DL232" s="324"/>
      <c r="DM232" s="324"/>
      <c r="DN232" s="324"/>
      <c r="DO232" s="324"/>
      <c r="DP232" s="324"/>
      <c r="DQ232" s="324"/>
      <c r="DR232" s="324"/>
      <c r="DS232" s="324"/>
      <c r="DT232" s="324"/>
      <c r="DU232" s="324"/>
      <c r="DV232" s="324"/>
      <c r="DW232" s="324"/>
      <c r="DX232" s="324"/>
      <c r="DY232" s="324"/>
      <c r="DZ232" s="324"/>
      <c r="EA232" s="324"/>
      <c r="EB232" s="324"/>
      <c r="EC232" s="324"/>
      <c r="ED232" s="324"/>
      <c r="EE232" s="324"/>
      <c r="EF232" s="324"/>
      <c r="EG232" s="324"/>
      <c r="EH232" s="324"/>
      <c r="EI232" s="324"/>
      <c r="EJ232" s="324"/>
      <c r="EK232" s="324"/>
      <c r="EL232" s="324"/>
      <c r="EM232" s="324"/>
      <c r="EN232" s="324"/>
      <c r="EO232" s="324"/>
      <c r="EP232" s="324"/>
      <c r="EQ232" s="324"/>
      <c r="ER232" s="324"/>
      <c r="ES232" s="324"/>
      <c r="ET232" s="324"/>
      <c r="EU232" s="324"/>
      <c r="EV232" s="324"/>
      <c r="EW232" s="324"/>
      <c r="EX232" s="324"/>
      <c r="EY232" s="324"/>
      <c r="EZ232" s="324"/>
      <c r="FA232" s="324"/>
      <c r="FB232" s="324"/>
      <c r="FC232" s="324"/>
      <c r="FD232" s="324"/>
      <c r="FE232" s="324"/>
      <c r="FF232" s="324"/>
      <c r="FG232" s="324"/>
      <c r="FH232" s="324"/>
      <c r="FI232" s="324"/>
      <c r="FJ232" s="324"/>
      <c r="FK232" s="324"/>
      <c r="FL232" s="324"/>
      <c r="FM232" s="324"/>
      <c r="FN232" s="324"/>
      <c r="FO232" s="324"/>
      <c r="FP232" s="324"/>
      <c r="FQ232" s="324"/>
      <c r="FR232" s="324"/>
      <c r="FS232" s="324"/>
      <c r="FT232" s="324"/>
      <c r="FU232" s="324"/>
      <c r="FV232" s="324"/>
      <c r="FW232" s="324"/>
      <c r="FX232" s="324"/>
      <c r="FY232" s="324"/>
      <c r="FZ232" s="324"/>
      <c r="GA232" s="324"/>
      <c r="GB232" s="324"/>
      <c r="GC232" s="324"/>
      <c r="GD232" s="324"/>
      <c r="GE232" s="324"/>
      <c r="GF232" s="324"/>
    </row>
    <row r="233" spans="2:188" s="158" customFormat="1">
      <c r="B233" s="316">
        <v>227</v>
      </c>
      <c r="C233" s="370" t="s">
        <v>256</v>
      </c>
      <c r="D233" s="370" t="s">
        <v>358</v>
      </c>
      <c r="E233" s="422" t="s">
        <v>359</v>
      </c>
      <c r="F233" s="370" t="s">
        <v>395</v>
      </c>
      <c r="G233" s="371">
        <v>5</v>
      </c>
      <c r="H233" s="369">
        <v>500000</v>
      </c>
      <c r="I233" s="317">
        <f t="shared" si="3"/>
        <v>93750</v>
      </c>
      <c r="J233" s="355"/>
      <c r="K233" s="324"/>
      <c r="L233" s="324"/>
      <c r="M233" s="324"/>
      <c r="N233" s="324"/>
      <c r="O233" s="324"/>
      <c r="P233" s="324"/>
      <c r="Q233" s="324"/>
      <c r="R233" s="324"/>
      <c r="S233" s="324"/>
      <c r="T233" s="324"/>
      <c r="U233" s="324"/>
      <c r="V233" s="324"/>
      <c r="W233" s="324"/>
      <c r="X233" s="324"/>
      <c r="Y233" s="324"/>
      <c r="Z233" s="324"/>
      <c r="AA233" s="324"/>
      <c r="AB233" s="324"/>
      <c r="AC233" s="324"/>
      <c r="AD233" s="324"/>
      <c r="AE233" s="324"/>
      <c r="AF233" s="324"/>
      <c r="AG233" s="324"/>
      <c r="AH233" s="324"/>
      <c r="AI233" s="324"/>
      <c r="AJ233" s="324"/>
      <c r="AK233" s="324"/>
      <c r="AL233" s="324"/>
      <c r="AM233" s="324"/>
      <c r="AN233" s="324"/>
      <c r="AO233" s="324"/>
      <c r="AP233" s="324"/>
      <c r="AQ233" s="324"/>
      <c r="AR233" s="324"/>
      <c r="AS233" s="324"/>
      <c r="AT233" s="324"/>
      <c r="AU233" s="324"/>
      <c r="AV233" s="324"/>
      <c r="AW233" s="324"/>
      <c r="AX233" s="324"/>
      <c r="AY233" s="324"/>
      <c r="AZ233" s="324"/>
      <c r="BA233" s="324"/>
      <c r="BB233" s="324"/>
      <c r="BC233" s="324"/>
      <c r="BD233" s="324"/>
      <c r="BE233" s="324"/>
      <c r="BF233" s="324"/>
      <c r="BG233" s="324"/>
      <c r="BH233" s="324"/>
      <c r="BI233" s="324"/>
      <c r="BJ233" s="324"/>
      <c r="BK233" s="324"/>
      <c r="BL233" s="324"/>
      <c r="BM233" s="324"/>
      <c r="BN233" s="324"/>
      <c r="BO233" s="324"/>
      <c r="BP233" s="324"/>
      <c r="BQ233" s="324"/>
      <c r="BR233" s="324"/>
      <c r="BS233" s="324"/>
      <c r="BT233" s="324"/>
      <c r="BU233" s="324"/>
      <c r="BV233" s="324"/>
      <c r="BW233" s="324"/>
      <c r="BX233" s="324"/>
      <c r="BY233" s="324"/>
      <c r="BZ233" s="324"/>
      <c r="CA233" s="324"/>
      <c r="CB233" s="324"/>
      <c r="CC233" s="324"/>
      <c r="CD233" s="324"/>
      <c r="CE233" s="324"/>
      <c r="CF233" s="324"/>
      <c r="CG233" s="324"/>
      <c r="CH233" s="324"/>
      <c r="CI233" s="324"/>
      <c r="CJ233" s="324"/>
      <c r="CK233" s="324"/>
      <c r="CL233" s="324"/>
      <c r="CM233" s="324"/>
      <c r="CN233" s="324"/>
      <c r="CO233" s="324"/>
      <c r="CP233" s="324"/>
      <c r="CQ233" s="324"/>
      <c r="CR233" s="324"/>
      <c r="CS233" s="324"/>
      <c r="CT233" s="324"/>
      <c r="CU233" s="324"/>
      <c r="CV233" s="324"/>
      <c r="CW233" s="324"/>
      <c r="CX233" s="324"/>
      <c r="CY233" s="324"/>
      <c r="CZ233" s="324"/>
      <c r="DA233" s="324"/>
      <c r="DB233" s="324"/>
      <c r="DC233" s="324"/>
      <c r="DD233" s="324"/>
      <c r="DE233" s="324"/>
      <c r="DF233" s="324"/>
      <c r="DG233" s="324"/>
      <c r="DH233" s="324"/>
      <c r="DI233" s="324"/>
      <c r="DJ233" s="324"/>
      <c r="DK233" s="324"/>
      <c r="DL233" s="324"/>
      <c r="DM233" s="324"/>
      <c r="DN233" s="324"/>
      <c r="DO233" s="324"/>
      <c r="DP233" s="324"/>
      <c r="DQ233" s="324"/>
      <c r="DR233" s="324"/>
      <c r="DS233" s="324"/>
      <c r="DT233" s="324"/>
      <c r="DU233" s="324"/>
      <c r="DV233" s="324"/>
      <c r="DW233" s="324"/>
      <c r="DX233" s="324"/>
      <c r="DY233" s="324"/>
      <c r="DZ233" s="324"/>
      <c r="EA233" s="324"/>
      <c r="EB233" s="324"/>
      <c r="EC233" s="324"/>
      <c r="ED233" s="324"/>
      <c r="EE233" s="324"/>
      <c r="EF233" s="324"/>
      <c r="EG233" s="324"/>
      <c r="EH233" s="324"/>
      <c r="EI233" s="324"/>
      <c r="EJ233" s="324"/>
      <c r="EK233" s="324"/>
      <c r="EL233" s="324"/>
      <c r="EM233" s="324"/>
      <c r="EN233" s="324"/>
      <c r="EO233" s="324"/>
      <c r="EP233" s="324"/>
      <c r="EQ233" s="324"/>
      <c r="ER233" s="324"/>
      <c r="ES233" s="324"/>
      <c r="ET233" s="324"/>
      <c r="EU233" s="324"/>
      <c r="EV233" s="324"/>
      <c r="EW233" s="324"/>
      <c r="EX233" s="324"/>
      <c r="EY233" s="324"/>
      <c r="EZ233" s="324"/>
      <c r="FA233" s="324"/>
      <c r="FB233" s="324"/>
      <c r="FC233" s="324"/>
      <c r="FD233" s="324"/>
      <c r="FE233" s="324"/>
      <c r="FF233" s="324"/>
      <c r="FG233" s="324"/>
      <c r="FH233" s="324"/>
      <c r="FI233" s="324"/>
      <c r="FJ233" s="324"/>
      <c r="FK233" s="324"/>
      <c r="FL233" s="324"/>
      <c r="FM233" s="324"/>
      <c r="FN233" s="324"/>
      <c r="FO233" s="324"/>
      <c r="FP233" s="324"/>
      <c r="FQ233" s="324"/>
      <c r="FR233" s="324"/>
      <c r="FS233" s="324"/>
      <c r="FT233" s="324"/>
      <c r="FU233" s="324"/>
      <c r="FV233" s="324"/>
      <c r="FW233" s="324"/>
      <c r="FX233" s="324"/>
      <c r="FY233" s="324"/>
      <c r="FZ233" s="324"/>
      <c r="GA233" s="324"/>
      <c r="GB233" s="324"/>
      <c r="GC233" s="324"/>
      <c r="GD233" s="324"/>
      <c r="GE233" s="324"/>
      <c r="GF233" s="324"/>
    </row>
    <row r="234" spans="2:188" s="158" customFormat="1">
      <c r="B234" s="316">
        <v>228</v>
      </c>
      <c r="C234" s="370" t="s">
        <v>244</v>
      </c>
      <c r="D234" s="370" t="s">
        <v>549</v>
      </c>
      <c r="E234" s="422" t="s">
        <v>550</v>
      </c>
      <c r="F234" s="370" t="s">
        <v>431</v>
      </c>
      <c r="G234" s="371">
        <v>1</v>
      </c>
      <c r="H234" s="369">
        <v>400000</v>
      </c>
      <c r="I234" s="317">
        <f t="shared" si="3"/>
        <v>75000</v>
      </c>
      <c r="J234" s="355"/>
      <c r="K234" s="324"/>
      <c r="L234" s="324"/>
      <c r="M234" s="324"/>
      <c r="N234" s="324"/>
      <c r="O234" s="324"/>
      <c r="P234" s="324"/>
      <c r="Q234" s="324"/>
      <c r="R234" s="324"/>
      <c r="S234" s="324"/>
      <c r="T234" s="324"/>
      <c r="U234" s="324"/>
      <c r="V234" s="324"/>
      <c r="W234" s="324"/>
      <c r="X234" s="324"/>
      <c r="Y234" s="324"/>
      <c r="Z234" s="324"/>
      <c r="AA234" s="324"/>
      <c r="AB234" s="324"/>
      <c r="AC234" s="324"/>
      <c r="AD234" s="324"/>
      <c r="AE234" s="324"/>
      <c r="AF234" s="324"/>
      <c r="AG234" s="324"/>
      <c r="AH234" s="324"/>
      <c r="AI234" s="324"/>
      <c r="AJ234" s="324"/>
      <c r="AK234" s="324"/>
      <c r="AL234" s="324"/>
      <c r="AM234" s="324"/>
      <c r="AN234" s="324"/>
      <c r="AO234" s="324"/>
      <c r="AP234" s="324"/>
      <c r="AQ234" s="324"/>
      <c r="AR234" s="324"/>
      <c r="AS234" s="324"/>
      <c r="AT234" s="324"/>
      <c r="AU234" s="324"/>
      <c r="AV234" s="324"/>
      <c r="AW234" s="324"/>
      <c r="AX234" s="324"/>
      <c r="AY234" s="324"/>
      <c r="AZ234" s="324"/>
      <c r="BA234" s="324"/>
      <c r="BB234" s="324"/>
      <c r="BC234" s="324"/>
      <c r="BD234" s="324"/>
      <c r="BE234" s="324"/>
      <c r="BF234" s="324"/>
      <c r="BG234" s="324"/>
      <c r="BH234" s="324"/>
      <c r="BI234" s="324"/>
      <c r="BJ234" s="324"/>
      <c r="BK234" s="324"/>
      <c r="BL234" s="324"/>
      <c r="BM234" s="324"/>
      <c r="BN234" s="324"/>
      <c r="BO234" s="324"/>
      <c r="BP234" s="324"/>
      <c r="BQ234" s="324"/>
      <c r="BR234" s="324"/>
      <c r="BS234" s="324"/>
      <c r="BT234" s="324"/>
      <c r="BU234" s="324"/>
      <c r="BV234" s="324"/>
      <c r="BW234" s="324"/>
      <c r="BX234" s="324"/>
      <c r="BY234" s="324"/>
      <c r="BZ234" s="324"/>
      <c r="CA234" s="324"/>
      <c r="CB234" s="324"/>
      <c r="CC234" s="324"/>
      <c r="CD234" s="324"/>
      <c r="CE234" s="324"/>
      <c r="CF234" s="324"/>
      <c r="CG234" s="324"/>
      <c r="CH234" s="324"/>
      <c r="CI234" s="324"/>
      <c r="CJ234" s="324"/>
      <c r="CK234" s="324"/>
      <c r="CL234" s="324"/>
      <c r="CM234" s="324"/>
      <c r="CN234" s="324"/>
      <c r="CO234" s="324"/>
      <c r="CP234" s="324"/>
      <c r="CQ234" s="324"/>
      <c r="CR234" s="324"/>
      <c r="CS234" s="324"/>
      <c r="CT234" s="324"/>
      <c r="CU234" s="324"/>
      <c r="CV234" s="324"/>
      <c r="CW234" s="324"/>
      <c r="CX234" s="324"/>
      <c r="CY234" s="324"/>
      <c r="CZ234" s="324"/>
      <c r="DA234" s="324"/>
      <c r="DB234" s="324"/>
      <c r="DC234" s="324"/>
      <c r="DD234" s="324"/>
      <c r="DE234" s="324"/>
      <c r="DF234" s="324"/>
      <c r="DG234" s="324"/>
      <c r="DH234" s="324"/>
      <c r="DI234" s="324"/>
      <c r="DJ234" s="324"/>
      <c r="DK234" s="324"/>
      <c r="DL234" s="324"/>
      <c r="DM234" s="324"/>
      <c r="DN234" s="324"/>
      <c r="DO234" s="324"/>
      <c r="DP234" s="324"/>
      <c r="DQ234" s="324"/>
      <c r="DR234" s="324"/>
      <c r="DS234" s="324"/>
      <c r="DT234" s="324"/>
      <c r="DU234" s="324"/>
      <c r="DV234" s="324"/>
      <c r="DW234" s="324"/>
      <c r="DX234" s="324"/>
      <c r="DY234" s="324"/>
      <c r="DZ234" s="324"/>
      <c r="EA234" s="324"/>
      <c r="EB234" s="324"/>
      <c r="EC234" s="324"/>
      <c r="ED234" s="324"/>
      <c r="EE234" s="324"/>
      <c r="EF234" s="324"/>
      <c r="EG234" s="324"/>
      <c r="EH234" s="324"/>
      <c r="EI234" s="324"/>
      <c r="EJ234" s="324"/>
      <c r="EK234" s="324"/>
      <c r="EL234" s="324"/>
      <c r="EM234" s="324"/>
      <c r="EN234" s="324"/>
      <c r="EO234" s="324"/>
      <c r="EP234" s="324"/>
      <c r="EQ234" s="324"/>
      <c r="ER234" s="324"/>
      <c r="ES234" s="324"/>
      <c r="ET234" s="324"/>
      <c r="EU234" s="324"/>
      <c r="EV234" s="324"/>
      <c r="EW234" s="324"/>
      <c r="EX234" s="324"/>
      <c r="EY234" s="324"/>
      <c r="EZ234" s="324"/>
      <c r="FA234" s="324"/>
      <c r="FB234" s="324"/>
      <c r="FC234" s="324"/>
      <c r="FD234" s="324"/>
      <c r="FE234" s="324"/>
      <c r="FF234" s="324"/>
      <c r="FG234" s="324"/>
      <c r="FH234" s="324"/>
      <c r="FI234" s="324"/>
      <c r="FJ234" s="324"/>
      <c r="FK234" s="324"/>
      <c r="FL234" s="324"/>
      <c r="FM234" s="324"/>
      <c r="FN234" s="324"/>
      <c r="FO234" s="324"/>
      <c r="FP234" s="324"/>
      <c r="FQ234" s="324"/>
      <c r="FR234" s="324"/>
      <c r="FS234" s="324"/>
      <c r="FT234" s="324"/>
      <c r="FU234" s="324"/>
      <c r="FV234" s="324"/>
      <c r="FW234" s="324"/>
      <c r="FX234" s="324"/>
      <c r="FY234" s="324"/>
      <c r="FZ234" s="324"/>
      <c r="GA234" s="324"/>
      <c r="GB234" s="324"/>
      <c r="GC234" s="324"/>
      <c r="GD234" s="324"/>
      <c r="GE234" s="324"/>
      <c r="GF234" s="324"/>
    </row>
    <row r="235" spans="2:188" s="158" customFormat="1">
      <c r="B235" s="316">
        <v>229</v>
      </c>
      <c r="C235" s="370" t="s">
        <v>197</v>
      </c>
      <c r="D235" s="370" t="s">
        <v>551</v>
      </c>
      <c r="E235" s="422" t="s">
        <v>552</v>
      </c>
      <c r="F235" s="370" t="s">
        <v>395</v>
      </c>
      <c r="G235" s="371">
        <v>5</v>
      </c>
      <c r="H235" s="369">
        <v>500000</v>
      </c>
      <c r="I235" s="317">
        <f t="shared" si="3"/>
        <v>93750</v>
      </c>
      <c r="J235" s="355"/>
      <c r="K235" s="324"/>
      <c r="L235" s="324"/>
      <c r="M235" s="324"/>
      <c r="N235" s="324"/>
      <c r="O235" s="324"/>
      <c r="P235" s="324"/>
      <c r="Q235" s="324"/>
      <c r="R235" s="324"/>
      <c r="S235" s="324"/>
      <c r="T235" s="324"/>
      <c r="U235" s="324"/>
      <c r="V235" s="324"/>
      <c r="W235" s="324"/>
      <c r="X235" s="324"/>
      <c r="Y235" s="324"/>
      <c r="Z235" s="324"/>
      <c r="AA235" s="324"/>
      <c r="AB235" s="324"/>
      <c r="AC235" s="324"/>
      <c r="AD235" s="324"/>
      <c r="AE235" s="324"/>
      <c r="AF235" s="324"/>
      <c r="AG235" s="324"/>
      <c r="AH235" s="324"/>
      <c r="AI235" s="324"/>
      <c r="AJ235" s="324"/>
      <c r="AK235" s="324"/>
      <c r="AL235" s="324"/>
      <c r="AM235" s="324"/>
      <c r="AN235" s="324"/>
      <c r="AO235" s="324"/>
      <c r="AP235" s="324"/>
      <c r="AQ235" s="324"/>
      <c r="AR235" s="324"/>
      <c r="AS235" s="324"/>
      <c r="AT235" s="324"/>
      <c r="AU235" s="324"/>
      <c r="AV235" s="324"/>
      <c r="AW235" s="324"/>
      <c r="AX235" s="324"/>
      <c r="AY235" s="324"/>
      <c r="AZ235" s="324"/>
      <c r="BA235" s="324"/>
      <c r="BB235" s="324"/>
      <c r="BC235" s="324"/>
      <c r="BD235" s="324"/>
      <c r="BE235" s="324"/>
      <c r="BF235" s="324"/>
      <c r="BG235" s="324"/>
      <c r="BH235" s="324"/>
      <c r="BI235" s="324"/>
      <c r="BJ235" s="324"/>
      <c r="BK235" s="324"/>
      <c r="BL235" s="324"/>
      <c r="BM235" s="324"/>
      <c r="BN235" s="324"/>
      <c r="BO235" s="324"/>
      <c r="BP235" s="324"/>
      <c r="BQ235" s="324"/>
      <c r="BR235" s="324"/>
      <c r="BS235" s="324"/>
      <c r="BT235" s="324"/>
      <c r="BU235" s="324"/>
      <c r="BV235" s="324"/>
      <c r="BW235" s="324"/>
      <c r="BX235" s="324"/>
      <c r="BY235" s="324"/>
      <c r="BZ235" s="324"/>
      <c r="CA235" s="324"/>
      <c r="CB235" s="324"/>
      <c r="CC235" s="324"/>
      <c r="CD235" s="324"/>
      <c r="CE235" s="324"/>
      <c r="CF235" s="324"/>
      <c r="CG235" s="324"/>
      <c r="CH235" s="324"/>
      <c r="CI235" s="324"/>
      <c r="CJ235" s="324"/>
      <c r="CK235" s="324"/>
      <c r="CL235" s="324"/>
      <c r="CM235" s="324"/>
      <c r="CN235" s="324"/>
      <c r="CO235" s="324"/>
      <c r="CP235" s="324"/>
      <c r="CQ235" s="324"/>
      <c r="CR235" s="324"/>
      <c r="CS235" s="324"/>
      <c r="CT235" s="324"/>
      <c r="CU235" s="324"/>
      <c r="CV235" s="324"/>
      <c r="CW235" s="324"/>
      <c r="CX235" s="324"/>
      <c r="CY235" s="324"/>
      <c r="CZ235" s="324"/>
      <c r="DA235" s="324"/>
      <c r="DB235" s="324"/>
      <c r="DC235" s="324"/>
      <c r="DD235" s="324"/>
      <c r="DE235" s="324"/>
      <c r="DF235" s="324"/>
      <c r="DG235" s="324"/>
      <c r="DH235" s="324"/>
      <c r="DI235" s="324"/>
      <c r="DJ235" s="324"/>
      <c r="DK235" s="324"/>
      <c r="DL235" s="324"/>
      <c r="DM235" s="324"/>
      <c r="DN235" s="324"/>
      <c r="DO235" s="324"/>
      <c r="DP235" s="324"/>
      <c r="DQ235" s="324"/>
      <c r="DR235" s="324"/>
      <c r="DS235" s="324"/>
      <c r="DT235" s="324"/>
      <c r="DU235" s="324"/>
      <c r="DV235" s="324"/>
      <c r="DW235" s="324"/>
      <c r="DX235" s="324"/>
      <c r="DY235" s="324"/>
      <c r="DZ235" s="324"/>
      <c r="EA235" s="324"/>
      <c r="EB235" s="324"/>
      <c r="EC235" s="324"/>
      <c r="ED235" s="324"/>
      <c r="EE235" s="324"/>
      <c r="EF235" s="324"/>
      <c r="EG235" s="324"/>
      <c r="EH235" s="324"/>
      <c r="EI235" s="324"/>
      <c r="EJ235" s="324"/>
      <c r="EK235" s="324"/>
      <c r="EL235" s="324"/>
      <c r="EM235" s="324"/>
      <c r="EN235" s="324"/>
      <c r="EO235" s="324"/>
      <c r="EP235" s="324"/>
      <c r="EQ235" s="324"/>
      <c r="ER235" s="324"/>
      <c r="ES235" s="324"/>
      <c r="ET235" s="324"/>
      <c r="EU235" s="324"/>
      <c r="EV235" s="324"/>
      <c r="EW235" s="324"/>
      <c r="EX235" s="324"/>
      <c r="EY235" s="324"/>
      <c r="EZ235" s="324"/>
      <c r="FA235" s="324"/>
      <c r="FB235" s="324"/>
      <c r="FC235" s="324"/>
      <c r="FD235" s="324"/>
      <c r="FE235" s="324"/>
      <c r="FF235" s="324"/>
      <c r="FG235" s="324"/>
      <c r="FH235" s="324"/>
      <c r="FI235" s="324"/>
      <c r="FJ235" s="324"/>
      <c r="FK235" s="324"/>
      <c r="FL235" s="324"/>
      <c r="FM235" s="324"/>
      <c r="FN235" s="324"/>
      <c r="FO235" s="324"/>
      <c r="FP235" s="324"/>
      <c r="FQ235" s="324"/>
      <c r="FR235" s="324"/>
      <c r="FS235" s="324"/>
      <c r="FT235" s="324"/>
      <c r="FU235" s="324"/>
      <c r="FV235" s="324"/>
      <c r="FW235" s="324"/>
      <c r="FX235" s="324"/>
      <c r="FY235" s="324"/>
      <c r="FZ235" s="324"/>
      <c r="GA235" s="324"/>
      <c r="GB235" s="324"/>
      <c r="GC235" s="324"/>
      <c r="GD235" s="324"/>
      <c r="GE235" s="324"/>
      <c r="GF235" s="324"/>
    </row>
    <row r="236" spans="2:188" s="158" customFormat="1">
      <c r="B236" s="316">
        <v>230</v>
      </c>
      <c r="C236" s="370" t="s">
        <v>200</v>
      </c>
      <c r="D236" s="370" t="s">
        <v>351</v>
      </c>
      <c r="E236" s="422" t="s">
        <v>352</v>
      </c>
      <c r="F236" s="370" t="s">
        <v>395</v>
      </c>
      <c r="G236" s="371">
        <v>4</v>
      </c>
      <c r="H236" s="369">
        <v>400000</v>
      </c>
      <c r="I236" s="317">
        <f t="shared" si="3"/>
        <v>75000</v>
      </c>
      <c r="J236" s="249"/>
    </row>
    <row r="237" spans="2:188" s="158" customFormat="1" ht="18.75" customHeight="1">
      <c r="B237" s="316">
        <v>231</v>
      </c>
      <c r="C237" s="370" t="s">
        <v>222</v>
      </c>
      <c r="D237" s="370" t="s">
        <v>380</v>
      </c>
      <c r="E237" s="422" t="s">
        <v>381</v>
      </c>
      <c r="F237" s="370" t="s">
        <v>394</v>
      </c>
      <c r="G237" s="371">
        <v>3</v>
      </c>
      <c r="H237" s="369">
        <v>300000</v>
      </c>
      <c r="I237" s="317">
        <f t="shared" si="3"/>
        <v>56250</v>
      </c>
      <c r="J237" s="249"/>
    </row>
    <row r="238" spans="2:188" s="158" customFormat="1">
      <c r="B238" s="316">
        <v>232</v>
      </c>
      <c r="C238" s="370" t="s">
        <v>236</v>
      </c>
      <c r="D238" s="370" t="s">
        <v>353</v>
      </c>
      <c r="E238" s="422" t="s">
        <v>550</v>
      </c>
      <c r="F238" s="370" t="s">
        <v>394</v>
      </c>
      <c r="G238" s="371">
        <v>1</v>
      </c>
      <c r="H238" s="369">
        <v>40300</v>
      </c>
      <c r="I238" s="317">
        <f t="shared" si="3"/>
        <v>7556.25</v>
      </c>
      <c r="J238" s="249"/>
    </row>
    <row r="239" spans="2:188" s="158" customFormat="1">
      <c r="B239" s="316">
        <v>233</v>
      </c>
      <c r="C239" s="370" t="s">
        <v>212</v>
      </c>
      <c r="D239" s="370" t="s">
        <v>353</v>
      </c>
      <c r="E239" s="422" t="s">
        <v>147</v>
      </c>
      <c r="F239" s="370" t="s">
        <v>395</v>
      </c>
      <c r="G239" s="371">
        <v>7</v>
      </c>
      <c r="H239" s="369">
        <v>700000</v>
      </c>
      <c r="I239" s="317">
        <f t="shared" si="3"/>
        <v>131250</v>
      </c>
      <c r="J239" s="249"/>
    </row>
    <row r="240" spans="2:188" s="158" customFormat="1">
      <c r="B240" s="316">
        <v>234</v>
      </c>
      <c r="C240" s="370" t="s">
        <v>256</v>
      </c>
      <c r="D240" s="370" t="s">
        <v>553</v>
      </c>
      <c r="E240" s="422" t="s">
        <v>355</v>
      </c>
      <c r="F240" s="370" t="s">
        <v>395</v>
      </c>
      <c r="G240" s="371">
        <v>4</v>
      </c>
      <c r="H240" s="369">
        <v>400000</v>
      </c>
      <c r="I240" s="317">
        <f t="shared" si="3"/>
        <v>75000</v>
      </c>
      <c r="J240" s="355"/>
      <c r="K240" s="324"/>
      <c r="L240" s="324"/>
      <c r="M240" s="324"/>
      <c r="N240" s="324"/>
      <c r="O240" s="324"/>
      <c r="P240" s="324"/>
      <c r="Q240" s="324"/>
      <c r="R240" s="324"/>
      <c r="S240" s="324"/>
      <c r="T240" s="324"/>
      <c r="U240" s="324"/>
      <c r="V240" s="324"/>
      <c r="W240" s="324"/>
      <c r="X240" s="324"/>
      <c r="Y240" s="324"/>
      <c r="Z240" s="324"/>
      <c r="AA240" s="324"/>
      <c r="AB240" s="324"/>
      <c r="AC240" s="324"/>
      <c r="AD240" s="324"/>
      <c r="AE240" s="324"/>
      <c r="AF240" s="324"/>
      <c r="AG240" s="324"/>
      <c r="AH240" s="324"/>
      <c r="AI240" s="324"/>
      <c r="AJ240" s="324"/>
      <c r="AK240" s="324"/>
      <c r="AL240" s="324"/>
      <c r="AM240" s="324"/>
      <c r="AN240" s="324"/>
      <c r="AO240" s="324"/>
      <c r="AP240" s="324"/>
      <c r="AQ240" s="324"/>
      <c r="AR240" s="324"/>
      <c r="AS240" s="324"/>
      <c r="AT240" s="324"/>
      <c r="AU240" s="324"/>
      <c r="AV240" s="324"/>
      <c r="AW240" s="324"/>
      <c r="AX240" s="324"/>
      <c r="AY240" s="324"/>
      <c r="AZ240" s="324"/>
      <c r="BA240" s="324"/>
      <c r="BB240" s="324"/>
      <c r="BC240" s="324"/>
      <c r="BD240" s="324"/>
      <c r="BE240" s="324"/>
      <c r="BF240" s="324"/>
      <c r="BG240" s="324"/>
      <c r="BH240" s="324"/>
      <c r="BI240" s="324"/>
      <c r="BJ240" s="324"/>
      <c r="BK240" s="324"/>
      <c r="BL240" s="324"/>
      <c r="BM240" s="324"/>
      <c r="BN240" s="324"/>
      <c r="BO240" s="324"/>
      <c r="BP240" s="324"/>
      <c r="BQ240" s="324"/>
      <c r="BR240" s="324"/>
      <c r="BS240" s="324"/>
      <c r="BT240" s="324"/>
      <c r="BU240" s="324"/>
      <c r="BV240" s="324"/>
      <c r="BW240" s="324"/>
      <c r="BX240" s="324"/>
      <c r="BY240" s="324"/>
      <c r="BZ240" s="324"/>
      <c r="CA240" s="324"/>
      <c r="CB240" s="324"/>
      <c r="CC240" s="324"/>
      <c r="CD240" s="324"/>
      <c r="CE240" s="324"/>
      <c r="CF240" s="324"/>
      <c r="CG240" s="324"/>
      <c r="CH240" s="324"/>
      <c r="CI240" s="324"/>
      <c r="CJ240" s="324"/>
      <c r="CK240" s="324"/>
      <c r="CL240" s="324"/>
      <c r="CM240" s="324"/>
      <c r="CN240" s="324"/>
      <c r="CO240" s="324"/>
      <c r="CP240" s="324"/>
      <c r="CQ240" s="324"/>
      <c r="CR240" s="324"/>
      <c r="CS240" s="324"/>
      <c r="CT240" s="324"/>
      <c r="CU240" s="324"/>
      <c r="CV240" s="324"/>
      <c r="CW240" s="324"/>
      <c r="CX240" s="324"/>
      <c r="CY240" s="324"/>
      <c r="CZ240" s="324"/>
      <c r="DA240" s="324"/>
      <c r="DB240" s="324"/>
      <c r="DC240" s="324"/>
      <c r="DD240" s="324"/>
      <c r="DE240" s="324"/>
      <c r="DF240" s="324"/>
      <c r="DG240" s="324"/>
      <c r="DH240" s="324"/>
      <c r="DI240" s="324"/>
      <c r="DJ240" s="324"/>
      <c r="DK240" s="324"/>
      <c r="DL240" s="324"/>
      <c r="DM240" s="324"/>
      <c r="DN240" s="324"/>
      <c r="DO240" s="324"/>
      <c r="DP240" s="324"/>
      <c r="DQ240" s="324"/>
      <c r="DR240" s="324"/>
      <c r="DS240" s="324"/>
      <c r="DT240" s="324"/>
      <c r="DU240" s="324"/>
      <c r="DV240" s="324"/>
      <c r="DW240" s="324"/>
      <c r="DX240" s="324"/>
      <c r="DY240" s="324"/>
      <c r="DZ240" s="324"/>
      <c r="EA240" s="324"/>
      <c r="EB240" s="324"/>
      <c r="EC240" s="324"/>
      <c r="ED240" s="324"/>
      <c r="EE240" s="324"/>
      <c r="EF240" s="324"/>
      <c r="EG240" s="324"/>
      <c r="EH240" s="324"/>
      <c r="EI240" s="324"/>
      <c r="EJ240" s="324"/>
      <c r="EK240" s="324"/>
      <c r="EL240" s="324"/>
      <c r="EM240" s="324"/>
      <c r="EN240" s="324"/>
      <c r="EO240" s="324"/>
      <c r="EP240" s="324"/>
      <c r="EQ240" s="324"/>
      <c r="ER240" s="324"/>
      <c r="ES240" s="324"/>
      <c r="ET240" s="324"/>
      <c r="EU240" s="324"/>
      <c r="EV240" s="324"/>
      <c r="EW240" s="324"/>
      <c r="EX240" s="324"/>
      <c r="EY240" s="324"/>
      <c r="EZ240" s="324"/>
      <c r="FA240" s="324"/>
      <c r="FB240" s="324"/>
      <c r="FC240" s="324"/>
      <c r="FD240" s="324"/>
      <c r="FE240" s="324"/>
      <c r="FF240" s="324"/>
      <c r="FG240" s="324"/>
      <c r="FH240" s="324"/>
      <c r="FI240" s="324"/>
      <c r="FJ240" s="324"/>
      <c r="FK240" s="324"/>
      <c r="FL240" s="324"/>
      <c r="FM240" s="324"/>
      <c r="FN240" s="324"/>
      <c r="FO240" s="324"/>
      <c r="FP240" s="324"/>
      <c r="FQ240" s="324"/>
      <c r="FR240" s="324"/>
      <c r="FS240" s="324"/>
      <c r="FT240" s="324"/>
      <c r="FU240" s="324"/>
      <c r="FV240" s="324"/>
      <c r="FW240" s="324"/>
      <c r="FX240" s="324"/>
      <c r="FY240" s="324"/>
      <c r="FZ240" s="324"/>
      <c r="GA240" s="324"/>
      <c r="GB240" s="324"/>
      <c r="GC240" s="324"/>
      <c r="GD240" s="324"/>
      <c r="GE240" s="324"/>
      <c r="GF240" s="324"/>
    </row>
    <row r="241" spans="2:188" s="158" customFormat="1">
      <c r="B241" s="316">
        <v>235</v>
      </c>
      <c r="C241" s="370" t="s">
        <v>200</v>
      </c>
      <c r="D241" s="370" t="s">
        <v>531</v>
      </c>
      <c r="E241" s="422" t="s">
        <v>499</v>
      </c>
      <c r="F241" s="370" t="s">
        <v>392</v>
      </c>
      <c r="G241" s="371">
        <v>3</v>
      </c>
      <c r="H241" s="369">
        <v>300000</v>
      </c>
      <c r="I241" s="317">
        <f t="shared" si="3"/>
        <v>56250</v>
      </c>
      <c r="J241" s="355"/>
      <c r="K241" s="324"/>
      <c r="L241" s="324"/>
      <c r="M241" s="324"/>
      <c r="N241" s="324"/>
      <c r="O241" s="324"/>
      <c r="P241" s="324"/>
      <c r="Q241" s="324"/>
      <c r="R241" s="324"/>
      <c r="S241" s="324"/>
      <c r="T241" s="324"/>
      <c r="U241" s="324"/>
      <c r="V241" s="324"/>
      <c r="W241" s="324"/>
      <c r="X241" s="324"/>
      <c r="Y241" s="324"/>
      <c r="Z241" s="324"/>
      <c r="AA241" s="324"/>
      <c r="AB241" s="324"/>
      <c r="AC241" s="324"/>
      <c r="AD241" s="324"/>
      <c r="AE241" s="324"/>
      <c r="AF241" s="324"/>
      <c r="AG241" s="324"/>
      <c r="AH241" s="324"/>
      <c r="AI241" s="324"/>
      <c r="AJ241" s="324"/>
      <c r="AK241" s="324"/>
      <c r="AL241" s="324"/>
      <c r="AM241" s="324"/>
      <c r="AN241" s="324"/>
      <c r="AO241" s="324"/>
      <c r="AP241" s="324"/>
      <c r="AQ241" s="324"/>
      <c r="AR241" s="324"/>
      <c r="AS241" s="324"/>
      <c r="AT241" s="324"/>
      <c r="AU241" s="324"/>
      <c r="AV241" s="324"/>
      <c r="AW241" s="324"/>
      <c r="AX241" s="324"/>
      <c r="AY241" s="324"/>
      <c r="AZ241" s="324"/>
      <c r="BA241" s="324"/>
      <c r="BB241" s="324"/>
      <c r="BC241" s="324"/>
      <c r="BD241" s="324"/>
      <c r="BE241" s="324"/>
      <c r="BF241" s="324"/>
      <c r="BG241" s="324"/>
      <c r="BH241" s="324"/>
      <c r="BI241" s="324"/>
      <c r="BJ241" s="324"/>
      <c r="BK241" s="324"/>
      <c r="BL241" s="324"/>
      <c r="BM241" s="324"/>
      <c r="BN241" s="324"/>
      <c r="BO241" s="324"/>
      <c r="BP241" s="324"/>
      <c r="BQ241" s="324"/>
      <c r="BR241" s="324"/>
      <c r="BS241" s="324"/>
      <c r="BT241" s="324"/>
      <c r="BU241" s="324"/>
      <c r="BV241" s="324"/>
      <c r="BW241" s="324"/>
      <c r="BX241" s="324"/>
      <c r="BY241" s="324"/>
      <c r="BZ241" s="324"/>
      <c r="CA241" s="324"/>
      <c r="CB241" s="324"/>
      <c r="CC241" s="324"/>
      <c r="CD241" s="324"/>
      <c r="CE241" s="324"/>
      <c r="CF241" s="324"/>
      <c r="CG241" s="324"/>
      <c r="CH241" s="324"/>
      <c r="CI241" s="324"/>
      <c r="CJ241" s="324"/>
      <c r="CK241" s="324"/>
      <c r="CL241" s="324"/>
      <c r="CM241" s="324"/>
      <c r="CN241" s="324"/>
      <c r="CO241" s="324"/>
      <c r="CP241" s="324"/>
      <c r="CQ241" s="324"/>
      <c r="CR241" s="324"/>
      <c r="CS241" s="324"/>
      <c r="CT241" s="324"/>
      <c r="CU241" s="324"/>
      <c r="CV241" s="324"/>
      <c r="CW241" s="324"/>
      <c r="CX241" s="324"/>
      <c r="CY241" s="324"/>
      <c r="CZ241" s="324"/>
      <c r="DA241" s="324"/>
      <c r="DB241" s="324"/>
      <c r="DC241" s="324"/>
      <c r="DD241" s="324"/>
      <c r="DE241" s="324"/>
      <c r="DF241" s="324"/>
      <c r="DG241" s="324"/>
      <c r="DH241" s="324"/>
      <c r="DI241" s="324"/>
      <c r="DJ241" s="324"/>
      <c r="DK241" s="324"/>
      <c r="DL241" s="324"/>
      <c r="DM241" s="324"/>
      <c r="DN241" s="324"/>
      <c r="DO241" s="324"/>
      <c r="DP241" s="324"/>
      <c r="DQ241" s="324"/>
      <c r="DR241" s="324"/>
      <c r="DS241" s="324"/>
      <c r="DT241" s="324"/>
      <c r="DU241" s="324"/>
      <c r="DV241" s="324"/>
      <c r="DW241" s="324"/>
      <c r="DX241" s="324"/>
      <c r="DY241" s="324"/>
      <c r="DZ241" s="324"/>
      <c r="EA241" s="324"/>
      <c r="EB241" s="324"/>
      <c r="EC241" s="324"/>
      <c r="ED241" s="324"/>
      <c r="EE241" s="324"/>
      <c r="EF241" s="324"/>
      <c r="EG241" s="324"/>
      <c r="EH241" s="324"/>
      <c r="EI241" s="324"/>
      <c r="EJ241" s="324"/>
      <c r="EK241" s="324"/>
      <c r="EL241" s="324"/>
      <c r="EM241" s="324"/>
      <c r="EN241" s="324"/>
      <c r="EO241" s="324"/>
      <c r="EP241" s="324"/>
      <c r="EQ241" s="324"/>
      <c r="ER241" s="324"/>
      <c r="ES241" s="324"/>
      <c r="ET241" s="324"/>
      <c r="EU241" s="324"/>
      <c r="EV241" s="324"/>
      <c r="EW241" s="324"/>
      <c r="EX241" s="324"/>
      <c r="EY241" s="324"/>
      <c r="EZ241" s="324"/>
      <c r="FA241" s="324"/>
      <c r="FB241" s="324"/>
      <c r="FC241" s="324"/>
      <c r="FD241" s="324"/>
      <c r="FE241" s="324"/>
      <c r="FF241" s="324"/>
      <c r="FG241" s="324"/>
      <c r="FH241" s="324"/>
      <c r="FI241" s="324"/>
      <c r="FJ241" s="324"/>
      <c r="FK241" s="324"/>
      <c r="FL241" s="324"/>
      <c r="FM241" s="324"/>
      <c r="FN241" s="324"/>
      <c r="FO241" s="324"/>
      <c r="FP241" s="324"/>
      <c r="FQ241" s="324"/>
      <c r="FR241" s="324"/>
      <c r="FS241" s="324"/>
      <c r="FT241" s="324"/>
      <c r="FU241" s="324"/>
      <c r="FV241" s="324"/>
      <c r="FW241" s="324"/>
      <c r="FX241" s="324"/>
      <c r="FY241" s="324"/>
      <c r="FZ241" s="324"/>
      <c r="GA241" s="324"/>
      <c r="GB241" s="324"/>
      <c r="GC241" s="324"/>
      <c r="GD241" s="324"/>
      <c r="GE241" s="324"/>
      <c r="GF241" s="324"/>
    </row>
    <row r="242" spans="2:188" s="158" customFormat="1">
      <c r="B242" s="316">
        <v>236</v>
      </c>
      <c r="C242" s="370" t="s">
        <v>209</v>
      </c>
      <c r="D242" s="370" t="s">
        <v>416</v>
      </c>
      <c r="E242" s="422" t="s">
        <v>417</v>
      </c>
      <c r="F242" s="370" t="s">
        <v>395</v>
      </c>
      <c r="G242" s="371">
        <v>1</v>
      </c>
      <c r="H242" s="369">
        <v>100000</v>
      </c>
      <c r="I242" s="317">
        <f t="shared" si="3"/>
        <v>18750</v>
      </c>
      <c r="J242" s="355"/>
      <c r="K242" s="324"/>
      <c r="L242" s="324"/>
      <c r="M242" s="324"/>
      <c r="N242" s="324"/>
      <c r="O242" s="324"/>
      <c r="P242" s="324"/>
      <c r="Q242" s="324"/>
      <c r="R242" s="324"/>
      <c r="S242" s="324"/>
      <c r="T242" s="324"/>
      <c r="U242" s="324"/>
      <c r="V242" s="324"/>
      <c r="W242" s="324"/>
      <c r="X242" s="324"/>
      <c r="Y242" s="324"/>
      <c r="Z242" s="324"/>
      <c r="AA242" s="324"/>
      <c r="AB242" s="324"/>
      <c r="AC242" s="324"/>
      <c r="AD242" s="324"/>
      <c r="AE242" s="324"/>
      <c r="AF242" s="324"/>
      <c r="AG242" s="324"/>
      <c r="AH242" s="324"/>
      <c r="AI242" s="324"/>
      <c r="AJ242" s="324"/>
      <c r="AK242" s="324"/>
      <c r="AL242" s="324"/>
      <c r="AM242" s="324"/>
      <c r="AN242" s="324"/>
      <c r="AO242" s="324"/>
      <c r="AP242" s="324"/>
      <c r="AQ242" s="324"/>
      <c r="AR242" s="324"/>
      <c r="AS242" s="324"/>
      <c r="AT242" s="324"/>
      <c r="AU242" s="324"/>
      <c r="AV242" s="324"/>
      <c r="AW242" s="324"/>
      <c r="AX242" s="324"/>
      <c r="AY242" s="324"/>
      <c r="AZ242" s="324"/>
      <c r="BA242" s="324"/>
      <c r="BB242" s="324"/>
      <c r="BC242" s="324"/>
      <c r="BD242" s="324"/>
      <c r="BE242" s="324"/>
      <c r="BF242" s="324"/>
      <c r="BG242" s="324"/>
      <c r="BH242" s="324"/>
      <c r="BI242" s="324"/>
      <c r="BJ242" s="324"/>
      <c r="BK242" s="324"/>
      <c r="BL242" s="324"/>
      <c r="BM242" s="324"/>
      <c r="BN242" s="324"/>
      <c r="BO242" s="324"/>
      <c r="BP242" s="324"/>
      <c r="BQ242" s="324"/>
      <c r="BR242" s="324"/>
      <c r="BS242" s="324"/>
      <c r="BT242" s="324"/>
      <c r="BU242" s="324"/>
      <c r="BV242" s="324"/>
      <c r="BW242" s="324"/>
      <c r="BX242" s="324"/>
      <c r="BY242" s="324"/>
      <c r="BZ242" s="324"/>
      <c r="CA242" s="324"/>
      <c r="CB242" s="324"/>
      <c r="CC242" s="324"/>
      <c r="CD242" s="324"/>
      <c r="CE242" s="324"/>
      <c r="CF242" s="324"/>
      <c r="CG242" s="324"/>
      <c r="CH242" s="324"/>
      <c r="CI242" s="324"/>
      <c r="CJ242" s="324"/>
      <c r="CK242" s="324"/>
      <c r="CL242" s="324"/>
      <c r="CM242" s="324"/>
      <c r="CN242" s="324"/>
      <c r="CO242" s="324"/>
      <c r="CP242" s="324"/>
      <c r="CQ242" s="324"/>
      <c r="CR242" s="324"/>
      <c r="CS242" s="324"/>
      <c r="CT242" s="324"/>
      <c r="CU242" s="324"/>
      <c r="CV242" s="324"/>
      <c r="CW242" s="324"/>
      <c r="CX242" s="324"/>
      <c r="CY242" s="324"/>
      <c r="CZ242" s="324"/>
      <c r="DA242" s="324"/>
      <c r="DB242" s="324"/>
      <c r="DC242" s="324"/>
      <c r="DD242" s="324"/>
      <c r="DE242" s="324"/>
      <c r="DF242" s="324"/>
      <c r="DG242" s="324"/>
      <c r="DH242" s="324"/>
      <c r="DI242" s="324"/>
      <c r="DJ242" s="324"/>
      <c r="DK242" s="324"/>
      <c r="DL242" s="324"/>
      <c r="DM242" s="324"/>
      <c r="DN242" s="324"/>
      <c r="DO242" s="324"/>
      <c r="DP242" s="324"/>
      <c r="DQ242" s="324"/>
      <c r="DR242" s="324"/>
      <c r="DS242" s="324"/>
      <c r="DT242" s="324"/>
      <c r="DU242" s="324"/>
      <c r="DV242" s="324"/>
      <c r="DW242" s="324"/>
      <c r="DX242" s="324"/>
      <c r="DY242" s="324"/>
      <c r="DZ242" s="324"/>
      <c r="EA242" s="324"/>
      <c r="EB242" s="324"/>
      <c r="EC242" s="324"/>
      <c r="ED242" s="324"/>
      <c r="EE242" s="324"/>
      <c r="EF242" s="324"/>
      <c r="EG242" s="324"/>
      <c r="EH242" s="324"/>
      <c r="EI242" s="324"/>
      <c r="EJ242" s="324"/>
      <c r="EK242" s="324"/>
      <c r="EL242" s="324"/>
      <c r="EM242" s="324"/>
      <c r="EN242" s="324"/>
      <c r="EO242" s="324"/>
      <c r="EP242" s="324"/>
      <c r="EQ242" s="324"/>
      <c r="ER242" s="324"/>
      <c r="ES242" s="324"/>
      <c r="ET242" s="324"/>
      <c r="EU242" s="324"/>
      <c r="EV242" s="324"/>
      <c r="EW242" s="324"/>
      <c r="EX242" s="324"/>
      <c r="EY242" s="324"/>
      <c r="EZ242" s="324"/>
      <c r="FA242" s="324"/>
      <c r="FB242" s="324"/>
      <c r="FC242" s="324"/>
      <c r="FD242" s="324"/>
      <c r="FE242" s="324"/>
      <c r="FF242" s="324"/>
      <c r="FG242" s="324"/>
      <c r="FH242" s="324"/>
      <c r="FI242" s="324"/>
      <c r="FJ242" s="324"/>
      <c r="FK242" s="324"/>
      <c r="FL242" s="324"/>
      <c r="FM242" s="324"/>
      <c r="FN242" s="324"/>
      <c r="FO242" s="324"/>
      <c r="FP242" s="324"/>
      <c r="FQ242" s="324"/>
      <c r="FR242" s="324"/>
      <c r="FS242" s="324"/>
      <c r="FT242" s="324"/>
      <c r="FU242" s="324"/>
      <c r="FV242" s="324"/>
      <c r="FW242" s="324"/>
      <c r="FX242" s="324"/>
      <c r="FY242" s="324"/>
      <c r="FZ242" s="324"/>
      <c r="GA242" s="324"/>
      <c r="GB242" s="324"/>
      <c r="GC242" s="324"/>
      <c r="GD242" s="324"/>
      <c r="GE242" s="324"/>
      <c r="GF242" s="324"/>
    </row>
    <row r="243" spans="2:188" s="158" customFormat="1">
      <c r="B243" s="316">
        <v>237</v>
      </c>
      <c r="C243" s="370" t="s">
        <v>324</v>
      </c>
      <c r="D243" s="370" t="s">
        <v>554</v>
      </c>
      <c r="E243" s="422" t="s">
        <v>148</v>
      </c>
      <c r="F243" s="370" t="s">
        <v>521</v>
      </c>
      <c r="G243" s="371">
        <v>1</v>
      </c>
      <c r="H243" s="369">
        <v>600000</v>
      </c>
      <c r="I243" s="317">
        <f t="shared" si="3"/>
        <v>112500</v>
      </c>
      <c r="J243" s="355"/>
      <c r="K243" s="324"/>
      <c r="L243" s="324"/>
      <c r="M243" s="324"/>
      <c r="N243" s="324"/>
      <c r="O243" s="324"/>
      <c r="P243" s="324"/>
      <c r="Q243" s="324"/>
      <c r="R243" s="324"/>
      <c r="S243" s="324"/>
      <c r="T243" s="324"/>
      <c r="U243" s="324"/>
      <c r="V243" s="324"/>
      <c r="W243" s="324"/>
      <c r="X243" s="324"/>
      <c r="Y243" s="324"/>
      <c r="Z243" s="324"/>
      <c r="AA243" s="324"/>
      <c r="AB243" s="324"/>
      <c r="AC243" s="324"/>
      <c r="AD243" s="324"/>
      <c r="AE243" s="324"/>
      <c r="AF243" s="324"/>
      <c r="AG243" s="324"/>
      <c r="AH243" s="324"/>
      <c r="AI243" s="324"/>
      <c r="AJ243" s="324"/>
      <c r="AK243" s="324"/>
      <c r="AL243" s="324"/>
      <c r="AM243" s="324"/>
      <c r="AN243" s="324"/>
      <c r="AO243" s="324"/>
      <c r="AP243" s="324"/>
      <c r="AQ243" s="324"/>
      <c r="AR243" s="324"/>
      <c r="AS243" s="324"/>
      <c r="AT243" s="324"/>
      <c r="AU243" s="324"/>
      <c r="AV243" s="324"/>
      <c r="AW243" s="324"/>
      <c r="AX243" s="324"/>
      <c r="AY243" s="324"/>
      <c r="AZ243" s="324"/>
      <c r="BA243" s="324"/>
      <c r="BB243" s="324"/>
      <c r="BC243" s="324"/>
      <c r="BD243" s="324"/>
      <c r="BE243" s="324"/>
      <c r="BF243" s="324"/>
      <c r="BG243" s="324"/>
      <c r="BH243" s="324"/>
      <c r="BI243" s="324"/>
      <c r="BJ243" s="324"/>
      <c r="BK243" s="324"/>
      <c r="BL243" s="324"/>
      <c r="BM243" s="324"/>
      <c r="BN243" s="324"/>
      <c r="BO243" s="324"/>
      <c r="BP243" s="324"/>
      <c r="BQ243" s="324"/>
      <c r="BR243" s="324"/>
      <c r="BS243" s="324"/>
      <c r="BT243" s="324"/>
      <c r="BU243" s="324"/>
      <c r="BV243" s="324"/>
      <c r="BW243" s="324"/>
      <c r="BX243" s="324"/>
      <c r="BY243" s="324"/>
      <c r="BZ243" s="324"/>
      <c r="CA243" s="324"/>
      <c r="CB243" s="324"/>
      <c r="CC243" s="324"/>
      <c r="CD243" s="324"/>
      <c r="CE243" s="324"/>
      <c r="CF243" s="324"/>
      <c r="CG243" s="324"/>
      <c r="CH243" s="324"/>
      <c r="CI243" s="324"/>
      <c r="CJ243" s="324"/>
      <c r="CK243" s="324"/>
      <c r="CL243" s="324"/>
      <c r="CM243" s="324"/>
      <c r="CN243" s="324"/>
      <c r="CO243" s="324"/>
      <c r="CP243" s="324"/>
      <c r="CQ243" s="324"/>
      <c r="CR243" s="324"/>
      <c r="CS243" s="324"/>
      <c r="CT243" s="324"/>
      <c r="CU243" s="324"/>
      <c r="CV243" s="324"/>
      <c r="CW243" s="324"/>
      <c r="CX243" s="324"/>
      <c r="CY243" s="324"/>
      <c r="CZ243" s="324"/>
      <c r="DA243" s="324"/>
      <c r="DB243" s="324"/>
      <c r="DC243" s="324"/>
      <c r="DD243" s="324"/>
      <c r="DE243" s="324"/>
      <c r="DF243" s="324"/>
      <c r="DG243" s="324"/>
      <c r="DH243" s="324"/>
      <c r="DI243" s="324"/>
      <c r="DJ243" s="324"/>
      <c r="DK243" s="324"/>
      <c r="DL243" s="324"/>
      <c r="DM243" s="324"/>
      <c r="DN243" s="324"/>
      <c r="DO243" s="324"/>
      <c r="DP243" s="324"/>
      <c r="DQ243" s="324"/>
      <c r="DR243" s="324"/>
      <c r="DS243" s="324"/>
      <c r="DT243" s="324"/>
      <c r="DU243" s="324"/>
      <c r="DV243" s="324"/>
      <c r="DW243" s="324"/>
      <c r="DX243" s="324"/>
      <c r="DY243" s="324"/>
      <c r="DZ243" s="324"/>
      <c r="EA243" s="324"/>
      <c r="EB243" s="324"/>
      <c r="EC243" s="324"/>
      <c r="ED243" s="324"/>
      <c r="EE243" s="324"/>
      <c r="EF243" s="324"/>
      <c r="EG243" s="324"/>
      <c r="EH243" s="324"/>
      <c r="EI243" s="324"/>
      <c r="EJ243" s="324"/>
      <c r="EK243" s="324"/>
      <c r="EL243" s="324"/>
      <c r="EM243" s="324"/>
      <c r="EN243" s="324"/>
      <c r="EO243" s="324"/>
      <c r="EP243" s="324"/>
      <c r="EQ243" s="324"/>
      <c r="ER243" s="324"/>
      <c r="ES243" s="324"/>
      <c r="ET243" s="324"/>
      <c r="EU243" s="324"/>
      <c r="EV243" s="324"/>
      <c r="EW243" s="324"/>
      <c r="EX243" s="324"/>
      <c r="EY243" s="324"/>
      <c r="EZ243" s="324"/>
      <c r="FA243" s="324"/>
      <c r="FB243" s="324"/>
      <c r="FC243" s="324"/>
      <c r="FD243" s="324"/>
      <c r="FE243" s="324"/>
      <c r="FF243" s="324"/>
      <c r="FG243" s="324"/>
      <c r="FH243" s="324"/>
      <c r="FI243" s="324"/>
      <c r="FJ243" s="324"/>
      <c r="FK243" s="324"/>
      <c r="FL243" s="324"/>
      <c r="FM243" s="324"/>
      <c r="FN243" s="324"/>
      <c r="FO243" s="324"/>
      <c r="FP243" s="324"/>
      <c r="FQ243" s="324"/>
      <c r="FR243" s="324"/>
      <c r="FS243" s="324"/>
      <c r="FT243" s="324"/>
      <c r="FU243" s="324"/>
      <c r="FV243" s="324"/>
      <c r="FW243" s="324"/>
      <c r="FX243" s="324"/>
      <c r="FY243" s="324"/>
      <c r="FZ243" s="324"/>
      <c r="GA243" s="324"/>
      <c r="GB243" s="324"/>
      <c r="GC243" s="324"/>
      <c r="GD243" s="324"/>
      <c r="GE243" s="324"/>
      <c r="GF243" s="324"/>
    </row>
    <row r="244" spans="2:188" s="158" customFormat="1">
      <c r="B244" s="316">
        <v>238</v>
      </c>
      <c r="C244" s="370" t="s">
        <v>200</v>
      </c>
      <c r="D244" s="370" t="s">
        <v>555</v>
      </c>
      <c r="E244" s="422" t="s">
        <v>414</v>
      </c>
      <c r="F244" s="370" t="s">
        <v>395</v>
      </c>
      <c r="G244" s="371">
        <v>4</v>
      </c>
      <c r="H244" s="369">
        <v>400000</v>
      </c>
      <c r="I244" s="317">
        <f t="shared" si="3"/>
        <v>75000</v>
      </c>
      <c r="J244" s="355"/>
      <c r="K244" s="324"/>
      <c r="L244" s="324"/>
      <c r="M244" s="324"/>
      <c r="N244" s="324"/>
      <c r="O244" s="324"/>
      <c r="P244" s="324"/>
      <c r="Q244" s="324"/>
      <c r="R244" s="324"/>
      <c r="S244" s="324"/>
      <c r="T244" s="324"/>
      <c r="U244" s="324"/>
      <c r="V244" s="324"/>
      <c r="W244" s="324"/>
      <c r="X244" s="324"/>
      <c r="Y244" s="324"/>
      <c r="Z244" s="324"/>
      <c r="AA244" s="324"/>
      <c r="AB244" s="324"/>
      <c r="AC244" s="324"/>
      <c r="AD244" s="324"/>
      <c r="AE244" s="324"/>
      <c r="AF244" s="324"/>
      <c r="AG244" s="324"/>
      <c r="AH244" s="324"/>
      <c r="AI244" s="324"/>
      <c r="AJ244" s="324"/>
      <c r="AK244" s="324"/>
      <c r="AL244" s="324"/>
      <c r="AM244" s="324"/>
      <c r="AN244" s="324"/>
      <c r="AO244" s="324"/>
      <c r="AP244" s="324"/>
      <c r="AQ244" s="324"/>
      <c r="AR244" s="324"/>
      <c r="AS244" s="324"/>
      <c r="AT244" s="324"/>
      <c r="AU244" s="324"/>
      <c r="AV244" s="324"/>
      <c r="AW244" s="324"/>
      <c r="AX244" s="324"/>
      <c r="AY244" s="324"/>
      <c r="AZ244" s="324"/>
      <c r="BA244" s="324"/>
      <c r="BB244" s="324"/>
      <c r="BC244" s="324"/>
      <c r="BD244" s="324"/>
      <c r="BE244" s="324"/>
      <c r="BF244" s="324"/>
      <c r="BG244" s="324"/>
      <c r="BH244" s="324"/>
      <c r="BI244" s="324"/>
      <c r="BJ244" s="324"/>
      <c r="BK244" s="324"/>
      <c r="BL244" s="324"/>
      <c r="BM244" s="324"/>
      <c r="BN244" s="324"/>
      <c r="BO244" s="324"/>
      <c r="BP244" s="324"/>
      <c r="BQ244" s="324"/>
      <c r="BR244" s="324"/>
      <c r="BS244" s="324"/>
      <c r="BT244" s="324"/>
      <c r="BU244" s="324"/>
      <c r="BV244" s="324"/>
      <c r="BW244" s="324"/>
      <c r="BX244" s="324"/>
      <c r="BY244" s="324"/>
      <c r="BZ244" s="324"/>
      <c r="CA244" s="324"/>
      <c r="CB244" s="324"/>
      <c r="CC244" s="324"/>
      <c r="CD244" s="324"/>
      <c r="CE244" s="324"/>
      <c r="CF244" s="324"/>
      <c r="CG244" s="324"/>
      <c r="CH244" s="324"/>
      <c r="CI244" s="324"/>
      <c r="CJ244" s="324"/>
      <c r="CK244" s="324"/>
      <c r="CL244" s="324"/>
      <c r="CM244" s="324"/>
      <c r="CN244" s="324"/>
      <c r="CO244" s="324"/>
      <c r="CP244" s="324"/>
      <c r="CQ244" s="324"/>
      <c r="CR244" s="324"/>
      <c r="CS244" s="324"/>
      <c r="CT244" s="324"/>
      <c r="CU244" s="324"/>
      <c r="CV244" s="324"/>
      <c r="CW244" s="324"/>
      <c r="CX244" s="324"/>
      <c r="CY244" s="324"/>
      <c r="CZ244" s="324"/>
      <c r="DA244" s="324"/>
      <c r="DB244" s="324"/>
      <c r="DC244" s="324"/>
      <c r="DD244" s="324"/>
      <c r="DE244" s="324"/>
      <c r="DF244" s="324"/>
      <c r="DG244" s="324"/>
      <c r="DH244" s="324"/>
      <c r="DI244" s="324"/>
      <c r="DJ244" s="324"/>
      <c r="DK244" s="324"/>
      <c r="DL244" s="324"/>
      <c r="DM244" s="324"/>
      <c r="DN244" s="324"/>
      <c r="DO244" s="324"/>
      <c r="DP244" s="324"/>
      <c r="DQ244" s="324"/>
      <c r="DR244" s="324"/>
      <c r="DS244" s="324"/>
      <c r="DT244" s="324"/>
      <c r="DU244" s="324"/>
      <c r="DV244" s="324"/>
      <c r="DW244" s="324"/>
      <c r="DX244" s="324"/>
      <c r="DY244" s="324"/>
      <c r="DZ244" s="324"/>
      <c r="EA244" s="324"/>
      <c r="EB244" s="324"/>
      <c r="EC244" s="324"/>
      <c r="ED244" s="324"/>
      <c r="EE244" s="324"/>
      <c r="EF244" s="324"/>
      <c r="EG244" s="324"/>
      <c r="EH244" s="324"/>
      <c r="EI244" s="324"/>
      <c r="EJ244" s="324"/>
      <c r="EK244" s="324"/>
      <c r="EL244" s="324"/>
      <c r="EM244" s="324"/>
      <c r="EN244" s="324"/>
      <c r="EO244" s="324"/>
      <c r="EP244" s="324"/>
      <c r="EQ244" s="324"/>
      <c r="ER244" s="324"/>
      <c r="ES244" s="324"/>
      <c r="ET244" s="324"/>
      <c r="EU244" s="324"/>
      <c r="EV244" s="324"/>
      <c r="EW244" s="324"/>
      <c r="EX244" s="324"/>
      <c r="EY244" s="324"/>
      <c r="EZ244" s="324"/>
      <c r="FA244" s="324"/>
      <c r="FB244" s="324"/>
      <c r="FC244" s="324"/>
      <c r="FD244" s="324"/>
      <c r="FE244" s="324"/>
      <c r="FF244" s="324"/>
      <c r="FG244" s="324"/>
      <c r="FH244" s="324"/>
      <c r="FI244" s="324"/>
      <c r="FJ244" s="324"/>
      <c r="FK244" s="324"/>
      <c r="FL244" s="324"/>
      <c r="FM244" s="324"/>
      <c r="FN244" s="324"/>
      <c r="FO244" s="324"/>
      <c r="FP244" s="324"/>
      <c r="FQ244" s="324"/>
      <c r="FR244" s="324"/>
      <c r="FS244" s="324"/>
      <c r="FT244" s="324"/>
      <c r="FU244" s="324"/>
      <c r="FV244" s="324"/>
      <c r="FW244" s="324"/>
      <c r="FX244" s="324"/>
      <c r="FY244" s="324"/>
      <c r="FZ244" s="324"/>
      <c r="GA244" s="324"/>
      <c r="GB244" s="324"/>
      <c r="GC244" s="324"/>
      <c r="GD244" s="324"/>
      <c r="GE244" s="324"/>
      <c r="GF244" s="324"/>
    </row>
    <row r="245" spans="2:188" s="158" customFormat="1">
      <c r="B245" s="316">
        <v>239</v>
      </c>
      <c r="C245" s="370" t="s">
        <v>249</v>
      </c>
      <c r="D245" s="370" t="s">
        <v>457</v>
      </c>
      <c r="E245" s="422" t="s">
        <v>148</v>
      </c>
      <c r="F245" s="370" t="s">
        <v>392</v>
      </c>
      <c r="G245" s="371">
        <v>3</v>
      </c>
      <c r="H245" s="369">
        <v>300000</v>
      </c>
      <c r="I245" s="317">
        <f t="shared" si="3"/>
        <v>56250</v>
      </c>
      <c r="J245" s="355"/>
      <c r="K245" s="324"/>
      <c r="L245" s="324"/>
      <c r="M245" s="324"/>
      <c r="N245" s="324"/>
      <c r="O245" s="324"/>
      <c r="P245" s="324"/>
      <c r="Q245" s="324"/>
      <c r="R245" s="324"/>
      <c r="S245" s="324"/>
      <c r="T245" s="324"/>
      <c r="U245" s="324"/>
      <c r="V245" s="324"/>
      <c r="W245" s="324"/>
      <c r="X245" s="324"/>
      <c r="Y245" s="324"/>
      <c r="Z245" s="324"/>
      <c r="AA245" s="324"/>
      <c r="AB245" s="324"/>
      <c r="AC245" s="324"/>
      <c r="AD245" s="324"/>
      <c r="AE245" s="324"/>
      <c r="AF245" s="324"/>
      <c r="AG245" s="324"/>
      <c r="AH245" s="324"/>
      <c r="AI245" s="324"/>
      <c r="AJ245" s="324"/>
      <c r="AK245" s="324"/>
      <c r="AL245" s="324"/>
      <c r="AM245" s="324"/>
      <c r="AN245" s="324"/>
      <c r="AO245" s="324"/>
      <c r="AP245" s="324"/>
      <c r="AQ245" s="324"/>
      <c r="AR245" s="324"/>
      <c r="AS245" s="324"/>
      <c r="AT245" s="324"/>
      <c r="AU245" s="324"/>
      <c r="AV245" s="324"/>
      <c r="AW245" s="324"/>
      <c r="AX245" s="324"/>
      <c r="AY245" s="324"/>
      <c r="AZ245" s="324"/>
      <c r="BA245" s="324"/>
      <c r="BB245" s="324"/>
      <c r="BC245" s="324"/>
      <c r="BD245" s="324"/>
      <c r="BE245" s="324"/>
      <c r="BF245" s="324"/>
      <c r="BG245" s="324"/>
      <c r="BH245" s="324"/>
      <c r="BI245" s="324"/>
      <c r="BJ245" s="324"/>
      <c r="BK245" s="324"/>
      <c r="BL245" s="324"/>
      <c r="BM245" s="324"/>
      <c r="BN245" s="324"/>
      <c r="BO245" s="324"/>
      <c r="BP245" s="324"/>
      <c r="BQ245" s="324"/>
      <c r="BR245" s="324"/>
      <c r="BS245" s="324"/>
      <c r="BT245" s="324"/>
      <c r="BU245" s="324"/>
      <c r="BV245" s="324"/>
      <c r="BW245" s="324"/>
      <c r="BX245" s="324"/>
      <c r="BY245" s="324"/>
      <c r="BZ245" s="324"/>
      <c r="CA245" s="324"/>
      <c r="CB245" s="324"/>
      <c r="CC245" s="324"/>
      <c r="CD245" s="324"/>
      <c r="CE245" s="324"/>
      <c r="CF245" s="324"/>
      <c r="CG245" s="324"/>
      <c r="CH245" s="324"/>
      <c r="CI245" s="324"/>
      <c r="CJ245" s="324"/>
      <c r="CK245" s="324"/>
      <c r="CL245" s="324"/>
      <c r="CM245" s="324"/>
      <c r="CN245" s="324"/>
      <c r="CO245" s="324"/>
      <c r="CP245" s="324"/>
      <c r="CQ245" s="324"/>
      <c r="CR245" s="324"/>
      <c r="CS245" s="324"/>
      <c r="CT245" s="324"/>
      <c r="CU245" s="324"/>
      <c r="CV245" s="324"/>
      <c r="CW245" s="324"/>
      <c r="CX245" s="324"/>
      <c r="CY245" s="324"/>
      <c r="CZ245" s="324"/>
      <c r="DA245" s="324"/>
      <c r="DB245" s="324"/>
      <c r="DC245" s="324"/>
      <c r="DD245" s="324"/>
      <c r="DE245" s="324"/>
      <c r="DF245" s="324"/>
      <c r="DG245" s="324"/>
      <c r="DH245" s="324"/>
      <c r="DI245" s="324"/>
      <c r="DJ245" s="324"/>
      <c r="DK245" s="324"/>
      <c r="DL245" s="324"/>
      <c r="DM245" s="324"/>
      <c r="DN245" s="324"/>
      <c r="DO245" s="324"/>
      <c r="DP245" s="324"/>
      <c r="DQ245" s="324"/>
      <c r="DR245" s="324"/>
      <c r="DS245" s="324"/>
      <c r="DT245" s="324"/>
      <c r="DU245" s="324"/>
      <c r="DV245" s="324"/>
      <c r="DW245" s="324"/>
      <c r="DX245" s="324"/>
      <c r="DY245" s="324"/>
      <c r="DZ245" s="324"/>
      <c r="EA245" s="324"/>
      <c r="EB245" s="324"/>
      <c r="EC245" s="324"/>
      <c r="ED245" s="324"/>
      <c r="EE245" s="324"/>
      <c r="EF245" s="324"/>
      <c r="EG245" s="324"/>
      <c r="EH245" s="324"/>
      <c r="EI245" s="324"/>
      <c r="EJ245" s="324"/>
      <c r="EK245" s="324"/>
      <c r="EL245" s="324"/>
      <c r="EM245" s="324"/>
      <c r="EN245" s="324"/>
      <c r="EO245" s="324"/>
      <c r="EP245" s="324"/>
      <c r="EQ245" s="324"/>
      <c r="ER245" s="324"/>
      <c r="ES245" s="324"/>
      <c r="ET245" s="324"/>
      <c r="EU245" s="324"/>
      <c r="EV245" s="324"/>
      <c r="EW245" s="324"/>
      <c r="EX245" s="324"/>
      <c r="EY245" s="324"/>
      <c r="EZ245" s="324"/>
      <c r="FA245" s="324"/>
      <c r="FB245" s="324"/>
      <c r="FC245" s="324"/>
      <c r="FD245" s="324"/>
      <c r="FE245" s="324"/>
      <c r="FF245" s="324"/>
      <c r="FG245" s="324"/>
      <c r="FH245" s="324"/>
      <c r="FI245" s="324"/>
      <c r="FJ245" s="324"/>
      <c r="FK245" s="324"/>
      <c r="FL245" s="324"/>
      <c r="FM245" s="324"/>
      <c r="FN245" s="324"/>
      <c r="FO245" s="324"/>
      <c r="FP245" s="324"/>
      <c r="FQ245" s="324"/>
      <c r="FR245" s="324"/>
      <c r="FS245" s="324"/>
      <c r="FT245" s="324"/>
      <c r="FU245" s="324"/>
      <c r="FV245" s="324"/>
      <c r="FW245" s="324"/>
      <c r="FX245" s="324"/>
      <c r="FY245" s="324"/>
      <c r="FZ245" s="324"/>
      <c r="GA245" s="324"/>
      <c r="GB245" s="324"/>
      <c r="GC245" s="324"/>
      <c r="GD245" s="324"/>
      <c r="GE245" s="324"/>
      <c r="GF245" s="324"/>
    </row>
    <row r="246" spans="2:188" s="158" customFormat="1">
      <c r="B246" s="316">
        <v>240</v>
      </c>
      <c r="C246" s="370" t="s">
        <v>249</v>
      </c>
      <c r="D246" s="370" t="s">
        <v>489</v>
      </c>
      <c r="E246" s="422" t="s">
        <v>490</v>
      </c>
      <c r="F246" s="370" t="s">
        <v>395</v>
      </c>
      <c r="G246" s="371">
        <v>7</v>
      </c>
      <c r="H246" s="369">
        <v>700000</v>
      </c>
      <c r="I246" s="317">
        <f t="shared" si="3"/>
        <v>131250</v>
      </c>
      <c r="J246" s="355"/>
      <c r="K246" s="324"/>
      <c r="L246" s="324"/>
      <c r="M246" s="324"/>
      <c r="N246" s="324"/>
      <c r="O246" s="324"/>
      <c r="P246" s="324"/>
      <c r="Q246" s="324"/>
      <c r="R246" s="324"/>
      <c r="S246" s="324"/>
      <c r="T246" s="324"/>
      <c r="U246" s="324"/>
      <c r="V246" s="324"/>
      <c r="W246" s="324"/>
      <c r="X246" s="324"/>
      <c r="Y246" s="324"/>
      <c r="Z246" s="324"/>
      <c r="AA246" s="324"/>
      <c r="AB246" s="324"/>
      <c r="AC246" s="324"/>
      <c r="AD246" s="324"/>
      <c r="AE246" s="324"/>
      <c r="AF246" s="324"/>
      <c r="AG246" s="324"/>
      <c r="AH246" s="324"/>
      <c r="AI246" s="324"/>
      <c r="AJ246" s="324"/>
      <c r="AK246" s="324"/>
      <c r="AL246" s="324"/>
      <c r="AM246" s="324"/>
      <c r="AN246" s="324"/>
      <c r="AO246" s="324"/>
      <c r="AP246" s="324"/>
      <c r="AQ246" s="324"/>
      <c r="AR246" s="324"/>
      <c r="AS246" s="324"/>
      <c r="AT246" s="324"/>
      <c r="AU246" s="324"/>
      <c r="AV246" s="324"/>
      <c r="AW246" s="324"/>
      <c r="AX246" s="324"/>
      <c r="AY246" s="324"/>
      <c r="AZ246" s="324"/>
      <c r="BA246" s="324"/>
      <c r="BB246" s="324"/>
      <c r="BC246" s="324"/>
      <c r="BD246" s="324"/>
      <c r="BE246" s="324"/>
      <c r="BF246" s="324"/>
      <c r="BG246" s="324"/>
      <c r="BH246" s="324"/>
      <c r="BI246" s="324"/>
      <c r="BJ246" s="324"/>
      <c r="BK246" s="324"/>
      <c r="BL246" s="324"/>
      <c r="BM246" s="324"/>
      <c r="BN246" s="324"/>
      <c r="BO246" s="324"/>
      <c r="BP246" s="324"/>
      <c r="BQ246" s="324"/>
      <c r="BR246" s="324"/>
      <c r="BS246" s="324"/>
      <c r="BT246" s="324"/>
      <c r="BU246" s="324"/>
      <c r="BV246" s="324"/>
      <c r="BW246" s="324"/>
      <c r="BX246" s="324"/>
      <c r="BY246" s="324"/>
      <c r="BZ246" s="324"/>
      <c r="CA246" s="324"/>
      <c r="CB246" s="324"/>
      <c r="CC246" s="324"/>
      <c r="CD246" s="324"/>
      <c r="CE246" s="324"/>
      <c r="CF246" s="324"/>
      <c r="CG246" s="324"/>
      <c r="CH246" s="324"/>
      <c r="CI246" s="324"/>
      <c r="CJ246" s="324"/>
      <c r="CK246" s="324"/>
      <c r="CL246" s="324"/>
      <c r="CM246" s="324"/>
      <c r="CN246" s="324"/>
      <c r="CO246" s="324"/>
      <c r="CP246" s="324"/>
      <c r="CQ246" s="324"/>
      <c r="CR246" s="324"/>
      <c r="CS246" s="324"/>
      <c r="CT246" s="324"/>
      <c r="CU246" s="324"/>
      <c r="CV246" s="324"/>
      <c r="CW246" s="324"/>
      <c r="CX246" s="324"/>
      <c r="CY246" s="324"/>
      <c r="CZ246" s="324"/>
      <c r="DA246" s="324"/>
      <c r="DB246" s="324"/>
      <c r="DC246" s="324"/>
      <c r="DD246" s="324"/>
      <c r="DE246" s="324"/>
      <c r="DF246" s="324"/>
      <c r="DG246" s="324"/>
      <c r="DH246" s="324"/>
      <c r="DI246" s="324"/>
      <c r="DJ246" s="324"/>
      <c r="DK246" s="324"/>
      <c r="DL246" s="324"/>
      <c r="DM246" s="324"/>
      <c r="DN246" s="324"/>
      <c r="DO246" s="324"/>
      <c r="DP246" s="324"/>
      <c r="DQ246" s="324"/>
      <c r="DR246" s="324"/>
      <c r="DS246" s="324"/>
      <c r="DT246" s="324"/>
      <c r="DU246" s="324"/>
      <c r="DV246" s="324"/>
      <c r="DW246" s="324"/>
      <c r="DX246" s="324"/>
      <c r="DY246" s="324"/>
      <c r="DZ246" s="324"/>
      <c r="EA246" s="324"/>
      <c r="EB246" s="324"/>
      <c r="EC246" s="324"/>
      <c r="ED246" s="324"/>
      <c r="EE246" s="324"/>
      <c r="EF246" s="324"/>
      <c r="EG246" s="324"/>
      <c r="EH246" s="324"/>
      <c r="EI246" s="324"/>
      <c r="EJ246" s="324"/>
      <c r="EK246" s="324"/>
      <c r="EL246" s="324"/>
      <c r="EM246" s="324"/>
      <c r="EN246" s="324"/>
      <c r="EO246" s="324"/>
      <c r="EP246" s="324"/>
      <c r="EQ246" s="324"/>
      <c r="ER246" s="324"/>
      <c r="ES246" s="324"/>
      <c r="ET246" s="324"/>
      <c r="EU246" s="324"/>
      <c r="EV246" s="324"/>
      <c r="EW246" s="324"/>
      <c r="EX246" s="324"/>
      <c r="EY246" s="324"/>
      <c r="EZ246" s="324"/>
      <c r="FA246" s="324"/>
      <c r="FB246" s="324"/>
      <c r="FC246" s="324"/>
      <c r="FD246" s="324"/>
      <c r="FE246" s="324"/>
      <c r="FF246" s="324"/>
      <c r="FG246" s="324"/>
      <c r="FH246" s="324"/>
      <c r="FI246" s="324"/>
      <c r="FJ246" s="324"/>
      <c r="FK246" s="324"/>
      <c r="FL246" s="324"/>
      <c r="FM246" s="324"/>
      <c r="FN246" s="324"/>
      <c r="FO246" s="324"/>
      <c r="FP246" s="324"/>
      <c r="FQ246" s="324"/>
      <c r="FR246" s="324"/>
      <c r="FS246" s="324"/>
      <c r="FT246" s="324"/>
      <c r="FU246" s="324"/>
      <c r="FV246" s="324"/>
      <c r="FW246" s="324"/>
      <c r="FX246" s="324"/>
      <c r="FY246" s="324"/>
      <c r="FZ246" s="324"/>
      <c r="GA246" s="324"/>
      <c r="GB246" s="324"/>
      <c r="GC246" s="324"/>
      <c r="GD246" s="324"/>
      <c r="GE246" s="324"/>
      <c r="GF246" s="324"/>
    </row>
    <row r="247" spans="2:188" s="158" customFormat="1">
      <c r="B247" s="316">
        <v>241</v>
      </c>
      <c r="C247" s="370" t="s">
        <v>197</v>
      </c>
      <c r="D247" s="370" t="s">
        <v>556</v>
      </c>
      <c r="E247" s="422" t="s">
        <v>557</v>
      </c>
      <c r="F247" s="370" t="s">
        <v>431</v>
      </c>
      <c r="G247" s="371">
        <v>1</v>
      </c>
      <c r="H247" s="369">
        <v>400000</v>
      </c>
      <c r="I247" s="317">
        <f t="shared" si="3"/>
        <v>75000</v>
      </c>
      <c r="J247" s="355"/>
      <c r="K247" s="324"/>
      <c r="L247" s="324"/>
      <c r="M247" s="324"/>
      <c r="N247" s="324"/>
      <c r="O247" s="324"/>
      <c r="P247" s="324"/>
      <c r="Q247" s="324"/>
      <c r="R247" s="324"/>
      <c r="S247" s="324"/>
      <c r="T247" s="324"/>
      <c r="U247" s="324"/>
      <c r="V247" s="324"/>
      <c r="W247" s="324"/>
      <c r="X247" s="324"/>
      <c r="Y247" s="324"/>
      <c r="Z247" s="324"/>
      <c r="AA247" s="324"/>
      <c r="AB247" s="324"/>
      <c r="AC247" s="324"/>
      <c r="AD247" s="324"/>
      <c r="AE247" s="324"/>
      <c r="AF247" s="324"/>
      <c r="AG247" s="324"/>
      <c r="AH247" s="324"/>
      <c r="AI247" s="324"/>
      <c r="AJ247" s="324"/>
      <c r="AK247" s="324"/>
      <c r="AL247" s="324"/>
      <c r="AM247" s="324"/>
      <c r="AN247" s="324"/>
      <c r="AO247" s="324"/>
      <c r="AP247" s="324"/>
      <c r="AQ247" s="324"/>
      <c r="AR247" s="324"/>
      <c r="AS247" s="324"/>
      <c r="AT247" s="324"/>
      <c r="AU247" s="324"/>
      <c r="AV247" s="324"/>
      <c r="AW247" s="324"/>
      <c r="AX247" s="324"/>
      <c r="AY247" s="324"/>
      <c r="AZ247" s="324"/>
      <c r="BA247" s="324"/>
      <c r="BB247" s="324"/>
      <c r="BC247" s="324"/>
      <c r="BD247" s="324"/>
      <c r="BE247" s="324"/>
      <c r="BF247" s="324"/>
      <c r="BG247" s="324"/>
      <c r="BH247" s="324"/>
      <c r="BI247" s="324"/>
      <c r="BJ247" s="324"/>
      <c r="BK247" s="324"/>
      <c r="BL247" s="324"/>
      <c r="BM247" s="324"/>
      <c r="BN247" s="324"/>
      <c r="BO247" s="324"/>
      <c r="BP247" s="324"/>
      <c r="BQ247" s="324"/>
      <c r="BR247" s="324"/>
      <c r="BS247" s="324"/>
      <c r="BT247" s="324"/>
      <c r="BU247" s="324"/>
      <c r="BV247" s="324"/>
      <c r="BW247" s="324"/>
      <c r="BX247" s="324"/>
      <c r="BY247" s="324"/>
      <c r="BZ247" s="324"/>
      <c r="CA247" s="324"/>
      <c r="CB247" s="324"/>
      <c r="CC247" s="324"/>
      <c r="CD247" s="324"/>
      <c r="CE247" s="324"/>
      <c r="CF247" s="324"/>
      <c r="CG247" s="324"/>
      <c r="CH247" s="324"/>
      <c r="CI247" s="324"/>
      <c r="CJ247" s="324"/>
      <c r="CK247" s="324"/>
      <c r="CL247" s="324"/>
      <c r="CM247" s="324"/>
      <c r="CN247" s="324"/>
      <c r="CO247" s="324"/>
      <c r="CP247" s="324"/>
      <c r="CQ247" s="324"/>
      <c r="CR247" s="324"/>
      <c r="CS247" s="324"/>
      <c r="CT247" s="324"/>
      <c r="CU247" s="324"/>
      <c r="CV247" s="324"/>
      <c r="CW247" s="324"/>
      <c r="CX247" s="324"/>
      <c r="CY247" s="324"/>
      <c r="CZ247" s="324"/>
      <c r="DA247" s="324"/>
      <c r="DB247" s="324"/>
      <c r="DC247" s="324"/>
      <c r="DD247" s="324"/>
      <c r="DE247" s="324"/>
      <c r="DF247" s="324"/>
      <c r="DG247" s="324"/>
      <c r="DH247" s="324"/>
      <c r="DI247" s="324"/>
      <c r="DJ247" s="324"/>
      <c r="DK247" s="324"/>
      <c r="DL247" s="324"/>
      <c r="DM247" s="324"/>
      <c r="DN247" s="324"/>
      <c r="DO247" s="324"/>
      <c r="DP247" s="324"/>
      <c r="DQ247" s="324"/>
      <c r="DR247" s="324"/>
      <c r="DS247" s="324"/>
      <c r="DT247" s="324"/>
      <c r="DU247" s="324"/>
      <c r="DV247" s="324"/>
      <c r="DW247" s="324"/>
      <c r="DX247" s="324"/>
      <c r="DY247" s="324"/>
      <c r="DZ247" s="324"/>
      <c r="EA247" s="324"/>
      <c r="EB247" s="324"/>
      <c r="EC247" s="324"/>
      <c r="ED247" s="324"/>
      <c r="EE247" s="324"/>
      <c r="EF247" s="324"/>
      <c r="EG247" s="324"/>
      <c r="EH247" s="324"/>
      <c r="EI247" s="324"/>
      <c r="EJ247" s="324"/>
      <c r="EK247" s="324"/>
      <c r="EL247" s="324"/>
      <c r="EM247" s="324"/>
      <c r="EN247" s="324"/>
      <c r="EO247" s="324"/>
      <c r="EP247" s="324"/>
      <c r="EQ247" s="324"/>
      <c r="ER247" s="324"/>
      <c r="ES247" s="324"/>
      <c r="ET247" s="324"/>
      <c r="EU247" s="324"/>
      <c r="EV247" s="324"/>
      <c r="EW247" s="324"/>
      <c r="EX247" s="324"/>
      <c r="EY247" s="324"/>
      <c r="EZ247" s="324"/>
      <c r="FA247" s="324"/>
      <c r="FB247" s="324"/>
      <c r="FC247" s="324"/>
      <c r="FD247" s="324"/>
      <c r="FE247" s="324"/>
      <c r="FF247" s="324"/>
      <c r="FG247" s="324"/>
      <c r="FH247" s="324"/>
      <c r="FI247" s="324"/>
      <c r="FJ247" s="324"/>
      <c r="FK247" s="324"/>
      <c r="FL247" s="324"/>
      <c r="FM247" s="324"/>
      <c r="FN247" s="324"/>
      <c r="FO247" s="324"/>
      <c r="FP247" s="324"/>
      <c r="FQ247" s="324"/>
      <c r="FR247" s="324"/>
      <c r="FS247" s="324"/>
      <c r="FT247" s="324"/>
      <c r="FU247" s="324"/>
      <c r="FV247" s="324"/>
      <c r="FW247" s="324"/>
      <c r="FX247" s="324"/>
      <c r="FY247" s="324"/>
      <c r="FZ247" s="324"/>
      <c r="GA247" s="324"/>
      <c r="GB247" s="324"/>
      <c r="GC247" s="324"/>
      <c r="GD247" s="324"/>
      <c r="GE247" s="324"/>
      <c r="GF247" s="324"/>
    </row>
    <row r="248" spans="2:188" s="158" customFormat="1">
      <c r="B248" s="316">
        <v>242</v>
      </c>
      <c r="C248" s="370" t="s">
        <v>215</v>
      </c>
      <c r="D248" s="370" t="s">
        <v>558</v>
      </c>
      <c r="E248" s="422" t="s">
        <v>350</v>
      </c>
      <c r="F248" s="370" t="s">
        <v>394</v>
      </c>
      <c r="G248" s="371">
        <v>1</v>
      </c>
      <c r="H248" s="369">
        <v>40300</v>
      </c>
      <c r="I248" s="317">
        <f t="shared" si="3"/>
        <v>7556.25</v>
      </c>
      <c r="J248" s="355"/>
      <c r="K248" s="324"/>
      <c r="L248" s="324"/>
      <c r="M248" s="324"/>
      <c r="N248" s="324"/>
      <c r="O248" s="324"/>
      <c r="P248" s="324"/>
      <c r="Q248" s="324"/>
      <c r="R248" s="324"/>
      <c r="S248" s="324"/>
      <c r="T248" s="324"/>
      <c r="U248" s="324"/>
      <c r="V248" s="324"/>
      <c r="W248" s="324"/>
      <c r="X248" s="324"/>
      <c r="Y248" s="324"/>
      <c r="Z248" s="324"/>
      <c r="AA248" s="324"/>
      <c r="AB248" s="324"/>
      <c r="AC248" s="324"/>
      <c r="AD248" s="324"/>
      <c r="AE248" s="324"/>
      <c r="AF248" s="324"/>
      <c r="AG248" s="324"/>
      <c r="AH248" s="324"/>
      <c r="AI248" s="324"/>
      <c r="AJ248" s="324"/>
      <c r="AK248" s="324"/>
      <c r="AL248" s="324"/>
      <c r="AM248" s="324"/>
      <c r="AN248" s="324"/>
      <c r="AO248" s="324"/>
      <c r="AP248" s="324"/>
      <c r="AQ248" s="324"/>
      <c r="AR248" s="324"/>
      <c r="AS248" s="324"/>
      <c r="AT248" s="324"/>
      <c r="AU248" s="324"/>
      <c r="AV248" s="324"/>
      <c r="AW248" s="324"/>
      <c r="AX248" s="324"/>
      <c r="AY248" s="324"/>
      <c r="AZ248" s="324"/>
      <c r="BA248" s="324"/>
      <c r="BB248" s="324"/>
      <c r="BC248" s="324"/>
      <c r="BD248" s="324"/>
      <c r="BE248" s="324"/>
      <c r="BF248" s="324"/>
      <c r="BG248" s="324"/>
      <c r="BH248" s="324"/>
      <c r="BI248" s="324"/>
      <c r="BJ248" s="324"/>
      <c r="BK248" s="324"/>
      <c r="BL248" s="324"/>
      <c r="BM248" s="324"/>
      <c r="BN248" s="324"/>
      <c r="BO248" s="324"/>
      <c r="BP248" s="324"/>
      <c r="BQ248" s="324"/>
      <c r="BR248" s="324"/>
      <c r="BS248" s="324"/>
      <c r="BT248" s="324"/>
      <c r="BU248" s="324"/>
      <c r="BV248" s="324"/>
      <c r="BW248" s="324"/>
      <c r="BX248" s="324"/>
      <c r="BY248" s="324"/>
      <c r="BZ248" s="324"/>
      <c r="CA248" s="324"/>
      <c r="CB248" s="324"/>
      <c r="CC248" s="324"/>
      <c r="CD248" s="324"/>
      <c r="CE248" s="324"/>
      <c r="CF248" s="324"/>
      <c r="CG248" s="324"/>
      <c r="CH248" s="324"/>
      <c r="CI248" s="324"/>
      <c r="CJ248" s="324"/>
      <c r="CK248" s="324"/>
      <c r="CL248" s="324"/>
      <c r="CM248" s="324"/>
      <c r="CN248" s="324"/>
      <c r="CO248" s="324"/>
      <c r="CP248" s="324"/>
      <c r="CQ248" s="324"/>
      <c r="CR248" s="324"/>
      <c r="CS248" s="324"/>
      <c r="CT248" s="324"/>
      <c r="CU248" s="324"/>
      <c r="CV248" s="324"/>
      <c r="CW248" s="324"/>
      <c r="CX248" s="324"/>
      <c r="CY248" s="324"/>
      <c r="CZ248" s="324"/>
      <c r="DA248" s="324"/>
      <c r="DB248" s="324"/>
      <c r="DC248" s="324"/>
      <c r="DD248" s="324"/>
      <c r="DE248" s="324"/>
      <c r="DF248" s="324"/>
      <c r="DG248" s="324"/>
      <c r="DH248" s="324"/>
      <c r="DI248" s="324"/>
      <c r="DJ248" s="324"/>
      <c r="DK248" s="324"/>
      <c r="DL248" s="324"/>
      <c r="DM248" s="324"/>
      <c r="DN248" s="324"/>
      <c r="DO248" s="324"/>
      <c r="DP248" s="324"/>
      <c r="DQ248" s="324"/>
      <c r="DR248" s="324"/>
      <c r="DS248" s="324"/>
      <c r="DT248" s="324"/>
      <c r="DU248" s="324"/>
      <c r="DV248" s="324"/>
      <c r="DW248" s="324"/>
      <c r="DX248" s="324"/>
      <c r="DY248" s="324"/>
      <c r="DZ248" s="324"/>
      <c r="EA248" s="324"/>
      <c r="EB248" s="324"/>
      <c r="EC248" s="324"/>
      <c r="ED248" s="324"/>
      <c r="EE248" s="324"/>
      <c r="EF248" s="324"/>
      <c r="EG248" s="324"/>
      <c r="EH248" s="324"/>
      <c r="EI248" s="324"/>
      <c r="EJ248" s="324"/>
      <c r="EK248" s="324"/>
      <c r="EL248" s="324"/>
      <c r="EM248" s="324"/>
      <c r="EN248" s="324"/>
      <c r="EO248" s="324"/>
      <c r="EP248" s="324"/>
      <c r="EQ248" s="324"/>
      <c r="ER248" s="324"/>
      <c r="ES248" s="324"/>
      <c r="ET248" s="324"/>
      <c r="EU248" s="324"/>
      <c r="EV248" s="324"/>
      <c r="EW248" s="324"/>
      <c r="EX248" s="324"/>
      <c r="EY248" s="324"/>
      <c r="EZ248" s="324"/>
      <c r="FA248" s="324"/>
      <c r="FB248" s="324"/>
      <c r="FC248" s="324"/>
      <c r="FD248" s="324"/>
      <c r="FE248" s="324"/>
      <c r="FF248" s="324"/>
      <c r="FG248" s="324"/>
      <c r="FH248" s="324"/>
      <c r="FI248" s="324"/>
      <c r="FJ248" s="324"/>
      <c r="FK248" s="324"/>
      <c r="FL248" s="324"/>
      <c r="FM248" s="324"/>
      <c r="FN248" s="324"/>
      <c r="FO248" s="324"/>
      <c r="FP248" s="324"/>
      <c r="FQ248" s="324"/>
      <c r="FR248" s="324"/>
      <c r="FS248" s="324"/>
      <c r="FT248" s="324"/>
      <c r="FU248" s="324"/>
      <c r="FV248" s="324"/>
      <c r="FW248" s="324"/>
      <c r="FX248" s="324"/>
      <c r="FY248" s="324"/>
      <c r="FZ248" s="324"/>
      <c r="GA248" s="324"/>
      <c r="GB248" s="324"/>
      <c r="GC248" s="324"/>
      <c r="GD248" s="324"/>
      <c r="GE248" s="324"/>
      <c r="GF248" s="324"/>
    </row>
    <row r="249" spans="2:188" s="158" customFormat="1">
      <c r="B249" s="316">
        <v>243</v>
      </c>
      <c r="C249" s="370" t="s">
        <v>212</v>
      </c>
      <c r="D249" s="370" t="s">
        <v>559</v>
      </c>
      <c r="E249" s="422" t="s">
        <v>412</v>
      </c>
      <c r="F249" s="370" t="s">
        <v>396</v>
      </c>
      <c r="G249" s="371">
        <v>1</v>
      </c>
      <c r="H249" s="369">
        <v>40300</v>
      </c>
      <c r="I249" s="317">
        <f t="shared" si="3"/>
        <v>7556.25</v>
      </c>
      <c r="J249" s="355"/>
      <c r="K249" s="324"/>
      <c r="L249" s="324"/>
      <c r="M249" s="324"/>
      <c r="N249" s="324"/>
      <c r="O249" s="324"/>
      <c r="P249" s="324"/>
      <c r="Q249" s="324"/>
      <c r="R249" s="324"/>
      <c r="S249" s="324"/>
      <c r="T249" s="324"/>
      <c r="U249" s="324"/>
      <c r="V249" s="324"/>
      <c r="W249" s="324"/>
      <c r="X249" s="324"/>
      <c r="Y249" s="324"/>
      <c r="Z249" s="324"/>
      <c r="AA249" s="324"/>
      <c r="AB249" s="324"/>
      <c r="AC249" s="324"/>
      <c r="AD249" s="324"/>
      <c r="AE249" s="324"/>
      <c r="AF249" s="324"/>
      <c r="AG249" s="324"/>
      <c r="AH249" s="324"/>
      <c r="AI249" s="324"/>
      <c r="AJ249" s="324"/>
      <c r="AK249" s="324"/>
      <c r="AL249" s="324"/>
      <c r="AM249" s="324"/>
      <c r="AN249" s="324"/>
      <c r="AO249" s="324"/>
      <c r="AP249" s="324"/>
      <c r="AQ249" s="324"/>
      <c r="AR249" s="324"/>
      <c r="AS249" s="324"/>
      <c r="AT249" s="324"/>
      <c r="AU249" s="324"/>
      <c r="AV249" s="324"/>
      <c r="AW249" s="324"/>
      <c r="AX249" s="324"/>
      <c r="AY249" s="324"/>
      <c r="AZ249" s="324"/>
      <c r="BA249" s="324"/>
      <c r="BB249" s="324"/>
      <c r="BC249" s="324"/>
      <c r="BD249" s="324"/>
      <c r="BE249" s="324"/>
      <c r="BF249" s="324"/>
      <c r="BG249" s="324"/>
      <c r="BH249" s="324"/>
      <c r="BI249" s="324"/>
      <c r="BJ249" s="324"/>
      <c r="BK249" s="324"/>
      <c r="BL249" s="324"/>
      <c r="BM249" s="324"/>
      <c r="BN249" s="324"/>
      <c r="BO249" s="324"/>
      <c r="BP249" s="324"/>
      <c r="BQ249" s="324"/>
      <c r="BR249" s="324"/>
      <c r="BS249" s="324"/>
      <c r="BT249" s="324"/>
      <c r="BU249" s="324"/>
      <c r="BV249" s="324"/>
      <c r="BW249" s="324"/>
      <c r="BX249" s="324"/>
      <c r="BY249" s="324"/>
      <c r="BZ249" s="324"/>
      <c r="CA249" s="324"/>
      <c r="CB249" s="324"/>
      <c r="CC249" s="324"/>
      <c r="CD249" s="324"/>
      <c r="CE249" s="324"/>
      <c r="CF249" s="324"/>
      <c r="CG249" s="324"/>
      <c r="CH249" s="324"/>
      <c r="CI249" s="324"/>
      <c r="CJ249" s="324"/>
      <c r="CK249" s="324"/>
      <c r="CL249" s="324"/>
      <c r="CM249" s="324"/>
      <c r="CN249" s="324"/>
      <c r="CO249" s="324"/>
      <c r="CP249" s="324"/>
      <c r="CQ249" s="324"/>
      <c r="CR249" s="324"/>
      <c r="CS249" s="324"/>
      <c r="CT249" s="324"/>
      <c r="CU249" s="324"/>
      <c r="CV249" s="324"/>
      <c r="CW249" s="324"/>
      <c r="CX249" s="324"/>
      <c r="CY249" s="324"/>
      <c r="CZ249" s="324"/>
      <c r="DA249" s="324"/>
      <c r="DB249" s="324"/>
      <c r="DC249" s="324"/>
      <c r="DD249" s="324"/>
      <c r="DE249" s="324"/>
      <c r="DF249" s="324"/>
      <c r="DG249" s="324"/>
      <c r="DH249" s="324"/>
      <c r="DI249" s="324"/>
      <c r="DJ249" s="324"/>
      <c r="DK249" s="324"/>
      <c r="DL249" s="324"/>
      <c r="DM249" s="324"/>
      <c r="DN249" s="324"/>
      <c r="DO249" s="324"/>
      <c r="DP249" s="324"/>
      <c r="DQ249" s="324"/>
      <c r="DR249" s="324"/>
      <c r="DS249" s="324"/>
      <c r="DT249" s="324"/>
      <c r="DU249" s="324"/>
      <c r="DV249" s="324"/>
      <c r="DW249" s="324"/>
      <c r="DX249" s="324"/>
      <c r="DY249" s="324"/>
      <c r="DZ249" s="324"/>
      <c r="EA249" s="324"/>
      <c r="EB249" s="324"/>
      <c r="EC249" s="324"/>
      <c r="ED249" s="324"/>
      <c r="EE249" s="324"/>
      <c r="EF249" s="324"/>
      <c r="EG249" s="324"/>
      <c r="EH249" s="324"/>
      <c r="EI249" s="324"/>
      <c r="EJ249" s="324"/>
      <c r="EK249" s="324"/>
      <c r="EL249" s="324"/>
      <c r="EM249" s="324"/>
      <c r="EN249" s="324"/>
      <c r="EO249" s="324"/>
      <c r="EP249" s="324"/>
      <c r="EQ249" s="324"/>
      <c r="ER249" s="324"/>
      <c r="ES249" s="324"/>
      <c r="ET249" s="324"/>
      <c r="EU249" s="324"/>
      <c r="EV249" s="324"/>
      <c r="EW249" s="324"/>
      <c r="EX249" s="324"/>
      <c r="EY249" s="324"/>
      <c r="EZ249" s="324"/>
      <c r="FA249" s="324"/>
      <c r="FB249" s="324"/>
      <c r="FC249" s="324"/>
      <c r="FD249" s="324"/>
      <c r="FE249" s="324"/>
      <c r="FF249" s="324"/>
      <c r="FG249" s="324"/>
      <c r="FH249" s="324"/>
      <c r="FI249" s="324"/>
      <c r="FJ249" s="324"/>
      <c r="FK249" s="324"/>
      <c r="FL249" s="324"/>
      <c r="FM249" s="324"/>
      <c r="FN249" s="324"/>
      <c r="FO249" s="324"/>
      <c r="FP249" s="324"/>
      <c r="FQ249" s="324"/>
      <c r="FR249" s="324"/>
      <c r="FS249" s="324"/>
      <c r="FT249" s="324"/>
      <c r="FU249" s="324"/>
      <c r="FV249" s="324"/>
      <c r="FW249" s="324"/>
      <c r="FX249" s="324"/>
      <c r="FY249" s="324"/>
      <c r="FZ249" s="324"/>
      <c r="GA249" s="324"/>
      <c r="GB249" s="324"/>
      <c r="GC249" s="324"/>
      <c r="GD249" s="324"/>
      <c r="GE249" s="324"/>
      <c r="GF249" s="324"/>
    </row>
    <row r="250" spans="2:188" s="158" customFormat="1">
      <c r="B250" s="316">
        <v>244</v>
      </c>
      <c r="C250" s="370" t="s">
        <v>244</v>
      </c>
      <c r="D250" s="370" t="s">
        <v>560</v>
      </c>
      <c r="E250" s="422" t="s">
        <v>151</v>
      </c>
      <c r="F250" s="370" t="s">
        <v>396</v>
      </c>
      <c r="G250" s="371">
        <v>1</v>
      </c>
      <c r="H250" s="369">
        <v>100000</v>
      </c>
      <c r="I250" s="317">
        <f t="shared" si="3"/>
        <v>18750</v>
      </c>
      <c r="J250" s="355"/>
      <c r="K250" s="324"/>
      <c r="L250" s="324"/>
      <c r="M250" s="324"/>
      <c r="N250" s="324"/>
      <c r="O250" s="324"/>
      <c r="P250" s="324"/>
      <c r="Q250" s="324"/>
      <c r="R250" s="324"/>
      <c r="S250" s="324"/>
      <c r="T250" s="324"/>
      <c r="U250" s="324"/>
      <c r="V250" s="324"/>
      <c r="W250" s="324"/>
      <c r="X250" s="324"/>
      <c r="Y250" s="324"/>
      <c r="Z250" s="324"/>
      <c r="AA250" s="324"/>
      <c r="AB250" s="324"/>
      <c r="AC250" s="324"/>
      <c r="AD250" s="324"/>
      <c r="AE250" s="324"/>
      <c r="AF250" s="324"/>
      <c r="AG250" s="324"/>
      <c r="AH250" s="324"/>
      <c r="AI250" s="324"/>
      <c r="AJ250" s="324"/>
      <c r="AK250" s="324"/>
      <c r="AL250" s="324"/>
      <c r="AM250" s="324"/>
      <c r="AN250" s="324"/>
      <c r="AO250" s="324"/>
      <c r="AP250" s="324"/>
      <c r="AQ250" s="324"/>
      <c r="AR250" s="324"/>
      <c r="AS250" s="324"/>
      <c r="AT250" s="324"/>
      <c r="AU250" s="324"/>
      <c r="AV250" s="324"/>
      <c r="AW250" s="324"/>
      <c r="AX250" s="324"/>
      <c r="AY250" s="324"/>
      <c r="AZ250" s="324"/>
      <c r="BA250" s="324"/>
      <c r="BB250" s="324"/>
      <c r="BC250" s="324"/>
      <c r="BD250" s="324"/>
      <c r="BE250" s="324"/>
      <c r="BF250" s="324"/>
      <c r="BG250" s="324"/>
      <c r="BH250" s="324"/>
      <c r="BI250" s="324"/>
      <c r="BJ250" s="324"/>
      <c r="BK250" s="324"/>
      <c r="BL250" s="324"/>
      <c r="BM250" s="324"/>
      <c r="BN250" s="324"/>
      <c r="BO250" s="324"/>
      <c r="BP250" s="324"/>
      <c r="BQ250" s="324"/>
      <c r="BR250" s="324"/>
      <c r="BS250" s="324"/>
      <c r="BT250" s="324"/>
      <c r="BU250" s="324"/>
      <c r="BV250" s="324"/>
      <c r="BW250" s="324"/>
      <c r="BX250" s="324"/>
      <c r="BY250" s="324"/>
      <c r="BZ250" s="324"/>
      <c r="CA250" s="324"/>
      <c r="CB250" s="324"/>
      <c r="CC250" s="324"/>
      <c r="CD250" s="324"/>
      <c r="CE250" s="324"/>
      <c r="CF250" s="324"/>
      <c r="CG250" s="324"/>
      <c r="CH250" s="324"/>
      <c r="CI250" s="324"/>
      <c r="CJ250" s="324"/>
      <c r="CK250" s="324"/>
      <c r="CL250" s="324"/>
      <c r="CM250" s="324"/>
      <c r="CN250" s="324"/>
      <c r="CO250" s="324"/>
      <c r="CP250" s="324"/>
      <c r="CQ250" s="324"/>
      <c r="CR250" s="324"/>
      <c r="CS250" s="324"/>
      <c r="CT250" s="324"/>
      <c r="CU250" s="324"/>
      <c r="CV250" s="324"/>
      <c r="CW250" s="324"/>
      <c r="CX250" s="324"/>
      <c r="CY250" s="324"/>
      <c r="CZ250" s="324"/>
      <c r="DA250" s="324"/>
      <c r="DB250" s="324"/>
      <c r="DC250" s="324"/>
      <c r="DD250" s="324"/>
      <c r="DE250" s="324"/>
      <c r="DF250" s="324"/>
      <c r="DG250" s="324"/>
      <c r="DH250" s="324"/>
      <c r="DI250" s="324"/>
      <c r="DJ250" s="324"/>
      <c r="DK250" s="324"/>
      <c r="DL250" s="324"/>
      <c r="DM250" s="324"/>
      <c r="DN250" s="324"/>
      <c r="DO250" s="324"/>
      <c r="DP250" s="324"/>
      <c r="DQ250" s="324"/>
      <c r="DR250" s="324"/>
      <c r="DS250" s="324"/>
      <c r="DT250" s="324"/>
      <c r="DU250" s="324"/>
      <c r="DV250" s="324"/>
      <c r="DW250" s="324"/>
      <c r="DX250" s="324"/>
      <c r="DY250" s="324"/>
      <c r="DZ250" s="324"/>
      <c r="EA250" s="324"/>
      <c r="EB250" s="324"/>
      <c r="EC250" s="324"/>
      <c r="ED250" s="324"/>
      <c r="EE250" s="324"/>
      <c r="EF250" s="324"/>
      <c r="EG250" s="324"/>
      <c r="EH250" s="324"/>
      <c r="EI250" s="324"/>
      <c r="EJ250" s="324"/>
      <c r="EK250" s="324"/>
      <c r="EL250" s="324"/>
      <c r="EM250" s="324"/>
      <c r="EN250" s="324"/>
      <c r="EO250" s="324"/>
      <c r="EP250" s="324"/>
      <c r="EQ250" s="324"/>
      <c r="ER250" s="324"/>
      <c r="ES250" s="324"/>
      <c r="ET250" s="324"/>
      <c r="EU250" s="324"/>
      <c r="EV250" s="324"/>
      <c r="EW250" s="324"/>
      <c r="EX250" s="324"/>
      <c r="EY250" s="324"/>
      <c r="EZ250" s="324"/>
      <c r="FA250" s="324"/>
      <c r="FB250" s="324"/>
      <c r="FC250" s="324"/>
      <c r="FD250" s="324"/>
      <c r="FE250" s="324"/>
      <c r="FF250" s="324"/>
      <c r="FG250" s="324"/>
      <c r="FH250" s="324"/>
      <c r="FI250" s="324"/>
      <c r="FJ250" s="324"/>
      <c r="FK250" s="324"/>
      <c r="FL250" s="324"/>
      <c r="FM250" s="324"/>
      <c r="FN250" s="324"/>
      <c r="FO250" s="324"/>
      <c r="FP250" s="324"/>
      <c r="FQ250" s="324"/>
      <c r="FR250" s="324"/>
      <c r="FS250" s="324"/>
      <c r="FT250" s="324"/>
      <c r="FU250" s="324"/>
      <c r="FV250" s="324"/>
      <c r="FW250" s="324"/>
      <c r="FX250" s="324"/>
      <c r="FY250" s="324"/>
      <c r="FZ250" s="324"/>
      <c r="GA250" s="324"/>
      <c r="GB250" s="324"/>
      <c r="GC250" s="324"/>
      <c r="GD250" s="324"/>
      <c r="GE250" s="324"/>
      <c r="GF250" s="324"/>
    </row>
    <row r="251" spans="2:188" s="158" customFormat="1">
      <c r="B251" s="316">
        <v>245</v>
      </c>
      <c r="C251" s="370" t="s">
        <v>215</v>
      </c>
      <c r="D251" s="370" t="s">
        <v>561</v>
      </c>
      <c r="E251" s="422" t="s">
        <v>355</v>
      </c>
      <c r="F251" s="370" t="s">
        <v>410</v>
      </c>
      <c r="G251" s="371">
        <v>1</v>
      </c>
      <c r="H251" s="369">
        <v>100000</v>
      </c>
      <c r="I251" s="317">
        <f t="shared" si="3"/>
        <v>18750</v>
      </c>
      <c r="J251" s="355"/>
      <c r="K251" s="324"/>
      <c r="L251" s="324"/>
      <c r="M251" s="324"/>
      <c r="N251" s="324"/>
      <c r="O251" s="324"/>
      <c r="P251" s="324"/>
      <c r="Q251" s="324"/>
      <c r="R251" s="324"/>
      <c r="S251" s="324"/>
      <c r="T251" s="324"/>
      <c r="U251" s="324"/>
      <c r="V251" s="324"/>
      <c r="W251" s="324"/>
      <c r="X251" s="324"/>
      <c r="Y251" s="324"/>
      <c r="Z251" s="324"/>
      <c r="AA251" s="324"/>
      <c r="AB251" s="324"/>
      <c r="AC251" s="324"/>
      <c r="AD251" s="324"/>
      <c r="AE251" s="324"/>
      <c r="AF251" s="324"/>
      <c r="AG251" s="324"/>
      <c r="AH251" s="324"/>
      <c r="AI251" s="324"/>
      <c r="AJ251" s="324"/>
      <c r="AK251" s="324"/>
      <c r="AL251" s="324"/>
      <c r="AM251" s="324"/>
      <c r="AN251" s="324"/>
      <c r="AO251" s="324"/>
      <c r="AP251" s="324"/>
      <c r="AQ251" s="324"/>
      <c r="AR251" s="324"/>
      <c r="AS251" s="324"/>
      <c r="AT251" s="324"/>
      <c r="AU251" s="324"/>
      <c r="AV251" s="324"/>
      <c r="AW251" s="324"/>
      <c r="AX251" s="324"/>
      <c r="AY251" s="324"/>
      <c r="AZ251" s="324"/>
      <c r="BA251" s="324"/>
      <c r="BB251" s="324"/>
      <c r="BC251" s="324"/>
      <c r="BD251" s="324"/>
      <c r="BE251" s="324"/>
      <c r="BF251" s="324"/>
      <c r="BG251" s="324"/>
      <c r="BH251" s="324"/>
      <c r="BI251" s="324"/>
      <c r="BJ251" s="324"/>
      <c r="BK251" s="324"/>
      <c r="BL251" s="324"/>
      <c r="BM251" s="324"/>
      <c r="BN251" s="324"/>
      <c r="BO251" s="324"/>
      <c r="BP251" s="324"/>
      <c r="BQ251" s="324"/>
      <c r="BR251" s="324"/>
      <c r="BS251" s="324"/>
      <c r="BT251" s="324"/>
      <c r="BU251" s="324"/>
      <c r="BV251" s="324"/>
      <c r="BW251" s="324"/>
      <c r="BX251" s="324"/>
      <c r="BY251" s="324"/>
      <c r="BZ251" s="324"/>
      <c r="CA251" s="324"/>
      <c r="CB251" s="324"/>
      <c r="CC251" s="324"/>
      <c r="CD251" s="324"/>
      <c r="CE251" s="324"/>
      <c r="CF251" s="324"/>
      <c r="CG251" s="324"/>
      <c r="CH251" s="324"/>
      <c r="CI251" s="324"/>
      <c r="CJ251" s="324"/>
      <c r="CK251" s="324"/>
      <c r="CL251" s="324"/>
      <c r="CM251" s="324"/>
      <c r="CN251" s="324"/>
      <c r="CO251" s="324"/>
      <c r="CP251" s="324"/>
      <c r="CQ251" s="324"/>
      <c r="CR251" s="324"/>
      <c r="CS251" s="324"/>
      <c r="CT251" s="324"/>
      <c r="CU251" s="324"/>
      <c r="CV251" s="324"/>
      <c r="CW251" s="324"/>
      <c r="CX251" s="324"/>
      <c r="CY251" s="324"/>
      <c r="CZ251" s="324"/>
      <c r="DA251" s="324"/>
      <c r="DB251" s="324"/>
      <c r="DC251" s="324"/>
      <c r="DD251" s="324"/>
      <c r="DE251" s="324"/>
      <c r="DF251" s="324"/>
      <c r="DG251" s="324"/>
      <c r="DH251" s="324"/>
      <c r="DI251" s="324"/>
      <c r="DJ251" s="324"/>
      <c r="DK251" s="324"/>
      <c r="DL251" s="324"/>
      <c r="DM251" s="324"/>
      <c r="DN251" s="324"/>
      <c r="DO251" s="324"/>
      <c r="DP251" s="324"/>
      <c r="DQ251" s="324"/>
      <c r="DR251" s="324"/>
      <c r="DS251" s="324"/>
      <c r="DT251" s="324"/>
      <c r="DU251" s="324"/>
      <c r="DV251" s="324"/>
      <c r="DW251" s="324"/>
      <c r="DX251" s="324"/>
      <c r="DY251" s="324"/>
      <c r="DZ251" s="324"/>
      <c r="EA251" s="324"/>
      <c r="EB251" s="324"/>
      <c r="EC251" s="324"/>
      <c r="ED251" s="324"/>
      <c r="EE251" s="324"/>
      <c r="EF251" s="324"/>
      <c r="EG251" s="324"/>
      <c r="EH251" s="324"/>
      <c r="EI251" s="324"/>
      <c r="EJ251" s="324"/>
      <c r="EK251" s="324"/>
      <c r="EL251" s="324"/>
      <c r="EM251" s="324"/>
      <c r="EN251" s="324"/>
      <c r="EO251" s="324"/>
      <c r="EP251" s="324"/>
      <c r="EQ251" s="324"/>
      <c r="ER251" s="324"/>
      <c r="ES251" s="324"/>
      <c r="ET251" s="324"/>
      <c r="EU251" s="324"/>
      <c r="EV251" s="324"/>
      <c r="EW251" s="324"/>
      <c r="EX251" s="324"/>
      <c r="EY251" s="324"/>
      <c r="EZ251" s="324"/>
      <c r="FA251" s="324"/>
      <c r="FB251" s="324"/>
      <c r="FC251" s="324"/>
      <c r="FD251" s="324"/>
      <c r="FE251" s="324"/>
      <c r="FF251" s="324"/>
      <c r="FG251" s="324"/>
      <c r="FH251" s="324"/>
      <c r="FI251" s="324"/>
      <c r="FJ251" s="324"/>
      <c r="FK251" s="324"/>
      <c r="FL251" s="324"/>
      <c r="FM251" s="324"/>
      <c r="FN251" s="324"/>
      <c r="FO251" s="324"/>
      <c r="FP251" s="324"/>
      <c r="FQ251" s="324"/>
      <c r="FR251" s="324"/>
      <c r="FS251" s="324"/>
      <c r="FT251" s="324"/>
      <c r="FU251" s="324"/>
      <c r="FV251" s="324"/>
      <c r="FW251" s="324"/>
      <c r="FX251" s="324"/>
      <c r="FY251" s="324"/>
      <c r="FZ251" s="324"/>
      <c r="GA251" s="324"/>
      <c r="GB251" s="324"/>
      <c r="GC251" s="324"/>
      <c r="GD251" s="324"/>
      <c r="GE251" s="324"/>
      <c r="GF251" s="324"/>
    </row>
    <row r="252" spans="2:188" s="158" customFormat="1">
      <c r="B252" s="316">
        <v>246</v>
      </c>
      <c r="C252" s="370" t="s">
        <v>222</v>
      </c>
      <c r="D252" s="370" t="s">
        <v>562</v>
      </c>
      <c r="E252" s="422" t="s">
        <v>371</v>
      </c>
      <c r="F252" s="370" t="s">
        <v>410</v>
      </c>
      <c r="G252" s="371">
        <v>1</v>
      </c>
      <c r="H252" s="369">
        <v>100000</v>
      </c>
      <c r="I252" s="317">
        <f t="shared" si="3"/>
        <v>18750</v>
      </c>
      <c r="J252" s="355"/>
      <c r="K252" s="324"/>
      <c r="L252" s="324"/>
      <c r="M252" s="324"/>
      <c r="N252" s="324"/>
      <c r="O252" s="324"/>
      <c r="P252" s="324"/>
      <c r="Q252" s="324"/>
      <c r="R252" s="324"/>
      <c r="S252" s="324"/>
      <c r="T252" s="324"/>
      <c r="U252" s="324"/>
      <c r="V252" s="324"/>
      <c r="W252" s="324"/>
      <c r="X252" s="324"/>
      <c r="Y252" s="324"/>
      <c r="Z252" s="324"/>
      <c r="AA252" s="324"/>
      <c r="AB252" s="324"/>
      <c r="AC252" s="324"/>
      <c r="AD252" s="324"/>
      <c r="AE252" s="324"/>
      <c r="AF252" s="324"/>
      <c r="AG252" s="324"/>
      <c r="AH252" s="324"/>
      <c r="AI252" s="324"/>
      <c r="AJ252" s="324"/>
      <c r="AK252" s="324"/>
      <c r="AL252" s="324"/>
      <c r="AM252" s="324"/>
      <c r="AN252" s="324"/>
      <c r="AO252" s="324"/>
      <c r="AP252" s="324"/>
      <c r="AQ252" s="324"/>
      <c r="AR252" s="324"/>
      <c r="AS252" s="324"/>
      <c r="AT252" s="324"/>
      <c r="AU252" s="324"/>
      <c r="AV252" s="324"/>
      <c r="AW252" s="324"/>
      <c r="AX252" s="324"/>
      <c r="AY252" s="324"/>
      <c r="AZ252" s="324"/>
      <c r="BA252" s="324"/>
      <c r="BB252" s="324"/>
      <c r="BC252" s="324"/>
      <c r="BD252" s="324"/>
      <c r="BE252" s="324"/>
      <c r="BF252" s="324"/>
      <c r="BG252" s="324"/>
      <c r="BH252" s="324"/>
      <c r="BI252" s="324"/>
      <c r="BJ252" s="324"/>
      <c r="BK252" s="324"/>
      <c r="BL252" s="324"/>
      <c r="BM252" s="324"/>
      <c r="BN252" s="324"/>
      <c r="BO252" s="324"/>
      <c r="BP252" s="324"/>
      <c r="BQ252" s="324"/>
      <c r="BR252" s="324"/>
      <c r="BS252" s="324"/>
      <c r="BT252" s="324"/>
      <c r="BU252" s="324"/>
      <c r="BV252" s="324"/>
      <c r="BW252" s="324"/>
      <c r="BX252" s="324"/>
      <c r="BY252" s="324"/>
      <c r="BZ252" s="324"/>
      <c r="CA252" s="324"/>
      <c r="CB252" s="324"/>
      <c r="CC252" s="324"/>
      <c r="CD252" s="324"/>
      <c r="CE252" s="324"/>
      <c r="CF252" s="324"/>
      <c r="CG252" s="324"/>
      <c r="CH252" s="324"/>
      <c r="CI252" s="324"/>
      <c r="CJ252" s="324"/>
      <c r="CK252" s="324"/>
      <c r="CL252" s="324"/>
      <c r="CM252" s="324"/>
      <c r="CN252" s="324"/>
      <c r="CO252" s="324"/>
      <c r="CP252" s="324"/>
      <c r="CQ252" s="324"/>
      <c r="CR252" s="324"/>
      <c r="CS252" s="324"/>
      <c r="CT252" s="324"/>
      <c r="CU252" s="324"/>
      <c r="CV252" s="324"/>
      <c r="CW252" s="324"/>
      <c r="CX252" s="324"/>
      <c r="CY252" s="324"/>
      <c r="CZ252" s="324"/>
      <c r="DA252" s="324"/>
      <c r="DB252" s="324"/>
      <c r="DC252" s="324"/>
      <c r="DD252" s="324"/>
      <c r="DE252" s="324"/>
      <c r="DF252" s="324"/>
      <c r="DG252" s="324"/>
      <c r="DH252" s="324"/>
      <c r="DI252" s="324"/>
      <c r="DJ252" s="324"/>
      <c r="DK252" s="324"/>
      <c r="DL252" s="324"/>
      <c r="DM252" s="324"/>
      <c r="DN252" s="324"/>
      <c r="DO252" s="324"/>
      <c r="DP252" s="324"/>
      <c r="DQ252" s="324"/>
      <c r="DR252" s="324"/>
      <c r="DS252" s="324"/>
      <c r="DT252" s="324"/>
      <c r="DU252" s="324"/>
      <c r="DV252" s="324"/>
      <c r="DW252" s="324"/>
      <c r="DX252" s="324"/>
      <c r="DY252" s="324"/>
      <c r="DZ252" s="324"/>
      <c r="EA252" s="324"/>
      <c r="EB252" s="324"/>
      <c r="EC252" s="324"/>
      <c r="ED252" s="324"/>
      <c r="EE252" s="324"/>
      <c r="EF252" s="324"/>
      <c r="EG252" s="324"/>
      <c r="EH252" s="324"/>
      <c r="EI252" s="324"/>
      <c r="EJ252" s="324"/>
      <c r="EK252" s="324"/>
      <c r="EL252" s="324"/>
      <c r="EM252" s="324"/>
      <c r="EN252" s="324"/>
      <c r="EO252" s="324"/>
      <c r="EP252" s="324"/>
      <c r="EQ252" s="324"/>
      <c r="ER252" s="324"/>
      <c r="ES252" s="324"/>
      <c r="ET252" s="324"/>
      <c r="EU252" s="324"/>
      <c r="EV252" s="324"/>
      <c r="EW252" s="324"/>
      <c r="EX252" s="324"/>
      <c r="EY252" s="324"/>
      <c r="EZ252" s="324"/>
      <c r="FA252" s="324"/>
      <c r="FB252" s="324"/>
      <c r="FC252" s="324"/>
      <c r="FD252" s="324"/>
      <c r="FE252" s="324"/>
      <c r="FF252" s="324"/>
      <c r="FG252" s="324"/>
      <c r="FH252" s="324"/>
      <c r="FI252" s="324"/>
      <c r="FJ252" s="324"/>
      <c r="FK252" s="324"/>
      <c r="FL252" s="324"/>
      <c r="FM252" s="324"/>
      <c r="FN252" s="324"/>
      <c r="FO252" s="324"/>
      <c r="FP252" s="324"/>
      <c r="FQ252" s="324"/>
      <c r="FR252" s="324"/>
      <c r="FS252" s="324"/>
      <c r="FT252" s="324"/>
      <c r="FU252" s="324"/>
      <c r="FV252" s="324"/>
      <c r="FW252" s="324"/>
      <c r="FX252" s="324"/>
      <c r="FY252" s="324"/>
      <c r="FZ252" s="324"/>
      <c r="GA252" s="324"/>
      <c r="GB252" s="324"/>
      <c r="GC252" s="324"/>
      <c r="GD252" s="324"/>
      <c r="GE252" s="324"/>
      <c r="GF252" s="324"/>
    </row>
    <row r="253" spans="2:188" s="158" customFormat="1">
      <c r="B253" s="316">
        <v>247</v>
      </c>
      <c r="C253" s="370" t="s">
        <v>249</v>
      </c>
      <c r="D253" s="370" t="s">
        <v>378</v>
      </c>
      <c r="E253" s="422" t="s">
        <v>379</v>
      </c>
      <c r="F253" s="370" t="s">
        <v>396</v>
      </c>
      <c r="G253" s="371">
        <v>1</v>
      </c>
      <c r="H253" s="369">
        <v>100000</v>
      </c>
      <c r="I253" s="317">
        <f t="shared" si="3"/>
        <v>18750</v>
      </c>
      <c r="J253" s="355"/>
      <c r="K253" s="324"/>
      <c r="L253" s="324"/>
      <c r="M253" s="324"/>
      <c r="N253" s="324"/>
      <c r="O253" s="324"/>
      <c r="P253" s="324"/>
      <c r="Q253" s="324"/>
      <c r="R253" s="324"/>
      <c r="S253" s="324"/>
      <c r="T253" s="324"/>
      <c r="U253" s="324"/>
      <c r="V253" s="324"/>
      <c r="W253" s="324"/>
      <c r="X253" s="324"/>
      <c r="Y253" s="324"/>
      <c r="Z253" s="324"/>
      <c r="AA253" s="324"/>
      <c r="AB253" s="324"/>
      <c r="AC253" s="324"/>
      <c r="AD253" s="324"/>
      <c r="AE253" s="324"/>
      <c r="AF253" s="324"/>
      <c r="AG253" s="324"/>
      <c r="AH253" s="324"/>
      <c r="AI253" s="324"/>
      <c r="AJ253" s="324"/>
      <c r="AK253" s="324"/>
      <c r="AL253" s="324"/>
      <c r="AM253" s="324"/>
      <c r="AN253" s="324"/>
      <c r="AO253" s="324"/>
      <c r="AP253" s="324"/>
      <c r="AQ253" s="324"/>
      <c r="AR253" s="324"/>
      <c r="AS253" s="324"/>
      <c r="AT253" s="324"/>
      <c r="AU253" s="324"/>
      <c r="AV253" s="324"/>
      <c r="AW253" s="324"/>
      <c r="AX253" s="324"/>
      <c r="AY253" s="324"/>
      <c r="AZ253" s="324"/>
      <c r="BA253" s="324"/>
      <c r="BB253" s="324"/>
      <c r="BC253" s="324"/>
      <c r="BD253" s="324"/>
      <c r="BE253" s="324"/>
      <c r="BF253" s="324"/>
      <c r="BG253" s="324"/>
      <c r="BH253" s="324"/>
      <c r="BI253" s="324"/>
      <c r="BJ253" s="324"/>
      <c r="BK253" s="324"/>
      <c r="BL253" s="324"/>
      <c r="BM253" s="324"/>
      <c r="BN253" s="324"/>
      <c r="BO253" s="324"/>
      <c r="BP253" s="324"/>
      <c r="BQ253" s="324"/>
      <c r="BR253" s="324"/>
      <c r="BS253" s="324"/>
      <c r="BT253" s="324"/>
      <c r="BU253" s="324"/>
      <c r="BV253" s="324"/>
      <c r="BW253" s="324"/>
      <c r="BX253" s="324"/>
      <c r="BY253" s="324"/>
      <c r="BZ253" s="324"/>
      <c r="CA253" s="324"/>
      <c r="CB253" s="324"/>
      <c r="CC253" s="324"/>
      <c r="CD253" s="324"/>
      <c r="CE253" s="324"/>
      <c r="CF253" s="324"/>
      <c r="CG253" s="324"/>
      <c r="CH253" s="324"/>
      <c r="CI253" s="324"/>
      <c r="CJ253" s="324"/>
      <c r="CK253" s="324"/>
      <c r="CL253" s="324"/>
      <c r="CM253" s="324"/>
      <c r="CN253" s="324"/>
      <c r="CO253" s="324"/>
      <c r="CP253" s="324"/>
      <c r="CQ253" s="324"/>
      <c r="CR253" s="324"/>
      <c r="CS253" s="324"/>
      <c r="CT253" s="324"/>
      <c r="CU253" s="324"/>
      <c r="CV253" s="324"/>
      <c r="CW253" s="324"/>
      <c r="CX253" s="324"/>
      <c r="CY253" s="324"/>
      <c r="CZ253" s="324"/>
      <c r="DA253" s="324"/>
      <c r="DB253" s="324"/>
      <c r="DC253" s="324"/>
      <c r="DD253" s="324"/>
      <c r="DE253" s="324"/>
      <c r="DF253" s="324"/>
      <c r="DG253" s="324"/>
      <c r="DH253" s="324"/>
      <c r="DI253" s="324"/>
      <c r="DJ253" s="324"/>
      <c r="DK253" s="324"/>
      <c r="DL253" s="324"/>
      <c r="DM253" s="324"/>
      <c r="DN253" s="324"/>
      <c r="DO253" s="324"/>
      <c r="DP253" s="324"/>
      <c r="DQ253" s="324"/>
      <c r="DR253" s="324"/>
      <c r="DS253" s="324"/>
      <c r="DT253" s="324"/>
      <c r="DU253" s="324"/>
      <c r="DV253" s="324"/>
      <c r="DW253" s="324"/>
      <c r="DX253" s="324"/>
      <c r="DY253" s="324"/>
      <c r="DZ253" s="324"/>
      <c r="EA253" s="324"/>
      <c r="EB253" s="324"/>
      <c r="EC253" s="324"/>
      <c r="ED253" s="324"/>
      <c r="EE253" s="324"/>
      <c r="EF253" s="324"/>
      <c r="EG253" s="324"/>
      <c r="EH253" s="324"/>
      <c r="EI253" s="324"/>
      <c r="EJ253" s="324"/>
      <c r="EK253" s="324"/>
      <c r="EL253" s="324"/>
      <c r="EM253" s="324"/>
      <c r="EN253" s="324"/>
      <c r="EO253" s="324"/>
      <c r="EP253" s="324"/>
      <c r="EQ253" s="324"/>
      <c r="ER253" s="324"/>
      <c r="ES253" s="324"/>
      <c r="ET253" s="324"/>
      <c r="EU253" s="324"/>
      <c r="EV253" s="324"/>
      <c r="EW253" s="324"/>
      <c r="EX253" s="324"/>
      <c r="EY253" s="324"/>
      <c r="EZ253" s="324"/>
      <c r="FA253" s="324"/>
      <c r="FB253" s="324"/>
      <c r="FC253" s="324"/>
      <c r="FD253" s="324"/>
      <c r="FE253" s="324"/>
      <c r="FF253" s="324"/>
      <c r="FG253" s="324"/>
      <c r="FH253" s="324"/>
      <c r="FI253" s="324"/>
      <c r="FJ253" s="324"/>
      <c r="FK253" s="324"/>
      <c r="FL253" s="324"/>
      <c r="FM253" s="324"/>
      <c r="FN253" s="324"/>
      <c r="FO253" s="324"/>
      <c r="FP253" s="324"/>
      <c r="FQ253" s="324"/>
      <c r="FR253" s="324"/>
      <c r="FS253" s="324"/>
      <c r="FT253" s="324"/>
      <c r="FU253" s="324"/>
      <c r="FV253" s="324"/>
      <c r="FW253" s="324"/>
      <c r="FX253" s="324"/>
      <c r="FY253" s="324"/>
      <c r="FZ253" s="324"/>
      <c r="GA253" s="324"/>
      <c r="GB253" s="324"/>
      <c r="GC253" s="324"/>
      <c r="GD253" s="324"/>
      <c r="GE253" s="324"/>
      <c r="GF253" s="324"/>
    </row>
    <row r="254" spans="2:188" s="158" customFormat="1">
      <c r="B254" s="316">
        <v>248</v>
      </c>
      <c r="C254" s="370" t="s">
        <v>256</v>
      </c>
      <c r="D254" s="370" t="s">
        <v>368</v>
      </c>
      <c r="E254" s="422" t="s">
        <v>365</v>
      </c>
      <c r="F254" s="370" t="s">
        <v>395</v>
      </c>
      <c r="G254" s="371">
        <v>5</v>
      </c>
      <c r="H254" s="369">
        <v>500000</v>
      </c>
      <c r="I254" s="317">
        <f t="shared" si="3"/>
        <v>93750</v>
      </c>
      <c r="J254" s="355"/>
      <c r="K254" s="324"/>
      <c r="L254" s="324"/>
      <c r="M254" s="324"/>
      <c r="N254" s="324"/>
      <c r="O254" s="324"/>
      <c r="P254" s="324"/>
      <c r="Q254" s="324"/>
      <c r="R254" s="324"/>
      <c r="S254" s="324"/>
      <c r="T254" s="324"/>
      <c r="U254" s="324"/>
      <c r="V254" s="324"/>
      <c r="W254" s="324"/>
      <c r="X254" s="324"/>
      <c r="Y254" s="324"/>
      <c r="Z254" s="324"/>
      <c r="AA254" s="324"/>
      <c r="AB254" s="324"/>
      <c r="AC254" s="324"/>
      <c r="AD254" s="324"/>
      <c r="AE254" s="324"/>
      <c r="AF254" s="324"/>
      <c r="AG254" s="324"/>
      <c r="AH254" s="324"/>
      <c r="AI254" s="324"/>
      <c r="AJ254" s="324"/>
      <c r="AK254" s="324"/>
      <c r="AL254" s="324"/>
      <c r="AM254" s="324"/>
      <c r="AN254" s="324"/>
      <c r="AO254" s="324"/>
      <c r="AP254" s="324"/>
      <c r="AQ254" s="324"/>
      <c r="AR254" s="324"/>
      <c r="AS254" s="324"/>
      <c r="AT254" s="324"/>
      <c r="AU254" s="324"/>
      <c r="AV254" s="324"/>
      <c r="AW254" s="324"/>
      <c r="AX254" s="324"/>
      <c r="AY254" s="324"/>
      <c r="AZ254" s="324"/>
      <c r="BA254" s="324"/>
      <c r="BB254" s="324"/>
      <c r="BC254" s="324"/>
      <c r="BD254" s="324"/>
      <c r="BE254" s="324"/>
      <c r="BF254" s="324"/>
      <c r="BG254" s="324"/>
      <c r="BH254" s="324"/>
      <c r="BI254" s="324"/>
      <c r="BJ254" s="324"/>
      <c r="BK254" s="324"/>
      <c r="BL254" s="324"/>
      <c r="BM254" s="324"/>
      <c r="BN254" s="324"/>
      <c r="BO254" s="324"/>
      <c r="BP254" s="324"/>
      <c r="BQ254" s="324"/>
      <c r="BR254" s="324"/>
      <c r="BS254" s="324"/>
      <c r="BT254" s="324"/>
      <c r="BU254" s="324"/>
      <c r="BV254" s="324"/>
      <c r="BW254" s="324"/>
      <c r="BX254" s="324"/>
      <c r="BY254" s="324"/>
      <c r="BZ254" s="324"/>
      <c r="CA254" s="324"/>
      <c r="CB254" s="324"/>
      <c r="CC254" s="324"/>
      <c r="CD254" s="324"/>
      <c r="CE254" s="324"/>
      <c r="CF254" s="324"/>
      <c r="CG254" s="324"/>
      <c r="CH254" s="324"/>
      <c r="CI254" s="324"/>
      <c r="CJ254" s="324"/>
      <c r="CK254" s="324"/>
      <c r="CL254" s="324"/>
      <c r="CM254" s="324"/>
      <c r="CN254" s="324"/>
      <c r="CO254" s="324"/>
      <c r="CP254" s="324"/>
      <c r="CQ254" s="324"/>
      <c r="CR254" s="324"/>
      <c r="CS254" s="324"/>
      <c r="CT254" s="324"/>
      <c r="CU254" s="324"/>
      <c r="CV254" s="324"/>
      <c r="CW254" s="324"/>
      <c r="CX254" s="324"/>
      <c r="CY254" s="324"/>
      <c r="CZ254" s="324"/>
      <c r="DA254" s="324"/>
      <c r="DB254" s="324"/>
      <c r="DC254" s="324"/>
      <c r="DD254" s="324"/>
      <c r="DE254" s="324"/>
      <c r="DF254" s="324"/>
      <c r="DG254" s="324"/>
      <c r="DH254" s="324"/>
      <c r="DI254" s="324"/>
      <c r="DJ254" s="324"/>
      <c r="DK254" s="324"/>
      <c r="DL254" s="324"/>
      <c r="DM254" s="324"/>
      <c r="DN254" s="324"/>
      <c r="DO254" s="324"/>
      <c r="DP254" s="324"/>
      <c r="DQ254" s="324"/>
      <c r="DR254" s="324"/>
      <c r="DS254" s="324"/>
      <c r="DT254" s="324"/>
      <c r="DU254" s="324"/>
      <c r="DV254" s="324"/>
      <c r="DW254" s="324"/>
      <c r="DX254" s="324"/>
      <c r="DY254" s="324"/>
      <c r="DZ254" s="324"/>
      <c r="EA254" s="324"/>
      <c r="EB254" s="324"/>
      <c r="EC254" s="324"/>
      <c r="ED254" s="324"/>
      <c r="EE254" s="324"/>
      <c r="EF254" s="324"/>
      <c r="EG254" s="324"/>
      <c r="EH254" s="324"/>
      <c r="EI254" s="324"/>
      <c r="EJ254" s="324"/>
      <c r="EK254" s="324"/>
      <c r="EL254" s="324"/>
      <c r="EM254" s="324"/>
      <c r="EN254" s="324"/>
      <c r="EO254" s="324"/>
      <c r="EP254" s="324"/>
      <c r="EQ254" s="324"/>
      <c r="ER254" s="324"/>
      <c r="ES254" s="324"/>
      <c r="ET254" s="324"/>
      <c r="EU254" s="324"/>
      <c r="EV254" s="324"/>
      <c r="EW254" s="324"/>
      <c r="EX254" s="324"/>
      <c r="EY254" s="324"/>
      <c r="EZ254" s="324"/>
      <c r="FA254" s="324"/>
      <c r="FB254" s="324"/>
      <c r="FC254" s="324"/>
      <c r="FD254" s="324"/>
      <c r="FE254" s="324"/>
      <c r="FF254" s="324"/>
      <c r="FG254" s="324"/>
      <c r="FH254" s="324"/>
      <c r="FI254" s="324"/>
      <c r="FJ254" s="324"/>
      <c r="FK254" s="324"/>
      <c r="FL254" s="324"/>
      <c r="FM254" s="324"/>
      <c r="FN254" s="324"/>
      <c r="FO254" s="324"/>
      <c r="FP254" s="324"/>
      <c r="FQ254" s="324"/>
      <c r="FR254" s="324"/>
      <c r="FS254" s="324"/>
      <c r="FT254" s="324"/>
      <c r="FU254" s="324"/>
      <c r="FV254" s="324"/>
      <c r="FW254" s="324"/>
      <c r="FX254" s="324"/>
      <c r="FY254" s="324"/>
      <c r="FZ254" s="324"/>
      <c r="GA254" s="324"/>
      <c r="GB254" s="324"/>
      <c r="GC254" s="324"/>
      <c r="GD254" s="324"/>
      <c r="GE254" s="324"/>
      <c r="GF254" s="324"/>
    </row>
    <row r="255" spans="2:188" s="158" customFormat="1">
      <c r="B255" s="316">
        <v>249</v>
      </c>
      <c r="C255" s="370" t="s">
        <v>258</v>
      </c>
      <c r="D255" s="370" t="s">
        <v>356</v>
      </c>
      <c r="E255" s="422" t="s">
        <v>357</v>
      </c>
      <c r="F255" s="370" t="s">
        <v>563</v>
      </c>
      <c r="G255" s="371">
        <v>1</v>
      </c>
      <c r="H255" s="369">
        <v>1158500</v>
      </c>
      <c r="I255" s="317">
        <f t="shared" si="3"/>
        <v>217218.75</v>
      </c>
      <c r="J255" s="355"/>
      <c r="K255" s="324"/>
      <c r="L255" s="324"/>
      <c r="M255" s="324"/>
      <c r="N255" s="324"/>
      <c r="O255" s="324"/>
      <c r="P255" s="324"/>
      <c r="Q255" s="324"/>
      <c r="R255" s="324"/>
      <c r="S255" s="324"/>
      <c r="T255" s="324"/>
      <c r="U255" s="324"/>
      <c r="V255" s="324"/>
      <c r="W255" s="324"/>
      <c r="X255" s="324"/>
      <c r="Y255" s="324"/>
      <c r="Z255" s="324"/>
      <c r="AA255" s="324"/>
      <c r="AB255" s="324"/>
      <c r="AC255" s="324"/>
      <c r="AD255" s="324"/>
      <c r="AE255" s="324"/>
      <c r="AF255" s="324"/>
      <c r="AG255" s="324"/>
      <c r="AH255" s="324"/>
      <c r="AI255" s="324"/>
      <c r="AJ255" s="324"/>
      <c r="AK255" s="324"/>
      <c r="AL255" s="324"/>
      <c r="AM255" s="324"/>
      <c r="AN255" s="324"/>
      <c r="AO255" s="324"/>
      <c r="AP255" s="324"/>
      <c r="AQ255" s="324"/>
      <c r="AR255" s="324"/>
      <c r="AS255" s="324"/>
      <c r="AT255" s="324"/>
      <c r="AU255" s="324"/>
      <c r="AV255" s="324"/>
      <c r="AW255" s="324"/>
      <c r="AX255" s="324"/>
      <c r="AY255" s="324"/>
      <c r="AZ255" s="324"/>
      <c r="BA255" s="324"/>
      <c r="BB255" s="324"/>
      <c r="BC255" s="324"/>
      <c r="BD255" s="324"/>
      <c r="BE255" s="324"/>
      <c r="BF255" s="324"/>
      <c r="BG255" s="324"/>
      <c r="BH255" s="324"/>
      <c r="BI255" s="324"/>
      <c r="BJ255" s="324"/>
      <c r="BK255" s="324"/>
      <c r="BL255" s="324"/>
      <c r="BM255" s="324"/>
      <c r="BN255" s="324"/>
      <c r="BO255" s="324"/>
      <c r="BP255" s="324"/>
      <c r="BQ255" s="324"/>
      <c r="BR255" s="324"/>
      <c r="BS255" s="324"/>
      <c r="BT255" s="324"/>
      <c r="BU255" s="324"/>
      <c r="BV255" s="324"/>
      <c r="BW255" s="324"/>
      <c r="BX255" s="324"/>
      <c r="BY255" s="324"/>
      <c r="BZ255" s="324"/>
      <c r="CA255" s="324"/>
      <c r="CB255" s="324"/>
      <c r="CC255" s="324"/>
      <c r="CD255" s="324"/>
      <c r="CE255" s="324"/>
      <c r="CF255" s="324"/>
      <c r="CG255" s="324"/>
      <c r="CH255" s="324"/>
      <c r="CI255" s="324"/>
      <c r="CJ255" s="324"/>
      <c r="CK255" s="324"/>
      <c r="CL255" s="324"/>
      <c r="CM255" s="324"/>
      <c r="CN255" s="324"/>
      <c r="CO255" s="324"/>
      <c r="CP255" s="324"/>
      <c r="CQ255" s="324"/>
      <c r="CR255" s="324"/>
      <c r="CS255" s="324"/>
      <c r="CT255" s="324"/>
      <c r="CU255" s="324"/>
      <c r="CV255" s="324"/>
      <c r="CW255" s="324"/>
      <c r="CX255" s="324"/>
      <c r="CY255" s="324"/>
      <c r="CZ255" s="324"/>
      <c r="DA255" s="324"/>
      <c r="DB255" s="324"/>
      <c r="DC255" s="324"/>
      <c r="DD255" s="324"/>
      <c r="DE255" s="324"/>
      <c r="DF255" s="324"/>
      <c r="DG255" s="324"/>
      <c r="DH255" s="324"/>
      <c r="DI255" s="324"/>
      <c r="DJ255" s="324"/>
      <c r="DK255" s="324"/>
      <c r="DL255" s="324"/>
      <c r="DM255" s="324"/>
      <c r="DN255" s="324"/>
      <c r="DO255" s="324"/>
      <c r="DP255" s="324"/>
      <c r="DQ255" s="324"/>
      <c r="DR255" s="324"/>
      <c r="DS255" s="324"/>
      <c r="DT255" s="324"/>
      <c r="DU255" s="324"/>
      <c r="DV255" s="324"/>
      <c r="DW255" s="324"/>
      <c r="DX255" s="324"/>
      <c r="DY255" s="324"/>
      <c r="DZ255" s="324"/>
      <c r="EA255" s="324"/>
      <c r="EB255" s="324"/>
      <c r="EC255" s="324"/>
      <c r="ED255" s="324"/>
      <c r="EE255" s="324"/>
      <c r="EF255" s="324"/>
      <c r="EG255" s="324"/>
      <c r="EH255" s="324"/>
      <c r="EI255" s="324"/>
      <c r="EJ255" s="324"/>
      <c r="EK255" s="324"/>
      <c r="EL255" s="324"/>
      <c r="EM255" s="324"/>
      <c r="EN255" s="324"/>
      <c r="EO255" s="324"/>
      <c r="EP255" s="324"/>
      <c r="EQ255" s="324"/>
      <c r="ER255" s="324"/>
      <c r="ES255" s="324"/>
      <c r="ET255" s="324"/>
      <c r="EU255" s="324"/>
      <c r="EV255" s="324"/>
      <c r="EW255" s="324"/>
      <c r="EX255" s="324"/>
      <c r="EY255" s="324"/>
      <c r="EZ255" s="324"/>
      <c r="FA255" s="324"/>
      <c r="FB255" s="324"/>
      <c r="FC255" s="324"/>
      <c r="FD255" s="324"/>
      <c r="FE255" s="324"/>
      <c r="FF255" s="324"/>
      <c r="FG255" s="324"/>
      <c r="FH255" s="324"/>
      <c r="FI255" s="324"/>
      <c r="FJ255" s="324"/>
      <c r="FK255" s="324"/>
      <c r="FL255" s="324"/>
      <c r="FM255" s="324"/>
      <c r="FN255" s="324"/>
      <c r="FO255" s="324"/>
      <c r="FP255" s="324"/>
      <c r="FQ255" s="324"/>
      <c r="FR255" s="324"/>
      <c r="FS255" s="324"/>
      <c r="FT255" s="324"/>
      <c r="FU255" s="324"/>
      <c r="FV255" s="324"/>
      <c r="FW255" s="324"/>
      <c r="FX255" s="324"/>
      <c r="FY255" s="324"/>
      <c r="FZ255" s="324"/>
      <c r="GA255" s="324"/>
      <c r="GB255" s="324"/>
      <c r="GC255" s="324"/>
      <c r="GD255" s="324"/>
      <c r="GE255" s="324"/>
      <c r="GF255" s="324"/>
    </row>
    <row r="256" spans="2:188" s="158" customFormat="1">
      <c r="B256" s="316">
        <v>250</v>
      </c>
      <c r="C256" s="370" t="s">
        <v>249</v>
      </c>
      <c r="D256" s="370" t="s">
        <v>469</v>
      </c>
      <c r="E256" s="422" t="s">
        <v>405</v>
      </c>
      <c r="F256" s="370" t="s">
        <v>431</v>
      </c>
      <c r="G256" s="371">
        <v>1</v>
      </c>
      <c r="H256" s="369">
        <v>400000</v>
      </c>
      <c r="I256" s="317">
        <f t="shared" si="3"/>
        <v>75000</v>
      </c>
      <c r="J256" s="355"/>
      <c r="K256" s="324"/>
      <c r="L256" s="324"/>
      <c r="M256" s="324"/>
      <c r="N256" s="324"/>
      <c r="O256" s="324"/>
      <c r="P256" s="324"/>
      <c r="Q256" s="324"/>
      <c r="R256" s="324"/>
      <c r="S256" s="324"/>
      <c r="T256" s="324"/>
      <c r="U256" s="324"/>
      <c r="V256" s="324"/>
      <c r="W256" s="324"/>
      <c r="X256" s="324"/>
      <c r="Y256" s="324"/>
      <c r="Z256" s="324"/>
      <c r="AA256" s="324"/>
      <c r="AB256" s="324"/>
      <c r="AC256" s="324"/>
      <c r="AD256" s="324"/>
      <c r="AE256" s="324"/>
      <c r="AF256" s="324"/>
      <c r="AG256" s="324"/>
      <c r="AH256" s="324"/>
      <c r="AI256" s="324"/>
      <c r="AJ256" s="324"/>
      <c r="AK256" s="324"/>
      <c r="AL256" s="324"/>
      <c r="AM256" s="324"/>
      <c r="AN256" s="324"/>
      <c r="AO256" s="324"/>
      <c r="AP256" s="324"/>
      <c r="AQ256" s="324"/>
      <c r="AR256" s="324"/>
      <c r="AS256" s="324"/>
      <c r="AT256" s="324"/>
      <c r="AU256" s="324"/>
      <c r="AV256" s="324"/>
      <c r="AW256" s="324"/>
      <c r="AX256" s="324"/>
      <c r="AY256" s="324"/>
      <c r="AZ256" s="324"/>
      <c r="BA256" s="324"/>
      <c r="BB256" s="324"/>
      <c r="BC256" s="324"/>
      <c r="BD256" s="324"/>
      <c r="BE256" s="324"/>
      <c r="BF256" s="324"/>
      <c r="BG256" s="324"/>
      <c r="BH256" s="324"/>
      <c r="BI256" s="324"/>
      <c r="BJ256" s="324"/>
      <c r="BK256" s="324"/>
      <c r="BL256" s="324"/>
      <c r="BM256" s="324"/>
      <c r="BN256" s="324"/>
      <c r="BO256" s="324"/>
      <c r="BP256" s="324"/>
      <c r="BQ256" s="324"/>
      <c r="BR256" s="324"/>
      <c r="BS256" s="324"/>
      <c r="BT256" s="324"/>
      <c r="BU256" s="324"/>
      <c r="BV256" s="324"/>
      <c r="BW256" s="324"/>
      <c r="BX256" s="324"/>
      <c r="BY256" s="324"/>
      <c r="BZ256" s="324"/>
      <c r="CA256" s="324"/>
      <c r="CB256" s="324"/>
      <c r="CC256" s="324"/>
      <c r="CD256" s="324"/>
      <c r="CE256" s="324"/>
      <c r="CF256" s="324"/>
      <c r="CG256" s="324"/>
      <c r="CH256" s="324"/>
      <c r="CI256" s="324"/>
      <c r="CJ256" s="324"/>
      <c r="CK256" s="324"/>
      <c r="CL256" s="324"/>
      <c r="CM256" s="324"/>
      <c r="CN256" s="324"/>
      <c r="CO256" s="324"/>
      <c r="CP256" s="324"/>
      <c r="CQ256" s="324"/>
      <c r="CR256" s="324"/>
      <c r="CS256" s="324"/>
      <c r="CT256" s="324"/>
      <c r="CU256" s="324"/>
      <c r="CV256" s="324"/>
      <c r="CW256" s="324"/>
      <c r="CX256" s="324"/>
      <c r="CY256" s="324"/>
      <c r="CZ256" s="324"/>
      <c r="DA256" s="324"/>
      <c r="DB256" s="324"/>
      <c r="DC256" s="324"/>
      <c r="DD256" s="324"/>
      <c r="DE256" s="324"/>
      <c r="DF256" s="324"/>
      <c r="DG256" s="324"/>
      <c r="DH256" s="324"/>
      <c r="DI256" s="324"/>
      <c r="DJ256" s="324"/>
      <c r="DK256" s="324"/>
      <c r="DL256" s="324"/>
      <c r="DM256" s="324"/>
      <c r="DN256" s="324"/>
      <c r="DO256" s="324"/>
      <c r="DP256" s="324"/>
      <c r="DQ256" s="324"/>
      <c r="DR256" s="324"/>
      <c r="DS256" s="324"/>
      <c r="DT256" s="324"/>
      <c r="DU256" s="324"/>
      <c r="DV256" s="324"/>
      <c r="DW256" s="324"/>
      <c r="DX256" s="324"/>
      <c r="DY256" s="324"/>
      <c r="DZ256" s="324"/>
      <c r="EA256" s="324"/>
      <c r="EB256" s="324"/>
      <c r="EC256" s="324"/>
      <c r="ED256" s="324"/>
      <c r="EE256" s="324"/>
      <c r="EF256" s="324"/>
      <c r="EG256" s="324"/>
      <c r="EH256" s="324"/>
      <c r="EI256" s="324"/>
      <c r="EJ256" s="324"/>
      <c r="EK256" s="324"/>
      <c r="EL256" s="324"/>
      <c r="EM256" s="324"/>
      <c r="EN256" s="324"/>
      <c r="EO256" s="324"/>
      <c r="EP256" s="324"/>
      <c r="EQ256" s="324"/>
      <c r="ER256" s="324"/>
      <c r="ES256" s="324"/>
      <c r="ET256" s="324"/>
      <c r="EU256" s="324"/>
      <c r="EV256" s="324"/>
      <c r="EW256" s="324"/>
      <c r="EX256" s="324"/>
      <c r="EY256" s="324"/>
      <c r="EZ256" s="324"/>
      <c r="FA256" s="324"/>
      <c r="FB256" s="324"/>
      <c r="FC256" s="324"/>
      <c r="FD256" s="324"/>
      <c r="FE256" s="324"/>
      <c r="FF256" s="324"/>
      <c r="FG256" s="324"/>
      <c r="FH256" s="324"/>
      <c r="FI256" s="324"/>
      <c r="FJ256" s="324"/>
      <c r="FK256" s="324"/>
      <c r="FL256" s="324"/>
      <c r="FM256" s="324"/>
      <c r="FN256" s="324"/>
      <c r="FO256" s="324"/>
      <c r="FP256" s="324"/>
      <c r="FQ256" s="324"/>
      <c r="FR256" s="324"/>
      <c r="FS256" s="324"/>
      <c r="FT256" s="324"/>
      <c r="FU256" s="324"/>
      <c r="FV256" s="324"/>
      <c r="FW256" s="324"/>
      <c r="FX256" s="324"/>
      <c r="FY256" s="324"/>
      <c r="FZ256" s="324"/>
      <c r="GA256" s="324"/>
      <c r="GB256" s="324"/>
      <c r="GC256" s="324"/>
      <c r="GD256" s="324"/>
      <c r="GE256" s="324"/>
      <c r="GF256" s="324"/>
    </row>
    <row r="257" spans="2:188" s="158" customFormat="1">
      <c r="B257" s="316">
        <v>251</v>
      </c>
      <c r="C257" s="370" t="s">
        <v>233</v>
      </c>
      <c r="D257" s="370" t="s">
        <v>481</v>
      </c>
      <c r="E257" s="422" t="s">
        <v>482</v>
      </c>
      <c r="F257" s="370" t="s">
        <v>392</v>
      </c>
      <c r="G257" s="371">
        <v>1</v>
      </c>
      <c r="H257" s="369">
        <v>100000</v>
      </c>
      <c r="I257" s="317">
        <f t="shared" si="3"/>
        <v>18750</v>
      </c>
      <c r="J257" s="355"/>
      <c r="K257" s="324"/>
      <c r="L257" s="324"/>
      <c r="M257" s="324"/>
      <c r="N257" s="324"/>
      <c r="O257" s="324"/>
      <c r="P257" s="324"/>
      <c r="Q257" s="324"/>
      <c r="R257" s="324"/>
      <c r="S257" s="324"/>
      <c r="T257" s="324"/>
      <c r="U257" s="324"/>
      <c r="V257" s="324"/>
      <c r="W257" s="324"/>
      <c r="X257" s="324"/>
      <c r="Y257" s="324"/>
      <c r="Z257" s="324"/>
      <c r="AA257" s="324"/>
      <c r="AB257" s="324"/>
      <c r="AC257" s="324"/>
      <c r="AD257" s="324"/>
      <c r="AE257" s="324"/>
      <c r="AF257" s="324"/>
      <c r="AG257" s="324"/>
      <c r="AH257" s="324"/>
      <c r="AI257" s="324"/>
      <c r="AJ257" s="324"/>
      <c r="AK257" s="324"/>
      <c r="AL257" s="324"/>
      <c r="AM257" s="324"/>
      <c r="AN257" s="324"/>
      <c r="AO257" s="324"/>
      <c r="AP257" s="324"/>
      <c r="AQ257" s="324"/>
      <c r="AR257" s="324"/>
      <c r="AS257" s="324"/>
      <c r="AT257" s="324"/>
      <c r="AU257" s="324"/>
      <c r="AV257" s="324"/>
      <c r="AW257" s="324"/>
      <c r="AX257" s="324"/>
      <c r="AY257" s="324"/>
      <c r="AZ257" s="324"/>
      <c r="BA257" s="324"/>
      <c r="BB257" s="324"/>
      <c r="BC257" s="324"/>
      <c r="BD257" s="324"/>
      <c r="BE257" s="324"/>
      <c r="BF257" s="324"/>
      <c r="BG257" s="324"/>
      <c r="BH257" s="324"/>
      <c r="BI257" s="324"/>
      <c r="BJ257" s="324"/>
      <c r="BK257" s="324"/>
      <c r="BL257" s="324"/>
      <c r="BM257" s="324"/>
      <c r="BN257" s="324"/>
      <c r="BO257" s="324"/>
      <c r="BP257" s="324"/>
      <c r="BQ257" s="324"/>
      <c r="BR257" s="324"/>
      <c r="BS257" s="324"/>
      <c r="BT257" s="324"/>
      <c r="BU257" s="324"/>
      <c r="BV257" s="324"/>
      <c r="BW257" s="324"/>
      <c r="BX257" s="324"/>
      <c r="BY257" s="324"/>
      <c r="BZ257" s="324"/>
      <c r="CA257" s="324"/>
      <c r="CB257" s="324"/>
      <c r="CC257" s="324"/>
      <c r="CD257" s="324"/>
      <c r="CE257" s="324"/>
      <c r="CF257" s="324"/>
      <c r="CG257" s="324"/>
      <c r="CH257" s="324"/>
      <c r="CI257" s="324"/>
      <c r="CJ257" s="324"/>
      <c r="CK257" s="324"/>
      <c r="CL257" s="324"/>
      <c r="CM257" s="324"/>
      <c r="CN257" s="324"/>
      <c r="CO257" s="324"/>
      <c r="CP257" s="324"/>
      <c r="CQ257" s="324"/>
      <c r="CR257" s="324"/>
      <c r="CS257" s="324"/>
      <c r="CT257" s="324"/>
      <c r="CU257" s="324"/>
      <c r="CV257" s="324"/>
      <c r="CW257" s="324"/>
      <c r="CX257" s="324"/>
      <c r="CY257" s="324"/>
      <c r="CZ257" s="324"/>
      <c r="DA257" s="324"/>
      <c r="DB257" s="324"/>
      <c r="DC257" s="324"/>
      <c r="DD257" s="324"/>
      <c r="DE257" s="324"/>
      <c r="DF257" s="324"/>
      <c r="DG257" s="324"/>
      <c r="DH257" s="324"/>
      <c r="DI257" s="324"/>
      <c r="DJ257" s="324"/>
      <c r="DK257" s="324"/>
      <c r="DL257" s="324"/>
      <c r="DM257" s="324"/>
      <c r="DN257" s="324"/>
      <c r="DO257" s="324"/>
      <c r="DP257" s="324"/>
      <c r="DQ257" s="324"/>
      <c r="DR257" s="324"/>
      <c r="DS257" s="324"/>
      <c r="DT257" s="324"/>
      <c r="DU257" s="324"/>
      <c r="DV257" s="324"/>
      <c r="DW257" s="324"/>
      <c r="DX257" s="324"/>
      <c r="DY257" s="324"/>
      <c r="DZ257" s="324"/>
      <c r="EA257" s="324"/>
      <c r="EB257" s="324"/>
      <c r="EC257" s="324"/>
      <c r="ED257" s="324"/>
      <c r="EE257" s="324"/>
      <c r="EF257" s="324"/>
      <c r="EG257" s="324"/>
      <c r="EH257" s="324"/>
      <c r="EI257" s="324"/>
      <c r="EJ257" s="324"/>
      <c r="EK257" s="324"/>
      <c r="EL257" s="324"/>
      <c r="EM257" s="324"/>
      <c r="EN257" s="324"/>
      <c r="EO257" s="324"/>
      <c r="EP257" s="324"/>
      <c r="EQ257" s="324"/>
      <c r="ER257" s="324"/>
      <c r="ES257" s="324"/>
      <c r="ET257" s="324"/>
      <c r="EU257" s="324"/>
      <c r="EV257" s="324"/>
      <c r="EW257" s="324"/>
      <c r="EX257" s="324"/>
      <c r="EY257" s="324"/>
      <c r="EZ257" s="324"/>
      <c r="FA257" s="324"/>
      <c r="FB257" s="324"/>
      <c r="FC257" s="324"/>
      <c r="FD257" s="324"/>
      <c r="FE257" s="324"/>
      <c r="FF257" s="324"/>
      <c r="FG257" s="324"/>
      <c r="FH257" s="324"/>
      <c r="FI257" s="324"/>
      <c r="FJ257" s="324"/>
      <c r="FK257" s="324"/>
      <c r="FL257" s="324"/>
      <c r="FM257" s="324"/>
      <c r="FN257" s="324"/>
      <c r="FO257" s="324"/>
      <c r="FP257" s="324"/>
      <c r="FQ257" s="324"/>
      <c r="FR257" s="324"/>
      <c r="FS257" s="324"/>
      <c r="FT257" s="324"/>
      <c r="FU257" s="324"/>
      <c r="FV257" s="324"/>
      <c r="FW257" s="324"/>
      <c r="FX257" s="324"/>
      <c r="FY257" s="324"/>
      <c r="FZ257" s="324"/>
      <c r="GA257" s="324"/>
      <c r="GB257" s="324"/>
      <c r="GC257" s="324"/>
      <c r="GD257" s="324"/>
      <c r="GE257" s="324"/>
      <c r="GF257" s="324"/>
    </row>
    <row r="258" spans="2:188" s="158" customFormat="1">
      <c r="B258" s="316">
        <v>252</v>
      </c>
      <c r="C258" s="370" t="s">
        <v>324</v>
      </c>
      <c r="D258" s="370" t="s">
        <v>432</v>
      </c>
      <c r="E258" s="422" t="s">
        <v>419</v>
      </c>
      <c r="F258" s="370" t="s">
        <v>392</v>
      </c>
      <c r="G258" s="371">
        <v>2</v>
      </c>
      <c r="H258" s="369">
        <v>200000</v>
      </c>
      <c r="I258" s="317">
        <f t="shared" si="3"/>
        <v>37500</v>
      </c>
      <c r="J258" s="355"/>
      <c r="K258" s="324"/>
      <c r="L258" s="324"/>
      <c r="M258" s="324"/>
      <c r="N258" s="324"/>
      <c r="O258" s="324"/>
      <c r="P258" s="324"/>
      <c r="Q258" s="324"/>
      <c r="R258" s="324"/>
      <c r="S258" s="324"/>
      <c r="T258" s="324"/>
      <c r="U258" s="324"/>
      <c r="V258" s="324"/>
      <c r="W258" s="324"/>
      <c r="X258" s="324"/>
      <c r="Y258" s="324"/>
      <c r="Z258" s="324"/>
      <c r="AA258" s="324"/>
      <c r="AB258" s="324"/>
      <c r="AC258" s="324"/>
      <c r="AD258" s="324"/>
      <c r="AE258" s="324"/>
      <c r="AF258" s="324"/>
      <c r="AG258" s="324"/>
      <c r="AH258" s="324"/>
      <c r="AI258" s="324"/>
      <c r="AJ258" s="324"/>
      <c r="AK258" s="324"/>
      <c r="AL258" s="324"/>
      <c r="AM258" s="324"/>
      <c r="AN258" s="324"/>
      <c r="AO258" s="324"/>
      <c r="AP258" s="324"/>
      <c r="AQ258" s="324"/>
      <c r="AR258" s="324"/>
      <c r="AS258" s="324"/>
      <c r="AT258" s="324"/>
      <c r="AU258" s="324"/>
      <c r="AV258" s="324"/>
      <c r="AW258" s="324"/>
      <c r="AX258" s="324"/>
      <c r="AY258" s="324"/>
      <c r="AZ258" s="324"/>
      <c r="BA258" s="324"/>
      <c r="BB258" s="324"/>
      <c r="BC258" s="324"/>
      <c r="BD258" s="324"/>
      <c r="BE258" s="324"/>
      <c r="BF258" s="324"/>
      <c r="BG258" s="324"/>
      <c r="BH258" s="324"/>
      <c r="BI258" s="324"/>
      <c r="BJ258" s="324"/>
      <c r="BK258" s="324"/>
      <c r="BL258" s="324"/>
      <c r="BM258" s="324"/>
      <c r="BN258" s="324"/>
      <c r="BO258" s="324"/>
      <c r="BP258" s="324"/>
      <c r="BQ258" s="324"/>
      <c r="BR258" s="324"/>
      <c r="BS258" s="324"/>
      <c r="BT258" s="324"/>
      <c r="BU258" s="324"/>
      <c r="BV258" s="324"/>
      <c r="BW258" s="324"/>
      <c r="BX258" s="324"/>
      <c r="BY258" s="324"/>
      <c r="BZ258" s="324"/>
      <c r="CA258" s="324"/>
      <c r="CB258" s="324"/>
      <c r="CC258" s="324"/>
      <c r="CD258" s="324"/>
      <c r="CE258" s="324"/>
      <c r="CF258" s="324"/>
      <c r="CG258" s="324"/>
      <c r="CH258" s="324"/>
      <c r="CI258" s="324"/>
      <c r="CJ258" s="324"/>
      <c r="CK258" s="324"/>
      <c r="CL258" s="324"/>
      <c r="CM258" s="324"/>
      <c r="CN258" s="324"/>
      <c r="CO258" s="324"/>
      <c r="CP258" s="324"/>
      <c r="CQ258" s="324"/>
      <c r="CR258" s="324"/>
      <c r="CS258" s="324"/>
      <c r="CT258" s="324"/>
      <c r="CU258" s="324"/>
      <c r="CV258" s="324"/>
      <c r="CW258" s="324"/>
      <c r="CX258" s="324"/>
      <c r="CY258" s="324"/>
      <c r="CZ258" s="324"/>
      <c r="DA258" s="324"/>
      <c r="DB258" s="324"/>
      <c r="DC258" s="324"/>
      <c r="DD258" s="324"/>
      <c r="DE258" s="324"/>
      <c r="DF258" s="324"/>
      <c r="DG258" s="324"/>
      <c r="DH258" s="324"/>
      <c r="DI258" s="324"/>
      <c r="DJ258" s="324"/>
      <c r="DK258" s="324"/>
      <c r="DL258" s="324"/>
      <c r="DM258" s="324"/>
      <c r="DN258" s="324"/>
      <c r="DO258" s="324"/>
      <c r="DP258" s="324"/>
      <c r="DQ258" s="324"/>
      <c r="DR258" s="324"/>
      <c r="DS258" s="324"/>
      <c r="DT258" s="324"/>
      <c r="DU258" s="324"/>
      <c r="DV258" s="324"/>
      <c r="DW258" s="324"/>
      <c r="DX258" s="324"/>
      <c r="DY258" s="324"/>
      <c r="DZ258" s="324"/>
      <c r="EA258" s="324"/>
      <c r="EB258" s="324"/>
      <c r="EC258" s="324"/>
      <c r="ED258" s="324"/>
      <c r="EE258" s="324"/>
      <c r="EF258" s="324"/>
      <c r="EG258" s="324"/>
      <c r="EH258" s="324"/>
      <c r="EI258" s="324"/>
      <c r="EJ258" s="324"/>
      <c r="EK258" s="324"/>
      <c r="EL258" s="324"/>
      <c r="EM258" s="324"/>
      <c r="EN258" s="324"/>
      <c r="EO258" s="324"/>
      <c r="EP258" s="324"/>
      <c r="EQ258" s="324"/>
      <c r="ER258" s="324"/>
      <c r="ES258" s="324"/>
      <c r="ET258" s="324"/>
      <c r="EU258" s="324"/>
      <c r="EV258" s="324"/>
      <c r="EW258" s="324"/>
      <c r="EX258" s="324"/>
      <c r="EY258" s="324"/>
      <c r="EZ258" s="324"/>
      <c r="FA258" s="324"/>
      <c r="FB258" s="324"/>
      <c r="FC258" s="324"/>
      <c r="FD258" s="324"/>
      <c r="FE258" s="324"/>
      <c r="FF258" s="324"/>
      <c r="FG258" s="324"/>
      <c r="FH258" s="324"/>
      <c r="FI258" s="324"/>
      <c r="FJ258" s="324"/>
      <c r="FK258" s="324"/>
      <c r="FL258" s="324"/>
      <c r="FM258" s="324"/>
      <c r="FN258" s="324"/>
      <c r="FO258" s="324"/>
      <c r="FP258" s="324"/>
      <c r="FQ258" s="324"/>
      <c r="FR258" s="324"/>
      <c r="FS258" s="324"/>
      <c r="FT258" s="324"/>
      <c r="FU258" s="324"/>
      <c r="FV258" s="324"/>
      <c r="FW258" s="324"/>
      <c r="FX258" s="324"/>
      <c r="FY258" s="324"/>
      <c r="FZ258" s="324"/>
      <c r="GA258" s="324"/>
      <c r="GB258" s="324"/>
      <c r="GC258" s="324"/>
      <c r="GD258" s="324"/>
      <c r="GE258" s="324"/>
      <c r="GF258" s="324"/>
    </row>
    <row r="259" spans="2:188" s="158" customFormat="1">
      <c r="B259" s="316">
        <v>253</v>
      </c>
      <c r="C259" s="370" t="s">
        <v>230</v>
      </c>
      <c r="D259" s="370" t="s">
        <v>471</v>
      </c>
      <c r="E259" s="422" t="s">
        <v>152</v>
      </c>
      <c r="F259" s="370" t="s">
        <v>395</v>
      </c>
      <c r="G259" s="371">
        <v>3</v>
      </c>
      <c r="H259" s="369">
        <v>300000</v>
      </c>
      <c r="I259" s="317">
        <f t="shared" si="3"/>
        <v>56250</v>
      </c>
      <c r="J259" s="355"/>
      <c r="K259" s="324"/>
      <c r="L259" s="324"/>
      <c r="M259" s="324"/>
      <c r="N259" s="324"/>
      <c r="O259" s="324"/>
      <c r="P259" s="324"/>
      <c r="Q259" s="324"/>
      <c r="R259" s="324"/>
      <c r="S259" s="324"/>
      <c r="T259" s="324"/>
      <c r="U259" s="324"/>
      <c r="V259" s="324"/>
      <c r="W259" s="324"/>
      <c r="X259" s="324"/>
      <c r="Y259" s="324"/>
      <c r="Z259" s="324"/>
      <c r="AA259" s="324"/>
      <c r="AB259" s="324"/>
      <c r="AC259" s="324"/>
      <c r="AD259" s="324"/>
      <c r="AE259" s="324"/>
      <c r="AF259" s="324"/>
      <c r="AG259" s="324"/>
      <c r="AH259" s="324"/>
      <c r="AI259" s="324"/>
      <c r="AJ259" s="324"/>
      <c r="AK259" s="324"/>
      <c r="AL259" s="324"/>
      <c r="AM259" s="324"/>
      <c r="AN259" s="324"/>
      <c r="AO259" s="324"/>
      <c r="AP259" s="324"/>
      <c r="AQ259" s="324"/>
      <c r="AR259" s="324"/>
      <c r="AS259" s="324"/>
      <c r="AT259" s="324"/>
      <c r="AU259" s="324"/>
      <c r="AV259" s="324"/>
      <c r="AW259" s="324"/>
      <c r="AX259" s="324"/>
      <c r="AY259" s="324"/>
      <c r="AZ259" s="324"/>
      <c r="BA259" s="324"/>
      <c r="BB259" s="324"/>
      <c r="BC259" s="324"/>
      <c r="BD259" s="324"/>
      <c r="BE259" s="324"/>
      <c r="BF259" s="324"/>
      <c r="BG259" s="324"/>
      <c r="BH259" s="324"/>
      <c r="BI259" s="324"/>
      <c r="BJ259" s="324"/>
      <c r="BK259" s="324"/>
      <c r="BL259" s="324"/>
      <c r="BM259" s="324"/>
      <c r="BN259" s="324"/>
      <c r="BO259" s="324"/>
      <c r="BP259" s="324"/>
      <c r="BQ259" s="324"/>
      <c r="BR259" s="324"/>
      <c r="BS259" s="324"/>
      <c r="BT259" s="324"/>
      <c r="BU259" s="324"/>
      <c r="BV259" s="324"/>
      <c r="BW259" s="324"/>
      <c r="BX259" s="324"/>
      <c r="BY259" s="324"/>
      <c r="BZ259" s="324"/>
      <c r="CA259" s="324"/>
      <c r="CB259" s="324"/>
      <c r="CC259" s="324"/>
      <c r="CD259" s="324"/>
      <c r="CE259" s="324"/>
      <c r="CF259" s="324"/>
      <c r="CG259" s="324"/>
      <c r="CH259" s="324"/>
      <c r="CI259" s="324"/>
      <c r="CJ259" s="324"/>
      <c r="CK259" s="324"/>
      <c r="CL259" s="324"/>
      <c r="CM259" s="324"/>
      <c r="CN259" s="324"/>
      <c r="CO259" s="324"/>
      <c r="CP259" s="324"/>
      <c r="CQ259" s="324"/>
      <c r="CR259" s="324"/>
      <c r="CS259" s="324"/>
      <c r="CT259" s="324"/>
      <c r="CU259" s="324"/>
      <c r="CV259" s="324"/>
      <c r="CW259" s="324"/>
      <c r="CX259" s="324"/>
      <c r="CY259" s="324"/>
      <c r="CZ259" s="324"/>
      <c r="DA259" s="324"/>
      <c r="DB259" s="324"/>
      <c r="DC259" s="324"/>
      <c r="DD259" s="324"/>
      <c r="DE259" s="324"/>
      <c r="DF259" s="324"/>
      <c r="DG259" s="324"/>
      <c r="DH259" s="324"/>
      <c r="DI259" s="324"/>
      <c r="DJ259" s="324"/>
      <c r="DK259" s="324"/>
      <c r="DL259" s="324"/>
      <c r="DM259" s="324"/>
      <c r="DN259" s="324"/>
      <c r="DO259" s="324"/>
      <c r="DP259" s="324"/>
      <c r="DQ259" s="324"/>
      <c r="DR259" s="324"/>
      <c r="DS259" s="324"/>
      <c r="DT259" s="324"/>
      <c r="DU259" s="324"/>
      <c r="DV259" s="324"/>
      <c r="DW259" s="324"/>
      <c r="DX259" s="324"/>
      <c r="DY259" s="324"/>
      <c r="DZ259" s="324"/>
      <c r="EA259" s="324"/>
      <c r="EB259" s="324"/>
      <c r="EC259" s="324"/>
      <c r="ED259" s="324"/>
      <c r="EE259" s="324"/>
      <c r="EF259" s="324"/>
      <c r="EG259" s="324"/>
      <c r="EH259" s="324"/>
      <c r="EI259" s="324"/>
      <c r="EJ259" s="324"/>
      <c r="EK259" s="324"/>
      <c r="EL259" s="324"/>
      <c r="EM259" s="324"/>
      <c r="EN259" s="324"/>
      <c r="EO259" s="324"/>
      <c r="EP259" s="324"/>
      <c r="EQ259" s="324"/>
      <c r="ER259" s="324"/>
      <c r="ES259" s="324"/>
      <c r="ET259" s="324"/>
      <c r="EU259" s="324"/>
      <c r="EV259" s="324"/>
      <c r="EW259" s="324"/>
      <c r="EX259" s="324"/>
      <c r="EY259" s="324"/>
      <c r="EZ259" s="324"/>
      <c r="FA259" s="324"/>
      <c r="FB259" s="324"/>
      <c r="FC259" s="324"/>
      <c r="FD259" s="324"/>
      <c r="FE259" s="324"/>
      <c r="FF259" s="324"/>
      <c r="FG259" s="324"/>
      <c r="FH259" s="324"/>
      <c r="FI259" s="324"/>
      <c r="FJ259" s="324"/>
      <c r="FK259" s="324"/>
      <c r="FL259" s="324"/>
      <c r="FM259" s="324"/>
      <c r="FN259" s="324"/>
      <c r="FO259" s="324"/>
      <c r="FP259" s="324"/>
      <c r="FQ259" s="324"/>
      <c r="FR259" s="324"/>
      <c r="FS259" s="324"/>
      <c r="FT259" s="324"/>
      <c r="FU259" s="324"/>
      <c r="FV259" s="324"/>
      <c r="FW259" s="324"/>
      <c r="FX259" s="324"/>
      <c r="FY259" s="324"/>
      <c r="FZ259" s="324"/>
      <c r="GA259" s="324"/>
      <c r="GB259" s="324"/>
      <c r="GC259" s="324"/>
      <c r="GD259" s="324"/>
      <c r="GE259" s="324"/>
      <c r="GF259" s="324"/>
    </row>
    <row r="260" spans="2:188" s="158" customFormat="1">
      <c r="B260" s="316">
        <v>254</v>
      </c>
      <c r="C260" s="370" t="s">
        <v>200</v>
      </c>
      <c r="D260" s="370" t="s">
        <v>500</v>
      </c>
      <c r="E260" s="422" t="s">
        <v>373</v>
      </c>
      <c r="F260" s="370" t="s">
        <v>431</v>
      </c>
      <c r="G260" s="371">
        <v>1</v>
      </c>
      <c r="H260" s="369">
        <v>400000</v>
      </c>
      <c r="I260" s="317">
        <f t="shared" si="3"/>
        <v>75000</v>
      </c>
      <c r="J260" s="355"/>
      <c r="K260" s="324"/>
      <c r="L260" s="324"/>
      <c r="M260" s="324"/>
      <c r="N260" s="324"/>
      <c r="O260" s="324"/>
      <c r="P260" s="324"/>
      <c r="Q260" s="324"/>
      <c r="R260" s="324"/>
      <c r="S260" s="324"/>
      <c r="T260" s="324"/>
      <c r="U260" s="324"/>
      <c r="V260" s="324"/>
      <c r="W260" s="324"/>
      <c r="X260" s="324"/>
      <c r="Y260" s="324"/>
      <c r="Z260" s="324"/>
      <c r="AA260" s="324"/>
      <c r="AB260" s="324"/>
      <c r="AC260" s="324"/>
      <c r="AD260" s="324"/>
      <c r="AE260" s="324"/>
      <c r="AF260" s="324"/>
      <c r="AG260" s="324"/>
      <c r="AH260" s="324"/>
      <c r="AI260" s="324"/>
      <c r="AJ260" s="324"/>
      <c r="AK260" s="324"/>
      <c r="AL260" s="324"/>
      <c r="AM260" s="324"/>
      <c r="AN260" s="324"/>
      <c r="AO260" s="324"/>
      <c r="AP260" s="324"/>
      <c r="AQ260" s="324"/>
      <c r="AR260" s="324"/>
      <c r="AS260" s="324"/>
      <c r="AT260" s="324"/>
      <c r="AU260" s="324"/>
      <c r="AV260" s="324"/>
      <c r="AW260" s="324"/>
      <c r="AX260" s="324"/>
      <c r="AY260" s="324"/>
      <c r="AZ260" s="324"/>
      <c r="BA260" s="324"/>
      <c r="BB260" s="324"/>
      <c r="BC260" s="324"/>
      <c r="BD260" s="324"/>
      <c r="BE260" s="324"/>
      <c r="BF260" s="324"/>
      <c r="BG260" s="324"/>
      <c r="BH260" s="324"/>
      <c r="BI260" s="324"/>
      <c r="BJ260" s="324"/>
      <c r="BK260" s="324"/>
      <c r="BL260" s="324"/>
      <c r="BM260" s="324"/>
      <c r="BN260" s="324"/>
      <c r="BO260" s="324"/>
      <c r="BP260" s="324"/>
      <c r="BQ260" s="324"/>
      <c r="BR260" s="324"/>
      <c r="BS260" s="324"/>
      <c r="BT260" s="324"/>
      <c r="BU260" s="324"/>
      <c r="BV260" s="324"/>
      <c r="BW260" s="324"/>
      <c r="BX260" s="324"/>
      <c r="BY260" s="324"/>
      <c r="BZ260" s="324"/>
      <c r="CA260" s="324"/>
      <c r="CB260" s="324"/>
      <c r="CC260" s="324"/>
      <c r="CD260" s="324"/>
      <c r="CE260" s="324"/>
      <c r="CF260" s="324"/>
      <c r="CG260" s="324"/>
      <c r="CH260" s="324"/>
      <c r="CI260" s="324"/>
      <c r="CJ260" s="324"/>
      <c r="CK260" s="324"/>
      <c r="CL260" s="324"/>
      <c r="CM260" s="324"/>
      <c r="CN260" s="324"/>
      <c r="CO260" s="324"/>
      <c r="CP260" s="324"/>
      <c r="CQ260" s="324"/>
      <c r="CR260" s="324"/>
      <c r="CS260" s="324"/>
      <c r="CT260" s="324"/>
      <c r="CU260" s="324"/>
      <c r="CV260" s="324"/>
      <c r="CW260" s="324"/>
      <c r="CX260" s="324"/>
      <c r="CY260" s="324"/>
      <c r="CZ260" s="324"/>
      <c r="DA260" s="324"/>
      <c r="DB260" s="324"/>
      <c r="DC260" s="324"/>
      <c r="DD260" s="324"/>
      <c r="DE260" s="324"/>
      <c r="DF260" s="324"/>
      <c r="DG260" s="324"/>
      <c r="DH260" s="324"/>
      <c r="DI260" s="324"/>
      <c r="DJ260" s="324"/>
      <c r="DK260" s="324"/>
      <c r="DL260" s="324"/>
      <c r="DM260" s="324"/>
      <c r="DN260" s="324"/>
      <c r="DO260" s="324"/>
      <c r="DP260" s="324"/>
      <c r="DQ260" s="324"/>
      <c r="DR260" s="324"/>
      <c r="DS260" s="324"/>
      <c r="DT260" s="324"/>
      <c r="DU260" s="324"/>
      <c r="DV260" s="324"/>
      <c r="DW260" s="324"/>
      <c r="DX260" s="324"/>
      <c r="DY260" s="324"/>
      <c r="DZ260" s="324"/>
      <c r="EA260" s="324"/>
      <c r="EB260" s="324"/>
      <c r="EC260" s="324"/>
      <c r="ED260" s="324"/>
      <c r="EE260" s="324"/>
      <c r="EF260" s="324"/>
      <c r="EG260" s="324"/>
      <c r="EH260" s="324"/>
      <c r="EI260" s="324"/>
      <c r="EJ260" s="324"/>
      <c r="EK260" s="324"/>
      <c r="EL260" s="324"/>
      <c r="EM260" s="324"/>
      <c r="EN260" s="324"/>
      <c r="EO260" s="324"/>
      <c r="EP260" s="324"/>
      <c r="EQ260" s="324"/>
      <c r="ER260" s="324"/>
      <c r="ES260" s="324"/>
      <c r="ET260" s="324"/>
      <c r="EU260" s="324"/>
      <c r="EV260" s="324"/>
      <c r="EW260" s="324"/>
      <c r="EX260" s="324"/>
      <c r="EY260" s="324"/>
      <c r="EZ260" s="324"/>
      <c r="FA260" s="324"/>
      <c r="FB260" s="324"/>
      <c r="FC260" s="324"/>
      <c r="FD260" s="324"/>
      <c r="FE260" s="324"/>
      <c r="FF260" s="324"/>
      <c r="FG260" s="324"/>
      <c r="FH260" s="324"/>
      <c r="FI260" s="324"/>
      <c r="FJ260" s="324"/>
      <c r="FK260" s="324"/>
      <c r="FL260" s="324"/>
      <c r="FM260" s="324"/>
      <c r="FN260" s="324"/>
      <c r="FO260" s="324"/>
      <c r="FP260" s="324"/>
      <c r="FQ260" s="324"/>
      <c r="FR260" s="324"/>
      <c r="FS260" s="324"/>
      <c r="FT260" s="324"/>
      <c r="FU260" s="324"/>
      <c r="FV260" s="324"/>
      <c r="FW260" s="324"/>
      <c r="FX260" s="324"/>
      <c r="FY260" s="324"/>
      <c r="FZ260" s="324"/>
      <c r="GA260" s="324"/>
      <c r="GB260" s="324"/>
      <c r="GC260" s="324"/>
      <c r="GD260" s="324"/>
      <c r="GE260" s="324"/>
      <c r="GF260" s="324"/>
    </row>
    <row r="261" spans="2:188" s="158" customFormat="1">
      <c r="B261" s="316">
        <v>255</v>
      </c>
      <c r="C261" s="370" t="s">
        <v>209</v>
      </c>
      <c r="D261" s="370" t="s">
        <v>541</v>
      </c>
      <c r="E261" s="422" t="s">
        <v>542</v>
      </c>
      <c r="F261" s="370" t="s">
        <v>485</v>
      </c>
      <c r="G261" s="371">
        <v>1</v>
      </c>
      <c r="H261" s="369">
        <v>500000</v>
      </c>
      <c r="I261" s="317">
        <f t="shared" si="3"/>
        <v>93750</v>
      </c>
      <c r="J261" s="355"/>
      <c r="K261" s="324"/>
      <c r="L261" s="324"/>
      <c r="M261" s="324"/>
      <c r="N261" s="324"/>
      <c r="O261" s="324"/>
      <c r="P261" s="324"/>
      <c r="Q261" s="324"/>
      <c r="R261" s="324"/>
      <c r="S261" s="324"/>
      <c r="T261" s="324"/>
      <c r="U261" s="324"/>
      <c r="V261" s="324"/>
      <c r="W261" s="324"/>
      <c r="X261" s="324"/>
      <c r="Y261" s="324"/>
      <c r="Z261" s="324"/>
      <c r="AA261" s="324"/>
      <c r="AB261" s="324"/>
      <c r="AC261" s="324"/>
      <c r="AD261" s="324"/>
      <c r="AE261" s="324"/>
      <c r="AF261" s="324"/>
      <c r="AG261" s="324"/>
      <c r="AH261" s="324"/>
      <c r="AI261" s="324"/>
      <c r="AJ261" s="324"/>
      <c r="AK261" s="324"/>
      <c r="AL261" s="324"/>
      <c r="AM261" s="324"/>
      <c r="AN261" s="324"/>
      <c r="AO261" s="324"/>
      <c r="AP261" s="324"/>
      <c r="AQ261" s="324"/>
      <c r="AR261" s="324"/>
      <c r="AS261" s="324"/>
      <c r="AT261" s="324"/>
      <c r="AU261" s="324"/>
      <c r="AV261" s="324"/>
      <c r="AW261" s="324"/>
      <c r="AX261" s="324"/>
      <c r="AY261" s="324"/>
      <c r="AZ261" s="324"/>
      <c r="BA261" s="324"/>
      <c r="BB261" s="324"/>
      <c r="BC261" s="324"/>
      <c r="BD261" s="324"/>
      <c r="BE261" s="324"/>
      <c r="BF261" s="324"/>
      <c r="BG261" s="324"/>
      <c r="BH261" s="324"/>
      <c r="BI261" s="324"/>
      <c r="BJ261" s="324"/>
      <c r="BK261" s="324"/>
      <c r="BL261" s="324"/>
      <c r="BM261" s="324"/>
      <c r="BN261" s="324"/>
      <c r="BO261" s="324"/>
      <c r="BP261" s="324"/>
      <c r="BQ261" s="324"/>
      <c r="BR261" s="324"/>
      <c r="BS261" s="324"/>
      <c r="BT261" s="324"/>
      <c r="BU261" s="324"/>
      <c r="BV261" s="324"/>
      <c r="BW261" s="324"/>
      <c r="BX261" s="324"/>
      <c r="BY261" s="324"/>
      <c r="BZ261" s="324"/>
      <c r="CA261" s="324"/>
      <c r="CB261" s="324"/>
      <c r="CC261" s="324"/>
      <c r="CD261" s="324"/>
      <c r="CE261" s="324"/>
      <c r="CF261" s="324"/>
      <c r="CG261" s="324"/>
      <c r="CH261" s="324"/>
      <c r="CI261" s="324"/>
      <c r="CJ261" s="324"/>
      <c r="CK261" s="324"/>
      <c r="CL261" s="324"/>
      <c r="CM261" s="324"/>
      <c r="CN261" s="324"/>
      <c r="CO261" s="324"/>
      <c r="CP261" s="324"/>
      <c r="CQ261" s="324"/>
      <c r="CR261" s="324"/>
      <c r="CS261" s="324"/>
      <c r="CT261" s="324"/>
      <c r="CU261" s="324"/>
      <c r="CV261" s="324"/>
      <c r="CW261" s="324"/>
      <c r="CX261" s="324"/>
      <c r="CY261" s="324"/>
      <c r="CZ261" s="324"/>
      <c r="DA261" s="324"/>
      <c r="DB261" s="324"/>
      <c r="DC261" s="324"/>
      <c r="DD261" s="324"/>
      <c r="DE261" s="324"/>
      <c r="DF261" s="324"/>
      <c r="DG261" s="324"/>
      <c r="DH261" s="324"/>
      <c r="DI261" s="324"/>
      <c r="DJ261" s="324"/>
      <c r="DK261" s="324"/>
      <c r="DL261" s="324"/>
      <c r="DM261" s="324"/>
      <c r="DN261" s="324"/>
      <c r="DO261" s="324"/>
      <c r="DP261" s="324"/>
      <c r="DQ261" s="324"/>
      <c r="DR261" s="324"/>
      <c r="DS261" s="324"/>
      <c r="DT261" s="324"/>
      <c r="DU261" s="324"/>
      <c r="DV261" s="324"/>
      <c r="DW261" s="324"/>
      <c r="DX261" s="324"/>
      <c r="DY261" s="324"/>
      <c r="DZ261" s="324"/>
      <c r="EA261" s="324"/>
      <c r="EB261" s="324"/>
      <c r="EC261" s="324"/>
      <c r="ED261" s="324"/>
      <c r="EE261" s="324"/>
      <c r="EF261" s="324"/>
      <c r="EG261" s="324"/>
      <c r="EH261" s="324"/>
      <c r="EI261" s="324"/>
      <c r="EJ261" s="324"/>
      <c r="EK261" s="324"/>
      <c r="EL261" s="324"/>
      <c r="EM261" s="324"/>
      <c r="EN261" s="324"/>
      <c r="EO261" s="324"/>
      <c r="EP261" s="324"/>
      <c r="EQ261" s="324"/>
      <c r="ER261" s="324"/>
      <c r="ES261" s="324"/>
      <c r="ET261" s="324"/>
      <c r="EU261" s="324"/>
      <c r="EV261" s="324"/>
      <c r="EW261" s="324"/>
      <c r="EX261" s="324"/>
      <c r="EY261" s="324"/>
      <c r="EZ261" s="324"/>
      <c r="FA261" s="324"/>
      <c r="FB261" s="324"/>
      <c r="FC261" s="324"/>
      <c r="FD261" s="324"/>
      <c r="FE261" s="324"/>
      <c r="FF261" s="324"/>
      <c r="FG261" s="324"/>
      <c r="FH261" s="324"/>
      <c r="FI261" s="324"/>
      <c r="FJ261" s="324"/>
      <c r="FK261" s="324"/>
      <c r="FL261" s="324"/>
      <c r="FM261" s="324"/>
      <c r="FN261" s="324"/>
      <c r="FO261" s="324"/>
      <c r="FP261" s="324"/>
      <c r="FQ261" s="324"/>
      <c r="FR261" s="324"/>
      <c r="FS261" s="324"/>
      <c r="FT261" s="324"/>
      <c r="FU261" s="324"/>
      <c r="FV261" s="324"/>
      <c r="FW261" s="324"/>
      <c r="FX261" s="324"/>
      <c r="FY261" s="324"/>
      <c r="FZ261" s="324"/>
      <c r="GA261" s="324"/>
      <c r="GB261" s="324"/>
      <c r="GC261" s="324"/>
      <c r="GD261" s="324"/>
      <c r="GE261" s="324"/>
      <c r="GF261" s="324"/>
    </row>
    <row r="262" spans="2:188" s="158" customFormat="1" ht="14.25" customHeight="1">
      <c r="B262" s="316">
        <v>256</v>
      </c>
      <c r="C262" s="370" t="s">
        <v>215</v>
      </c>
      <c r="D262" s="370" t="s">
        <v>420</v>
      </c>
      <c r="E262" s="422" t="s">
        <v>352</v>
      </c>
      <c r="F262" s="370" t="s">
        <v>394</v>
      </c>
      <c r="G262" s="371">
        <v>1</v>
      </c>
      <c r="H262" s="369">
        <v>100000</v>
      </c>
      <c r="I262" s="317">
        <f t="shared" si="3"/>
        <v>18750</v>
      </c>
      <c r="J262" s="355"/>
      <c r="K262" s="324"/>
      <c r="L262" s="324"/>
      <c r="M262" s="324"/>
      <c r="N262" s="324"/>
      <c r="O262" s="324"/>
      <c r="P262" s="324"/>
      <c r="Q262" s="324"/>
      <c r="R262" s="324"/>
      <c r="S262" s="324"/>
      <c r="T262" s="324"/>
      <c r="U262" s="324"/>
      <c r="V262" s="324"/>
      <c r="W262" s="324"/>
      <c r="X262" s="324"/>
      <c r="Y262" s="324"/>
      <c r="Z262" s="324"/>
      <c r="AA262" s="324"/>
      <c r="AB262" s="324"/>
      <c r="AC262" s="324"/>
      <c r="AD262" s="324"/>
      <c r="AE262" s="324"/>
      <c r="AF262" s="324"/>
      <c r="AG262" s="324"/>
      <c r="AH262" s="324"/>
      <c r="AI262" s="324"/>
      <c r="AJ262" s="324"/>
      <c r="AK262" s="324"/>
      <c r="AL262" s="324"/>
      <c r="AM262" s="324"/>
      <c r="AN262" s="324"/>
      <c r="AO262" s="324"/>
      <c r="AP262" s="324"/>
      <c r="AQ262" s="324"/>
      <c r="AR262" s="324"/>
      <c r="AS262" s="324"/>
      <c r="AT262" s="324"/>
      <c r="AU262" s="324"/>
      <c r="AV262" s="324"/>
      <c r="AW262" s="324"/>
      <c r="AX262" s="324"/>
      <c r="AY262" s="324"/>
      <c r="AZ262" s="324"/>
      <c r="BA262" s="324"/>
      <c r="BB262" s="324"/>
      <c r="BC262" s="324"/>
      <c r="BD262" s="324"/>
      <c r="BE262" s="324"/>
      <c r="BF262" s="324"/>
      <c r="BG262" s="324"/>
      <c r="BH262" s="324"/>
      <c r="BI262" s="324"/>
      <c r="BJ262" s="324"/>
      <c r="BK262" s="324"/>
      <c r="BL262" s="324"/>
      <c r="BM262" s="324"/>
      <c r="BN262" s="324"/>
      <c r="BO262" s="324"/>
      <c r="BP262" s="324"/>
      <c r="BQ262" s="324"/>
      <c r="BR262" s="324"/>
      <c r="BS262" s="324"/>
      <c r="BT262" s="324"/>
      <c r="BU262" s="324"/>
      <c r="BV262" s="324"/>
      <c r="BW262" s="324"/>
      <c r="BX262" s="324"/>
      <c r="BY262" s="324"/>
      <c r="BZ262" s="324"/>
      <c r="CA262" s="324"/>
      <c r="CB262" s="324"/>
      <c r="CC262" s="324"/>
      <c r="CD262" s="324"/>
      <c r="CE262" s="324"/>
      <c r="CF262" s="324"/>
      <c r="CG262" s="324"/>
      <c r="CH262" s="324"/>
      <c r="CI262" s="324"/>
      <c r="CJ262" s="324"/>
      <c r="CK262" s="324"/>
      <c r="CL262" s="324"/>
      <c r="CM262" s="324"/>
      <c r="CN262" s="324"/>
      <c r="CO262" s="324"/>
      <c r="CP262" s="324"/>
      <c r="CQ262" s="324"/>
      <c r="CR262" s="324"/>
      <c r="CS262" s="324"/>
      <c r="CT262" s="324"/>
      <c r="CU262" s="324"/>
      <c r="CV262" s="324"/>
      <c r="CW262" s="324"/>
      <c r="CX262" s="324"/>
      <c r="CY262" s="324"/>
      <c r="CZ262" s="324"/>
      <c r="DA262" s="324"/>
      <c r="DB262" s="324"/>
      <c r="DC262" s="324"/>
      <c r="DD262" s="324"/>
      <c r="DE262" s="324"/>
      <c r="DF262" s="324"/>
      <c r="DG262" s="324"/>
      <c r="DH262" s="324"/>
      <c r="DI262" s="324"/>
      <c r="DJ262" s="324"/>
      <c r="DK262" s="324"/>
      <c r="DL262" s="324"/>
      <c r="DM262" s="324"/>
      <c r="DN262" s="324"/>
      <c r="DO262" s="324"/>
      <c r="DP262" s="324"/>
      <c r="DQ262" s="324"/>
      <c r="DR262" s="324"/>
      <c r="DS262" s="324"/>
      <c r="DT262" s="324"/>
      <c r="DU262" s="324"/>
      <c r="DV262" s="324"/>
      <c r="DW262" s="324"/>
      <c r="DX262" s="324"/>
      <c r="DY262" s="324"/>
      <c r="DZ262" s="324"/>
      <c r="EA262" s="324"/>
      <c r="EB262" s="324"/>
      <c r="EC262" s="324"/>
      <c r="ED262" s="324"/>
      <c r="EE262" s="324"/>
      <c r="EF262" s="324"/>
      <c r="EG262" s="324"/>
      <c r="EH262" s="324"/>
      <c r="EI262" s="324"/>
      <c r="EJ262" s="324"/>
      <c r="EK262" s="324"/>
      <c r="EL262" s="324"/>
      <c r="EM262" s="324"/>
      <c r="EN262" s="324"/>
      <c r="EO262" s="324"/>
      <c r="EP262" s="324"/>
      <c r="EQ262" s="324"/>
      <c r="ER262" s="324"/>
      <c r="ES262" s="324"/>
      <c r="ET262" s="324"/>
      <c r="EU262" s="324"/>
      <c r="EV262" s="324"/>
      <c r="EW262" s="324"/>
      <c r="EX262" s="324"/>
      <c r="EY262" s="324"/>
      <c r="EZ262" s="324"/>
      <c r="FA262" s="324"/>
      <c r="FB262" s="324"/>
      <c r="FC262" s="324"/>
      <c r="FD262" s="324"/>
      <c r="FE262" s="324"/>
      <c r="FF262" s="324"/>
      <c r="FG262" s="324"/>
      <c r="FH262" s="324"/>
      <c r="FI262" s="324"/>
      <c r="FJ262" s="324"/>
      <c r="FK262" s="324"/>
      <c r="FL262" s="324"/>
      <c r="FM262" s="324"/>
      <c r="FN262" s="324"/>
      <c r="FO262" s="324"/>
      <c r="FP262" s="324"/>
      <c r="FQ262" s="324"/>
      <c r="FR262" s="324"/>
      <c r="FS262" s="324"/>
      <c r="FT262" s="324"/>
      <c r="FU262" s="324"/>
      <c r="FV262" s="324"/>
      <c r="FW262" s="324"/>
      <c r="FX262" s="324"/>
      <c r="FY262" s="324"/>
      <c r="FZ262" s="324"/>
      <c r="GA262" s="324"/>
      <c r="GB262" s="324"/>
      <c r="GC262" s="324"/>
      <c r="GD262" s="324"/>
      <c r="GE262" s="324"/>
      <c r="GF262" s="324"/>
    </row>
    <row r="263" spans="2:188" s="158" customFormat="1">
      <c r="B263" s="316">
        <v>257</v>
      </c>
      <c r="C263" s="370" t="s">
        <v>209</v>
      </c>
      <c r="D263" s="370" t="s">
        <v>433</v>
      </c>
      <c r="E263" s="422" t="s">
        <v>367</v>
      </c>
      <c r="F263" s="370" t="s">
        <v>394</v>
      </c>
      <c r="G263" s="371">
        <v>4</v>
      </c>
      <c r="H263" s="369">
        <v>400000</v>
      </c>
      <c r="I263" s="317">
        <f t="shared" si="3"/>
        <v>75000</v>
      </c>
      <c r="J263" s="355"/>
      <c r="K263" s="324"/>
      <c r="L263" s="324"/>
      <c r="M263" s="324"/>
      <c r="N263" s="324"/>
      <c r="O263" s="324"/>
      <c r="P263" s="324"/>
      <c r="Q263" s="324"/>
      <c r="R263" s="324"/>
      <c r="S263" s="324"/>
      <c r="T263" s="324"/>
      <c r="U263" s="324"/>
      <c r="V263" s="324"/>
      <c r="W263" s="324"/>
      <c r="X263" s="324"/>
      <c r="Y263" s="324"/>
      <c r="Z263" s="324"/>
      <c r="AA263" s="324"/>
      <c r="AB263" s="324"/>
      <c r="AC263" s="324"/>
      <c r="AD263" s="324"/>
      <c r="AE263" s="324"/>
      <c r="AF263" s="324"/>
      <c r="AG263" s="324"/>
      <c r="AH263" s="324"/>
      <c r="AI263" s="324"/>
      <c r="AJ263" s="324"/>
      <c r="AK263" s="324"/>
      <c r="AL263" s="324"/>
      <c r="AM263" s="324"/>
      <c r="AN263" s="324"/>
      <c r="AO263" s="324"/>
      <c r="AP263" s="324"/>
      <c r="AQ263" s="324"/>
      <c r="AR263" s="324"/>
      <c r="AS263" s="324"/>
      <c r="AT263" s="324"/>
      <c r="AU263" s="324"/>
      <c r="AV263" s="324"/>
      <c r="AW263" s="324"/>
      <c r="AX263" s="324"/>
      <c r="AY263" s="324"/>
      <c r="AZ263" s="324"/>
      <c r="BA263" s="324"/>
      <c r="BB263" s="324"/>
      <c r="BC263" s="324"/>
      <c r="BD263" s="324"/>
      <c r="BE263" s="324"/>
      <c r="BF263" s="324"/>
      <c r="BG263" s="324"/>
      <c r="BH263" s="324"/>
      <c r="BI263" s="324"/>
      <c r="BJ263" s="324"/>
      <c r="BK263" s="324"/>
      <c r="BL263" s="324"/>
      <c r="BM263" s="324"/>
      <c r="BN263" s="324"/>
      <c r="BO263" s="324"/>
      <c r="BP263" s="324"/>
      <c r="BQ263" s="324"/>
      <c r="BR263" s="324"/>
      <c r="BS263" s="324"/>
      <c r="BT263" s="324"/>
      <c r="BU263" s="324"/>
      <c r="BV263" s="324"/>
      <c r="BW263" s="324"/>
      <c r="BX263" s="324"/>
      <c r="BY263" s="324"/>
      <c r="BZ263" s="324"/>
      <c r="CA263" s="324"/>
      <c r="CB263" s="324"/>
      <c r="CC263" s="324"/>
      <c r="CD263" s="324"/>
      <c r="CE263" s="324"/>
      <c r="CF263" s="324"/>
      <c r="CG263" s="324"/>
      <c r="CH263" s="324"/>
      <c r="CI263" s="324"/>
      <c r="CJ263" s="324"/>
      <c r="CK263" s="324"/>
      <c r="CL263" s="324"/>
      <c r="CM263" s="324"/>
      <c r="CN263" s="324"/>
      <c r="CO263" s="324"/>
      <c r="CP263" s="324"/>
      <c r="CQ263" s="324"/>
      <c r="CR263" s="324"/>
      <c r="CS263" s="324"/>
      <c r="CT263" s="324"/>
      <c r="CU263" s="324"/>
      <c r="CV263" s="324"/>
      <c r="CW263" s="324"/>
      <c r="CX263" s="324"/>
      <c r="CY263" s="324"/>
      <c r="CZ263" s="324"/>
      <c r="DA263" s="324"/>
      <c r="DB263" s="324"/>
      <c r="DC263" s="324"/>
      <c r="DD263" s="324"/>
      <c r="DE263" s="324"/>
      <c r="DF263" s="324"/>
      <c r="DG263" s="324"/>
      <c r="DH263" s="324"/>
      <c r="DI263" s="324"/>
      <c r="DJ263" s="324"/>
      <c r="DK263" s="324"/>
      <c r="DL263" s="324"/>
      <c r="DM263" s="324"/>
      <c r="DN263" s="324"/>
      <c r="DO263" s="324"/>
      <c r="DP263" s="324"/>
      <c r="DQ263" s="324"/>
      <c r="DR263" s="324"/>
      <c r="DS263" s="324"/>
      <c r="DT263" s="324"/>
      <c r="DU263" s="324"/>
      <c r="DV263" s="324"/>
      <c r="DW263" s="324"/>
      <c r="DX263" s="324"/>
      <c r="DY263" s="324"/>
      <c r="DZ263" s="324"/>
      <c r="EA263" s="324"/>
      <c r="EB263" s="324"/>
      <c r="EC263" s="324"/>
      <c r="ED263" s="324"/>
      <c r="EE263" s="324"/>
      <c r="EF263" s="324"/>
      <c r="EG263" s="324"/>
      <c r="EH263" s="324"/>
      <c r="EI263" s="324"/>
      <c r="EJ263" s="324"/>
      <c r="EK263" s="324"/>
      <c r="EL263" s="324"/>
      <c r="EM263" s="324"/>
      <c r="EN263" s="324"/>
      <c r="EO263" s="324"/>
      <c r="EP263" s="324"/>
      <c r="EQ263" s="324"/>
      <c r="ER263" s="324"/>
      <c r="ES263" s="324"/>
      <c r="ET263" s="324"/>
      <c r="EU263" s="324"/>
      <c r="EV263" s="324"/>
      <c r="EW263" s="324"/>
      <c r="EX263" s="324"/>
      <c r="EY263" s="324"/>
      <c r="EZ263" s="324"/>
      <c r="FA263" s="324"/>
      <c r="FB263" s="324"/>
      <c r="FC263" s="324"/>
      <c r="FD263" s="324"/>
      <c r="FE263" s="324"/>
      <c r="FF263" s="324"/>
      <c r="FG263" s="324"/>
      <c r="FH263" s="324"/>
      <c r="FI263" s="324"/>
      <c r="FJ263" s="324"/>
      <c r="FK263" s="324"/>
      <c r="FL263" s="324"/>
      <c r="FM263" s="324"/>
      <c r="FN263" s="324"/>
      <c r="FO263" s="324"/>
      <c r="FP263" s="324"/>
      <c r="FQ263" s="324"/>
      <c r="FR263" s="324"/>
      <c r="FS263" s="324"/>
      <c r="FT263" s="324"/>
      <c r="FU263" s="324"/>
      <c r="FV263" s="324"/>
      <c r="FW263" s="324"/>
      <c r="FX263" s="324"/>
      <c r="FY263" s="324"/>
      <c r="FZ263" s="324"/>
      <c r="GA263" s="324"/>
      <c r="GB263" s="324"/>
      <c r="GC263" s="324"/>
      <c r="GD263" s="324"/>
      <c r="GE263" s="324"/>
      <c r="GF263" s="324"/>
    </row>
    <row r="264" spans="2:188" s="158" customFormat="1">
      <c r="B264" s="316">
        <v>258</v>
      </c>
      <c r="C264" s="370" t="s">
        <v>224</v>
      </c>
      <c r="D264" s="370" t="s">
        <v>366</v>
      </c>
      <c r="E264" s="422" t="s">
        <v>367</v>
      </c>
      <c r="F264" s="370" t="s">
        <v>395</v>
      </c>
      <c r="G264" s="371">
        <v>4</v>
      </c>
      <c r="H264" s="369">
        <v>400000</v>
      </c>
      <c r="I264" s="317">
        <f t="shared" ref="I264:I283" si="4">H264*25%*75%</f>
        <v>75000</v>
      </c>
      <c r="J264" s="355"/>
      <c r="K264" s="324"/>
      <c r="L264" s="324"/>
      <c r="M264" s="324"/>
      <c r="N264" s="324"/>
      <c r="O264" s="324"/>
      <c r="P264" s="324"/>
      <c r="Q264" s="324"/>
      <c r="R264" s="324"/>
      <c r="S264" s="324"/>
      <c r="T264" s="324"/>
      <c r="U264" s="324"/>
      <c r="V264" s="324"/>
      <c r="W264" s="324"/>
      <c r="X264" s="324"/>
      <c r="Y264" s="324"/>
      <c r="Z264" s="324"/>
      <c r="AA264" s="324"/>
      <c r="AB264" s="324"/>
      <c r="AC264" s="324"/>
      <c r="AD264" s="324"/>
      <c r="AE264" s="324"/>
      <c r="AF264" s="324"/>
      <c r="AG264" s="324"/>
      <c r="AH264" s="324"/>
      <c r="AI264" s="324"/>
      <c r="AJ264" s="324"/>
      <c r="AK264" s="324"/>
      <c r="AL264" s="324"/>
      <c r="AM264" s="324"/>
      <c r="AN264" s="324"/>
      <c r="AO264" s="324"/>
      <c r="AP264" s="324"/>
      <c r="AQ264" s="324"/>
      <c r="AR264" s="324"/>
      <c r="AS264" s="324"/>
      <c r="AT264" s="324"/>
      <c r="AU264" s="324"/>
      <c r="AV264" s="324"/>
      <c r="AW264" s="324"/>
      <c r="AX264" s="324"/>
      <c r="AY264" s="324"/>
      <c r="AZ264" s="324"/>
      <c r="BA264" s="324"/>
      <c r="BB264" s="324"/>
      <c r="BC264" s="324"/>
      <c r="BD264" s="324"/>
      <c r="BE264" s="324"/>
      <c r="BF264" s="324"/>
      <c r="BG264" s="324"/>
      <c r="BH264" s="324"/>
      <c r="BI264" s="324"/>
      <c r="BJ264" s="324"/>
      <c r="BK264" s="324"/>
      <c r="BL264" s="324"/>
      <c r="BM264" s="324"/>
      <c r="BN264" s="324"/>
      <c r="BO264" s="324"/>
      <c r="BP264" s="324"/>
      <c r="BQ264" s="324"/>
      <c r="BR264" s="324"/>
      <c r="BS264" s="324"/>
      <c r="BT264" s="324"/>
      <c r="BU264" s="324"/>
      <c r="BV264" s="324"/>
      <c r="BW264" s="324"/>
      <c r="BX264" s="324"/>
      <c r="BY264" s="324"/>
      <c r="BZ264" s="324"/>
      <c r="CA264" s="324"/>
      <c r="CB264" s="324"/>
      <c r="CC264" s="324"/>
      <c r="CD264" s="324"/>
      <c r="CE264" s="324"/>
      <c r="CF264" s="324"/>
      <c r="CG264" s="324"/>
      <c r="CH264" s="324"/>
      <c r="CI264" s="324"/>
      <c r="CJ264" s="324"/>
      <c r="CK264" s="324"/>
      <c r="CL264" s="324"/>
      <c r="CM264" s="324"/>
      <c r="CN264" s="324"/>
      <c r="CO264" s="324"/>
      <c r="CP264" s="324"/>
      <c r="CQ264" s="324"/>
      <c r="CR264" s="324"/>
      <c r="CS264" s="324"/>
      <c r="CT264" s="324"/>
      <c r="CU264" s="324"/>
      <c r="CV264" s="324"/>
      <c r="CW264" s="324"/>
      <c r="CX264" s="324"/>
      <c r="CY264" s="324"/>
      <c r="CZ264" s="324"/>
      <c r="DA264" s="324"/>
      <c r="DB264" s="324"/>
      <c r="DC264" s="324"/>
      <c r="DD264" s="324"/>
      <c r="DE264" s="324"/>
      <c r="DF264" s="324"/>
      <c r="DG264" s="324"/>
      <c r="DH264" s="324"/>
      <c r="DI264" s="324"/>
      <c r="DJ264" s="324"/>
      <c r="DK264" s="324"/>
      <c r="DL264" s="324"/>
      <c r="DM264" s="324"/>
      <c r="DN264" s="324"/>
      <c r="DO264" s="324"/>
      <c r="DP264" s="324"/>
      <c r="DQ264" s="324"/>
      <c r="DR264" s="324"/>
      <c r="DS264" s="324"/>
      <c r="DT264" s="324"/>
      <c r="DU264" s="324"/>
      <c r="DV264" s="324"/>
      <c r="DW264" s="324"/>
      <c r="DX264" s="324"/>
      <c r="DY264" s="324"/>
      <c r="DZ264" s="324"/>
      <c r="EA264" s="324"/>
      <c r="EB264" s="324"/>
      <c r="EC264" s="324"/>
      <c r="ED264" s="324"/>
      <c r="EE264" s="324"/>
      <c r="EF264" s="324"/>
      <c r="EG264" s="324"/>
      <c r="EH264" s="324"/>
      <c r="EI264" s="324"/>
      <c r="EJ264" s="324"/>
      <c r="EK264" s="324"/>
      <c r="EL264" s="324"/>
      <c r="EM264" s="324"/>
      <c r="EN264" s="324"/>
      <c r="EO264" s="324"/>
      <c r="EP264" s="324"/>
      <c r="EQ264" s="324"/>
      <c r="ER264" s="324"/>
      <c r="ES264" s="324"/>
      <c r="ET264" s="324"/>
      <c r="EU264" s="324"/>
      <c r="EV264" s="324"/>
      <c r="EW264" s="324"/>
      <c r="EX264" s="324"/>
      <c r="EY264" s="324"/>
      <c r="EZ264" s="324"/>
      <c r="FA264" s="324"/>
      <c r="FB264" s="324"/>
      <c r="FC264" s="324"/>
      <c r="FD264" s="324"/>
      <c r="FE264" s="324"/>
      <c r="FF264" s="324"/>
      <c r="FG264" s="324"/>
      <c r="FH264" s="324"/>
      <c r="FI264" s="324"/>
      <c r="FJ264" s="324"/>
      <c r="FK264" s="324"/>
      <c r="FL264" s="324"/>
      <c r="FM264" s="324"/>
      <c r="FN264" s="324"/>
      <c r="FO264" s="324"/>
      <c r="FP264" s="324"/>
      <c r="FQ264" s="324"/>
      <c r="FR264" s="324"/>
      <c r="FS264" s="324"/>
      <c r="FT264" s="324"/>
      <c r="FU264" s="324"/>
      <c r="FV264" s="324"/>
      <c r="FW264" s="324"/>
      <c r="FX264" s="324"/>
      <c r="FY264" s="324"/>
      <c r="FZ264" s="324"/>
      <c r="GA264" s="324"/>
      <c r="GB264" s="324"/>
      <c r="GC264" s="324"/>
      <c r="GD264" s="324"/>
      <c r="GE264" s="324"/>
      <c r="GF264" s="324"/>
    </row>
    <row r="265" spans="2:188" s="158" customFormat="1">
      <c r="B265" s="316">
        <v>259</v>
      </c>
      <c r="C265" s="370" t="s">
        <v>224</v>
      </c>
      <c r="D265" s="370" t="s">
        <v>376</v>
      </c>
      <c r="E265" s="422" t="s">
        <v>377</v>
      </c>
      <c r="F265" s="370" t="s">
        <v>392</v>
      </c>
      <c r="G265" s="371">
        <v>13</v>
      </c>
      <c r="H265" s="369">
        <v>1300000</v>
      </c>
      <c r="I265" s="317">
        <f t="shared" si="4"/>
        <v>243750</v>
      </c>
      <c r="J265" s="355"/>
      <c r="K265" s="324"/>
      <c r="L265" s="324"/>
      <c r="M265" s="324"/>
      <c r="N265" s="324"/>
      <c r="O265" s="324"/>
      <c r="P265" s="324"/>
      <c r="Q265" s="324"/>
      <c r="R265" s="324"/>
      <c r="S265" s="324"/>
      <c r="T265" s="324"/>
      <c r="U265" s="324"/>
      <c r="V265" s="324"/>
      <c r="W265" s="324"/>
      <c r="X265" s="324"/>
      <c r="Y265" s="324"/>
      <c r="Z265" s="324"/>
      <c r="AA265" s="324"/>
      <c r="AB265" s="324"/>
      <c r="AC265" s="324"/>
      <c r="AD265" s="324"/>
      <c r="AE265" s="324"/>
      <c r="AF265" s="324"/>
      <c r="AG265" s="324"/>
      <c r="AH265" s="324"/>
      <c r="AI265" s="324"/>
      <c r="AJ265" s="324"/>
      <c r="AK265" s="324"/>
      <c r="AL265" s="324"/>
      <c r="AM265" s="324"/>
      <c r="AN265" s="324"/>
      <c r="AO265" s="324"/>
      <c r="AP265" s="324"/>
      <c r="AQ265" s="324"/>
      <c r="AR265" s="324"/>
      <c r="AS265" s="324"/>
      <c r="AT265" s="324"/>
      <c r="AU265" s="324"/>
      <c r="AV265" s="324"/>
      <c r="AW265" s="324"/>
      <c r="AX265" s="324"/>
      <c r="AY265" s="324"/>
      <c r="AZ265" s="324"/>
      <c r="BA265" s="324"/>
      <c r="BB265" s="324"/>
      <c r="BC265" s="324"/>
      <c r="BD265" s="324"/>
      <c r="BE265" s="324"/>
      <c r="BF265" s="324"/>
      <c r="BG265" s="324"/>
      <c r="BH265" s="324"/>
      <c r="BI265" s="324"/>
      <c r="BJ265" s="324"/>
      <c r="BK265" s="324"/>
      <c r="BL265" s="324"/>
      <c r="BM265" s="324"/>
      <c r="BN265" s="324"/>
      <c r="BO265" s="324"/>
      <c r="BP265" s="324"/>
      <c r="BQ265" s="324"/>
      <c r="BR265" s="324"/>
      <c r="BS265" s="324"/>
      <c r="BT265" s="324"/>
      <c r="BU265" s="324"/>
      <c r="BV265" s="324"/>
      <c r="BW265" s="324"/>
      <c r="BX265" s="324"/>
      <c r="BY265" s="324"/>
      <c r="BZ265" s="324"/>
      <c r="CA265" s="324"/>
      <c r="CB265" s="324"/>
      <c r="CC265" s="324"/>
      <c r="CD265" s="324"/>
      <c r="CE265" s="324"/>
      <c r="CF265" s="324"/>
      <c r="CG265" s="324"/>
      <c r="CH265" s="324"/>
      <c r="CI265" s="324"/>
      <c r="CJ265" s="324"/>
      <c r="CK265" s="324"/>
      <c r="CL265" s="324"/>
      <c r="CM265" s="324"/>
      <c r="CN265" s="324"/>
      <c r="CO265" s="324"/>
      <c r="CP265" s="324"/>
      <c r="CQ265" s="324"/>
      <c r="CR265" s="324"/>
      <c r="CS265" s="324"/>
      <c r="CT265" s="324"/>
      <c r="CU265" s="324"/>
      <c r="CV265" s="324"/>
      <c r="CW265" s="324"/>
      <c r="CX265" s="324"/>
      <c r="CY265" s="324"/>
      <c r="CZ265" s="324"/>
      <c r="DA265" s="324"/>
      <c r="DB265" s="324"/>
      <c r="DC265" s="324"/>
      <c r="DD265" s="324"/>
      <c r="DE265" s="324"/>
      <c r="DF265" s="324"/>
      <c r="DG265" s="324"/>
      <c r="DH265" s="324"/>
      <c r="DI265" s="324"/>
      <c r="DJ265" s="324"/>
      <c r="DK265" s="324"/>
      <c r="DL265" s="324"/>
      <c r="DM265" s="324"/>
      <c r="DN265" s="324"/>
      <c r="DO265" s="324"/>
      <c r="DP265" s="324"/>
      <c r="DQ265" s="324"/>
      <c r="DR265" s="324"/>
      <c r="DS265" s="324"/>
      <c r="DT265" s="324"/>
      <c r="DU265" s="324"/>
      <c r="DV265" s="324"/>
      <c r="DW265" s="324"/>
      <c r="DX265" s="324"/>
      <c r="DY265" s="324"/>
      <c r="DZ265" s="324"/>
      <c r="EA265" s="324"/>
      <c r="EB265" s="324"/>
      <c r="EC265" s="324"/>
      <c r="ED265" s="324"/>
      <c r="EE265" s="324"/>
      <c r="EF265" s="324"/>
      <c r="EG265" s="324"/>
      <c r="EH265" s="324"/>
      <c r="EI265" s="324"/>
      <c r="EJ265" s="324"/>
      <c r="EK265" s="324"/>
      <c r="EL265" s="324"/>
      <c r="EM265" s="324"/>
      <c r="EN265" s="324"/>
      <c r="EO265" s="324"/>
      <c r="EP265" s="324"/>
      <c r="EQ265" s="324"/>
      <c r="ER265" s="324"/>
      <c r="ES265" s="324"/>
      <c r="ET265" s="324"/>
      <c r="EU265" s="324"/>
      <c r="EV265" s="324"/>
      <c r="EW265" s="324"/>
      <c r="EX265" s="324"/>
      <c r="EY265" s="324"/>
      <c r="EZ265" s="324"/>
      <c r="FA265" s="324"/>
      <c r="FB265" s="324"/>
      <c r="FC265" s="324"/>
      <c r="FD265" s="324"/>
      <c r="FE265" s="324"/>
      <c r="FF265" s="324"/>
      <c r="FG265" s="324"/>
      <c r="FH265" s="324"/>
      <c r="FI265" s="324"/>
      <c r="FJ265" s="324"/>
      <c r="FK265" s="324"/>
      <c r="FL265" s="324"/>
      <c r="FM265" s="324"/>
      <c r="FN265" s="324"/>
      <c r="FO265" s="324"/>
      <c r="FP265" s="324"/>
      <c r="FQ265" s="324"/>
      <c r="FR265" s="324"/>
      <c r="FS265" s="324"/>
      <c r="FT265" s="324"/>
      <c r="FU265" s="324"/>
      <c r="FV265" s="324"/>
      <c r="FW265" s="324"/>
      <c r="FX265" s="324"/>
      <c r="FY265" s="324"/>
      <c r="FZ265" s="324"/>
      <c r="GA265" s="324"/>
      <c r="GB265" s="324"/>
      <c r="GC265" s="324"/>
      <c r="GD265" s="324"/>
      <c r="GE265" s="324"/>
      <c r="GF265" s="324"/>
    </row>
    <row r="266" spans="2:188" s="158" customFormat="1" ht="26.4">
      <c r="B266" s="316">
        <v>260</v>
      </c>
      <c r="C266" s="370" t="s">
        <v>249</v>
      </c>
      <c r="D266" s="370" t="s">
        <v>564</v>
      </c>
      <c r="E266" s="422" t="s">
        <v>565</v>
      </c>
      <c r="F266" s="370" t="s">
        <v>448</v>
      </c>
      <c r="G266" s="371">
        <v>1</v>
      </c>
      <c r="H266" s="369">
        <v>250000</v>
      </c>
      <c r="I266" s="317">
        <f t="shared" si="4"/>
        <v>46875</v>
      </c>
      <c r="J266" s="355"/>
      <c r="K266" s="324"/>
      <c r="L266" s="324"/>
      <c r="M266" s="324"/>
      <c r="N266" s="324"/>
      <c r="O266" s="324"/>
      <c r="P266" s="324"/>
      <c r="Q266" s="324"/>
      <c r="R266" s="324"/>
      <c r="S266" s="324"/>
      <c r="T266" s="324"/>
      <c r="U266" s="324"/>
      <c r="V266" s="324"/>
      <c r="W266" s="324"/>
      <c r="X266" s="324"/>
      <c r="Y266" s="324"/>
      <c r="Z266" s="324"/>
      <c r="AA266" s="324"/>
      <c r="AB266" s="324"/>
      <c r="AC266" s="324"/>
      <c r="AD266" s="324"/>
      <c r="AE266" s="324"/>
      <c r="AF266" s="324"/>
      <c r="AG266" s="324"/>
      <c r="AH266" s="324"/>
      <c r="AI266" s="324"/>
      <c r="AJ266" s="324"/>
      <c r="AK266" s="324"/>
      <c r="AL266" s="324"/>
      <c r="AM266" s="324"/>
      <c r="AN266" s="324"/>
      <c r="AO266" s="324"/>
      <c r="AP266" s="324"/>
      <c r="AQ266" s="324"/>
      <c r="AR266" s="324"/>
      <c r="AS266" s="324"/>
      <c r="AT266" s="324"/>
      <c r="AU266" s="324"/>
      <c r="AV266" s="324"/>
      <c r="AW266" s="324"/>
      <c r="AX266" s="324"/>
      <c r="AY266" s="324"/>
      <c r="AZ266" s="324"/>
      <c r="BA266" s="324"/>
      <c r="BB266" s="324"/>
      <c r="BC266" s="324"/>
      <c r="BD266" s="324"/>
      <c r="BE266" s="324"/>
      <c r="BF266" s="324"/>
      <c r="BG266" s="324"/>
      <c r="BH266" s="324"/>
      <c r="BI266" s="324"/>
      <c r="BJ266" s="324"/>
      <c r="BK266" s="324"/>
      <c r="BL266" s="324"/>
      <c r="BM266" s="324"/>
      <c r="BN266" s="324"/>
      <c r="BO266" s="324"/>
      <c r="BP266" s="324"/>
      <c r="BQ266" s="324"/>
      <c r="BR266" s="324"/>
      <c r="BS266" s="324"/>
      <c r="BT266" s="324"/>
      <c r="BU266" s="324"/>
      <c r="BV266" s="324"/>
      <c r="BW266" s="324"/>
      <c r="BX266" s="324"/>
      <c r="BY266" s="324"/>
      <c r="BZ266" s="324"/>
      <c r="CA266" s="324"/>
      <c r="CB266" s="324"/>
      <c r="CC266" s="324"/>
      <c r="CD266" s="324"/>
      <c r="CE266" s="324"/>
      <c r="CF266" s="324"/>
      <c r="CG266" s="324"/>
      <c r="CH266" s="324"/>
      <c r="CI266" s="324"/>
      <c r="CJ266" s="324"/>
      <c r="CK266" s="324"/>
      <c r="CL266" s="324"/>
      <c r="CM266" s="324"/>
      <c r="CN266" s="324"/>
      <c r="CO266" s="324"/>
      <c r="CP266" s="324"/>
      <c r="CQ266" s="324"/>
      <c r="CR266" s="324"/>
      <c r="CS266" s="324"/>
      <c r="CT266" s="324"/>
      <c r="CU266" s="324"/>
      <c r="CV266" s="324"/>
      <c r="CW266" s="324"/>
      <c r="CX266" s="324"/>
      <c r="CY266" s="324"/>
      <c r="CZ266" s="324"/>
      <c r="DA266" s="324"/>
      <c r="DB266" s="324"/>
      <c r="DC266" s="324"/>
      <c r="DD266" s="324"/>
      <c r="DE266" s="324"/>
      <c r="DF266" s="324"/>
      <c r="DG266" s="324"/>
      <c r="DH266" s="324"/>
      <c r="DI266" s="324"/>
      <c r="DJ266" s="324"/>
      <c r="DK266" s="324"/>
      <c r="DL266" s="324"/>
      <c r="DM266" s="324"/>
      <c r="DN266" s="324"/>
      <c r="DO266" s="324"/>
      <c r="DP266" s="324"/>
      <c r="DQ266" s="324"/>
      <c r="DR266" s="324"/>
      <c r="DS266" s="324"/>
      <c r="DT266" s="324"/>
      <c r="DU266" s="324"/>
      <c r="DV266" s="324"/>
      <c r="DW266" s="324"/>
      <c r="DX266" s="324"/>
      <c r="DY266" s="324"/>
      <c r="DZ266" s="324"/>
      <c r="EA266" s="324"/>
      <c r="EB266" s="324"/>
      <c r="EC266" s="324"/>
      <c r="ED266" s="324"/>
      <c r="EE266" s="324"/>
      <c r="EF266" s="324"/>
      <c r="EG266" s="324"/>
      <c r="EH266" s="324"/>
      <c r="EI266" s="324"/>
      <c r="EJ266" s="324"/>
      <c r="EK266" s="324"/>
      <c r="EL266" s="324"/>
      <c r="EM266" s="324"/>
      <c r="EN266" s="324"/>
      <c r="EO266" s="324"/>
      <c r="EP266" s="324"/>
      <c r="EQ266" s="324"/>
      <c r="ER266" s="324"/>
      <c r="ES266" s="324"/>
      <c r="ET266" s="324"/>
      <c r="EU266" s="324"/>
      <c r="EV266" s="324"/>
      <c r="EW266" s="324"/>
      <c r="EX266" s="324"/>
      <c r="EY266" s="324"/>
      <c r="EZ266" s="324"/>
      <c r="FA266" s="324"/>
      <c r="FB266" s="324"/>
      <c r="FC266" s="324"/>
      <c r="FD266" s="324"/>
      <c r="FE266" s="324"/>
      <c r="FF266" s="324"/>
      <c r="FG266" s="324"/>
      <c r="FH266" s="324"/>
      <c r="FI266" s="324"/>
      <c r="FJ266" s="324"/>
      <c r="FK266" s="324"/>
      <c r="FL266" s="324"/>
      <c r="FM266" s="324"/>
      <c r="FN266" s="324"/>
      <c r="FO266" s="324"/>
      <c r="FP266" s="324"/>
      <c r="FQ266" s="324"/>
      <c r="FR266" s="324"/>
      <c r="FS266" s="324"/>
      <c r="FT266" s="324"/>
      <c r="FU266" s="324"/>
      <c r="FV266" s="324"/>
      <c r="FW266" s="324"/>
      <c r="FX266" s="324"/>
      <c r="FY266" s="324"/>
      <c r="FZ266" s="324"/>
      <c r="GA266" s="324"/>
      <c r="GB266" s="324"/>
      <c r="GC266" s="324"/>
      <c r="GD266" s="324"/>
      <c r="GE266" s="324"/>
      <c r="GF266" s="324"/>
    </row>
    <row r="267" spans="2:188" s="158" customFormat="1">
      <c r="B267" s="316">
        <v>261</v>
      </c>
      <c r="C267" s="370" t="s">
        <v>244</v>
      </c>
      <c r="D267" s="370" t="s">
        <v>436</v>
      </c>
      <c r="E267" s="422" t="s">
        <v>371</v>
      </c>
      <c r="F267" s="370" t="s">
        <v>395</v>
      </c>
      <c r="G267" s="371">
        <v>2</v>
      </c>
      <c r="H267" s="369">
        <v>200000</v>
      </c>
      <c r="I267" s="317">
        <f t="shared" si="4"/>
        <v>37500</v>
      </c>
      <c r="J267" s="355"/>
      <c r="K267" s="324"/>
      <c r="L267" s="324"/>
      <c r="M267" s="324"/>
      <c r="N267" s="324"/>
      <c r="O267" s="324"/>
      <c r="P267" s="324"/>
      <c r="Q267" s="324"/>
      <c r="R267" s="324"/>
      <c r="S267" s="324"/>
      <c r="T267" s="324"/>
      <c r="U267" s="324"/>
      <c r="V267" s="324"/>
      <c r="W267" s="324"/>
      <c r="X267" s="324"/>
      <c r="Y267" s="324"/>
      <c r="Z267" s="324"/>
      <c r="AA267" s="324"/>
      <c r="AB267" s="324"/>
      <c r="AC267" s="324"/>
      <c r="AD267" s="324"/>
      <c r="AE267" s="324"/>
      <c r="AF267" s="324"/>
      <c r="AG267" s="324"/>
      <c r="AH267" s="324"/>
      <c r="AI267" s="324"/>
      <c r="AJ267" s="324"/>
      <c r="AK267" s="324"/>
      <c r="AL267" s="324"/>
      <c r="AM267" s="324"/>
      <c r="AN267" s="324"/>
      <c r="AO267" s="324"/>
      <c r="AP267" s="324"/>
      <c r="AQ267" s="324"/>
      <c r="AR267" s="324"/>
      <c r="AS267" s="324"/>
      <c r="AT267" s="324"/>
      <c r="AU267" s="324"/>
      <c r="AV267" s="324"/>
      <c r="AW267" s="324"/>
      <c r="AX267" s="324"/>
      <c r="AY267" s="324"/>
      <c r="AZ267" s="324"/>
      <c r="BA267" s="324"/>
      <c r="BB267" s="324"/>
      <c r="BC267" s="324"/>
      <c r="BD267" s="324"/>
      <c r="BE267" s="324"/>
      <c r="BF267" s="324"/>
      <c r="BG267" s="324"/>
      <c r="BH267" s="324"/>
      <c r="BI267" s="324"/>
      <c r="BJ267" s="324"/>
      <c r="BK267" s="324"/>
      <c r="BL267" s="324"/>
      <c r="BM267" s="324"/>
      <c r="BN267" s="324"/>
      <c r="BO267" s="324"/>
      <c r="BP267" s="324"/>
      <c r="BQ267" s="324"/>
      <c r="BR267" s="324"/>
      <c r="BS267" s="324"/>
      <c r="BT267" s="324"/>
      <c r="BU267" s="324"/>
      <c r="BV267" s="324"/>
      <c r="BW267" s="324"/>
      <c r="BX267" s="324"/>
      <c r="BY267" s="324"/>
      <c r="BZ267" s="324"/>
      <c r="CA267" s="324"/>
      <c r="CB267" s="324"/>
      <c r="CC267" s="324"/>
      <c r="CD267" s="324"/>
      <c r="CE267" s="324"/>
      <c r="CF267" s="324"/>
      <c r="CG267" s="324"/>
      <c r="CH267" s="324"/>
      <c r="CI267" s="324"/>
      <c r="CJ267" s="324"/>
      <c r="CK267" s="324"/>
      <c r="CL267" s="324"/>
      <c r="CM267" s="324"/>
      <c r="CN267" s="324"/>
      <c r="CO267" s="324"/>
      <c r="CP267" s="324"/>
      <c r="CQ267" s="324"/>
      <c r="CR267" s="324"/>
      <c r="CS267" s="324"/>
      <c r="CT267" s="324"/>
      <c r="CU267" s="324"/>
      <c r="CV267" s="324"/>
      <c r="CW267" s="324"/>
      <c r="CX267" s="324"/>
      <c r="CY267" s="324"/>
      <c r="CZ267" s="324"/>
      <c r="DA267" s="324"/>
      <c r="DB267" s="324"/>
      <c r="DC267" s="324"/>
      <c r="DD267" s="324"/>
      <c r="DE267" s="324"/>
      <c r="DF267" s="324"/>
      <c r="DG267" s="324"/>
      <c r="DH267" s="324"/>
      <c r="DI267" s="324"/>
      <c r="DJ267" s="324"/>
      <c r="DK267" s="324"/>
      <c r="DL267" s="324"/>
      <c r="DM267" s="324"/>
      <c r="DN267" s="324"/>
      <c r="DO267" s="324"/>
      <c r="DP267" s="324"/>
      <c r="DQ267" s="324"/>
      <c r="DR267" s="324"/>
      <c r="DS267" s="324"/>
      <c r="DT267" s="324"/>
      <c r="DU267" s="324"/>
      <c r="DV267" s="324"/>
      <c r="DW267" s="324"/>
      <c r="DX267" s="324"/>
      <c r="DY267" s="324"/>
      <c r="DZ267" s="324"/>
      <c r="EA267" s="324"/>
      <c r="EB267" s="324"/>
      <c r="EC267" s="324"/>
      <c r="ED267" s="324"/>
      <c r="EE267" s="324"/>
      <c r="EF267" s="324"/>
      <c r="EG267" s="324"/>
      <c r="EH267" s="324"/>
      <c r="EI267" s="324"/>
      <c r="EJ267" s="324"/>
      <c r="EK267" s="324"/>
      <c r="EL267" s="324"/>
      <c r="EM267" s="324"/>
      <c r="EN267" s="324"/>
      <c r="EO267" s="324"/>
      <c r="EP267" s="324"/>
      <c r="EQ267" s="324"/>
      <c r="ER267" s="324"/>
      <c r="ES267" s="324"/>
      <c r="ET267" s="324"/>
      <c r="EU267" s="324"/>
      <c r="EV267" s="324"/>
      <c r="EW267" s="324"/>
      <c r="EX267" s="324"/>
      <c r="EY267" s="324"/>
      <c r="EZ267" s="324"/>
      <c r="FA267" s="324"/>
      <c r="FB267" s="324"/>
      <c r="FC267" s="324"/>
      <c r="FD267" s="324"/>
      <c r="FE267" s="324"/>
      <c r="FF267" s="324"/>
      <c r="FG267" s="324"/>
      <c r="FH267" s="324"/>
      <c r="FI267" s="324"/>
      <c r="FJ267" s="324"/>
      <c r="FK267" s="324"/>
      <c r="FL267" s="324"/>
      <c r="FM267" s="324"/>
      <c r="FN267" s="324"/>
      <c r="FO267" s="324"/>
      <c r="FP267" s="324"/>
      <c r="FQ267" s="324"/>
      <c r="FR267" s="324"/>
      <c r="FS267" s="324"/>
      <c r="FT267" s="324"/>
      <c r="FU267" s="324"/>
      <c r="FV267" s="324"/>
      <c r="FW267" s="324"/>
      <c r="FX267" s="324"/>
      <c r="FY267" s="324"/>
      <c r="FZ267" s="324"/>
      <c r="GA267" s="324"/>
      <c r="GB267" s="324"/>
      <c r="GC267" s="324"/>
      <c r="GD267" s="324"/>
      <c r="GE267" s="324"/>
      <c r="GF267" s="324"/>
    </row>
    <row r="268" spans="2:188" s="158" customFormat="1">
      <c r="B268" s="316">
        <v>262</v>
      </c>
      <c r="C268" s="370" t="s">
        <v>209</v>
      </c>
      <c r="D268" s="370" t="s">
        <v>433</v>
      </c>
      <c r="E268" s="422" t="s">
        <v>367</v>
      </c>
      <c r="F268" s="370" t="s">
        <v>395</v>
      </c>
      <c r="G268" s="371">
        <v>2</v>
      </c>
      <c r="H268" s="369">
        <v>200000</v>
      </c>
      <c r="I268" s="317">
        <f t="shared" si="4"/>
        <v>37500</v>
      </c>
      <c r="J268" s="249"/>
    </row>
    <row r="269" spans="2:188" s="158" customFormat="1">
      <c r="B269" s="316">
        <v>263</v>
      </c>
      <c r="C269" s="370" t="s">
        <v>238</v>
      </c>
      <c r="D269" s="370" t="s">
        <v>416</v>
      </c>
      <c r="E269" s="422" t="s">
        <v>417</v>
      </c>
      <c r="F269" s="370" t="s">
        <v>396</v>
      </c>
      <c r="G269" s="371">
        <v>1</v>
      </c>
      <c r="H269" s="369">
        <v>40300</v>
      </c>
      <c r="I269" s="317">
        <f t="shared" si="4"/>
        <v>7556.25</v>
      </c>
      <c r="J269" s="249"/>
    </row>
    <row r="270" spans="2:188" s="158" customFormat="1">
      <c r="B270" s="316">
        <v>264</v>
      </c>
      <c r="C270" s="370" t="s">
        <v>256</v>
      </c>
      <c r="D270" s="370" t="s">
        <v>566</v>
      </c>
      <c r="E270" s="422" t="s">
        <v>403</v>
      </c>
      <c r="F270" s="370" t="s">
        <v>396</v>
      </c>
      <c r="G270" s="371">
        <v>1</v>
      </c>
      <c r="H270" s="369">
        <v>100000</v>
      </c>
      <c r="I270" s="317">
        <f t="shared" si="4"/>
        <v>18750</v>
      </c>
      <c r="J270" s="249"/>
    </row>
    <row r="271" spans="2:188" s="158" customFormat="1">
      <c r="B271" s="316">
        <v>265</v>
      </c>
      <c r="C271" s="370" t="s">
        <v>249</v>
      </c>
      <c r="D271" s="370" t="s">
        <v>567</v>
      </c>
      <c r="E271" s="422" t="s">
        <v>463</v>
      </c>
      <c r="F271" s="370" t="s">
        <v>568</v>
      </c>
      <c r="G271" s="371">
        <v>1</v>
      </c>
      <c r="H271" s="369">
        <v>300000</v>
      </c>
      <c r="I271" s="317">
        <f t="shared" si="4"/>
        <v>56250</v>
      </c>
      <c r="J271" s="249"/>
    </row>
    <row r="272" spans="2:188" s="158" customFormat="1">
      <c r="B272" s="316">
        <v>266</v>
      </c>
      <c r="C272" s="370" t="s">
        <v>222</v>
      </c>
      <c r="D272" s="370" t="s">
        <v>514</v>
      </c>
      <c r="E272" s="422" t="s">
        <v>373</v>
      </c>
      <c r="F272" s="370" t="s">
        <v>568</v>
      </c>
      <c r="G272" s="371">
        <v>1</v>
      </c>
      <c r="H272" s="369">
        <v>300000</v>
      </c>
      <c r="I272" s="317">
        <f t="shared" si="4"/>
        <v>56250</v>
      </c>
      <c r="J272" s="249"/>
    </row>
    <row r="273" spans="2:188" s="158" customFormat="1">
      <c r="B273" s="316">
        <v>267</v>
      </c>
      <c r="C273" s="370" t="s">
        <v>200</v>
      </c>
      <c r="D273" s="370" t="s">
        <v>569</v>
      </c>
      <c r="E273" s="422" t="s">
        <v>520</v>
      </c>
      <c r="F273" s="370" t="s">
        <v>464</v>
      </c>
      <c r="G273" s="371">
        <v>1</v>
      </c>
      <c r="H273" s="369">
        <v>200000</v>
      </c>
      <c r="I273" s="317">
        <f t="shared" si="4"/>
        <v>37500</v>
      </c>
      <c r="J273" s="249"/>
    </row>
    <row r="274" spans="2:188" s="158" customFormat="1">
      <c r="B274" s="316">
        <v>268</v>
      </c>
      <c r="C274" s="370" t="s">
        <v>258</v>
      </c>
      <c r="D274" s="370" t="s">
        <v>362</v>
      </c>
      <c r="E274" s="422" t="s">
        <v>363</v>
      </c>
      <c r="F274" s="370" t="s">
        <v>464</v>
      </c>
      <c r="G274" s="371">
        <v>1</v>
      </c>
      <c r="H274" s="369">
        <v>200000</v>
      </c>
      <c r="I274" s="317">
        <f t="shared" si="4"/>
        <v>37500</v>
      </c>
      <c r="J274" s="249"/>
    </row>
    <row r="275" spans="2:188" s="158" customFormat="1">
      <c r="B275" s="316">
        <v>269</v>
      </c>
      <c r="C275" s="370" t="s">
        <v>200</v>
      </c>
      <c r="D275" s="370" t="s">
        <v>519</v>
      </c>
      <c r="E275" s="422" t="s">
        <v>520</v>
      </c>
      <c r="F275" s="370" t="s">
        <v>464</v>
      </c>
      <c r="G275" s="371">
        <v>1</v>
      </c>
      <c r="H275" s="369">
        <v>200000</v>
      </c>
      <c r="I275" s="317">
        <f t="shared" si="4"/>
        <v>37500</v>
      </c>
      <c r="J275" s="249"/>
    </row>
    <row r="276" spans="2:188" s="158" customFormat="1">
      <c r="B276" s="316">
        <v>270</v>
      </c>
      <c r="C276" s="370" t="s">
        <v>258</v>
      </c>
      <c r="D276" s="370" t="s">
        <v>356</v>
      </c>
      <c r="E276" s="422" t="s">
        <v>357</v>
      </c>
      <c r="F276" s="370" t="s">
        <v>464</v>
      </c>
      <c r="G276" s="371">
        <v>2</v>
      </c>
      <c r="H276" s="369">
        <v>400000</v>
      </c>
      <c r="I276" s="317">
        <f t="shared" si="4"/>
        <v>75000</v>
      </c>
      <c r="J276" s="249"/>
    </row>
    <row r="277" spans="2:188" s="158" customFormat="1">
      <c r="B277" s="316">
        <v>271</v>
      </c>
      <c r="C277" s="370" t="s">
        <v>249</v>
      </c>
      <c r="D277" s="370" t="s">
        <v>457</v>
      </c>
      <c r="E277" s="422" t="s">
        <v>148</v>
      </c>
      <c r="F277" s="370" t="s">
        <v>568</v>
      </c>
      <c r="G277" s="371">
        <v>1</v>
      </c>
      <c r="H277" s="369">
        <v>300000</v>
      </c>
      <c r="I277" s="317">
        <f t="shared" si="4"/>
        <v>56250</v>
      </c>
      <c r="J277" s="249"/>
    </row>
    <row r="278" spans="2:188" s="158" customFormat="1">
      <c r="B278" s="316">
        <v>272</v>
      </c>
      <c r="C278" s="370" t="s">
        <v>249</v>
      </c>
      <c r="D278" s="370" t="s">
        <v>454</v>
      </c>
      <c r="E278" s="422" t="s">
        <v>152</v>
      </c>
      <c r="F278" s="370" t="s">
        <v>464</v>
      </c>
      <c r="G278" s="371">
        <v>1</v>
      </c>
      <c r="H278" s="369">
        <v>200000</v>
      </c>
      <c r="I278" s="317">
        <f t="shared" si="4"/>
        <v>37500</v>
      </c>
      <c r="J278" s="249"/>
    </row>
    <row r="279" spans="2:188" s="158" customFormat="1">
      <c r="B279" s="316">
        <v>273</v>
      </c>
      <c r="C279" s="370" t="s">
        <v>212</v>
      </c>
      <c r="D279" s="370" t="s">
        <v>411</v>
      </c>
      <c r="E279" s="422" t="s">
        <v>412</v>
      </c>
      <c r="F279" s="370" t="s">
        <v>464</v>
      </c>
      <c r="G279" s="371">
        <v>1</v>
      </c>
      <c r="H279" s="369">
        <v>200000</v>
      </c>
      <c r="I279" s="317">
        <f t="shared" si="4"/>
        <v>37500</v>
      </c>
      <c r="J279" s="249"/>
    </row>
    <row r="280" spans="2:188" s="158" customFormat="1">
      <c r="B280" s="316">
        <v>274</v>
      </c>
      <c r="C280" s="370" t="s">
        <v>249</v>
      </c>
      <c r="D280" s="370" t="s">
        <v>517</v>
      </c>
      <c r="E280" s="422" t="s">
        <v>401</v>
      </c>
      <c r="F280" s="370" t="s">
        <v>464</v>
      </c>
      <c r="G280" s="371">
        <v>1</v>
      </c>
      <c r="H280" s="369">
        <v>200000</v>
      </c>
      <c r="I280" s="317">
        <f t="shared" si="4"/>
        <v>37500</v>
      </c>
      <c r="J280" s="249"/>
    </row>
    <row r="281" spans="2:188" s="158" customFormat="1">
      <c r="B281" s="316">
        <v>275</v>
      </c>
      <c r="C281" s="370" t="s">
        <v>449</v>
      </c>
      <c r="D281" s="370" t="s">
        <v>450</v>
      </c>
      <c r="E281" s="422" t="s">
        <v>451</v>
      </c>
      <c r="F281" s="370" t="s">
        <v>568</v>
      </c>
      <c r="G281" s="371">
        <v>1</v>
      </c>
      <c r="H281" s="369">
        <v>300000</v>
      </c>
      <c r="I281" s="317">
        <f t="shared" si="4"/>
        <v>56250</v>
      </c>
      <c r="J281" s="249"/>
    </row>
    <row r="282" spans="2:188" s="158" customFormat="1" ht="15.75" customHeight="1">
      <c r="B282" s="316">
        <v>276</v>
      </c>
      <c r="C282" s="370" t="s">
        <v>449</v>
      </c>
      <c r="D282" s="370" t="s">
        <v>570</v>
      </c>
      <c r="E282" s="422" t="s">
        <v>367</v>
      </c>
      <c r="F282" s="370" t="s">
        <v>571</v>
      </c>
      <c r="G282" s="371">
        <v>1</v>
      </c>
      <c r="H282" s="369">
        <v>372700</v>
      </c>
      <c r="I282" s="317">
        <f t="shared" si="4"/>
        <v>69881.25</v>
      </c>
      <c r="J282" s="249"/>
    </row>
    <row r="283" spans="2:188" s="158" customFormat="1">
      <c r="B283" s="316">
        <v>277</v>
      </c>
      <c r="C283" s="370" t="s">
        <v>209</v>
      </c>
      <c r="D283" s="370" t="s">
        <v>400</v>
      </c>
      <c r="E283" s="422" t="s">
        <v>401</v>
      </c>
      <c r="F283" s="370" t="s">
        <v>568</v>
      </c>
      <c r="G283" s="371">
        <v>1</v>
      </c>
      <c r="H283" s="369">
        <v>300000</v>
      </c>
      <c r="I283" s="317">
        <f t="shared" si="4"/>
        <v>56250</v>
      </c>
      <c r="J283" s="249"/>
    </row>
    <row r="284" spans="2:188" s="158" customFormat="1">
      <c r="B284" s="353">
        <v>278</v>
      </c>
      <c r="C284" s="376" t="s">
        <v>249</v>
      </c>
      <c r="D284" s="376" t="s">
        <v>346</v>
      </c>
      <c r="E284" s="376" t="s">
        <v>347</v>
      </c>
      <c r="F284" s="376" t="s">
        <v>348</v>
      </c>
      <c r="G284" s="378">
        <v>8</v>
      </c>
      <c r="H284" s="377">
        <v>128000</v>
      </c>
      <c r="I284" s="354">
        <f t="shared" ref="I284:I347" si="5">H284*21.25%</f>
        <v>27200</v>
      </c>
      <c r="J284" s="355"/>
      <c r="K284" s="324"/>
      <c r="L284" s="324"/>
      <c r="M284" s="324"/>
      <c r="N284" s="324"/>
      <c r="O284" s="324"/>
      <c r="P284" s="324"/>
      <c r="Q284" s="324"/>
      <c r="R284" s="324"/>
      <c r="S284" s="324"/>
      <c r="T284" s="324"/>
      <c r="U284" s="324"/>
      <c r="V284" s="324"/>
      <c r="W284" s="324"/>
      <c r="X284" s="324"/>
      <c r="Y284" s="324"/>
      <c r="Z284" s="324"/>
      <c r="AA284" s="324"/>
      <c r="AB284" s="324"/>
      <c r="AC284" s="324"/>
      <c r="AD284" s="324"/>
      <c r="AE284" s="324"/>
      <c r="AF284" s="324"/>
      <c r="AG284" s="324"/>
      <c r="AH284" s="324"/>
      <c r="AI284" s="324"/>
      <c r="AJ284" s="324"/>
      <c r="AK284" s="324"/>
      <c r="AL284" s="324"/>
      <c r="AM284" s="324"/>
      <c r="AN284" s="324"/>
      <c r="AO284" s="324"/>
      <c r="AP284" s="324"/>
      <c r="AQ284" s="324"/>
      <c r="AR284" s="324"/>
      <c r="AS284" s="324"/>
      <c r="AT284" s="324"/>
      <c r="AU284" s="324"/>
      <c r="AV284" s="324"/>
      <c r="AW284" s="324"/>
      <c r="AX284" s="324"/>
      <c r="AY284" s="324"/>
      <c r="AZ284" s="324"/>
      <c r="BA284" s="324"/>
      <c r="BB284" s="324"/>
      <c r="BC284" s="324"/>
      <c r="BD284" s="324"/>
      <c r="BE284" s="324"/>
      <c r="BF284" s="324"/>
      <c r="BG284" s="324"/>
      <c r="BH284" s="324"/>
      <c r="BI284" s="324"/>
      <c r="BJ284" s="324"/>
      <c r="BK284" s="324"/>
      <c r="BL284" s="324"/>
      <c r="BM284" s="324"/>
      <c r="BN284" s="324"/>
      <c r="BO284" s="324"/>
      <c r="BP284" s="324"/>
      <c r="BQ284" s="324"/>
      <c r="BR284" s="324"/>
      <c r="BS284" s="324"/>
      <c r="BT284" s="324"/>
      <c r="BU284" s="324"/>
      <c r="BV284" s="324"/>
      <c r="BW284" s="324"/>
      <c r="BX284" s="324"/>
      <c r="BY284" s="324"/>
      <c r="BZ284" s="324"/>
      <c r="CA284" s="324"/>
      <c r="CB284" s="324"/>
      <c r="CC284" s="324"/>
      <c r="CD284" s="324"/>
      <c r="CE284" s="324"/>
      <c r="CF284" s="324"/>
      <c r="CG284" s="324"/>
      <c r="CH284" s="324"/>
      <c r="CI284" s="324"/>
      <c r="CJ284" s="324"/>
      <c r="CK284" s="324"/>
      <c r="CL284" s="324"/>
      <c r="CM284" s="324"/>
      <c r="CN284" s="324"/>
      <c r="CO284" s="324"/>
      <c r="CP284" s="324"/>
      <c r="CQ284" s="324"/>
      <c r="CR284" s="324"/>
      <c r="CS284" s="324"/>
      <c r="CT284" s="324"/>
      <c r="CU284" s="324"/>
      <c r="CV284" s="324"/>
      <c r="CW284" s="324"/>
      <c r="CX284" s="324"/>
      <c r="CY284" s="324"/>
      <c r="CZ284" s="324"/>
      <c r="DA284" s="324"/>
      <c r="DB284" s="324"/>
      <c r="DC284" s="324"/>
      <c r="DD284" s="324"/>
      <c r="DE284" s="324"/>
      <c r="DF284" s="324"/>
      <c r="DG284" s="324"/>
      <c r="DH284" s="324"/>
      <c r="DI284" s="324"/>
      <c r="DJ284" s="324"/>
      <c r="DK284" s="324"/>
      <c r="DL284" s="324"/>
      <c r="DM284" s="324"/>
      <c r="DN284" s="324"/>
      <c r="DO284" s="324"/>
      <c r="DP284" s="324"/>
      <c r="DQ284" s="324"/>
      <c r="DR284" s="324"/>
      <c r="DS284" s="324"/>
      <c r="DT284" s="324"/>
      <c r="DU284" s="324"/>
      <c r="DV284" s="324"/>
      <c r="DW284" s="324"/>
      <c r="DX284" s="324"/>
      <c r="DY284" s="324"/>
      <c r="DZ284" s="324"/>
      <c r="EA284" s="324"/>
      <c r="EB284" s="324"/>
      <c r="EC284" s="324"/>
      <c r="ED284" s="324"/>
      <c r="EE284" s="324"/>
      <c r="EF284" s="324"/>
      <c r="EG284" s="324"/>
      <c r="EH284" s="324"/>
      <c r="EI284" s="324"/>
      <c r="EJ284" s="324"/>
      <c r="EK284" s="324"/>
      <c r="EL284" s="324"/>
      <c r="EM284" s="324"/>
      <c r="EN284" s="324"/>
      <c r="EO284" s="324"/>
      <c r="EP284" s="324"/>
      <c r="EQ284" s="324"/>
      <c r="ER284" s="324"/>
      <c r="ES284" s="324"/>
      <c r="ET284" s="324"/>
      <c r="EU284" s="324"/>
      <c r="EV284" s="324"/>
      <c r="EW284" s="324"/>
      <c r="EX284" s="324"/>
      <c r="EY284" s="324"/>
      <c r="EZ284" s="324"/>
      <c r="FA284" s="324"/>
      <c r="FB284" s="324"/>
      <c r="FC284" s="324"/>
      <c r="FD284" s="324"/>
      <c r="FE284" s="324"/>
      <c r="FF284" s="324"/>
      <c r="FG284" s="324"/>
      <c r="FH284" s="324"/>
      <c r="FI284" s="324"/>
      <c r="FJ284" s="324"/>
      <c r="FK284" s="324"/>
      <c r="FL284" s="324"/>
      <c r="FM284" s="324"/>
      <c r="FN284" s="324"/>
      <c r="FO284" s="324"/>
      <c r="FP284" s="324"/>
      <c r="FQ284" s="324"/>
      <c r="FR284" s="324"/>
      <c r="FS284" s="324"/>
      <c r="FT284" s="324"/>
      <c r="FU284" s="324"/>
      <c r="FV284" s="324"/>
      <c r="FW284" s="324"/>
      <c r="FX284" s="324"/>
      <c r="FY284" s="324"/>
      <c r="FZ284" s="324"/>
      <c r="GA284" s="324"/>
      <c r="GB284" s="324"/>
      <c r="GC284" s="324"/>
      <c r="GD284" s="324"/>
      <c r="GE284" s="324"/>
      <c r="GF284" s="324"/>
    </row>
    <row r="285" spans="2:188" s="158" customFormat="1">
      <c r="B285" s="353">
        <v>279</v>
      </c>
      <c r="C285" s="376" t="s">
        <v>249</v>
      </c>
      <c r="D285" s="376" t="s">
        <v>346</v>
      </c>
      <c r="E285" s="376" t="s">
        <v>347</v>
      </c>
      <c r="F285" s="376" t="s">
        <v>348</v>
      </c>
      <c r="G285" s="378">
        <v>4</v>
      </c>
      <c r="H285" s="377">
        <v>64000</v>
      </c>
      <c r="I285" s="354">
        <f t="shared" si="5"/>
        <v>13600</v>
      </c>
      <c r="J285" s="355"/>
      <c r="K285" s="324"/>
      <c r="L285" s="324"/>
      <c r="M285" s="324"/>
      <c r="N285" s="324"/>
      <c r="O285" s="324"/>
      <c r="P285" s="324"/>
      <c r="Q285" s="324"/>
      <c r="R285" s="324"/>
      <c r="S285" s="324"/>
      <c r="T285" s="324"/>
      <c r="U285" s="324"/>
      <c r="V285" s="324"/>
      <c r="W285" s="324"/>
      <c r="X285" s="324"/>
      <c r="Y285" s="324"/>
      <c r="Z285" s="324"/>
      <c r="AA285" s="324"/>
      <c r="AB285" s="324"/>
      <c r="AC285" s="324"/>
      <c r="AD285" s="324"/>
      <c r="AE285" s="324"/>
      <c r="AF285" s="324"/>
      <c r="AG285" s="324"/>
      <c r="AH285" s="324"/>
      <c r="AI285" s="324"/>
      <c r="AJ285" s="324"/>
      <c r="AK285" s="324"/>
      <c r="AL285" s="324"/>
      <c r="AM285" s="324"/>
      <c r="AN285" s="324"/>
      <c r="AO285" s="324"/>
      <c r="AP285" s="324"/>
      <c r="AQ285" s="324"/>
      <c r="AR285" s="324"/>
      <c r="AS285" s="324"/>
      <c r="AT285" s="324"/>
      <c r="AU285" s="324"/>
      <c r="AV285" s="324"/>
      <c r="AW285" s="324"/>
      <c r="AX285" s="324"/>
      <c r="AY285" s="324"/>
      <c r="AZ285" s="324"/>
      <c r="BA285" s="324"/>
      <c r="BB285" s="324"/>
      <c r="BC285" s="324"/>
      <c r="BD285" s="324"/>
      <c r="BE285" s="324"/>
      <c r="BF285" s="324"/>
      <c r="BG285" s="324"/>
      <c r="BH285" s="324"/>
      <c r="BI285" s="324"/>
      <c r="BJ285" s="324"/>
      <c r="BK285" s="324"/>
      <c r="BL285" s="324"/>
      <c r="BM285" s="324"/>
      <c r="BN285" s="324"/>
      <c r="BO285" s="324"/>
      <c r="BP285" s="324"/>
      <c r="BQ285" s="324"/>
      <c r="BR285" s="324"/>
      <c r="BS285" s="324"/>
      <c r="BT285" s="324"/>
      <c r="BU285" s="324"/>
      <c r="BV285" s="324"/>
      <c r="BW285" s="324"/>
      <c r="BX285" s="324"/>
      <c r="BY285" s="324"/>
      <c r="BZ285" s="324"/>
      <c r="CA285" s="324"/>
      <c r="CB285" s="324"/>
      <c r="CC285" s="324"/>
      <c r="CD285" s="324"/>
      <c r="CE285" s="324"/>
      <c r="CF285" s="324"/>
      <c r="CG285" s="324"/>
      <c r="CH285" s="324"/>
      <c r="CI285" s="324"/>
      <c r="CJ285" s="324"/>
      <c r="CK285" s="324"/>
      <c r="CL285" s="324"/>
      <c r="CM285" s="324"/>
      <c r="CN285" s="324"/>
      <c r="CO285" s="324"/>
      <c r="CP285" s="324"/>
      <c r="CQ285" s="324"/>
      <c r="CR285" s="324"/>
      <c r="CS285" s="324"/>
      <c r="CT285" s="324"/>
      <c r="CU285" s="324"/>
      <c r="CV285" s="324"/>
      <c r="CW285" s="324"/>
      <c r="CX285" s="324"/>
      <c r="CY285" s="324"/>
      <c r="CZ285" s="324"/>
      <c r="DA285" s="324"/>
      <c r="DB285" s="324"/>
      <c r="DC285" s="324"/>
      <c r="DD285" s="324"/>
      <c r="DE285" s="324"/>
      <c r="DF285" s="324"/>
      <c r="DG285" s="324"/>
      <c r="DH285" s="324"/>
      <c r="DI285" s="324"/>
      <c r="DJ285" s="324"/>
      <c r="DK285" s="324"/>
      <c r="DL285" s="324"/>
      <c r="DM285" s="324"/>
      <c r="DN285" s="324"/>
      <c r="DO285" s="324"/>
      <c r="DP285" s="324"/>
      <c r="DQ285" s="324"/>
      <c r="DR285" s="324"/>
      <c r="DS285" s="324"/>
      <c r="DT285" s="324"/>
      <c r="DU285" s="324"/>
      <c r="DV285" s="324"/>
      <c r="DW285" s="324"/>
      <c r="DX285" s="324"/>
      <c r="DY285" s="324"/>
      <c r="DZ285" s="324"/>
      <c r="EA285" s="324"/>
      <c r="EB285" s="324"/>
      <c r="EC285" s="324"/>
      <c r="ED285" s="324"/>
      <c r="EE285" s="324"/>
      <c r="EF285" s="324"/>
      <c r="EG285" s="324"/>
      <c r="EH285" s="324"/>
      <c r="EI285" s="324"/>
      <c r="EJ285" s="324"/>
      <c r="EK285" s="324"/>
      <c r="EL285" s="324"/>
      <c r="EM285" s="324"/>
      <c r="EN285" s="324"/>
      <c r="EO285" s="324"/>
      <c r="EP285" s="324"/>
      <c r="EQ285" s="324"/>
      <c r="ER285" s="324"/>
      <c r="ES285" s="324"/>
      <c r="ET285" s="324"/>
      <c r="EU285" s="324"/>
      <c r="EV285" s="324"/>
      <c r="EW285" s="324"/>
      <c r="EX285" s="324"/>
      <c r="EY285" s="324"/>
      <c r="EZ285" s="324"/>
      <c r="FA285" s="324"/>
      <c r="FB285" s="324"/>
      <c r="FC285" s="324"/>
      <c r="FD285" s="324"/>
      <c r="FE285" s="324"/>
      <c r="FF285" s="324"/>
      <c r="FG285" s="324"/>
      <c r="FH285" s="324"/>
      <c r="FI285" s="324"/>
      <c r="FJ285" s="324"/>
      <c r="FK285" s="324"/>
      <c r="FL285" s="324"/>
      <c r="FM285" s="324"/>
      <c r="FN285" s="324"/>
      <c r="FO285" s="324"/>
      <c r="FP285" s="324"/>
      <c r="FQ285" s="324"/>
      <c r="FR285" s="324"/>
      <c r="FS285" s="324"/>
      <c r="FT285" s="324"/>
      <c r="FU285" s="324"/>
      <c r="FV285" s="324"/>
      <c r="FW285" s="324"/>
      <c r="FX285" s="324"/>
      <c r="FY285" s="324"/>
      <c r="FZ285" s="324"/>
      <c r="GA285" s="324"/>
      <c r="GB285" s="324"/>
      <c r="GC285" s="324"/>
      <c r="GD285" s="324"/>
      <c r="GE285" s="324"/>
      <c r="GF285" s="324"/>
    </row>
    <row r="286" spans="2:188" s="158" customFormat="1">
      <c r="B286" s="353">
        <v>280</v>
      </c>
      <c r="C286" s="376" t="s">
        <v>249</v>
      </c>
      <c r="D286" s="376" t="s">
        <v>346</v>
      </c>
      <c r="E286" s="376" t="s">
        <v>347</v>
      </c>
      <c r="F286" s="376" t="s">
        <v>348</v>
      </c>
      <c r="G286" s="378">
        <v>8</v>
      </c>
      <c r="H286" s="377">
        <v>128000</v>
      </c>
      <c r="I286" s="354">
        <f t="shared" si="5"/>
        <v>27200</v>
      </c>
      <c r="J286" s="355"/>
      <c r="K286" s="324"/>
      <c r="L286" s="324"/>
      <c r="M286" s="324"/>
      <c r="N286" s="324"/>
      <c r="O286" s="324"/>
      <c r="P286" s="324"/>
      <c r="Q286" s="324"/>
      <c r="R286" s="324"/>
      <c r="S286" s="324"/>
      <c r="T286" s="324"/>
      <c r="U286" s="324"/>
      <c r="V286" s="324"/>
      <c r="W286" s="324"/>
      <c r="X286" s="324"/>
      <c r="Y286" s="324"/>
      <c r="Z286" s="324"/>
      <c r="AA286" s="324"/>
      <c r="AB286" s="324"/>
      <c r="AC286" s="324"/>
      <c r="AD286" s="324"/>
      <c r="AE286" s="324"/>
      <c r="AF286" s="324"/>
      <c r="AG286" s="324"/>
      <c r="AH286" s="324"/>
      <c r="AI286" s="324"/>
      <c r="AJ286" s="324"/>
      <c r="AK286" s="324"/>
      <c r="AL286" s="324"/>
      <c r="AM286" s="324"/>
      <c r="AN286" s="324"/>
      <c r="AO286" s="324"/>
      <c r="AP286" s="324"/>
      <c r="AQ286" s="324"/>
      <c r="AR286" s="324"/>
      <c r="AS286" s="324"/>
      <c r="AT286" s="324"/>
      <c r="AU286" s="324"/>
      <c r="AV286" s="324"/>
      <c r="AW286" s="324"/>
      <c r="AX286" s="324"/>
      <c r="AY286" s="324"/>
      <c r="AZ286" s="324"/>
      <c r="BA286" s="324"/>
      <c r="BB286" s="324"/>
      <c r="BC286" s="324"/>
      <c r="BD286" s="324"/>
      <c r="BE286" s="324"/>
      <c r="BF286" s="324"/>
      <c r="BG286" s="324"/>
      <c r="BH286" s="324"/>
      <c r="BI286" s="324"/>
      <c r="BJ286" s="324"/>
      <c r="BK286" s="324"/>
      <c r="BL286" s="324"/>
      <c r="BM286" s="324"/>
      <c r="BN286" s="324"/>
      <c r="BO286" s="324"/>
      <c r="BP286" s="324"/>
      <c r="BQ286" s="324"/>
      <c r="BR286" s="324"/>
      <c r="BS286" s="324"/>
      <c r="BT286" s="324"/>
      <c r="BU286" s="324"/>
      <c r="BV286" s="324"/>
      <c r="BW286" s="324"/>
      <c r="BX286" s="324"/>
      <c r="BY286" s="324"/>
      <c r="BZ286" s="324"/>
      <c r="CA286" s="324"/>
      <c r="CB286" s="324"/>
      <c r="CC286" s="324"/>
      <c r="CD286" s="324"/>
      <c r="CE286" s="324"/>
      <c r="CF286" s="324"/>
      <c r="CG286" s="324"/>
      <c r="CH286" s="324"/>
      <c r="CI286" s="324"/>
      <c r="CJ286" s="324"/>
      <c r="CK286" s="324"/>
      <c r="CL286" s="324"/>
      <c r="CM286" s="324"/>
      <c r="CN286" s="324"/>
      <c r="CO286" s="324"/>
      <c r="CP286" s="324"/>
      <c r="CQ286" s="324"/>
      <c r="CR286" s="324"/>
      <c r="CS286" s="324"/>
      <c r="CT286" s="324"/>
      <c r="CU286" s="324"/>
      <c r="CV286" s="324"/>
      <c r="CW286" s="324"/>
      <c r="CX286" s="324"/>
      <c r="CY286" s="324"/>
      <c r="CZ286" s="324"/>
      <c r="DA286" s="324"/>
      <c r="DB286" s="324"/>
      <c r="DC286" s="324"/>
      <c r="DD286" s="324"/>
      <c r="DE286" s="324"/>
      <c r="DF286" s="324"/>
      <c r="DG286" s="324"/>
      <c r="DH286" s="324"/>
      <c r="DI286" s="324"/>
      <c r="DJ286" s="324"/>
      <c r="DK286" s="324"/>
      <c r="DL286" s="324"/>
      <c r="DM286" s="324"/>
      <c r="DN286" s="324"/>
      <c r="DO286" s="324"/>
      <c r="DP286" s="324"/>
      <c r="DQ286" s="324"/>
      <c r="DR286" s="324"/>
      <c r="DS286" s="324"/>
      <c r="DT286" s="324"/>
      <c r="DU286" s="324"/>
      <c r="DV286" s="324"/>
      <c r="DW286" s="324"/>
      <c r="DX286" s="324"/>
      <c r="DY286" s="324"/>
      <c r="DZ286" s="324"/>
      <c r="EA286" s="324"/>
      <c r="EB286" s="324"/>
      <c r="EC286" s="324"/>
      <c r="ED286" s="324"/>
      <c r="EE286" s="324"/>
      <c r="EF286" s="324"/>
      <c r="EG286" s="324"/>
      <c r="EH286" s="324"/>
      <c r="EI286" s="324"/>
      <c r="EJ286" s="324"/>
      <c r="EK286" s="324"/>
      <c r="EL286" s="324"/>
      <c r="EM286" s="324"/>
      <c r="EN286" s="324"/>
      <c r="EO286" s="324"/>
      <c r="EP286" s="324"/>
      <c r="EQ286" s="324"/>
      <c r="ER286" s="324"/>
      <c r="ES286" s="324"/>
      <c r="ET286" s="324"/>
      <c r="EU286" s="324"/>
      <c r="EV286" s="324"/>
      <c r="EW286" s="324"/>
      <c r="EX286" s="324"/>
      <c r="EY286" s="324"/>
      <c r="EZ286" s="324"/>
      <c r="FA286" s="324"/>
      <c r="FB286" s="324"/>
      <c r="FC286" s="324"/>
      <c r="FD286" s="324"/>
      <c r="FE286" s="324"/>
      <c r="FF286" s="324"/>
      <c r="FG286" s="324"/>
      <c r="FH286" s="324"/>
      <c r="FI286" s="324"/>
      <c r="FJ286" s="324"/>
      <c r="FK286" s="324"/>
      <c r="FL286" s="324"/>
      <c r="FM286" s="324"/>
      <c r="FN286" s="324"/>
      <c r="FO286" s="324"/>
      <c r="FP286" s="324"/>
      <c r="FQ286" s="324"/>
      <c r="FR286" s="324"/>
      <c r="FS286" s="324"/>
      <c r="FT286" s="324"/>
      <c r="FU286" s="324"/>
      <c r="FV286" s="324"/>
      <c r="FW286" s="324"/>
      <c r="FX286" s="324"/>
      <c r="FY286" s="324"/>
      <c r="FZ286" s="324"/>
      <c r="GA286" s="324"/>
      <c r="GB286" s="324"/>
      <c r="GC286" s="324"/>
      <c r="GD286" s="324"/>
      <c r="GE286" s="324"/>
      <c r="GF286" s="324"/>
    </row>
    <row r="287" spans="2:188" s="158" customFormat="1">
      <c r="B287" s="353">
        <v>281</v>
      </c>
      <c r="C287" s="376" t="s">
        <v>249</v>
      </c>
      <c r="D287" s="376" t="s">
        <v>346</v>
      </c>
      <c r="E287" s="376" t="s">
        <v>347</v>
      </c>
      <c r="F287" s="376" t="s">
        <v>348</v>
      </c>
      <c r="G287" s="378">
        <v>8</v>
      </c>
      <c r="H287" s="377">
        <v>128000</v>
      </c>
      <c r="I287" s="354">
        <f t="shared" si="5"/>
        <v>27200</v>
      </c>
      <c r="J287" s="355"/>
      <c r="K287" s="324"/>
      <c r="L287" s="324"/>
      <c r="M287" s="324"/>
      <c r="N287" s="324"/>
      <c r="O287" s="324"/>
      <c r="P287" s="324"/>
      <c r="Q287" s="324"/>
      <c r="R287" s="324"/>
      <c r="S287" s="324"/>
      <c r="T287" s="324"/>
      <c r="U287" s="324"/>
      <c r="V287" s="324"/>
      <c r="W287" s="324"/>
      <c r="X287" s="324"/>
      <c r="Y287" s="324"/>
      <c r="Z287" s="324"/>
      <c r="AA287" s="324"/>
      <c r="AB287" s="324"/>
      <c r="AC287" s="324"/>
      <c r="AD287" s="324"/>
      <c r="AE287" s="324"/>
      <c r="AF287" s="324"/>
      <c r="AG287" s="324"/>
      <c r="AH287" s="324"/>
      <c r="AI287" s="324"/>
      <c r="AJ287" s="324"/>
      <c r="AK287" s="324"/>
      <c r="AL287" s="324"/>
      <c r="AM287" s="324"/>
      <c r="AN287" s="324"/>
      <c r="AO287" s="324"/>
      <c r="AP287" s="324"/>
      <c r="AQ287" s="324"/>
      <c r="AR287" s="324"/>
      <c r="AS287" s="324"/>
      <c r="AT287" s="324"/>
      <c r="AU287" s="324"/>
      <c r="AV287" s="324"/>
      <c r="AW287" s="324"/>
      <c r="AX287" s="324"/>
      <c r="AY287" s="324"/>
      <c r="AZ287" s="324"/>
      <c r="BA287" s="324"/>
      <c r="BB287" s="324"/>
      <c r="BC287" s="324"/>
      <c r="BD287" s="324"/>
      <c r="BE287" s="324"/>
      <c r="BF287" s="324"/>
      <c r="BG287" s="324"/>
      <c r="BH287" s="324"/>
      <c r="BI287" s="324"/>
      <c r="BJ287" s="324"/>
      <c r="BK287" s="324"/>
      <c r="BL287" s="324"/>
      <c r="BM287" s="324"/>
      <c r="BN287" s="324"/>
      <c r="BO287" s="324"/>
      <c r="BP287" s="324"/>
      <c r="BQ287" s="324"/>
      <c r="BR287" s="324"/>
      <c r="BS287" s="324"/>
      <c r="BT287" s="324"/>
      <c r="BU287" s="324"/>
      <c r="BV287" s="324"/>
      <c r="BW287" s="324"/>
      <c r="BX287" s="324"/>
      <c r="BY287" s="324"/>
      <c r="BZ287" s="324"/>
      <c r="CA287" s="324"/>
      <c r="CB287" s="324"/>
      <c r="CC287" s="324"/>
      <c r="CD287" s="324"/>
      <c r="CE287" s="324"/>
      <c r="CF287" s="324"/>
      <c r="CG287" s="324"/>
      <c r="CH287" s="324"/>
      <c r="CI287" s="324"/>
      <c r="CJ287" s="324"/>
      <c r="CK287" s="324"/>
      <c r="CL287" s="324"/>
      <c r="CM287" s="324"/>
      <c r="CN287" s="324"/>
      <c r="CO287" s="324"/>
      <c r="CP287" s="324"/>
      <c r="CQ287" s="324"/>
      <c r="CR287" s="324"/>
      <c r="CS287" s="324"/>
      <c r="CT287" s="324"/>
      <c r="CU287" s="324"/>
      <c r="CV287" s="324"/>
      <c r="CW287" s="324"/>
      <c r="CX287" s="324"/>
      <c r="CY287" s="324"/>
      <c r="CZ287" s="324"/>
      <c r="DA287" s="324"/>
      <c r="DB287" s="324"/>
      <c r="DC287" s="324"/>
      <c r="DD287" s="324"/>
      <c r="DE287" s="324"/>
      <c r="DF287" s="324"/>
      <c r="DG287" s="324"/>
      <c r="DH287" s="324"/>
      <c r="DI287" s="324"/>
      <c r="DJ287" s="324"/>
      <c r="DK287" s="324"/>
      <c r="DL287" s="324"/>
      <c r="DM287" s="324"/>
      <c r="DN287" s="324"/>
      <c r="DO287" s="324"/>
      <c r="DP287" s="324"/>
      <c r="DQ287" s="324"/>
      <c r="DR287" s="324"/>
      <c r="DS287" s="324"/>
      <c r="DT287" s="324"/>
      <c r="DU287" s="324"/>
      <c r="DV287" s="324"/>
      <c r="DW287" s="324"/>
      <c r="DX287" s="324"/>
      <c r="DY287" s="324"/>
      <c r="DZ287" s="324"/>
      <c r="EA287" s="324"/>
      <c r="EB287" s="324"/>
      <c r="EC287" s="324"/>
      <c r="ED287" s="324"/>
      <c r="EE287" s="324"/>
      <c r="EF287" s="324"/>
      <c r="EG287" s="324"/>
      <c r="EH287" s="324"/>
      <c r="EI287" s="324"/>
      <c r="EJ287" s="324"/>
      <c r="EK287" s="324"/>
      <c r="EL287" s="324"/>
      <c r="EM287" s="324"/>
      <c r="EN287" s="324"/>
      <c r="EO287" s="324"/>
      <c r="EP287" s="324"/>
      <c r="EQ287" s="324"/>
      <c r="ER287" s="324"/>
      <c r="ES287" s="324"/>
      <c r="ET287" s="324"/>
      <c r="EU287" s="324"/>
      <c r="EV287" s="324"/>
      <c r="EW287" s="324"/>
      <c r="EX287" s="324"/>
      <c r="EY287" s="324"/>
      <c r="EZ287" s="324"/>
      <c r="FA287" s="324"/>
      <c r="FB287" s="324"/>
      <c r="FC287" s="324"/>
      <c r="FD287" s="324"/>
      <c r="FE287" s="324"/>
      <c r="FF287" s="324"/>
      <c r="FG287" s="324"/>
      <c r="FH287" s="324"/>
      <c r="FI287" s="324"/>
      <c r="FJ287" s="324"/>
      <c r="FK287" s="324"/>
      <c r="FL287" s="324"/>
      <c r="FM287" s="324"/>
      <c r="FN287" s="324"/>
      <c r="FO287" s="324"/>
      <c r="FP287" s="324"/>
      <c r="FQ287" s="324"/>
      <c r="FR287" s="324"/>
      <c r="FS287" s="324"/>
      <c r="FT287" s="324"/>
      <c r="FU287" s="324"/>
      <c r="FV287" s="324"/>
      <c r="FW287" s="324"/>
      <c r="FX287" s="324"/>
      <c r="FY287" s="324"/>
      <c r="FZ287" s="324"/>
      <c r="GA287" s="324"/>
      <c r="GB287" s="324"/>
      <c r="GC287" s="324"/>
      <c r="GD287" s="324"/>
      <c r="GE287" s="324"/>
      <c r="GF287" s="324"/>
    </row>
    <row r="288" spans="2:188" s="158" customFormat="1">
      <c r="B288" s="353">
        <v>282</v>
      </c>
      <c r="C288" s="376" t="s">
        <v>233</v>
      </c>
      <c r="D288" s="376" t="s">
        <v>349</v>
      </c>
      <c r="E288" s="376" t="s">
        <v>350</v>
      </c>
      <c r="F288" s="376" t="s">
        <v>348</v>
      </c>
      <c r="G288" s="378">
        <v>2</v>
      </c>
      <c r="H288" s="377">
        <v>32000</v>
      </c>
      <c r="I288" s="354">
        <f t="shared" si="5"/>
        <v>6800</v>
      </c>
      <c r="J288" s="355"/>
      <c r="K288" s="324"/>
      <c r="L288" s="324"/>
      <c r="M288" s="324"/>
      <c r="N288" s="324"/>
      <c r="O288" s="324"/>
      <c r="P288" s="324"/>
      <c r="Q288" s="324"/>
      <c r="R288" s="324"/>
      <c r="S288" s="324"/>
      <c r="T288" s="324"/>
      <c r="U288" s="324"/>
      <c r="V288" s="324"/>
      <c r="W288" s="324"/>
      <c r="X288" s="324"/>
      <c r="Y288" s="324"/>
      <c r="Z288" s="324"/>
      <c r="AA288" s="324"/>
      <c r="AB288" s="324"/>
      <c r="AC288" s="324"/>
      <c r="AD288" s="324"/>
      <c r="AE288" s="324"/>
      <c r="AF288" s="324"/>
      <c r="AG288" s="324"/>
      <c r="AH288" s="324"/>
      <c r="AI288" s="324"/>
      <c r="AJ288" s="324"/>
      <c r="AK288" s="324"/>
      <c r="AL288" s="324"/>
      <c r="AM288" s="324"/>
      <c r="AN288" s="324"/>
      <c r="AO288" s="324"/>
      <c r="AP288" s="324"/>
      <c r="AQ288" s="324"/>
      <c r="AR288" s="324"/>
      <c r="AS288" s="324"/>
      <c r="AT288" s="324"/>
      <c r="AU288" s="324"/>
      <c r="AV288" s="324"/>
      <c r="AW288" s="324"/>
      <c r="AX288" s="324"/>
      <c r="AY288" s="324"/>
      <c r="AZ288" s="324"/>
      <c r="BA288" s="324"/>
      <c r="BB288" s="324"/>
      <c r="BC288" s="324"/>
      <c r="BD288" s="324"/>
      <c r="BE288" s="324"/>
      <c r="BF288" s="324"/>
      <c r="BG288" s="324"/>
      <c r="BH288" s="324"/>
      <c r="BI288" s="324"/>
      <c r="BJ288" s="324"/>
      <c r="BK288" s="324"/>
      <c r="BL288" s="324"/>
      <c r="BM288" s="324"/>
      <c r="BN288" s="324"/>
      <c r="BO288" s="324"/>
      <c r="BP288" s="324"/>
      <c r="BQ288" s="324"/>
      <c r="BR288" s="324"/>
      <c r="BS288" s="324"/>
      <c r="BT288" s="324"/>
      <c r="BU288" s="324"/>
      <c r="BV288" s="324"/>
      <c r="BW288" s="324"/>
      <c r="BX288" s="324"/>
      <c r="BY288" s="324"/>
      <c r="BZ288" s="324"/>
      <c r="CA288" s="324"/>
      <c r="CB288" s="324"/>
      <c r="CC288" s="324"/>
      <c r="CD288" s="324"/>
      <c r="CE288" s="324"/>
      <c r="CF288" s="324"/>
      <c r="CG288" s="324"/>
      <c r="CH288" s="324"/>
      <c r="CI288" s="324"/>
      <c r="CJ288" s="324"/>
      <c r="CK288" s="324"/>
      <c r="CL288" s="324"/>
      <c r="CM288" s="324"/>
      <c r="CN288" s="324"/>
      <c r="CO288" s="324"/>
      <c r="CP288" s="324"/>
      <c r="CQ288" s="324"/>
      <c r="CR288" s="324"/>
      <c r="CS288" s="324"/>
      <c r="CT288" s="324"/>
      <c r="CU288" s="324"/>
      <c r="CV288" s="324"/>
      <c r="CW288" s="324"/>
      <c r="CX288" s="324"/>
      <c r="CY288" s="324"/>
      <c r="CZ288" s="324"/>
      <c r="DA288" s="324"/>
      <c r="DB288" s="324"/>
      <c r="DC288" s="324"/>
      <c r="DD288" s="324"/>
      <c r="DE288" s="324"/>
      <c r="DF288" s="324"/>
      <c r="DG288" s="324"/>
      <c r="DH288" s="324"/>
      <c r="DI288" s="324"/>
      <c r="DJ288" s="324"/>
      <c r="DK288" s="324"/>
      <c r="DL288" s="324"/>
      <c r="DM288" s="324"/>
      <c r="DN288" s="324"/>
      <c r="DO288" s="324"/>
      <c r="DP288" s="324"/>
      <c r="DQ288" s="324"/>
      <c r="DR288" s="324"/>
      <c r="DS288" s="324"/>
      <c r="DT288" s="324"/>
      <c r="DU288" s="324"/>
      <c r="DV288" s="324"/>
      <c r="DW288" s="324"/>
      <c r="DX288" s="324"/>
      <c r="DY288" s="324"/>
      <c r="DZ288" s="324"/>
      <c r="EA288" s="324"/>
      <c r="EB288" s="324"/>
      <c r="EC288" s="324"/>
      <c r="ED288" s="324"/>
      <c r="EE288" s="324"/>
      <c r="EF288" s="324"/>
      <c r="EG288" s="324"/>
      <c r="EH288" s="324"/>
      <c r="EI288" s="324"/>
      <c r="EJ288" s="324"/>
      <c r="EK288" s="324"/>
      <c r="EL288" s="324"/>
      <c r="EM288" s="324"/>
      <c r="EN288" s="324"/>
      <c r="EO288" s="324"/>
      <c r="EP288" s="324"/>
      <c r="EQ288" s="324"/>
      <c r="ER288" s="324"/>
      <c r="ES288" s="324"/>
      <c r="ET288" s="324"/>
      <c r="EU288" s="324"/>
      <c r="EV288" s="324"/>
      <c r="EW288" s="324"/>
      <c r="EX288" s="324"/>
      <c r="EY288" s="324"/>
      <c r="EZ288" s="324"/>
      <c r="FA288" s="324"/>
      <c r="FB288" s="324"/>
      <c r="FC288" s="324"/>
      <c r="FD288" s="324"/>
      <c r="FE288" s="324"/>
      <c r="FF288" s="324"/>
      <c r="FG288" s="324"/>
      <c r="FH288" s="324"/>
      <c r="FI288" s="324"/>
      <c r="FJ288" s="324"/>
      <c r="FK288" s="324"/>
      <c r="FL288" s="324"/>
      <c r="FM288" s="324"/>
      <c r="FN288" s="324"/>
      <c r="FO288" s="324"/>
      <c r="FP288" s="324"/>
      <c r="FQ288" s="324"/>
      <c r="FR288" s="324"/>
      <c r="FS288" s="324"/>
      <c r="FT288" s="324"/>
      <c r="FU288" s="324"/>
      <c r="FV288" s="324"/>
      <c r="FW288" s="324"/>
      <c r="FX288" s="324"/>
      <c r="FY288" s="324"/>
      <c r="FZ288" s="324"/>
      <c r="GA288" s="324"/>
      <c r="GB288" s="324"/>
      <c r="GC288" s="324"/>
      <c r="GD288" s="324"/>
      <c r="GE288" s="324"/>
      <c r="GF288" s="324"/>
    </row>
    <row r="289" spans="2:188" s="158" customFormat="1">
      <c r="B289" s="353">
        <v>283</v>
      </c>
      <c r="C289" s="376" t="s">
        <v>249</v>
      </c>
      <c r="D289" s="376" t="s">
        <v>346</v>
      </c>
      <c r="E289" s="376" t="s">
        <v>347</v>
      </c>
      <c r="F289" s="376" t="s">
        <v>348</v>
      </c>
      <c r="G289" s="378">
        <v>4</v>
      </c>
      <c r="H289" s="377">
        <v>64000</v>
      </c>
      <c r="I289" s="354">
        <f t="shared" si="5"/>
        <v>13600</v>
      </c>
      <c r="J289" s="355"/>
      <c r="K289" s="324"/>
      <c r="L289" s="324"/>
      <c r="M289" s="324"/>
      <c r="N289" s="324"/>
      <c r="O289" s="324"/>
      <c r="P289" s="324"/>
      <c r="Q289" s="324"/>
      <c r="R289" s="324"/>
      <c r="S289" s="324"/>
      <c r="T289" s="324"/>
      <c r="U289" s="324"/>
      <c r="V289" s="324"/>
      <c r="W289" s="324"/>
      <c r="X289" s="324"/>
      <c r="Y289" s="324"/>
      <c r="Z289" s="324"/>
      <c r="AA289" s="324"/>
      <c r="AB289" s="324"/>
      <c r="AC289" s="324"/>
      <c r="AD289" s="324"/>
      <c r="AE289" s="324"/>
      <c r="AF289" s="324"/>
      <c r="AG289" s="324"/>
      <c r="AH289" s="324"/>
      <c r="AI289" s="324"/>
      <c r="AJ289" s="324"/>
      <c r="AK289" s="324"/>
      <c r="AL289" s="324"/>
      <c r="AM289" s="324"/>
      <c r="AN289" s="324"/>
      <c r="AO289" s="324"/>
      <c r="AP289" s="324"/>
      <c r="AQ289" s="324"/>
      <c r="AR289" s="324"/>
      <c r="AS289" s="324"/>
      <c r="AT289" s="324"/>
      <c r="AU289" s="324"/>
      <c r="AV289" s="324"/>
      <c r="AW289" s="324"/>
      <c r="AX289" s="324"/>
      <c r="AY289" s="324"/>
      <c r="AZ289" s="324"/>
      <c r="BA289" s="324"/>
      <c r="BB289" s="324"/>
      <c r="BC289" s="324"/>
      <c r="BD289" s="324"/>
      <c r="BE289" s="324"/>
      <c r="BF289" s="324"/>
      <c r="BG289" s="324"/>
      <c r="BH289" s="324"/>
      <c r="BI289" s="324"/>
      <c r="BJ289" s="324"/>
      <c r="BK289" s="324"/>
      <c r="BL289" s="324"/>
      <c r="BM289" s="324"/>
      <c r="BN289" s="324"/>
      <c r="BO289" s="324"/>
      <c r="BP289" s="324"/>
      <c r="BQ289" s="324"/>
      <c r="BR289" s="324"/>
      <c r="BS289" s="324"/>
      <c r="BT289" s="324"/>
      <c r="BU289" s="324"/>
      <c r="BV289" s="324"/>
      <c r="BW289" s="324"/>
      <c r="BX289" s="324"/>
      <c r="BY289" s="324"/>
      <c r="BZ289" s="324"/>
      <c r="CA289" s="324"/>
      <c r="CB289" s="324"/>
      <c r="CC289" s="324"/>
      <c r="CD289" s="324"/>
      <c r="CE289" s="324"/>
      <c r="CF289" s="324"/>
      <c r="CG289" s="324"/>
      <c r="CH289" s="324"/>
      <c r="CI289" s="324"/>
      <c r="CJ289" s="324"/>
      <c r="CK289" s="324"/>
      <c r="CL289" s="324"/>
      <c r="CM289" s="324"/>
      <c r="CN289" s="324"/>
      <c r="CO289" s="324"/>
      <c r="CP289" s="324"/>
      <c r="CQ289" s="324"/>
      <c r="CR289" s="324"/>
      <c r="CS289" s="324"/>
      <c r="CT289" s="324"/>
      <c r="CU289" s="324"/>
      <c r="CV289" s="324"/>
      <c r="CW289" s="324"/>
      <c r="CX289" s="324"/>
      <c r="CY289" s="324"/>
      <c r="CZ289" s="324"/>
      <c r="DA289" s="324"/>
      <c r="DB289" s="324"/>
      <c r="DC289" s="324"/>
      <c r="DD289" s="324"/>
      <c r="DE289" s="324"/>
      <c r="DF289" s="324"/>
      <c r="DG289" s="324"/>
      <c r="DH289" s="324"/>
      <c r="DI289" s="324"/>
      <c r="DJ289" s="324"/>
      <c r="DK289" s="324"/>
      <c r="DL289" s="324"/>
      <c r="DM289" s="324"/>
      <c r="DN289" s="324"/>
      <c r="DO289" s="324"/>
      <c r="DP289" s="324"/>
      <c r="DQ289" s="324"/>
      <c r="DR289" s="324"/>
      <c r="DS289" s="324"/>
      <c r="DT289" s="324"/>
      <c r="DU289" s="324"/>
      <c r="DV289" s="324"/>
      <c r="DW289" s="324"/>
      <c r="DX289" s="324"/>
      <c r="DY289" s="324"/>
      <c r="DZ289" s="324"/>
      <c r="EA289" s="324"/>
      <c r="EB289" s="324"/>
      <c r="EC289" s="324"/>
      <c r="ED289" s="324"/>
      <c r="EE289" s="324"/>
      <c r="EF289" s="324"/>
      <c r="EG289" s="324"/>
      <c r="EH289" s="324"/>
      <c r="EI289" s="324"/>
      <c r="EJ289" s="324"/>
      <c r="EK289" s="324"/>
      <c r="EL289" s="324"/>
      <c r="EM289" s="324"/>
      <c r="EN289" s="324"/>
      <c r="EO289" s="324"/>
      <c r="EP289" s="324"/>
      <c r="EQ289" s="324"/>
      <c r="ER289" s="324"/>
      <c r="ES289" s="324"/>
      <c r="ET289" s="324"/>
      <c r="EU289" s="324"/>
      <c r="EV289" s="324"/>
      <c r="EW289" s="324"/>
      <c r="EX289" s="324"/>
      <c r="EY289" s="324"/>
      <c r="EZ289" s="324"/>
      <c r="FA289" s="324"/>
      <c r="FB289" s="324"/>
      <c r="FC289" s="324"/>
      <c r="FD289" s="324"/>
      <c r="FE289" s="324"/>
      <c r="FF289" s="324"/>
      <c r="FG289" s="324"/>
      <c r="FH289" s="324"/>
      <c r="FI289" s="324"/>
      <c r="FJ289" s="324"/>
      <c r="FK289" s="324"/>
      <c r="FL289" s="324"/>
      <c r="FM289" s="324"/>
      <c r="FN289" s="324"/>
      <c r="FO289" s="324"/>
      <c r="FP289" s="324"/>
      <c r="FQ289" s="324"/>
      <c r="FR289" s="324"/>
      <c r="FS289" s="324"/>
      <c r="FT289" s="324"/>
      <c r="FU289" s="324"/>
      <c r="FV289" s="324"/>
      <c r="FW289" s="324"/>
      <c r="FX289" s="324"/>
      <c r="FY289" s="324"/>
      <c r="FZ289" s="324"/>
      <c r="GA289" s="324"/>
      <c r="GB289" s="324"/>
      <c r="GC289" s="324"/>
      <c r="GD289" s="324"/>
      <c r="GE289" s="324"/>
      <c r="GF289" s="324"/>
    </row>
    <row r="290" spans="2:188" s="158" customFormat="1">
      <c r="B290" s="353">
        <v>284</v>
      </c>
      <c r="C290" s="376" t="s">
        <v>249</v>
      </c>
      <c r="D290" s="376" t="s">
        <v>346</v>
      </c>
      <c r="E290" s="376" t="s">
        <v>347</v>
      </c>
      <c r="F290" s="376" t="s">
        <v>348</v>
      </c>
      <c r="G290" s="378">
        <v>6</v>
      </c>
      <c r="H290" s="377">
        <v>96000</v>
      </c>
      <c r="I290" s="354">
        <f t="shared" si="5"/>
        <v>20400</v>
      </c>
      <c r="J290" s="355"/>
      <c r="K290" s="324"/>
      <c r="L290" s="324"/>
      <c r="M290" s="324"/>
      <c r="N290" s="324"/>
      <c r="O290" s="324"/>
      <c r="P290" s="324"/>
      <c r="Q290" s="324"/>
      <c r="R290" s="324"/>
      <c r="S290" s="324"/>
      <c r="T290" s="324"/>
      <c r="U290" s="324"/>
      <c r="V290" s="324"/>
      <c r="W290" s="324"/>
      <c r="X290" s="324"/>
      <c r="Y290" s="324"/>
      <c r="Z290" s="324"/>
      <c r="AA290" s="324"/>
      <c r="AB290" s="324"/>
      <c r="AC290" s="324"/>
      <c r="AD290" s="324"/>
      <c r="AE290" s="324"/>
      <c r="AF290" s="324"/>
      <c r="AG290" s="324"/>
      <c r="AH290" s="324"/>
      <c r="AI290" s="324"/>
      <c r="AJ290" s="324"/>
      <c r="AK290" s="324"/>
      <c r="AL290" s="324"/>
      <c r="AM290" s="324"/>
      <c r="AN290" s="324"/>
      <c r="AO290" s="324"/>
      <c r="AP290" s="324"/>
      <c r="AQ290" s="324"/>
      <c r="AR290" s="324"/>
      <c r="AS290" s="324"/>
      <c r="AT290" s="324"/>
      <c r="AU290" s="324"/>
      <c r="AV290" s="324"/>
      <c r="AW290" s="324"/>
      <c r="AX290" s="324"/>
      <c r="AY290" s="324"/>
      <c r="AZ290" s="324"/>
      <c r="BA290" s="324"/>
      <c r="BB290" s="324"/>
      <c r="BC290" s="324"/>
      <c r="BD290" s="324"/>
      <c r="BE290" s="324"/>
      <c r="BF290" s="324"/>
      <c r="BG290" s="324"/>
      <c r="BH290" s="324"/>
      <c r="BI290" s="324"/>
      <c r="BJ290" s="324"/>
      <c r="BK290" s="324"/>
      <c r="BL290" s="324"/>
      <c r="BM290" s="324"/>
      <c r="BN290" s="324"/>
      <c r="BO290" s="324"/>
      <c r="BP290" s="324"/>
      <c r="BQ290" s="324"/>
      <c r="BR290" s="324"/>
      <c r="BS290" s="324"/>
      <c r="BT290" s="324"/>
      <c r="BU290" s="324"/>
      <c r="BV290" s="324"/>
      <c r="BW290" s="324"/>
      <c r="BX290" s="324"/>
      <c r="BY290" s="324"/>
      <c r="BZ290" s="324"/>
      <c r="CA290" s="324"/>
      <c r="CB290" s="324"/>
      <c r="CC290" s="324"/>
      <c r="CD290" s="324"/>
      <c r="CE290" s="324"/>
      <c r="CF290" s="324"/>
      <c r="CG290" s="324"/>
      <c r="CH290" s="324"/>
      <c r="CI290" s="324"/>
      <c r="CJ290" s="324"/>
      <c r="CK290" s="324"/>
      <c r="CL290" s="324"/>
      <c r="CM290" s="324"/>
      <c r="CN290" s="324"/>
      <c r="CO290" s="324"/>
      <c r="CP290" s="324"/>
      <c r="CQ290" s="324"/>
      <c r="CR290" s="324"/>
      <c r="CS290" s="324"/>
      <c r="CT290" s="324"/>
      <c r="CU290" s="324"/>
      <c r="CV290" s="324"/>
      <c r="CW290" s="324"/>
      <c r="CX290" s="324"/>
      <c r="CY290" s="324"/>
      <c r="CZ290" s="324"/>
      <c r="DA290" s="324"/>
      <c r="DB290" s="324"/>
      <c r="DC290" s="324"/>
      <c r="DD290" s="324"/>
      <c r="DE290" s="324"/>
      <c r="DF290" s="324"/>
      <c r="DG290" s="324"/>
      <c r="DH290" s="324"/>
      <c r="DI290" s="324"/>
      <c r="DJ290" s="324"/>
      <c r="DK290" s="324"/>
      <c r="DL290" s="324"/>
      <c r="DM290" s="324"/>
      <c r="DN290" s="324"/>
      <c r="DO290" s="324"/>
      <c r="DP290" s="324"/>
      <c r="DQ290" s="324"/>
      <c r="DR290" s="324"/>
      <c r="DS290" s="324"/>
      <c r="DT290" s="324"/>
      <c r="DU290" s="324"/>
      <c r="DV290" s="324"/>
      <c r="DW290" s="324"/>
      <c r="DX290" s="324"/>
      <c r="DY290" s="324"/>
      <c r="DZ290" s="324"/>
      <c r="EA290" s="324"/>
      <c r="EB290" s="324"/>
      <c r="EC290" s="324"/>
      <c r="ED290" s="324"/>
      <c r="EE290" s="324"/>
      <c r="EF290" s="324"/>
      <c r="EG290" s="324"/>
      <c r="EH290" s="324"/>
      <c r="EI290" s="324"/>
      <c r="EJ290" s="324"/>
      <c r="EK290" s="324"/>
      <c r="EL290" s="324"/>
      <c r="EM290" s="324"/>
      <c r="EN290" s="324"/>
      <c r="EO290" s="324"/>
      <c r="EP290" s="324"/>
      <c r="EQ290" s="324"/>
      <c r="ER290" s="324"/>
      <c r="ES290" s="324"/>
      <c r="ET290" s="324"/>
      <c r="EU290" s="324"/>
      <c r="EV290" s="324"/>
      <c r="EW290" s="324"/>
      <c r="EX290" s="324"/>
      <c r="EY290" s="324"/>
      <c r="EZ290" s="324"/>
      <c r="FA290" s="324"/>
      <c r="FB290" s="324"/>
      <c r="FC290" s="324"/>
      <c r="FD290" s="324"/>
      <c r="FE290" s="324"/>
      <c r="FF290" s="324"/>
      <c r="FG290" s="324"/>
      <c r="FH290" s="324"/>
      <c r="FI290" s="324"/>
      <c r="FJ290" s="324"/>
      <c r="FK290" s="324"/>
      <c r="FL290" s="324"/>
      <c r="FM290" s="324"/>
      <c r="FN290" s="324"/>
      <c r="FO290" s="324"/>
      <c r="FP290" s="324"/>
      <c r="FQ290" s="324"/>
      <c r="FR290" s="324"/>
      <c r="FS290" s="324"/>
      <c r="FT290" s="324"/>
      <c r="FU290" s="324"/>
      <c r="FV290" s="324"/>
      <c r="FW290" s="324"/>
      <c r="FX290" s="324"/>
      <c r="FY290" s="324"/>
      <c r="FZ290" s="324"/>
      <c r="GA290" s="324"/>
      <c r="GB290" s="324"/>
      <c r="GC290" s="324"/>
      <c r="GD290" s="324"/>
      <c r="GE290" s="324"/>
      <c r="GF290" s="324"/>
    </row>
    <row r="291" spans="2:188" s="158" customFormat="1">
      <c r="B291" s="353">
        <v>285</v>
      </c>
      <c r="C291" s="376" t="s">
        <v>233</v>
      </c>
      <c r="D291" s="376" t="s">
        <v>349</v>
      </c>
      <c r="E291" s="376" t="s">
        <v>350</v>
      </c>
      <c r="F291" s="376" t="s">
        <v>348</v>
      </c>
      <c r="G291" s="378">
        <v>2</v>
      </c>
      <c r="H291" s="377">
        <v>32000</v>
      </c>
      <c r="I291" s="354">
        <f t="shared" si="5"/>
        <v>6800</v>
      </c>
      <c r="J291" s="355"/>
      <c r="K291" s="324"/>
      <c r="L291" s="324"/>
      <c r="M291" s="324"/>
      <c r="N291" s="324"/>
      <c r="O291" s="324"/>
      <c r="P291" s="324"/>
      <c r="Q291" s="324"/>
      <c r="R291" s="324"/>
      <c r="S291" s="324"/>
      <c r="T291" s="324"/>
      <c r="U291" s="324"/>
      <c r="V291" s="324"/>
      <c r="W291" s="324"/>
      <c r="X291" s="324"/>
      <c r="Y291" s="324"/>
      <c r="Z291" s="324"/>
      <c r="AA291" s="324"/>
      <c r="AB291" s="324"/>
      <c r="AC291" s="324"/>
      <c r="AD291" s="324"/>
      <c r="AE291" s="324"/>
      <c r="AF291" s="324"/>
      <c r="AG291" s="324"/>
      <c r="AH291" s="324"/>
      <c r="AI291" s="324"/>
      <c r="AJ291" s="324"/>
      <c r="AK291" s="324"/>
      <c r="AL291" s="324"/>
      <c r="AM291" s="324"/>
      <c r="AN291" s="324"/>
      <c r="AO291" s="324"/>
      <c r="AP291" s="324"/>
      <c r="AQ291" s="324"/>
      <c r="AR291" s="324"/>
      <c r="AS291" s="324"/>
      <c r="AT291" s="324"/>
      <c r="AU291" s="324"/>
      <c r="AV291" s="324"/>
      <c r="AW291" s="324"/>
      <c r="AX291" s="324"/>
      <c r="AY291" s="324"/>
      <c r="AZ291" s="324"/>
      <c r="BA291" s="324"/>
      <c r="BB291" s="324"/>
      <c r="BC291" s="324"/>
      <c r="BD291" s="324"/>
      <c r="BE291" s="324"/>
      <c r="BF291" s="324"/>
      <c r="BG291" s="324"/>
      <c r="BH291" s="324"/>
      <c r="BI291" s="324"/>
      <c r="BJ291" s="324"/>
      <c r="BK291" s="324"/>
      <c r="BL291" s="324"/>
      <c r="BM291" s="324"/>
      <c r="BN291" s="324"/>
      <c r="BO291" s="324"/>
      <c r="BP291" s="324"/>
      <c r="BQ291" s="324"/>
      <c r="BR291" s="324"/>
      <c r="BS291" s="324"/>
      <c r="BT291" s="324"/>
      <c r="BU291" s="324"/>
      <c r="BV291" s="324"/>
      <c r="BW291" s="324"/>
      <c r="BX291" s="324"/>
      <c r="BY291" s="324"/>
      <c r="BZ291" s="324"/>
      <c r="CA291" s="324"/>
      <c r="CB291" s="324"/>
      <c r="CC291" s="324"/>
      <c r="CD291" s="324"/>
      <c r="CE291" s="324"/>
      <c r="CF291" s="324"/>
      <c r="CG291" s="324"/>
      <c r="CH291" s="324"/>
      <c r="CI291" s="324"/>
      <c r="CJ291" s="324"/>
      <c r="CK291" s="324"/>
      <c r="CL291" s="324"/>
      <c r="CM291" s="324"/>
      <c r="CN291" s="324"/>
      <c r="CO291" s="324"/>
      <c r="CP291" s="324"/>
      <c r="CQ291" s="324"/>
      <c r="CR291" s="324"/>
      <c r="CS291" s="324"/>
      <c r="CT291" s="324"/>
      <c r="CU291" s="324"/>
      <c r="CV291" s="324"/>
      <c r="CW291" s="324"/>
      <c r="CX291" s="324"/>
      <c r="CY291" s="324"/>
      <c r="CZ291" s="324"/>
      <c r="DA291" s="324"/>
      <c r="DB291" s="324"/>
      <c r="DC291" s="324"/>
      <c r="DD291" s="324"/>
      <c r="DE291" s="324"/>
      <c r="DF291" s="324"/>
      <c r="DG291" s="324"/>
      <c r="DH291" s="324"/>
      <c r="DI291" s="324"/>
      <c r="DJ291" s="324"/>
      <c r="DK291" s="324"/>
      <c r="DL291" s="324"/>
      <c r="DM291" s="324"/>
      <c r="DN291" s="324"/>
      <c r="DO291" s="324"/>
      <c r="DP291" s="324"/>
      <c r="DQ291" s="324"/>
      <c r="DR291" s="324"/>
      <c r="DS291" s="324"/>
      <c r="DT291" s="324"/>
      <c r="DU291" s="324"/>
      <c r="DV291" s="324"/>
      <c r="DW291" s="324"/>
      <c r="DX291" s="324"/>
      <c r="DY291" s="324"/>
      <c r="DZ291" s="324"/>
      <c r="EA291" s="324"/>
      <c r="EB291" s="324"/>
      <c r="EC291" s="324"/>
      <c r="ED291" s="324"/>
      <c r="EE291" s="324"/>
      <c r="EF291" s="324"/>
      <c r="EG291" s="324"/>
      <c r="EH291" s="324"/>
      <c r="EI291" s="324"/>
      <c r="EJ291" s="324"/>
      <c r="EK291" s="324"/>
      <c r="EL291" s="324"/>
      <c r="EM291" s="324"/>
      <c r="EN291" s="324"/>
      <c r="EO291" s="324"/>
      <c r="EP291" s="324"/>
      <c r="EQ291" s="324"/>
      <c r="ER291" s="324"/>
      <c r="ES291" s="324"/>
      <c r="ET291" s="324"/>
      <c r="EU291" s="324"/>
      <c r="EV291" s="324"/>
      <c r="EW291" s="324"/>
      <c r="EX291" s="324"/>
      <c r="EY291" s="324"/>
      <c r="EZ291" s="324"/>
      <c r="FA291" s="324"/>
      <c r="FB291" s="324"/>
      <c r="FC291" s="324"/>
      <c r="FD291" s="324"/>
      <c r="FE291" s="324"/>
      <c r="FF291" s="324"/>
      <c r="FG291" s="324"/>
      <c r="FH291" s="324"/>
      <c r="FI291" s="324"/>
      <c r="FJ291" s="324"/>
      <c r="FK291" s="324"/>
      <c r="FL291" s="324"/>
      <c r="FM291" s="324"/>
      <c r="FN291" s="324"/>
      <c r="FO291" s="324"/>
      <c r="FP291" s="324"/>
      <c r="FQ291" s="324"/>
      <c r="FR291" s="324"/>
      <c r="FS291" s="324"/>
      <c r="FT291" s="324"/>
      <c r="FU291" s="324"/>
      <c r="FV291" s="324"/>
      <c r="FW291" s="324"/>
      <c r="FX291" s="324"/>
      <c r="FY291" s="324"/>
      <c r="FZ291" s="324"/>
      <c r="GA291" s="324"/>
      <c r="GB291" s="324"/>
      <c r="GC291" s="324"/>
      <c r="GD291" s="324"/>
      <c r="GE291" s="324"/>
      <c r="GF291" s="324"/>
    </row>
    <row r="292" spans="2:188" s="158" customFormat="1">
      <c r="B292" s="353">
        <v>286</v>
      </c>
      <c r="C292" s="376" t="s">
        <v>233</v>
      </c>
      <c r="D292" s="376" t="s">
        <v>349</v>
      </c>
      <c r="E292" s="376" t="s">
        <v>350</v>
      </c>
      <c r="F292" s="376" t="s">
        <v>348</v>
      </c>
      <c r="G292" s="378">
        <v>3</v>
      </c>
      <c r="H292" s="377">
        <v>48000</v>
      </c>
      <c r="I292" s="354">
        <f t="shared" si="5"/>
        <v>10200</v>
      </c>
      <c r="J292" s="355"/>
      <c r="K292" s="324"/>
      <c r="L292" s="324"/>
      <c r="M292" s="324"/>
      <c r="N292" s="324"/>
      <c r="O292" s="324"/>
      <c r="P292" s="324"/>
      <c r="Q292" s="324"/>
      <c r="R292" s="324"/>
      <c r="S292" s="324"/>
      <c r="T292" s="324"/>
      <c r="U292" s="324"/>
      <c r="V292" s="324"/>
      <c r="W292" s="324"/>
      <c r="X292" s="324"/>
      <c r="Y292" s="324"/>
      <c r="Z292" s="324"/>
      <c r="AA292" s="324"/>
      <c r="AB292" s="324"/>
      <c r="AC292" s="324"/>
      <c r="AD292" s="324"/>
      <c r="AE292" s="324"/>
      <c r="AF292" s="324"/>
      <c r="AG292" s="324"/>
      <c r="AH292" s="324"/>
      <c r="AI292" s="324"/>
      <c r="AJ292" s="324"/>
      <c r="AK292" s="324"/>
      <c r="AL292" s="324"/>
      <c r="AM292" s="324"/>
      <c r="AN292" s="324"/>
      <c r="AO292" s="324"/>
      <c r="AP292" s="324"/>
      <c r="AQ292" s="324"/>
      <c r="AR292" s="324"/>
      <c r="AS292" s="324"/>
      <c r="AT292" s="324"/>
      <c r="AU292" s="324"/>
      <c r="AV292" s="324"/>
      <c r="AW292" s="324"/>
      <c r="AX292" s="324"/>
      <c r="AY292" s="324"/>
      <c r="AZ292" s="324"/>
      <c r="BA292" s="324"/>
      <c r="BB292" s="324"/>
      <c r="BC292" s="324"/>
      <c r="BD292" s="324"/>
      <c r="BE292" s="324"/>
      <c r="BF292" s="324"/>
      <c r="BG292" s="324"/>
      <c r="BH292" s="324"/>
      <c r="BI292" s="324"/>
      <c r="BJ292" s="324"/>
      <c r="BK292" s="324"/>
      <c r="BL292" s="324"/>
      <c r="BM292" s="324"/>
      <c r="BN292" s="324"/>
      <c r="BO292" s="324"/>
      <c r="BP292" s="324"/>
      <c r="BQ292" s="324"/>
      <c r="BR292" s="324"/>
      <c r="BS292" s="324"/>
      <c r="BT292" s="324"/>
      <c r="BU292" s="324"/>
      <c r="BV292" s="324"/>
      <c r="BW292" s="324"/>
      <c r="BX292" s="324"/>
      <c r="BY292" s="324"/>
      <c r="BZ292" s="324"/>
      <c r="CA292" s="324"/>
      <c r="CB292" s="324"/>
      <c r="CC292" s="324"/>
      <c r="CD292" s="324"/>
      <c r="CE292" s="324"/>
      <c r="CF292" s="324"/>
      <c r="CG292" s="324"/>
      <c r="CH292" s="324"/>
      <c r="CI292" s="324"/>
      <c r="CJ292" s="324"/>
      <c r="CK292" s="324"/>
      <c r="CL292" s="324"/>
      <c r="CM292" s="324"/>
      <c r="CN292" s="324"/>
      <c r="CO292" s="324"/>
      <c r="CP292" s="324"/>
      <c r="CQ292" s="324"/>
      <c r="CR292" s="324"/>
      <c r="CS292" s="324"/>
      <c r="CT292" s="324"/>
      <c r="CU292" s="324"/>
      <c r="CV292" s="324"/>
      <c r="CW292" s="324"/>
      <c r="CX292" s="324"/>
      <c r="CY292" s="324"/>
      <c r="CZ292" s="324"/>
      <c r="DA292" s="324"/>
      <c r="DB292" s="324"/>
      <c r="DC292" s="324"/>
      <c r="DD292" s="324"/>
      <c r="DE292" s="324"/>
      <c r="DF292" s="324"/>
      <c r="DG292" s="324"/>
      <c r="DH292" s="324"/>
      <c r="DI292" s="324"/>
      <c r="DJ292" s="324"/>
      <c r="DK292" s="324"/>
      <c r="DL292" s="324"/>
      <c r="DM292" s="324"/>
      <c r="DN292" s="324"/>
      <c r="DO292" s="324"/>
      <c r="DP292" s="324"/>
      <c r="DQ292" s="324"/>
      <c r="DR292" s="324"/>
      <c r="DS292" s="324"/>
      <c r="DT292" s="324"/>
      <c r="DU292" s="324"/>
      <c r="DV292" s="324"/>
      <c r="DW292" s="324"/>
      <c r="DX292" s="324"/>
      <c r="DY292" s="324"/>
      <c r="DZ292" s="324"/>
      <c r="EA292" s="324"/>
      <c r="EB292" s="324"/>
      <c r="EC292" s="324"/>
      <c r="ED292" s="324"/>
      <c r="EE292" s="324"/>
      <c r="EF292" s="324"/>
      <c r="EG292" s="324"/>
      <c r="EH292" s="324"/>
      <c r="EI292" s="324"/>
      <c r="EJ292" s="324"/>
      <c r="EK292" s="324"/>
      <c r="EL292" s="324"/>
      <c r="EM292" s="324"/>
      <c r="EN292" s="324"/>
      <c r="EO292" s="324"/>
      <c r="EP292" s="324"/>
      <c r="EQ292" s="324"/>
      <c r="ER292" s="324"/>
      <c r="ES292" s="324"/>
      <c r="ET292" s="324"/>
      <c r="EU292" s="324"/>
      <c r="EV292" s="324"/>
      <c r="EW292" s="324"/>
      <c r="EX292" s="324"/>
      <c r="EY292" s="324"/>
      <c r="EZ292" s="324"/>
      <c r="FA292" s="324"/>
      <c r="FB292" s="324"/>
      <c r="FC292" s="324"/>
      <c r="FD292" s="324"/>
      <c r="FE292" s="324"/>
      <c r="FF292" s="324"/>
      <c r="FG292" s="324"/>
      <c r="FH292" s="324"/>
      <c r="FI292" s="324"/>
      <c r="FJ292" s="324"/>
      <c r="FK292" s="324"/>
      <c r="FL292" s="324"/>
      <c r="FM292" s="324"/>
      <c r="FN292" s="324"/>
      <c r="FO292" s="324"/>
      <c r="FP292" s="324"/>
      <c r="FQ292" s="324"/>
      <c r="FR292" s="324"/>
      <c r="FS292" s="324"/>
      <c r="FT292" s="324"/>
      <c r="FU292" s="324"/>
      <c r="FV292" s="324"/>
      <c r="FW292" s="324"/>
      <c r="FX292" s="324"/>
      <c r="FY292" s="324"/>
      <c r="FZ292" s="324"/>
      <c r="GA292" s="324"/>
      <c r="GB292" s="324"/>
      <c r="GC292" s="324"/>
      <c r="GD292" s="324"/>
      <c r="GE292" s="324"/>
      <c r="GF292" s="324"/>
    </row>
    <row r="293" spans="2:188" s="158" customFormat="1">
      <c r="B293" s="353">
        <v>287</v>
      </c>
      <c r="C293" s="376" t="s">
        <v>200</v>
      </c>
      <c r="D293" s="376" t="s">
        <v>351</v>
      </c>
      <c r="E293" s="376" t="s">
        <v>352</v>
      </c>
      <c r="F293" s="376" t="s">
        <v>348</v>
      </c>
      <c r="G293" s="378">
        <v>1</v>
      </c>
      <c r="H293" s="377">
        <v>16000</v>
      </c>
      <c r="I293" s="354">
        <f t="shared" si="5"/>
        <v>3400</v>
      </c>
      <c r="J293" s="355"/>
      <c r="K293" s="324"/>
      <c r="L293" s="324"/>
      <c r="M293" s="324"/>
      <c r="N293" s="324"/>
      <c r="O293" s="324"/>
      <c r="P293" s="324"/>
      <c r="Q293" s="324"/>
      <c r="R293" s="324"/>
      <c r="S293" s="324"/>
      <c r="T293" s="324"/>
      <c r="U293" s="324"/>
      <c r="V293" s="324"/>
      <c r="W293" s="324"/>
      <c r="X293" s="324"/>
      <c r="Y293" s="324"/>
      <c r="Z293" s="324"/>
      <c r="AA293" s="324"/>
      <c r="AB293" s="324"/>
      <c r="AC293" s="324"/>
      <c r="AD293" s="324"/>
      <c r="AE293" s="324"/>
      <c r="AF293" s="324"/>
      <c r="AG293" s="324"/>
      <c r="AH293" s="324"/>
      <c r="AI293" s="324"/>
      <c r="AJ293" s="324"/>
      <c r="AK293" s="324"/>
      <c r="AL293" s="324"/>
      <c r="AM293" s="324"/>
      <c r="AN293" s="324"/>
      <c r="AO293" s="324"/>
      <c r="AP293" s="324"/>
      <c r="AQ293" s="324"/>
      <c r="AR293" s="324"/>
      <c r="AS293" s="324"/>
      <c r="AT293" s="324"/>
      <c r="AU293" s="324"/>
      <c r="AV293" s="324"/>
      <c r="AW293" s="324"/>
      <c r="AX293" s="324"/>
      <c r="AY293" s="324"/>
      <c r="AZ293" s="324"/>
      <c r="BA293" s="324"/>
      <c r="BB293" s="324"/>
      <c r="BC293" s="324"/>
      <c r="BD293" s="324"/>
      <c r="BE293" s="324"/>
      <c r="BF293" s="324"/>
      <c r="BG293" s="324"/>
      <c r="BH293" s="324"/>
      <c r="BI293" s="324"/>
      <c r="BJ293" s="324"/>
      <c r="BK293" s="324"/>
      <c r="BL293" s="324"/>
      <c r="BM293" s="324"/>
      <c r="BN293" s="324"/>
      <c r="BO293" s="324"/>
      <c r="BP293" s="324"/>
      <c r="BQ293" s="324"/>
      <c r="BR293" s="324"/>
      <c r="BS293" s="324"/>
      <c r="BT293" s="324"/>
      <c r="BU293" s="324"/>
      <c r="BV293" s="324"/>
      <c r="BW293" s="324"/>
      <c r="BX293" s="324"/>
      <c r="BY293" s="324"/>
      <c r="BZ293" s="324"/>
      <c r="CA293" s="324"/>
      <c r="CB293" s="324"/>
      <c r="CC293" s="324"/>
      <c r="CD293" s="324"/>
      <c r="CE293" s="324"/>
      <c r="CF293" s="324"/>
      <c r="CG293" s="324"/>
      <c r="CH293" s="324"/>
      <c r="CI293" s="324"/>
      <c r="CJ293" s="324"/>
      <c r="CK293" s="324"/>
      <c r="CL293" s="324"/>
      <c r="CM293" s="324"/>
      <c r="CN293" s="324"/>
      <c r="CO293" s="324"/>
      <c r="CP293" s="324"/>
      <c r="CQ293" s="324"/>
      <c r="CR293" s="324"/>
      <c r="CS293" s="324"/>
      <c r="CT293" s="324"/>
      <c r="CU293" s="324"/>
      <c r="CV293" s="324"/>
      <c r="CW293" s="324"/>
      <c r="CX293" s="324"/>
      <c r="CY293" s="324"/>
      <c r="CZ293" s="324"/>
      <c r="DA293" s="324"/>
      <c r="DB293" s="324"/>
      <c r="DC293" s="324"/>
      <c r="DD293" s="324"/>
      <c r="DE293" s="324"/>
      <c r="DF293" s="324"/>
      <c r="DG293" s="324"/>
      <c r="DH293" s="324"/>
      <c r="DI293" s="324"/>
      <c r="DJ293" s="324"/>
      <c r="DK293" s="324"/>
      <c r="DL293" s="324"/>
      <c r="DM293" s="324"/>
      <c r="DN293" s="324"/>
      <c r="DO293" s="324"/>
      <c r="DP293" s="324"/>
      <c r="DQ293" s="324"/>
      <c r="DR293" s="324"/>
      <c r="DS293" s="324"/>
      <c r="DT293" s="324"/>
      <c r="DU293" s="324"/>
      <c r="DV293" s="324"/>
      <c r="DW293" s="324"/>
      <c r="DX293" s="324"/>
      <c r="DY293" s="324"/>
      <c r="DZ293" s="324"/>
      <c r="EA293" s="324"/>
      <c r="EB293" s="324"/>
      <c r="EC293" s="324"/>
      <c r="ED293" s="324"/>
      <c r="EE293" s="324"/>
      <c r="EF293" s="324"/>
      <c r="EG293" s="324"/>
      <c r="EH293" s="324"/>
      <c r="EI293" s="324"/>
      <c r="EJ293" s="324"/>
      <c r="EK293" s="324"/>
      <c r="EL293" s="324"/>
      <c r="EM293" s="324"/>
      <c r="EN293" s="324"/>
      <c r="EO293" s="324"/>
      <c r="EP293" s="324"/>
      <c r="EQ293" s="324"/>
      <c r="ER293" s="324"/>
      <c r="ES293" s="324"/>
      <c r="ET293" s="324"/>
      <c r="EU293" s="324"/>
      <c r="EV293" s="324"/>
      <c r="EW293" s="324"/>
      <c r="EX293" s="324"/>
      <c r="EY293" s="324"/>
      <c r="EZ293" s="324"/>
      <c r="FA293" s="324"/>
      <c r="FB293" s="324"/>
      <c r="FC293" s="324"/>
      <c r="FD293" s="324"/>
      <c r="FE293" s="324"/>
      <c r="FF293" s="324"/>
      <c r="FG293" s="324"/>
      <c r="FH293" s="324"/>
      <c r="FI293" s="324"/>
      <c r="FJ293" s="324"/>
      <c r="FK293" s="324"/>
      <c r="FL293" s="324"/>
      <c r="FM293" s="324"/>
      <c r="FN293" s="324"/>
      <c r="FO293" s="324"/>
      <c r="FP293" s="324"/>
      <c r="FQ293" s="324"/>
      <c r="FR293" s="324"/>
      <c r="FS293" s="324"/>
      <c r="FT293" s="324"/>
      <c r="FU293" s="324"/>
      <c r="FV293" s="324"/>
      <c r="FW293" s="324"/>
      <c r="FX293" s="324"/>
      <c r="FY293" s="324"/>
      <c r="FZ293" s="324"/>
      <c r="GA293" s="324"/>
      <c r="GB293" s="324"/>
      <c r="GC293" s="324"/>
      <c r="GD293" s="324"/>
      <c r="GE293" s="324"/>
      <c r="GF293" s="324"/>
    </row>
    <row r="294" spans="2:188" s="158" customFormat="1">
      <c r="B294" s="353">
        <v>288</v>
      </c>
      <c r="C294" s="376" t="s">
        <v>212</v>
      </c>
      <c r="D294" s="376" t="s">
        <v>353</v>
      </c>
      <c r="E294" s="376" t="s">
        <v>147</v>
      </c>
      <c r="F294" s="376" t="s">
        <v>348</v>
      </c>
      <c r="G294" s="378">
        <v>2</v>
      </c>
      <c r="H294" s="377">
        <v>32000</v>
      </c>
      <c r="I294" s="354">
        <f t="shared" si="5"/>
        <v>6800</v>
      </c>
      <c r="J294" s="355"/>
      <c r="K294" s="324"/>
      <c r="L294" s="324"/>
      <c r="M294" s="324"/>
      <c r="N294" s="324"/>
      <c r="O294" s="324"/>
      <c r="P294" s="324"/>
      <c r="Q294" s="324"/>
      <c r="R294" s="324"/>
      <c r="S294" s="324"/>
      <c r="T294" s="324"/>
      <c r="U294" s="324"/>
      <c r="V294" s="324"/>
      <c r="W294" s="324"/>
      <c r="X294" s="324"/>
      <c r="Y294" s="324"/>
      <c r="Z294" s="324"/>
      <c r="AA294" s="324"/>
      <c r="AB294" s="324"/>
      <c r="AC294" s="324"/>
      <c r="AD294" s="324"/>
      <c r="AE294" s="324"/>
      <c r="AF294" s="324"/>
      <c r="AG294" s="324"/>
      <c r="AH294" s="324"/>
      <c r="AI294" s="324"/>
      <c r="AJ294" s="324"/>
      <c r="AK294" s="324"/>
      <c r="AL294" s="324"/>
      <c r="AM294" s="324"/>
      <c r="AN294" s="324"/>
      <c r="AO294" s="324"/>
      <c r="AP294" s="324"/>
      <c r="AQ294" s="324"/>
      <c r="AR294" s="324"/>
      <c r="AS294" s="324"/>
      <c r="AT294" s="324"/>
      <c r="AU294" s="324"/>
      <c r="AV294" s="324"/>
      <c r="AW294" s="324"/>
      <c r="AX294" s="324"/>
      <c r="AY294" s="324"/>
      <c r="AZ294" s="324"/>
      <c r="BA294" s="324"/>
      <c r="BB294" s="324"/>
      <c r="BC294" s="324"/>
      <c r="BD294" s="324"/>
      <c r="BE294" s="324"/>
      <c r="BF294" s="324"/>
      <c r="BG294" s="324"/>
      <c r="BH294" s="324"/>
      <c r="BI294" s="324"/>
      <c r="BJ294" s="324"/>
      <c r="BK294" s="324"/>
      <c r="BL294" s="324"/>
      <c r="BM294" s="324"/>
      <c r="BN294" s="324"/>
      <c r="BO294" s="324"/>
      <c r="BP294" s="324"/>
      <c r="BQ294" s="324"/>
      <c r="BR294" s="324"/>
      <c r="BS294" s="324"/>
      <c r="BT294" s="324"/>
      <c r="BU294" s="324"/>
      <c r="BV294" s="324"/>
      <c r="BW294" s="324"/>
      <c r="BX294" s="324"/>
      <c r="BY294" s="324"/>
      <c r="BZ294" s="324"/>
      <c r="CA294" s="324"/>
      <c r="CB294" s="324"/>
      <c r="CC294" s="324"/>
      <c r="CD294" s="324"/>
      <c r="CE294" s="324"/>
      <c r="CF294" s="324"/>
      <c r="CG294" s="324"/>
      <c r="CH294" s="324"/>
      <c r="CI294" s="324"/>
      <c r="CJ294" s="324"/>
      <c r="CK294" s="324"/>
      <c r="CL294" s="324"/>
      <c r="CM294" s="324"/>
      <c r="CN294" s="324"/>
      <c r="CO294" s="324"/>
      <c r="CP294" s="324"/>
      <c r="CQ294" s="324"/>
      <c r="CR294" s="324"/>
      <c r="CS294" s="324"/>
      <c r="CT294" s="324"/>
      <c r="CU294" s="324"/>
      <c r="CV294" s="324"/>
      <c r="CW294" s="324"/>
      <c r="CX294" s="324"/>
      <c r="CY294" s="324"/>
      <c r="CZ294" s="324"/>
      <c r="DA294" s="324"/>
      <c r="DB294" s="324"/>
      <c r="DC294" s="324"/>
      <c r="DD294" s="324"/>
      <c r="DE294" s="324"/>
      <c r="DF294" s="324"/>
      <c r="DG294" s="324"/>
      <c r="DH294" s="324"/>
      <c r="DI294" s="324"/>
      <c r="DJ294" s="324"/>
      <c r="DK294" s="324"/>
      <c r="DL294" s="324"/>
      <c r="DM294" s="324"/>
      <c r="DN294" s="324"/>
      <c r="DO294" s="324"/>
      <c r="DP294" s="324"/>
      <c r="DQ294" s="324"/>
      <c r="DR294" s="324"/>
      <c r="DS294" s="324"/>
      <c r="DT294" s="324"/>
      <c r="DU294" s="324"/>
      <c r="DV294" s="324"/>
      <c r="DW294" s="324"/>
      <c r="DX294" s="324"/>
      <c r="DY294" s="324"/>
      <c r="DZ294" s="324"/>
      <c r="EA294" s="324"/>
      <c r="EB294" s="324"/>
      <c r="EC294" s="324"/>
      <c r="ED294" s="324"/>
      <c r="EE294" s="324"/>
      <c r="EF294" s="324"/>
      <c r="EG294" s="324"/>
      <c r="EH294" s="324"/>
      <c r="EI294" s="324"/>
      <c r="EJ294" s="324"/>
      <c r="EK294" s="324"/>
      <c r="EL294" s="324"/>
      <c r="EM294" s="324"/>
      <c r="EN294" s="324"/>
      <c r="EO294" s="324"/>
      <c r="EP294" s="324"/>
      <c r="EQ294" s="324"/>
      <c r="ER294" s="324"/>
      <c r="ES294" s="324"/>
      <c r="ET294" s="324"/>
      <c r="EU294" s="324"/>
      <c r="EV294" s="324"/>
      <c r="EW294" s="324"/>
      <c r="EX294" s="324"/>
      <c r="EY294" s="324"/>
      <c r="EZ294" s="324"/>
      <c r="FA294" s="324"/>
      <c r="FB294" s="324"/>
      <c r="FC294" s="324"/>
      <c r="FD294" s="324"/>
      <c r="FE294" s="324"/>
      <c r="FF294" s="324"/>
      <c r="FG294" s="324"/>
      <c r="FH294" s="324"/>
      <c r="FI294" s="324"/>
      <c r="FJ294" s="324"/>
      <c r="FK294" s="324"/>
      <c r="FL294" s="324"/>
      <c r="FM294" s="324"/>
      <c r="FN294" s="324"/>
      <c r="FO294" s="324"/>
      <c r="FP294" s="324"/>
      <c r="FQ294" s="324"/>
      <c r="FR294" s="324"/>
      <c r="FS294" s="324"/>
      <c r="FT294" s="324"/>
      <c r="FU294" s="324"/>
      <c r="FV294" s="324"/>
      <c r="FW294" s="324"/>
      <c r="FX294" s="324"/>
      <c r="FY294" s="324"/>
      <c r="FZ294" s="324"/>
      <c r="GA294" s="324"/>
      <c r="GB294" s="324"/>
      <c r="GC294" s="324"/>
      <c r="GD294" s="324"/>
      <c r="GE294" s="324"/>
      <c r="GF294" s="324"/>
    </row>
    <row r="295" spans="2:188" s="158" customFormat="1">
      <c r="B295" s="353">
        <v>289</v>
      </c>
      <c r="C295" s="376" t="s">
        <v>256</v>
      </c>
      <c r="D295" s="376" t="s">
        <v>354</v>
      </c>
      <c r="E295" s="376" t="s">
        <v>355</v>
      </c>
      <c r="F295" s="376" t="s">
        <v>348</v>
      </c>
      <c r="G295" s="378">
        <v>5</v>
      </c>
      <c r="H295" s="377">
        <v>80000</v>
      </c>
      <c r="I295" s="354">
        <f t="shared" si="5"/>
        <v>17000</v>
      </c>
      <c r="J295" s="355"/>
      <c r="K295" s="324"/>
      <c r="L295" s="324"/>
      <c r="M295" s="324"/>
      <c r="N295" s="324"/>
      <c r="O295" s="324"/>
      <c r="P295" s="324"/>
      <c r="Q295" s="324"/>
      <c r="R295" s="324"/>
      <c r="S295" s="324"/>
      <c r="T295" s="324"/>
      <c r="U295" s="324"/>
      <c r="V295" s="324"/>
      <c r="W295" s="324"/>
      <c r="X295" s="324"/>
      <c r="Y295" s="324"/>
      <c r="Z295" s="324"/>
      <c r="AA295" s="324"/>
      <c r="AB295" s="324"/>
      <c r="AC295" s="324"/>
      <c r="AD295" s="324"/>
      <c r="AE295" s="324"/>
      <c r="AF295" s="324"/>
      <c r="AG295" s="324"/>
      <c r="AH295" s="324"/>
      <c r="AI295" s="324"/>
      <c r="AJ295" s="324"/>
      <c r="AK295" s="324"/>
      <c r="AL295" s="324"/>
      <c r="AM295" s="324"/>
      <c r="AN295" s="324"/>
      <c r="AO295" s="324"/>
      <c r="AP295" s="324"/>
      <c r="AQ295" s="324"/>
      <c r="AR295" s="324"/>
      <c r="AS295" s="324"/>
      <c r="AT295" s="324"/>
      <c r="AU295" s="324"/>
      <c r="AV295" s="324"/>
      <c r="AW295" s="324"/>
      <c r="AX295" s="324"/>
      <c r="AY295" s="324"/>
      <c r="AZ295" s="324"/>
      <c r="BA295" s="324"/>
      <c r="BB295" s="324"/>
      <c r="BC295" s="324"/>
      <c r="BD295" s="324"/>
      <c r="BE295" s="324"/>
      <c r="BF295" s="324"/>
      <c r="BG295" s="324"/>
      <c r="BH295" s="324"/>
      <c r="BI295" s="324"/>
      <c r="BJ295" s="324"/>
      <c r="BK295" s="324"/>
      <c r="BL295" s="324"/>
      <c r="BM295" s="324"/>
      <c r="BN295" s="324"/>
      <c r="BO295" s="324"/>
      <c r="BP295" s="324"/>
      <c r="BQ295" s="324"/>
      <c r="BR295" s="324"/>
      <c r="BS295" s="324"/>
      <c r="BT295" s="324"/>
      <c r="BU295" s="324"/>
      <c r="BV295" s="324"/>
      <c r="BW295" s="324"/>
      <c r="BX295" s="324"/>
      <c r="BY295" s="324"/>
      <c r="BZ295" s="324"/>
      <c r="CA295" s="324"/>
      <c r="CB295" s="324"/>
      <c r="CC295" s="324"/>
      <c r="CD295" s="324"/>
      <c r="CE295" s="324"/>
      <c r="CF295" s="324"/>
      <c r="CG295" s="324"/>
      <c r="CH295" s="324"/>
      <c r="CI295" s="324"/>
      <c r="CJ295" s="324"/>
      <c r="CK295" s="324"/>
      <c r="CL295" s="324"/>
      <c r="CM295" s="324"/>
      <c r="CN295" s="324"/>
      <c r="CO295" s="324"/>
      <c r="CP295" s="324"/>
      <c r="CQ295" s="324"/>
      <c r="CR295" s="324"/>
      <c r="CS295" s="324"/>
      <c r="CT295" s="324"/>
      <c r="CU295" s="324"/>
      <c r="CV295" s="324"/>
      <c r="CW295" s="324"/>
      <c r="CX295" s="324"/>
      <c r="CY295" s="324"/>
      <c r="CZ295" s="324"/>
      <c r="DA295" s="324"/>
      <c r="DB295" s="324"/>
      <c r="DC295" s="324"/>
      <c r="DD295" s="324"/>
      <c r="DE295" s="324"/>
      <c r="DF295" s="324"/>
      <c r="DG295" s="324"/>
      <c r="DH295" s="324"/>
      <c r="DI295" s="324"/>
      <c r="DJ295" s="324"/>
      <c r="DK295" s="324"/>
      <c r="DL295" s="324"/>
      <c r="DM295" s="324"/>
      <c r="DN295" s="324"/>
      <c r="DO295" s="324"/>
      <c r="DP295" s="324"/>
      <c r="DQ295" s="324"/>
      <c r="DR295" s="324"/>
      <c r="DS295" s="324"/>
      <c r="DT295" s="324"/>
      <c r="DU295" s="324"/>
      <c r="DV295" s="324"/>
      <c r="DW295" s="324"/>
      <c r="DX295" s="324"/>
      <c r="DY295" s="324"/>
      <c r="DZ295" s="324"/>
      <c r="EA295" s="324"/>
      <c r="EB295" s="324"/>
      <c r="EC295" s="324"/>
      <c r="ED295" s="324"/>
      <c r="EE295" s="324"/>
      <c r="EF295" s="324"/>
      <c r="EG295" s="324"/>
      <c r="EH295" s="324"/>
      <c r="EI295" s="324"/>
      <c r="EJ295" s="324"/>
      <c r="EK295" s="324"/>
      <c r="EL295" s="324"/>
      <c r="EM295" s="324"/>
      <c r="EN295" s="324"/>
      <c r="EO295" s="324"/>
      <c r="EP295" s="324"/>
      <c r="EQ295" s="324"/>
      <c r="ER295" s="324"/>
      <c r="ES295" s="324"/>
      <c r="ET295" s="324"/>
      <c r="EU295" s="324"/>
      <c r="EV295" s="324"/>
      <c r="EW295" s="324"/>
      <c r="EX295" s="324"/>
      <c r="EY295" s="324"/>
      <c r="EZ295" s="324"/>
      <c r="FA295" s="324"/>
      <c r="FB295" s="324"/>
      <c r="FC295" s="324"/>
      <c r="FD295" s="324"/>
      <c r="FE295" s="324"/>
      <c r="FF295" s="324"/>
      <c r="FG295" s="324"/>
      <c r="FH295" s="324"/>
      <c r="FI295" s="324"/>
      <c r="FJ295" s="324"/>
      <c r="FK295" s="324"/>
      <c r="FL295" s="324"/>
      <c r="FM295" s="324"/>
      <c r="FN295" s="324"/>
      <c r="FO295" s="324"/>
      <c r="FP295" s="324"/>
      <c r="FQ295" s="324"/>
      <c r="FR295" s="324"/>
      <c r="FS295" s="324"/>
      <c r="FT295" s="324"/>
      <c r="FU295" s="324"/>
      <c r="FV295" s="324"/>
      <c r="FW295" s="324"/>
      <c r="FX295" s="324"/>
      <c r="FY295" s="324"/>
      <c r="FZ295" s="324"/>
      <c r="GA295" s="324"/>
      <c r="GB295" s="324"/>
      <c r="GC295" s="324"/>
      <c r="GD295" s="324"/>
      <c r="GE295" s="324"/>
      <c r="GF295" s="324"/>
    </row>
    <row r="296" spans="2:188" s="158" customFormat="1">
      <c r="B296" s="353">
        <v>290</v>
      </c>
      <c r="C296" s="376" t="s">
        <v>258</v>
      </c>
      <c r="D296" s="376" t="s">
        <v>356</v>
      </c>
      <c r="E296" s="376" t="s">
        <v>357</v>
      </c>
      <c r="F296" s="376" t="s">
        <v>348</v>
      </c>
      <c r="G296" s="378">
        <v>2</v>
      </c>
      <c r="H296" s="377">
        <v>32000</v>
      </c>
      <c r="I296" s="354">
        <f t="shared" si="5"/>
        <v>6800</v>
      </c>
      <c r="J296" s="355"/>
      <c r="K296" s="324"/>
      <c r="L296" s="324"/>
      <c r="M296" s="324"/>
      <c r="N296" s="324"/>
      <c r="O296" s="324"/>
      <c r="P296" s="324"/>
      <c r="Q296" s="324"/>
      <c r="R296" s="324"/>
      <c r="S296" s="324"/>
      <c r="T296" s="324"/>
      <c r="U296" s="324"/>
      <c r="V296" s="324"/>
      <c r="W296" s="324"/>
      <c r="X296" s="324"/>
      <c r="Y296" s="324"/>
      <c r="Z296" s="324"/>
      <c r="AA296" s="324"/>
      <c r="AB296" s="324"/>
      <c r="AC296" s="324"/>
      <c r="AD296" s="324"/>
      <c r="AE296" s="324"/>
      <c r="AF296" s="324"/>
      <c r="AG296" s="324"/>
      <c r="AH296" s="324"/>
      <c r="AI296" s="324"/>
      <c r="AJ296" s="324"/>
      <c r="AK296" s="324"/>
      <c r="AL296" s="324"/>
      <c r="AM296" s="324"/>
      <c r="AN296" s="324"/>
      <c r="AO296" s="324"/>
      <c r="AP296" s="324"/>
      <c r="AQ296" s="324"/>
      <c r="AR296" s="324"/>
      <c r="AS296" s="324"/>
      <c r="AT296" s="324"/>
      <c r="AU296" s="324"/>
      <c r="AV296" s="324"/>
      <c r="AW296" s="324"/>
      <c r="AX296" s="324"/>
      <c r="AY296" s="324"/>
      <c r="AZ296" s="324"/>
      <c r="BA296" s="324"/>
      <c r="BB296" s="324"/>
      <c r="BC296" s="324"/>
      <c r="BD296" s="324"/>
      <c r="BE296" s="324"/>
      <c r="BF296" s="324"/>
      <c r="BG296" s="324"/>
      <c r="BH296" s="324"/>
      <c r="BI296" s="324"/>
      <c r="BJ296" s="324"/>
      <c r="BK296" s="324"/>
      <c r="BL296" s="324"/>
      <c r="BM296" s="324"/>
      <c r="BN296" s="324"/>
      <c r="BO296" s="324"/>
      <c r="BP296" s="324"/>
      <c r="BQ296" s="324"/>
      <c r="BR296" s="324"/>
      <c r="BS296" s="324"/>
      <c r="BT296" s="324"/>
      <c r="BU296" s="324"/>
      <c r="BV296" s="324"/>
      <c r="BW296" s="324"/>
      <c r="BX296" s="324"/>
      <c r="BY296" s="324"/>
      <c r="BZ296" s="324"/>
      <c r="CA296" s="324"/>
      <c r="CB296" s="324"/>
      <c r="CC296" s="324"/>
      <c r="CD296" s="324"/>
      <c r="CE296" s="324"/>
      <c r="CF296" s="324"/>
      <c r="CG296" s="324"/>
      <c r="CH296" s="324"/>
      <c r="CI296" s="324"/>
      <c r="CJ296" s="324"/>
      <c r="CK296" s="324"/>
      <c r="CL296" s="324"/>
      <c r="CM296" s="324"/>
      <c r="CN296" s="324"/>
      <c r="CO296" s="324"/>
      <c r="CP296" s="324"/>
      <c r="CQ296" s="324"/>
      <c r="CR296" s="324"/>
      <c r="CS296" s="324"/>
      <c r="CT296" s="324"/>
      <c r="CU296" s="324"/>
      <c r="CV296" s="324"/>
      <c r="CW296" s="324"/>
      <c r="CX296" s="324"/>
      <c r="CY296" s="324"/>
      <c r="CZ296" s="324"/>
      <c r="DA296" s="324"/>
      <c r="DB296" s="324"/>
      <c r="DC296" s="324"/>
      <c r="DD296" s="324"/>
      <c r="DE296" s="324"/>
      <c r="DF296" s="324"/>
      <c r="DG296" s="324"/>
      <c r="DH296" s="324"/>
      <c r="DI296" s="324"/>
      <c r="DJ296" s="324"/>
      <c r="DK296" s="324"/>
      <c r="DL296" s="324"/>
      <c r="DM296" s="324"/>
      <c r="DN296" s="324"/>
      <c r="DO296" s="324"/>
      <c r="DP296" s="324"/>
      <c r="DQ296" s="324"/>
      <c r="DR296" s="324"/>
      <c r="DS296" s="324"/>
      <c r="DT296" s="324"/>
      <c r="DU296" s="324"/>
      <c r="DV296" s="324"/>
      <c r="DW296" s="324"/>
      <c r="DX296" s="324"/>
      <c r="DY296" s="324"/>
      <c r="DZ296" s="324"/>
      <c r="EA296" s="324"/>
      <c r="EB296" s="324"/>
      <c r="EC296" s="324"/>
      <c r="ED296" s="324"/>
      <c r="EE296" s="324"/>
      <c r="EF296" s="324"/>
      <c r="EG296" s="324"/>
      <c r="EH296" s="324"/>
      <c r="EI296" s="324"/>
      <c r="EJ296" s="324"/>
      <c r="EK296" s="324"/>
      <c r="EL296" s="324"/>
      <c r="EM296" s="324"/>
      <c r="EN296" s="324"/>
      <c r="EO296" s="324"/>
      <c r="EP296" s="324"/>
      <c r="EQ296" s="324"/>
      <c r="ER296" s="324"/>
      <c r="ES296" s="324"/>
      <c r="ET296" s="324"/>
      <c r="EU296" s="324"/>
      <c r="EV296" s="324"/>
      <c r="EW296" s="324"/>
      <c r="EX296" s="324"/>
      <c r="EY296" s="324"/>
      <c r="EZ296" s="324"/>
      <c r="FA296" s="324"/>
      <c r="FB296" s="324"/>
      <c r="FC296" s="324"/>
      <c r="FD296" s="324"/>
      <c r="FE296" s="324"/>
      <c r="FF296" s="324"/>
      <c r="FG296" s="324"/>
      <c r="FH296" s="324"/>
      <c r="FI296" s="324"/>
      <c r="FJ296" s="324"/>
      <c r="FK296" s="324"/>
      <c r="FL296" s="324"/>
      <c r="FM296" s="324"/>
      <c r="FN296" s="324"/>
      <c r="FO296" s="324"/>
      <c r="FP296" s="324"/>
      <c r="FQ296" s="324"/>
      <c r="FR296" s="324"/>
      <c r="FS296" s="324"/>
      <c r="FT296" s="324"/>
      <c r="FU296" s="324"/>
      <c r="FV296" s="324"/>
      <c r="FW296" s="324"/>
      <c r="FX296" s="324"/>
      <c r="FY296" s="324"/>
      <c r="FZ296" s="324"/>
      <c r="GA296" s="324"/>
      <c r="GB296" s="324"/>
      <c r="GC296" s="324"/>
      <c r="GD296" s="324"/>
      <c r="GE296" s="324"/>
      <c r="GF296" s="324"/>
    </row>
    <row r="297" spans="2:188" s="158" customFormat="1">
      <c r="B297" s="353">
        <v>291</v>
      </c>
      <c r="C297" s="376" t="s">
        <v>256</v>
      </c>
      <c r="D297" s="376" t="s">
        <v>358</v>
      </c>
      <c r="E297" s="376" t="s">
        <v>359</v>
      </c>
      <c r="F297" s="376" t="s">
        <v>348</v>
      </c>
      <c r="G297" s="378">
        <v>2</v>
      </c>
      <c r="H297" s="377">
        <v>32000</v>
      </c>
      <c r="I297" s="354">
        <f t="shared" si="5"/>
        <v>6800</v>
      </c>
      <c r="J297" s="355"/>
      <c r="K297" s="324"/>
      <c r="L297" s="324"/>
      <c r="M297" s="324"/>
      <c r="N297" s="324"/>
      <c r="O297" s="324"/>
      <c r="P297" s="324"/>
      <c r="Q297" s="324"/>
      <c r="R297" s="324"/>
      <c r="S297" s="324"/>
      <c r="T297" s="324"/>
      <c r="U297" s="324"/>
      <c r="V297" s="324"/>
      <c r="W297" s="324"/>
      <c r="X297" s="324"/>
      <c r="Y297" s="324"/>
      <c r="Z297" s="324"/>
      <c r="AA297" s="324"/>
      <c r="AB297" s="324"/>
      <c r="AC297" s="324"/>
      <c r="AD297" s="324"/>
      <c r="AE297" s="324"/>
      <c r="AF297" s="324"/>
      <c r="AG297" s="324"/>
      <c r="AH297" s="324"/>
      <c r="AI297" s="324"/>
      <c r="AJ297" s="324"/>
      <c r="AK297" s="324"/>
      <c r="AL297" s="324"/>
      <c r="AM297" s="324"/>
      <c r="AN297" s="324"/>
      <c r="AO297" s="324"/>
      <c r="AP297" s="324"/>
      <c r="AQ297" s="324"/>
      <c r="AR297" s="324"/>
      <c r="AS297" s="324"/>
      <c r="AT297" s="324"/>
      <c r="AU297" s="324"/>
      <c r="AV297" s="324"/>
      <c r="AW297" s="324"/>
      <c r="AX297" s="324"/>
      <c r="AY297" s="324"/>
      <c r="AZ297" s="324"/>
      <c r="BA297" s="324"/>
      <c r="BB297" s="324"/>
      <c r="BC297" s="324"/>
      <c r="BD297" s="324"/>
      <c r="BE297" s="324"/>
      <c r="BF297" s="324"/>
      <c r="BG297" s="324"/>
      <c r="BH297" s="324"/>
      <c r="BI297" s="324"/>
      <c r="BJ297" s="324"/>
      <c r="BK297" s="324"/>
      <c r="BL297" s="324"/>
      <c r="BM297" s="324"/>
      <c r="BN297" s="324"/>
      <c r="BO297" s="324"/>
      <c r="BP297" s="324"/>
      <c r="BQ297" s="324"/>
      <c r="BR297" s="324"/>
      <c r="BS297" s="324"/>
      <c r="BT297" s="324"/>
      <c r="BU297" s="324"/>
      <c r="BV297" s="324"/>
      <c r="BW297" s="324"/>
      <c r="BX297" s="324"/>
      <c r="BY297" s="324"/>
      <c r="BZ297" s="324"/>
      <c r="CA297" s="324"/>
      <c r="CB297" s="324"/>
      <c r="CC297" s="324"/>
      <c r="CD297" s="324"/>
      <c r="CE297" s="324"/>
      <c r="CF297" s="324"/>
      <c r="CG297" s="324"/>
      <c r="CH297" s="324"/>
      <c r="CI297" s="324"/>
      <c r="CJ297" s="324"/>
      <c r="CK297" s="324"/>
      <c r="CL297" s="324"/>
      <c r="CM297" s="324"/>
      <c r="CN297" s="324"/>
      <c r="CO297" s="324"/>
      <c r="CP297" s="324"/>
      <c r="CQ297" s="324"/>
      <c r="CR297" s="324"/>
      <c r="CS297" s="324"/>
      <c r="CT297" s="324"/>
      <c r="CU297" s="324"/>
      <c r="CV297" s="324"/>
      <c r="CW297" s="324"/>
      <c r="CX297" s="324"/>
      <c r="CY297" s="324"/>
      <c r="CZ297" s="324"/>
      <c r="DA297" s="324"/>
      <c r="DB297" s="324"/>
      <c r="DC297" s="324"/>
      <c r="DD297" s="324"/>
      <c r="DE297" s="324"/>
      <c r="DF297" s="324"/>
      <c r="DG297" s="324"/>
      <c r="DH297" s="324"/>
      <c r="DI297" s="324"/>
      <c r="DJ297" s="324"/>
      <c r="DK297" s="324"/>
      <c r="DL297" s="324"/>
      <c r="DM297" s="324"/>
      <c r="DN297" s="324"/>
      <c r="DO297" s="324"/>
      <c r="DP297" s="324"/>
      <c r="DQ297" s="324"/>
      <c r="DR297" s="324"/>
      <c r="DS297" s="324"/>
      <c r="DT297" s="324"/>
      <c r="DU297" s="324"/>
      <c r="DV297" s="324"/>
      <c r="DW297" s="324"/>
      <c r="DX297" s="324"/>
      <c r="DY297" s="324"/>
      <c r="DZ297" s="324"/>
      <c r="EA297" s="324"/>
      <c r="EB297" s="324"/>
      <c r="EC297" s="324"/>
      <c r="ED297" s="324"/>
      <c r="EE297" s="324"/>
      <c r="EF297" s="324"/>
      <c r="EG297" s="324"/>
      <c r="EH297" s="324"/>
      <c r="EI297" s="324"/>
      <c r="EJ297" s="324"/>
      <c r="EK297" s="324"/>
      <c r="EL297" s="324"/>
      <c r="EM297" s="324"/>
      <c r="EN297" s="324"/>
      <c r="EO297" s="324"/>
      <c r="EP297" s="324"/>
      <c r="EQ297" s="324"/>
      <c r="ER297" s="324"/>
      <c r="ES297" s="324"/>
      <c r="ET297" s="324"/>
      <c r="EU297" s="324"/>
      <c r="EV297" s="324"/>
      <c r="EW297" s="324"/>
      <c r="EX297" s="324"/>
      <c r="EY297" s="324"/>
      <c r="EZ297" s="324"/>
      <c r="FA297" s="324"/>
      <c r="FB297" s="324"/>
      <c r="FC297" s="324"/>
      <c r="FD297" s="324"/>
      <c r="FE297" s="324"/>
      <c r="FF297" s="324"/>
      <c r="FG297" s="324"/>
      <c r="FH297" s="324"/>
      <c r="FI297" s="324"/>
      <c r="FJ297" s="324"/>
      <c r="FK297" s="324"/>
      <c r="FL297" s="324"/>
      <c r="FM297" s="324"/>
      <c r="FN297" s="324"/>
      <c r="FO297" s="324"/>
      <c r="FP297" s="324"/>
      <c r="FQ297" s="324"/>
      <c r="FR297" s="324"/>
      <c r="FS297" s="324"/>
      <c r="FT297" s="324"/>
      <c r="FU297" s="324"/>
      <c r="FV297" s="324"/>
      <c r="FW297" s="324"/>
      <c r="FX297" s="324"/>
      <c r="FY297" s="324"/>
      <c r="FZ297" s="324"/>
      <c r="GA297" s="324"/>
      <c r="GB297" s="324"/>
      <c r="GC297" s="324"/>
      <c r="GD297" s="324"/>
      <c r="GE297" s="324"/>
      <c r="GF297" s="324"/>
    </row>
    <row r="298" spans="2:188" s="158" customFormat="1">
      <c r="B298" s="353">
        <v>292</v>
      </c>
      <c r="C298" s="376" t="s">
        <v>233</v>
      </c>
      <c r="D298" s="376" t="s">
        <v>360</v>
      </c>
      <c r="E298" s="376" t="s">
        <v>361</v>
      </c>
      <c r="F298" s="376" t="s">
        <v>348</v>
      </c>
      <c r="G298" s="378">
        <v>1</v>
      </c>
      <c r="H298" s="377">
        <v>15500</v>
      </c>
      <c r="I298" s="354">
        <f t="shared" si="5"/>
        <v>3293.75</v>
      </c>
      <c r="J298" s="355"/>
      <c r="K298" s="324"/>
      <c r="L298" s="324"/>
      <c r="M298" s="324"/>
      <c r="N298" s="324"/>
      <c r="O298" s="324"/>
      <c r="P298" s="324"/>
      <c r="Q298" s="324"/>
      <c r="R298" s="324"/>
      <c r="S298" s="324"/>
      <c r="T298" s="324"/>
      <c r="U298" s="324"/>
      <c r="V298" s="324"/>
      <c r="W298" s="324"/>
      <c r="X298" s="324"/>
      <c r="Y298" s="324"/>
      <c r="Z298" s="324"/>
      <c r="AA298" s="324"/>
      <c r="AB298" s="324"/>
      <c r="AC298" s="324"/>
      <c r="AD298" s="324"/>
      <c r="AE298" s="324"/>
      <c r="AF298" s="324"/>
      <c r="AG298" s="324"/>
      <c r="AH298" s="324"/>
      <c r="AI298" s="324"/>
      <c r="AJ298" s="324"/>
      <c r="AK298" s="324"/>
      <c r="AL298" s="324"/>
      <c r="AM298" s="324"/>
      <c r="AN298" s="324"/>
      <c r="AO298" s="324"/>
      <c r="AP298" s="324"/>
      <c r="AQ298" s="324"/>
      <c r="AR298" s="324"/>
      <c r="AS298" s="324"/>
      <c r="AT298" s="324"/>
      <c r="AU298" s="324"/>
      <c r="AV298" s="324"/>
      <c r="AW298" s="324"/>
      <c r="AX298" s="324"/>
      <c r="AY298" s="324"/>
      <c r="AZ298" s="324"/>
      <c r="BA298" s="324"/>
      <c r="BB298" s="324"/>
      <c r="BC298" s="324"/>
      <c r="BD298" s="324"/>
      <c r="BE298" s="324"/>
      <c r="BF298" s="324"/>
      <c r="BG298" s="324"/>
      <c r="BH298" s="324"/>
      <c r="BI298" s="324"/>
      <c r="BJ298" s="324"/>
      <c r="BK298" s="324"/>
      <c r="BL298" s="324"/>
      <c r="BM298" s="324"/>
      <c r="BN298" s="324"/>
      <c r="BO298" s="324"/>
      <c r="BP298" s="324"/>
      <c r="BQ298" s="324"/>
      <c r="BR298" s="324"/>
      <c r="BS298" s="324"/>
      <c r="BT298" s="324"/>
      <c r="BU298" s="324"/>
      <c r="BV298" s="324"/>
      <c r="BW298" s="324"/>
      <c r="BX298" s="324"/>
      <c r="BY298" s="324"/>
      <c r="BZ298" s="324"/>
      <c r="CA298" s="324"/>
      <c r="CB298" s="324"/>
      <c r="CC298" s="324"/>
      <c r="CD298" s="324"/>
      <c r="CE298" s="324"/>
      <c r="CF298" s="324"/>
      <c r="CG298" s="324"/>
      <c r="CH298" s="324"/>
      <c r="CI298" s="324"/>
      <c r="CJ298" s="324"/>
      <c r="CK298" s="324"/>
      <c r="CL298" s="324"/>
      <c r="CM298" s="324"/>
      <c r="CN298" s="324"/>
      <c r="CO298" s="324"/>
      <c r="CP298" s="324"/>
      <c r="CQ298" s="324"/>
      <c r="CR298" s="324"/>
      <c r="CS298" s="324"/>
      <c r="CT298" s="324"/>
      <c r="CU298" s="324"/>
      <c r="CV298" s="324"/>
      <c r="CW298" s="324"/>
      <c r="CX298" s="324"/>
      <c r="CY298" s="324"/>
      <c r="CZ298" s="324"/>
      <c r="DA298" s="324"/>
      <c r="DB298" s="324"/>
      <c r="DC298" s="324"/>
      <c r="DD298" s="324"/>
      <c r="DE298" s="324"/>
      <c r="DF298" s="324"/>
      <c r="DG298" s="324"/>
      <c r="DH298" s="324"/>
      <c r="DI298" s="324"/>
      <c r="DJ298" s="324"/>
      <c r="DK298" s="324"/>
      <c r="DL298" s="324"/>
      <c r="DM298" s="324"/>
      <c r="DN298" s="324"/>
      <c r="DO298" s="324"/>
      <c r="DP298" s="324"/>
      <c r="DQ298" s="324"/>
      <c r="DR298" s="324"/>
      <c r="DS298" s="324"/>
      <c r="DT298" s="324"/>
      <c r="DU298" s="324"/>
      <c r="DV298" s="324"/>
      <c r="DW298" s="324"/>
      <c r="DX298" s="324"/>
      <c r="DY298" s="324"/>
      <c r="DZ298" s="324"/>
      <c r="EA298" s="324"/>
      <c r="EB298" s="324"/>
      <c r="EC298" s="324"/>
      <c r="ED298" s="324"/>
      <c r="EE298" s="324"/>
      <c r="EF298" s="324"/>
      <c r="EG298" s="324"/>
      <c r="EH298" s="324"/>
      <c r="EI298" s="324"/>
      <c r="EJ298" s="324"/>
      <c r="EK298" s="324"/>
      <c r="EL298" s="324"/>
      <c r="EM298" s="324"/>
      <c r="EN298" s="324"/>
      <c r="EO298" s="324"/>
      <c r="EP298" s="324"/>
      <c r="EQ298" s="324"/>
      <c r="ER298" s="324"/>
      <c r="ES298" s="324"/>
      <c r="ET298" s="324"/>
      <c r="EU298" s="324"/>
      <c r="EV298" s="324"/>
      <c r="EW298" s="324"/>
      <c r="EX298" s="324"/>
      <c r="EY298" s="324"/>
      <c r="EZ298" s="324"/>
      <c r="FA298" s="324"/>
      <c r="FB298" s="324"/>
      <c r="FC298" s="324"/>
      <c r="FD298" s="324"/>
      <c r="FE298" s="324"/>
      <c r="FF298" s="324"/>
      <c r="FG298" s="324"/>
      <c r="FH298" s="324"/>
      <c r="FI298" s="324"/>
      <c r="FJ298" s="324"/>
      <c r="FK298" s="324"/>
      <c r="FL298" s="324"/>
      <c r="FM298" s="324"/>
      <c r="FN298" s="324"/>
      <c r="FO298" s="324"/>
      <c r="FP298" s="324"/>
      <c r="FQ298" s="324"/>
      <c r="FR298" s="324"/>
      <c r="FS298" s="324"/>
      <c r="FT298" s="324"/>
      <c r="FU298" s="324"/>
      <c r="FV298" s="324"/>
      <c r="FW298" s="324"/>
      <c r="FX298" s="324"/>
      <c r="FY298" s="324"/>
      <c r="FZ298" s="324"/>
      <c r="GA298" s="324"/>
      <c r="GB298" s="324"/>
      <c r="GC298" s="324"/>
      <c r="GD298" s="324"/>
      <c r="GE298" s="324"/>
      <c r="GF298" s="324"/>
    </row>
    <row r="299" spans="2:188" s="158" customFormat="1">
      <c r="B299" s="353">
        <v>293</v>
      </c>
      <c r="C299" s="376" t="s">
        <v>258</v>
      </c>
      <c r="D299" s="376" t="s">
        <v>362</v>
      </c>
      <c r="E299" s="376" t="s">
        <v>363</v>
      </c>
      <c r="F299" s="376" t="s">
        <v>348</v>
      </c>
      <c r="G299" s="378">
        <v>1</v>
      </c>
      <c r="H299" s="377">
        <v>16000</v>
      </c>
      <c r="I299" s="354">
        <f t="shared" si="5"/>
        <v>3400</v>
      </c>
      <c r="J299" s="355"/>
      <c r="K299" s="324"/>
      <c r="L299" s="324"/>
      <c r="M299" s="324"/>
      <c r="N299" s="324"/>
      <c r="O299" s="324"/>
      <c r="P299" s="324"/>
      <c r="Q299" s="324"/>
      <c r="R299" s="324"/>
      <c r="S299" s="324"/>
      <c r="T299" s="324"/>
      <c r="U299" s="324"/>
      <c r="V299" s="324"/>
      <c r="W299" s="324"/>
      <c r="X299" s="324"/>
      <c r="Y299" s="324"/>
      <c r="Z299" s="324"/>
      <c r="AA299" s="324"/>
      <c r="AB299" s="324"/>
      <c r="AC299" s="324"/>
      <c r="AD299" s="324"/>
      <c r="AE299" s="324"/>
      <c r="AF299" s="324"/>
      <c r="AG299" s="324"/>
      <c r="AH299" s="324"/>
      <c r="AI299" s="324"/>
      <c r="AJ299" s="324"/>
      <c r="AK299" s="324"/>
      <c r="AL299" s="324"/>
      <c r="AM299" s="324"/>
      <c r="AN299" s="324"/>
      <c r="AO299" s="324"/>
      <c r="AP299" s="324"/>
      <c r="AQ299" s="324"/>
      <c r="AR299" s="324"/>
      <c r="AS299" s="324"/>
      <c r="AT299" s="324"/>
      <c r="AU299" s="324"/>
      <c r="AV299" s="324"/>
      <c r="AW299" s="324"/>
      <c r="AX299" s="324"/>
      <c r="AY299" s="324"/>
      <c r="AZ299" s="324"/>
      <c r="BA299" s="324"/>
      <c r="BB299" s="324"/>
      <c r="BC299" s="324"/>
      <c r="BD299" s="324"/>
      <c r="BE299" s="324"/>
      <c r="BF299" s="324"/>
      <c r="BG299" s="324"/>
      <c r="BH299" s="324"/>
      <c r="BI299" s="324"/>
      <c r="BJ299" s="324"/>
      <c r="BK299" s="324"/>
      <c r="BL299" s="324"/>
      <c r="BM299" s="324"/>
      <c r="BN299" s="324"/>
      <c r="BO299" s="324"/>
      <c r="BP299" s="324"/>
      <c r="BQ299" s="324"/>
      <c r="BR299" s="324"/>
      <c r="BS299" s="324"/>
      <c r="BT299" s="324"/>
      <c r="BU299" s="324"/>
      <c r="BV299" s="324"/>
      <c r="BW299" s="324"/>
      <c r="BX299" s="324"/>
      <c r="BY299" s="324"/>
      <c r="BZ299" s="324"/>
      <c r="CA299" s="324"/>
      <c r="CB299" s="324"/>
      <c r="CC299" s="324"/>
      <c r="CD299" s="324"/>
      <c r="CE299" s="324"/>
      <c r="CF299" s="324"/>
      <c r="CG299" s="324"/>
      <c r="CH299" s="324"/>
      <c r="CI299" s="324"/>
      <c r="CJ299" s="324"/>
      <c r="CK299" s="324"/>
      <c r="CL299" s="324"/>
      <c r="CM299" s="324"/>
      <c r="CN299" s="324"/>
      <c r="CO299" s="324"/>
      <c r="CP299" s="324"/>
      <c r="CQ299" s="324"/>
      <c r="CR299" s="324"/>
      <c r="CS299" s="324"/>
      <c r="CT299" s="324"/>
      <c r="CU299" s="324"/>
      <c r="CV299" s="324"/>
      <c r="CW299" s="324"/>
      <c r="CX299" s="324"/>
      <c r="CY299" s="324"/>
      <c r="CZ299" s="324"/>
      <c r="DA299" s="324"/>
      <c r="DB299" s="324"/>
      <c r="DC299" s="324"/>
      <c r="DD299" s="324"/>
      <c r="DE299" s="324"/>
      <c r="DF299" s="324"/>
      <c r="DG299" s="324"/>
      <c r="DH299" s="324"/>
      <c r="DI299" s="324"/>
      <c r="DJ299" s="324"/>
      <c r="DK299" s="324"/>
      <c r="DL299" s="324"/>
      <c r="DM299" s="324"/>
      <c r="DN299" s="324"/>
      <c r="DO299" s="324"/>
      <c r="DP299" s="324"/>
      <c r="DQ299" s="324"/>
      <c r="DR299" s="324"/>
      <c r="DS299" s="324"/>
      <c r="DT299" s="324"/>
      <c r="DU299" s="324"/>
      <c r="DV299" s="324"/>
      <c r="DW299" s="324"/>
      <c r="DX299" s="324"/>
      <c r="DY299" s="324"/>
      <c r="DZ299" s="324"/>
      <c r="EA299" s="324"/>
      <c r="EB299" s="324"/>
      <c r="EC299" s="324"/>
      <c r="ED299" s="324"/>
      <c r="EE299" s="324"/>
      <c r="EF299" s="324"/>
      <c r="EG299" s="324"/>
      <c r="EH299" s="324"/>
      <c r="EI299" s="324"/>
      <c r="EJ299" s="324"/>
      <c r="EK299" s="324"/>
      <c r="EL299" s="324"/>
      <c r="EM299" s="324"/>
      <c r="EN299" s="324"/>
      <c r="EO299" s="324"/>
      <c r="EP299" s="324"/>
      <c r="EQ299" s="324"/>
      <c r="ER299" s="324"/>
      <c r="ES299" s="324"/>
      <c r="ET299" s="324"/>
      <c r="EU299" s="324"/>
      <c r="EV299" s="324"/>
      <c r="EW299" s="324"/>
      <c r="EX299" s="324"/>
      <c r="EY299" s="324"/>
      <c r="EZ299" s="324"/>
      <c r="FA299" s="324"/>
      <c r="FB299" s="324"/>
      <c r="FC299" s="324"/>
      <c r="FD299" s="324"/>
      <c r="FE299" s="324"/>
      <c r="FF299" s="324"/>
      <c r="FG299" s="324"/>
      <c r="FH299" s="324"/>
      <c r="FI299" s="324"/>
      <c r="FJ299" s="324"/>
      <c r="FK299" s="324"/>
      <c r="FL299" s="324"/>
      <c r="FM299" s="324"/>
      <c r="FN299" s="324"/>
      <c r="FO299" s="324"/>
      <c r="FP299" s="324"/>
      <c r="FQ299" s="324"/>
      <c r="FR299" s="324"/>
      <c r="FS299" s="324"/>
      <c r="FT299" s="324"/>
      <c r="FU299" s="324"/>
      <c r="FV299" s="324"/>
      <c r="FW299" s="324"/>
      <c r="FX299" s="324"/>
      <c r="FY299" s="324"/>
      <c r="FZ299" s="324"/>
      <c r="GA299" s="324"/>
      <c r="GB299" s="324"/>
      <c r="GC299" s="324"/>
      <c r="GD299" s="324"/>
      <c r="GE299" s="324"/>
      <c r="GF299" s="324"/>
    </row>
    <row r="300" spans="2:188" s="158" customFormat="1">
      <c r="B300" s="353">
        <v>294</v>
      </c>
      <c r="C300" s="376" t="s">
        <v>212</v>
      </c>
      <c r="D300" s="376" t="s">
        <v>353</v>
      </c>
      <c r="E300" s="376" t="s">
        <v>147</v>
      </c>
      <c r="F300" s="376" t="s">
        <v>348</v>
      </c>
      <c r="G300" s="378">
        <v>5</v>
      </c>
      <c r="H300" s="377">
        <v>80000</v>
      </c>
      <c r="I300" s="354">
        <f t="shared" si="5"/>
        <v>17000</v>
      </c>
      <c r="J300" s="355"/>
      <c r="K300" s="324"/>
      <c r="L300" s="324"/>
      <c r="M300" s="324"/>
      <c r="N300" s="324"/>
      <c r="O300" s="324"/>
      <c r="P300" s="324"/>
      <c r="Q300" s="324"/>
      <c r="R300" s="324"/>
      <c r="S300" s="324"/>
      <c r="T300" s="324"/>
      <c r="U300" s="324"/>
      <c r="V300" s="324"/>
      <c r="W300" s="324"/>
      <c r="X300" s="324"/>
      <c r="Y300" s="324"/>
      <c r="Z300" s="324"/>
      <c r="AA300" s="324"/>
      <c r="AB300" s="324"/>
      <c r="AC300" s="324"/>
      <c r="AD300" s="324"/>
      <c r="AE300" s="324"/>
      <c r="AF300" s="324"/>
      <c r="AG300" s="324"/>
      <c r="AH300" s="324"/>
      <c r="AI300" s="324"/>
      <c r="AJ300" s="324"/>
      <c r="AK300" s="324"/>
      <c r="AL300" s="324"/>
      <c r="AM300" s="324"/>
      <c r="AN300" s="324"/>
      <c r="AO300" s="324"/>
      <c r="AP300" s="324"/>
      <c r="AQ300" s="324"/>
      <c r="AR300" s="324"/>
      <c r="AS300" s="324"/>
      <c r="AT300" s="324"/>
      <c r="AU300" s="324"/>
      <c r="AV300" s="324"/>
      <c r="AW300" s="324"/>
      <c r="AX300" s="324"/>
      <c r="AY300" s="324"/>
      <c r="AZ300" s="324"/>
      <c r="BA300" s="324"/>
      <c r="BB300" s="324"/>
      <c r="BC300" s="324"/>
      <c r="BD300" s="324"/>
      <c r="BE300" s="324"/>
      <c r="BF300" s="324"/>
      <c r="BG300" s="324"/>
      <c r="BH300" s="324"/>
      <c r="BI300" s="324"/>
      <c r="BJ300" s="324"/>
      <c r="BK300" s="324"/>
      <c r="BL300" s="324"/>
      <c r="BM300" s="324"/>
      <c r="BN300" s="324"/>
      <c r="BO300" s="324"/>
      <c r="BP300" s="324"/>
      <c r="BQ300" s="324"/>
      <c r="BR300" s="324"/>
      <c r="BS300" s="324"/>
      <c r="BT300" s="324"/>
      <c r="BU300" s="324"/>
      <c r="BV300" s="324"/>
      <c r="BW300" s="324"/>
      <c r="BX300" s="324"/>
      <c r="BY300" s="324"/>
      <c r="BZ300" s="324"/>
      <c r="CA300" s="324"/>
      <c r="CB300" s="324"/>
      <c r="CC300" s="324"/>
      <c r="CD300" s="324"/>
      <c r="CE300" s="324"/>
      <c r="CF300" s="324"/>
      <c r="CG300" s="324"/>
      <c r="CH300" s="324"/>
      <c r="CI300" s="324"/>
      <c r="CJ300" s="324"/>
      <c r="CK300" s="324"/>
      <c r="CL300" s="324"/>
      <c r="CM300" s="324"/>
      <c r="CN300" s="324"/>
      <c r="CO300" s="324"/>
      <c r="CP300" s="324"/>
      <c r="CQ300" s="324"/>
      <c r="CR300" s="324"/>
      <c r="CS300" s="324"/>
      <c r="CT300" s="324"/>
      <c r="CU300" s="324"/>
      <c r="CV300" s="324"/>
      <c r="CW300" s="324"/>
      <c r="CX300" s="324"/>
      <c r="CY300" s="324"/>
      <c r="CZ300" s="324"/>
      <c r="DA300" s="324"/>
      <c r="DB300" s="324"/>
      <c r="DC300" s="324"/>
      <c r="DD300" s="324"/>
      <c r="DE300" s="324"/>
      <c r="DF300" s="324"/>
      <c r="DG300" s="324"/>
      <c r="DH300" s="324"/>
      <c r="DI300" s="324"/>
      <c r="DJ300" s="324"/>
      <c r="DK300" s="324"/>
      <c r="DL300" s="324"/>
      <c r="DM300" s="324"/>
      <c r="DN300" s="324"/>
      <c r="DO300" s="324"/>
      <c r="DP300" s="324"/>
      <c r="DQ300" s="324"/>
      <c r="DR300" s="324"/>
      <c r="DS300" s="324"/>
      <c r="DT300" s="324"/>
      <c r="DU300" s="324"/>
      <c r="DV300" s="324"/>
      <c r="DW300" s="324"/>
      <c r="DX300" s="324"/>
      <c r="DY300" s="324"/>
      <c r="DZ300" s="324"/>
      <c r="EA300" s="324"/>
      <c r="EB300" s="324"/>
      <c r="EC300" s="324"/>
      <c r="ED300" s="324"/>
      <c r="EE300" s="324"/>
      <c r="EF300" s="324"/>
      <c r="EG300" s="324"/>
      <c r="EH300" s="324"/>
      <c r="EI300" s="324"/>
      <c r="EJ300" s="324"/>
      <c r="EK300" s="324"/>
      <c r="EL300" s="324"/>
      <c r="EM300" s="324"/>
      <c r="EN300" s="324"/>
      <c r="EO300" s="324"/>
      <c r="EP300" s="324"/>
      <c r="EQ300" s="324"/>
      <c r="ER300" s="324"/>
      <c r="ES300" s="324"/>
      <c r="ET300" s="324"/>
      <c r="EU300" s="324"/>
      <c r="EV300" s="324"/>
      <c r="EW300" s="324"/>
      <c r="EX300" s="324"/>
      <c r="EY300" s="324"/>
      <c r="EZ300" s="324"/>
      <c r="FA300" s="324"/>
      <c r="FB300" s="324"/>
      <c r="FC300" s="324"/>
      <c r="FD300" s="324"/>
      <c r="FE300" s="324"/>
      <c r="FF300" s="324"/>
      <c r="FG300" s="324"/>
      <c r="FH300" s="324"/>
      <c r="FI300" s="324"/>
      <c r="FJ300" s="324"/>
      <c r="FK300" s="324"/>
      <c r="FL300" s="324"/>
      <c r="FM300" s="324"/>
      <c r="FN300" s="324"/>
      <c r="FO300" s="324"/>
      <c r="FP300" s="324"/>
      <c r="FQ300" s="324"/>
      <c r="FR300" s="324"/>
      <c r="FS300" s="324"/>
      <c r="FT300" s="324"/>
      <c r="FU300" s="324"/>
      <c r="FV300" s="324"/>
      <c r="FW300" s="324"/>
      <c r="FX300" s="324"/>
      <c r="FY300" s="324"/>
      <c r="FZ300" s="324"/>
      <c r="GA300" s="324"/>
      <c r="GB300" s="324"/>
      <c r="GC300" s="324"/>
      <c r="GD300" s="324"/>
      <c r="GE300" s="324"/>
      <c r="GF300" s="324"/>
    </row>
    <row r="301" spans="2:188" s="158" customFormat="1">
      <c r="B301" s="353">
        <v>295</v>
      </c>
      <c r="C301" s="376" t="s">
        <v>258</v>
      </c>
      <c r="D301" s="376" t="s">
        <v>362</v>
      </c>
      <c r="E301" s="376" t="s">
        <v>363</v>
      </c>
      <c r="F301" s="376" t="s">
        <v>348</v>
      </c>
      <c r="G301" s="378">
        <v>1</v>
      </c>
      <c r="H301" s="377">
        <v>16000</v>
      </c>
      <c r="I301" s="354">
        <f t="shared" si="5"/>
        <v>3400</v>
      </c>
      <c r="J301" s="355"/>
      <c r="K301" s="324"/>
      <c r="L301" s="324"/>
      <c r="M301" s="324"/>
      <c r="N301" s="324"/>
      <c r="O301" s="324"/>
      <c r="P301" s="324"/>
      <c r="Q301" s="324"/>
      <c r="R301" s="324"/>
      <c r="S301" s="324"/>
      <c r="T301" s="324"/>
      <c r="U301" s="324"/>
      <c r="V301" s="324"/>
      <c r="W301" s="324"/>
      <c r="X301" s="324"/>
      <c r="Y301" s="324"/>
      <c r="Z301" s="324"/>
      <c r="AA301" s="324"/>
      <c r="AB301" s="324"/>
      <c r="AC301" s="324"/>
      <c r="AD301" s="324"/>
      <c r="AE301" s="324"/>
      <c r="AF301" s="324"/>
      <c r="AG301" s="324"/>
      <c r="AH301" s="324"/>
      <c r="AI301" s="324"/>
      <c r="AJ301" s="324"/>
      <c r="AK301" s="324"/>
      <c r="AL301" s="324"/>
      <c r="AM301" s="324"/>
      <c r="AN301" s="324"/>
      <c r="AO301" s="324"/>
      <c r="AP301" s="324"/>
      <c r="AQ301" s="324"/>
      <c r="AR301" s="324"/>
      <c r="AS301" s="324"/>
      <c r="AT301" s="324"/>
      <c r="AU301" s="324"/>
      <c r="AV301" s="324"/>
      <c r="AW301" s="324"/>
      <c r="AX301" s="324"/>
      <c r="AY301" s="324"/>
      <c r="AZ301" s="324"/>
      <c r="BA301" s="324"/>
      <c r="BB301" s="324"/>
      <c r="BC301" s="324"/>
      <c r="BD301" s="324"/>
      <c r="BE301" s="324"/>
      <c r="BF301" s="324"/>
      <c r="BG301" s="324"/>
      <c r="BH301" s="324"/>
      <c r="BI301" s="324"/>
      <c r="BJ301" s="324"/>
      <c r="BK301" s="324"/>
      <c r="BL301" s="324"/>
      <c r="BM301" s="324"/>
      <c r="BN301" s="324"/>
      <c r="BO301" s="324"/>
      <c r="BP301" s="324"/>
      <c r="BQ301" s="324"/>
      <c r="BR301" s="324"/>
      <c r="BS301" s="324"/>
      <c r="BT301" s="324"/>
      <c r="BU301" s="324"/>
      <c r="BV301" s="324"/>
      <c r="BW301" s="324"/>
      <c r="BX301" s="324"/>
      <c r="BY301" s="324"/>
      <c r="BZ301" s="324"/>
      <c r="CA301" s="324"/>
      <c r="CB301" s="324"/>
      <c r="CC301" s="324"/>
      <c r="CD301" s="324"/>
      <c r="CE301" s="324"/>
      <c r="CF301" s="324"/>
      <c r="CG301" s="324"/>
      <c r="CH301" s="324"/>
      <c r="CI301" s="324"/>
      <c r="CJ301" s="324"/>
      <c r="CK301" s="324"/>
      <c r="CL301" s="324"/>
      <c r="CM301" s="324"/>
      <c r="CN301" s="324"/>
      <c r="CO301" s="324"/>
      <c r="CP301" s="324"/>
      <c r="CQ301" s="324"/>
      <c r="CR301" s="324"/>
      <c r="CS301" s="324"/>
      <c r="CT301" s="324"/>
      <c r="CU301" s="324"/>
      <c r="CV301" s="324"/>
      <c r="CW301" s="324"/>
      <c r="CX301" s="324"/>
      <c r="CY301" s="324"/>
      <c r="CZ301" s="324"/>
      <c r="DA301" s="324"/>
      <c r="DB301" s="324"/>
      <c r="DC301" s="324"/>
      <c r="DD301" s="324"/>
      <c r="DE301" s="324"/>
      <c r="DF301" s="324"/>
      <c r="DG301" s="324"/>
      <c r="DH301" s="324"/>
      <c r="DI301" s="324"/>
      <c r="DJ301" s="324"/>
      <c r="DK301" s="324"/>
      <c r="DL301" s="324"/>
      <c r="DM301" s="324"/>
      <c r="DN301" s="324"/>
      <c r="DO301" s="324"/>
      <c r="DP301" s="324"/>
      <c r="DQ301" s="324"/>
      <c r="DR301" s="324"/>
      <c r="DS301" s="324"/>
      <c r="DT301" s="324"/>
      <c r="DU301" s="324"/>
      <c r="DV301" s="324"/>
      <c r="DW301" s="324"/>
      <c r="DX301" s="324"/>
      <c r="DY301" s="324"/>
      <c r="DZ301" s="324"/>
      <c r="EA301" s="324"/>
      <c r="EB301" s="324"/>
      <c r="EC301" s="324"/>
      <c r="ED301" s="324"/>
      <c r="EE301" s="324"/>
      <c r="EF301" s="324"/>
      <c r="EG301" s="324"/>
      <c r="EH301" s="324"/>
      <c r="EI301" s="324"/>
      <c r="EJ301" s="324"/>
      <c r="EK301" s="324"/>
      <c r="EL301" s="324"/>
      <c r="EM301" s="324"/>
      <c r="EN301" s="324"/>
      <c r="EO301" s="324"/>
      <c r="EP301" s="324"/>
      <c r="EQ301" s="324"/>
      <c r="ER301" s="324"/>
      <c r="ES301" s="324"/>
      <c r="ET301" s="324"/>
      <c r="EU301" s="324"/>
      <c r="EV301" s="324"/>
      <c r="EW301" s="324"/>
      <c r="EX301" s="324"/>
      <c r="EY301" s="324"/>
      <c r="EZ301" s="324"/>
      <c r="FA301" s="324"/>
      <c r="FB301" s="324"/>
      <c r="FC301" s="324"/>
      <c r="FD301" s="324"/>
      <c r="FE301" s="324"/>
      <c r="FF301" s="324"/>
      <c r="FG301" s="324"/>
      <c r="FH301" s="324"/>
      <c r="FI301" s="324"/>
      <c r="FJ301" s="324"/>
      <c r="FK301" s="324"/>
      <c r="FL301" s="324"/>
      <c r="FM301" s="324"/>
      <c r="FN301" s="324"/>
      <c r="FO301" s="324"/>
      <c r="FP301" s="324"/>
      <c r="FQ301" s="324"/>
      <c r="FR301" s="324"/>
      <c r="FS301" s="324"/>
      <c r="FT301" s="324"/>
      <c r="FU301" s="324"/>
      <c r="FV301" s="324"/>
      <c r="FW301" s="324"/>
      <c r="FX301" s="324"/>
      <c r="FY301" s="324"/>
      <c r="FZ301" s="324"/>
      <c r="GA301" s="324"/>
      <c r="GB301" s="324"/>
      <c r="GC301" s="324"/>
      <c r="GD301" s="324"/>
      <c r="GE301" s="324"/>
      <c r="GF301" s="324"/>
    </row>
    <row r="302" spans="2:188" s="158" customFormat="1">
      <c r="B302" s="353">
        <v>296</v>
      </c>
      <c r="C302" s="376" t="s">
        <v>256</v>
      </c>
      <c r="D302" s="376" t="s">
        <v>358</v>
      </c>
      <c r="E302" s="376" t="s">
        <v>359</v>
      </c>
      <c r="F302" s="376" t="s">
        <v>348</v>
      </c>
      <c r="G302" s="378">
        <v>1</v>
      </c>
      <c r="H302" s="377">
        <v>16000</v>
      </c>
      <c r="I302" s="354">
        <f t="shared" si="5"/>
        <v>3400</v>
      </c>
      <c r="J302" s="355"/>
      <c r="K302" s="324"/>
      <c r="L302" s="324"/>
      <c r="M302" s="324"/>
      <c r="N302" s="324"/>
      <c r="O302" s="324"/>
      <c r="P302" s="324"/>
      <c r="Q302" s="324"/>
      <c r="R302" s="324"/>
      <c r="S302" s="324"/>
      <c r="T302" s="324"/>
      <c r="U302" s="324"/>
      <c r="V302" s="324"/>
      <c r="W302" s="324"/>
      <c r="X302" s="324"/>
      <c r="Y302" s="324"/>
      <c r="Z302" s="324"/>
      <c r="AA302" s="324"/>
      <c r="AB302" s="324"/>
      <c r="AC302" s="324"/>
      <c r="AD302" s="324"/>
      <c r="AE302" s="324"/>
      <c r="AF302" s="324"/>
      <c r="AG302" s="324"/>
      <c r="AH302" s="324"/>
      <c r="AI302" s="324"/>
      <c r="AJ302" s="324"/>
      <c r="AK302" s="324"/>
      <c r="AL302" s="324"/>
      <c r="AM302" s="324"/>
      <c r="AN302" s="324"/>
      <c r="AO302" s="324"/>
      <c r="AP302" s="324"/>
      <c r="AQ302" s="324"/>
      <c r="AR302" s="324"/>
      <c r="AS302" s="324"/>
      <c r="AT302" s="324"/>
      <c r="AU302" s="324"/>
      <c r="AV302" s="324"/>
      <c r="AW302" s="324"/>
      <c r="AX302" s="324"/>
      <c r="AY302" s="324"/>
      <c r="AZ302" s="324"/>
      <c r="BA302" s="324"/>
      <c r="BB302" s="324"/>
      <c r="BC302" s="324"/>
      <c r="BD302" s="324"/>
      <c r="BE302" s="324"/>
      <c r="BF302" s="324"/>
      <c r="BG302" s="324"/>
      <c r="BH302" s="324"/>
      <c r="BI302" s="324"/>
      <c r="BJ302" s="324"/>
      <c r="BK302" s="324"/>
      <c r="BL302" s="324"/>
      <c r="BM302" s="324"/>
      <c r="BN302" s="324"/>
      <c r="BO302" s="324"/>
      <c r="BP302" s="324"/>
      <c r="BQ302" s="324"/>
      <c r="BR302" s="324"/>
      <c r="BS302" s="324"/>
      <c r="BT302" s="324"/>
      <c r="BU302" s="324"/>
      <c r="BV302" s="324"/>
      <c r="BW302" s="324"/>
      <c r="BX302" s="324"/>
      <c r="BY302" s="324"/>
      <c r="BZ302" s="324"/>
      <c r="CA302" s="324"/>
      <c r="CB302" s="324"/>
      <c r="CC302" s="324"/>
      <c r="CD302" s="324"/>
      <c r="CE302" s="324"/>
      <c r="CF302" s="324"/>
      <c r="CG302" s="324"/>
      <c r="CH302" s="324"/>
      <c r="CI302" s="324"/>
      <c r="CJ302" s="324"/>
      <c r="CK302" s="324"/>
      <c r="CL302" s="324"/>
      <c r="CM302" s="324"/>
      <c r="CN302" s="324"/>
      <c r="CO302" s="324"/>
      <c r="CP302" s="324"/>
      <c r="CQ302" s="324"/>
      <c r="CR302" s="324"/>
      <c r="CS302" s="324"/>
      <c r="CT302" s="324"/>
      <c r="CU302" s="324"/>
      <c r="CV302" s="324"/>
      <c r="CW302" s="324"/>
      <c r="CX302" s="324"/>
      <c r="CY302" s="324"/>
      <c r="CZ302" s="324"/>
      <c r="DA302" s="324"/>
      <c r="DB302" s="324"/>
      <c r="DC302" s="324"/>
      <c r="DD302" s="324"/>
      <c r="DE302" s="324"/>
      <c r="DF302" s="324"/>
      <c r="DG302" s="324"/>
      <c r="DH302" s="324"/>
      <c r="DI302" s="324"/>
      <c r="DJ302" s="324"/>
      <c r="DK302" s="324"/>
      <c r="DL302" s="324"/>
      <c r="DM302" s="324"/>
      <c r="DN302" s="324"/>
      <c r="DO302" s="324"/>
      <c r="DP302" s="324"/>
      <c r="DQ302" s="324"/>
      <c r="DR302" s="324"/>
      <c r="DS302" s="324"/>
      <c r="DT302" s="324"/>
      <c r="DU302" s="324"/>
      <c r="DV302" s="324"/>
      <c r="DW302" s="324"/>
      <c r="DX302" s="324"/>
      <c r="DY302" s="324"/>
      <c r="DZ302" s="324"/>
      <c r="EA302" s="324"/>
      <c r="EB302" s="324"/>
      <c r="EC302" s="324"/>
      <c r="ED302" s="324"/>
      <c r="EE302" s="324"/>
      <c r="EF302" s="324"/>
      <c r="EG302" s="324"/>
      <c r="EH302" s="324"/>
      <c r="EI302" s="324"/>
      <c r="EJ302" s="324"/>
      <c r="EK302" s="324"/>
      <c r="EL302" s="324"/>
      <c r="EM302" s="324"/>
      <c r="EN302" s="324"/>
      <c r="EO302" s="324"/>
      <c r="EP302" s="324"/>
      <c r="EQ302" s="324"/>
      <c r="ER302" s="324"/>
      <c r="ES302" s="324"/>
      <c r="ET302" s="324"/>
      <c r="EU302" s="324"/>
      <c r="EV302" s="324"/>
      <c r="EW302" s="324"/>
      <c r="EX302" s="324"/>
      <c r="EY302" s="324"/>
      <c r="EZ302" s="324"/>
      <c r="FA302" s="324"/>
      <c r="FB302" s="324"/>
      <c r="FC302" s="324"/>
      <c r="FD302" s="324"/>
      <c r="FE302" s="324"/>
      <c r="FF302" s="324"/>
      <c r="FG302" s="324"/>
      <c r="FH302" s="324"/>
      <c r="FI302" s="324"/>
      <c r="FJ302" s="324"/>
      <c r="FK302" s="324"/>
      <c r="FL302" s="324"/>
      <c r="FM302" s="324"/>
      <c r="FN302" s="324"/>
      <c r="FO302" s="324"/>
      <c r="FP302" s="324"/>
      <c r="FQ302" s="324"/>
      <c r="FR302" s="324"/>
      <c r="FS302" s="324"/>
      <c r="FT302" s="324"/>
      <c r="FU302" s="324"/>
      <c r="FV302" s="324"/>
      <c r="FW302" s="324"/>
      <c r="FX302" s="324"/>
      <c r="FY302" s="324"/>
      <c r="FZ302" s="324"/>
      <c r="GA302" s="324"/>
      <c r="GB302" s="324"/>
      <c r="GC302" s="324"/>
      <c r="GD302" s="324"/>
      <c r="GE302" s="324"/>
      <c r="GF302" s="324"/>
    </row>
    <row r="303" spans="2:188" s="158" customFormat="1" ht="12.75" customHeight="1">
      <c r="B303" s="353">
        <v>297</v>
      </c>
      <c r="C303" s="376" t="s">
        <v>233</v>
      </c>
      <c r="D303" s="376" t="s">
        <v>364</v>
      </c>
      <c r="E303" s="376" t="s">
        <v>365</v>
      </c>
      <c r="F303" s="376" t="s">
        <v>348</v>
      </c>
      <c r="G303" s="378">
        <v>6</v>
      </c>
      <c r="H303" s="377">
        <v>210000</v>
      </c>
      <c r="I303" s="354">
        <f t="shared" si="5"/>
        <v>44625</v>
      </c>
      <c r="J303" s="249"/>
    </row>
    <row r="304" spans="2:188" s="158" customFormat="1" ht="12.75" customHeight="1">
      <c r="B304" s="353">
        <v>298</v>
      </c>
      <c r="C304" s="376" t="s">
        <v>224</v>
      </c>
      <c r="D304" s="376" t="s">
        <v>366</v>
      </c>
      <c r="E304" s="376" t="s">
        <v>367</v>
      </c>
      <c r="F304" s="376" t="s">
        <v>348</v>
      </c>
      <c r="G304" s="378">
        <v>2</v>
      </c>
      <c r="H304" s="377">
        <v>32000</v>
      </c>
      <c r="I304" s="354">
        <f t="shared" si="5"/>
        <v>6800</v>
      </c>
      <c r="J304" s="249"/>
    </row>
    <row r="305" spans="2:10" s="158" customFormat="1" ht="12.75" customHeight="1">
      <c r="B305" s="353">
        <v>299</v>
      </c>
      <c r="C305" s="376" t="s">
        <v>256</v>
      </c>
      <c r="D305" s="376" t="s">
        <v>368</v>
      </c>
      <c r="E305" s="376" t="s">
        <v>365</v>
      </c>
      <c r="F305" s="376" t="s">
        <v>348</v>
      </c>
      <c r="G305" s="378">
        <v>2</v>
      </c>
      <c r="H305" s="377">
        <v>32000</v>
      </c>
      <c r="I305" s="354">
        <f t="shared" si="5"/>
        <v>6800</v>
      </c>
      <c r="J305" s="249"/>
    </row>
    <row r="306" spans="2:10" s="158" customFormat="1" ht="12.75" customHeight="1">
      <c r="B306" s="353">
        <v>300</v>
      </c>
      <c r="C306" s="376" t="s">
        <v>238</v>
      </c>
      <c r="D306" s="376" t="s">
        <v>369</v>
      </c>
      <c r="E306" s="376" t="s">
        <v>355</v>
      </c>
      <c r="F306" s="376" t="s">
        <v>348</v>
      </c>
      <c r="G306" s="378">
        <v>2</v>
      </c>
      <c r="H306" s="377">
        <v>32000</v>
      </c>
      <c r="I306" s="354">
        <f t="shared" si="5"/>
        <v>6800</v>
      </c>
      <c r="J306" s="249"/>
    </row>
    <row r="307" spans="2:10" s="158" customFormat="1" ht="12.75" customHeight="1">
      <c r="B307" s="353">
        <v>301</v>
      </c>
      <c r="C307" s="376" t="s">
        <v>244</v>
      </c>
      <c r="D307" s="376" t="s">
        <v>370</v>
      </c>
      <c r="E307" s="376" t="s">
        <v>371</v>
      </c>
      <c r="F307" s="376" t="s">
        <v>348</v>
      </c>
      <c r="G307" s="378">
        <v>2</v>
      </c>
      <c r="H307" s="377">
        <v>70000</v>
      </c>
      <c r="I307" s="354">
        <f t="shared" si="5"/>
        <v>14875</v>
      </c>
      <c r="J307" s="249"/>
    </row>
    <row r="308" spans="2:10" s="158" customFormat="1" ht="12.75" customHeight="1">
      <c r="B308" s="353">
        <v>302</v>
      </c>
      <c r="C308" s="376" t="s">
        <v>215</v>
      </c>
      <c r="D308" s="376" t="s">
        <v>372</v>
      </c>
      <c r="E308" s="376" t="s">
        <v>373</v>
      </c>
      <c r="F308" s="376" t="s">
        <v>348</v>
      </c>
      <c r="G308" s="378">
        <v>2</v>
      </c>
      <c r="H308" s="377">
        <v>32000</v>
      </c>
      <c r="I308" s="354">
        <f t="shared" si="5"/>
        <v>6800</v>
      </c>
      <c r="J308" s="249"/>
    </row>
    <row r="309" spans="2:10" s="158" customFormat="1" ht="12.75" customHeight="1">
      <c r="B309" s="353">
        <v>303</v>
      </c>
      <c r="C309" s="376" t="s">
        <v>222</v>
      </c>
      <c r="D309" s="376" t="s">
        <v>374</v>
      </c>
      <c r="E309" s="376" t="s">
        <v>375</v>
      </c>
      <c r="F309" s="376" t="s">
        <v>348</v>
      </c>
      <c r="G309" s="378">
        <v>5</v>
      </c>
      <c r="H309" s="377">
        <v>175000</v>
      </c>
      <c r="I309" s="354">
        <f t="shared" si="5"/>
        <v>37187.5</v>
      </c>
      <c r="J309" s="249"/>
    </row>
    <row r="310" spans="2:10" s="158" customFormat="1" ht="12.75" customHeight="1">
      <c r="B310" s="353">
        <v>304</v>
      </c>
      <c r="C310" s="376" t="s">
        <v>224</v>
      </c>
      <c r="D310" s="376" t="s">
        <v>376</v>
      </c>
      <c r="E310" s="376" t="s">
        <v>377</v>
      </c>
      <c r="F310" s="376" t="s">
        <v>348</v>
      </c>
      <c r="G310" s="378">
        <v>1</v>
      </c>
      <c r="H310" s="377">
        <v>35000</v>
      </c>
      <c r="I310" s="354">
        <f t="shared" si="5"/>
        <v>7437.5</v>
      </c>
      <c r="J310" s="249"/>
    </row>
    <row r="311" spans="2:10" s="158" customFormat="1" ht="12.75" customHeight="1">
      <c r="B311" s="353">
        <v>305</v>
      </c>
      <c r="C311" s="376" t="s">
        <v>256</v>
      </c>
      <c r="D311" s="376" t="s">
        <v>358</v>
      </c>
      <c r="E311" s="376" t="s">
        <v>359</v>
      </c>
      <c r="F311" s="376" t="s">
        <v>348</v>
      </c>
      <c r="G311" s="378">
        <v>2</v>
      </c>
      <c r="H311" s="377">
        <v>32000</v>
      </c>
      <c r="I311" s="354">
        <f t="shared" si="5"/>
        <v>6800</v>
      </c>
      <c r="J311" s="249"/>
    </row>
    <row r="312" spans="2:10" s="158" customFormat="1" ht="12.75" customHeight="1">
      <c r="B312" s="353">
        <v>306</v>
      </c>
      <c r="C312" s="376" t="s">
        <v>233</v>
      </c>
      <c r="D312" s="376" t="s">
        <v>378</v>
      </c>
      <c r="E312" s="376" t="s">
        <v>379</v>
      </c>
      <c r="F312" s="376" t="s">
        <v>348</v>
      </c>
      <c r="G312" s="378">
        <v>2</v>
      </c>
      <c r="H312" s="377">
        <v>32000</v>
      </c>
      <c r="I312" s="354">
        <f t="shared" si="5"/>
        <v>6800</v>
      </c>
      <c r="J312" s="249"/>
    </row>
    <row r="313" spans="2:10" s="158" customFormat="1" ht="12.75" customHeight="1">
      <c r="B313" s="353">
        <v>307</v>
      </c>
      <c r="C313" s="376" t="s">
        <v>233</v>
      </c>
      <c r="D313" s="376" t="s">
        <v>364</v>
      </c>
      <c r="E313" s="376" t="s">
        <v>365</v>
      </c>
      <c r="F313" s="376" t="s">
        <v>348</v>
      </c>
      <c r="G313" s="378">
        <v>3</v>
      </c>
      <c r="H313" s="377">
        <v>105000</v>
      </c>
      <c r="I313" s="354">
        <f t="shared" si="5"/>
        <v>22312.5</v>
      </c>
      <c r="J313" s="249"/>
    </row>
    <row r="314" spans="2:10" s="158" customFormat="1" ht="12.75" customHeight="1">
      <c r="B314" s="353">
        <v>308</v>
      </c>
      <c r="C314" s="376" t="s">
        <v>233</v>
      </c>
      <c r="D314" s="376" t="s">
        <v>378</v>
      </c>
      <c r="E314" s="376" t="s">
        <v>379</v>
      </c>
      <c r="F314" s="376" t="s">
        <v>348</v>
      </c>
      <c r="G314" s="378">
        <v>1</v>
      </c>
      <c r="H314" s="377">
        <v>16000</v>
      </c>
      <c r="I314" s="354">
        <f t="shared" si="5"/>
        <v>3400</v>
      </c>
      <c r="J314" s="249"/>
    </row>
    <row r="315" spans="2:10" s="158" customFormat="1" ht="12.75" customHeight="1">
      <c r="B315" s="353">
        <v>309</v>
      </c>
      <c r="C315" s="376" t="s">
        <v>222</v>
      </c>
      <c r="D315" s="376" t="s">
        <v>374</v>
      </c>
      <c r="E315" s="376" t="s">
        <v>375</v>
      </c>
      <c r="F315" s="376" t="s">
        <v>348</v>
      </c>
      <c r="G315" s="378">
        <v>1</v>
      </c>
      <c r="H315" s="377">
        <v>35000</v>
      </c>
      <c r="I315" s="354">
        <f t="shared" si="5"/>
        <v>7437.5</v>
      </c>
      <c r="J315" s="249"/>
    </row>
    <row r="316" spans="2:10" s="158" customFormat="1" ht="12.75" customHeight="1">
      <c r="B316" s="353">
        <v>310</v>
      </c>
      <c r="C316" s="376" t="s">
        <v>222</v>
      </c>
      <c r="D316" s="376" t="s">
        <v>380</v>
      </c>
      <c r="E316" s="376" t="s">
        <v>381</v>
      </c>
      <c r="F316" s="376" t="s">
        <v>348</v>
      </c>
      <c r="G316" s="378">
        <v>1</v>
      </c>
      <c r="H316" s="377">
        <v>16000</v>
      </c>
      <c r="I316" s="354">
        <f t="shared" si="5"/>
        <v>3400</v>
      </c>
      <c r="J316" s="249"/>
    </row>
    <row r="317" spans="2:10" s="158" customFormat="1" ht="12.75" customHeight="1">
      <c r="B317" s="353">
        <v>311</v>
      </c>
      <c r="C317" s="376" t="s">
        <v>215</v>
      </c>
      <c r="D317" s="376" t="s">
        <v>372</v>
      </c>
      <c r="E317" s="376" t="s">
        <v>373</v>
      </c>
      <c r="F317" s="376" t="s">
        <v>348</v>
      </c>
      <c r="G317" s="378">
        <v>1</v>
      </c>
      <c r="H317" s="377">
        <v>16000</v>
      </c>
      <c r="I317" s="354">
        <f t="shared" si="5"/>
        <v>3400</v>
      </c>
      <c r="J317" s="249"/>
    </row>
    <row r="318" spans="2:10" s="158" customFormat="1" ht="12.75" customHeight="1">
      <c r="B318" s="353">
        <v>312</v>
      </c>
      <c r="C318" s="376" t="s">
        <v>212</v>
      </c>
      <c r="D318" s="376" t="s">
        <v>353</v>
      </c>
      <c r="E318" s="376" t="s">
        <v>147</v>
      </c>
      <c r="F318" s="376" t="s">
        <v>348</v>
      </c>
      <c r="G318" s="378">
        <v>4</v>
      </c>
      <c r="H318" s="377">
        <v>64000</v>
      </c>
      <c r="I318" s="354">
        <f t="shared" si="5"/>
        <v>13600</v>
      </c>
      <c r="J318" s="249"/>
    </row>
    <row r="319" spans="2:10" s="158" customFormat="1" ht="12.75" customHeight="1">
      <c r="B319" s="353">
        <v>313</v>
      </c>
      <c r="C319" s="376" t="s">
        <v>233</v>
      </c>
      <c r="D319" s="376" t="s">
        <v>364</v>
      </c>
      <c r="E319" s="376" t="s">
        <v>365</v>
      </c>
      <c r="F319" s="376" t="s">
        <v>348</v>
      </c>
      <c r="G319" s="378">
        <v>6</v>
      </c>
      <c r="H319" s="377">
        <v>210000</v>
      </c>
      <c r="I319" s="354">
        <f t="shared" si="5"/>
        <v>44625</v>
      </c>
      <c r="J319" s="249"/>
    </row>
    <row r="320" spans="2:10" s="158" customFormat="1" ht="12.75" customHeight="1">
      <c r="B320" s="353">
        <v>314</v>
      </c>
      <c r="C320" s="376" t="s">
        <v>238</v>
      </c>
      <c r="D320" s="376" t="s">
        <v>369</v>
      </c>
      <c r="E320" s="376" t="s">
        <v>355</v>
      </c>
      <c r="F320" s="376" t="s">
        <v>348</v>
      </c>
      <c r="G320" s="378">
        <v>6</v>
      </c>
      <c r="H320" s="377">
        <v>96000</v>
      </c>
      <c r="I320" s="354">
        <f t="shared" si="5"/>
        <v>20400</v>
      </c>
      <c r="J320" s="249"/>
    </row>
    <row r="321" spans="2:10" s="158" customFormat="1" ht="12.75" customHeight="1">
      <c r="B321" s="353">
        <v>315</v>
      </c>
      <c r="C321" s="376" t="s">
        <v>256</v>
      </c>
      <c r="D321" s="376" t="s">
        <v>354</v>
      </c>
      <c r="E321" s="376" t="s">
        <v>355</v>
      </c>
      <c r="F321" s="376" t="s">
        <v>348</v>
      </c>
      <c r="G321" s="378">
        <v>3</v>
      </c>
      <c r="H321" s="377">
        <v>48000</v>
      </c>
      <c r="I321" s="354">
        <f t="shared" si="5"/>
        <v>10200</v>
      </c>
      <c r="J321" s="249"/>
    </row>
    <row r="322" spans="2:10" s="158" customFormat="1" ht="12.75" customHeight="1">
      <c r="B322" s="353">
        <v>316</v>
      </c>
      <c r="C322" s="376" t="s">
        <v>382</v>
      </c>
      <c r="D322" s="376" t="s">
        <v>383</v>
      </c>
      <c r="E322" s="376" t="s">
        <v>375</v>
      </c>
      <c r="F322" s="376" t="s">
        <v>348</v>
      </c>
      <c r="G322" s="378">
        <v>1</v>
      </c>
      <c r="H322" s="377">
        <v>16000</v>
      </c>
      <c r="I322" s="354">
        <f t="shared" si="5"/>
        <v>3400</v>
      </c>
      <c r="J322" s="249"/>
    </row>
    <row r="323" spans="2:10" s="158" customFormat="1" ht="12.75" customHeight="1">
      <c r="B323" s="353">
        <v>317</v>
      </c>
      <c r="C323" s="376" t="s">
        <v>209</v>
      </c>
      <c r="D323" s="376" t="s">
        <v>384</v>
      </c>
      <c r="E323" s="376" t="s">
        <v>377</v>
      </c>
      <c r="F323" s="376" t="s">
        <v>348</v>
      </c>
      <c r="G323" s="378">
        <v>1</v>
      </c>
      <c r="H323" s="377">
        <v>16000</v>
      </c>
      <c r="I323" s="354">
        <f t="shared" si="5"/>
        <v>3400</v>
      </c>
      <c r="J323" s="249"/>
    </row>
    <row r="324" spans="2:10" s="158" customFormat="1" ht="12.75" customHeight="1">
      <c r="B324" s="353">
        <v>318</v>
      </c>
      <c r="C324" s="376" t="s">
        <v>244</v>
      </c>
      <c r="D324" s="376" t="s">
        <v>370</v>
      </c>
      <c r="E324" s="376" t="s">
        <v>371</v>
      </c>
      <c r="F324" s="376" t="s">
        <v>348</v>
      </c>
      <c r="G324" s="378">
        <v>1</v>
      </c>
      <c r="H324" s="377">
        <v>35000</v>
      </c>
      <c r="I324" s="354">
        <f t="shared" si="5"/>
        <v>7437.5</v>
      </c>
      <c r="J324" s="249"/>
    </row>
    <row r="325" spans="2:10" s="158" customFormat="1" ht="12.75" customHeight="1">
      <c r="B325" s="353">
        <v>319</v>
      </c>
      <c r="C325" s="376" t="s">
        <v>256</v>
      </c>
      <c r="D325" s="376" t="s">
        <v>354</v>
      </c>
      <c r="E325" s="376" t="s">
        <v>355</v>
      </c>
      <c r="F325" s="376" t="s">
        <v>348</v>
      </c>
      <c r="G325" s="378">
        <v>3</v>
      </c>
      <c r="H325" s="377">
        <v>48000</v>
      </c>
      <c r="I325" s="354">
        <f t="shared" si="5"/>
        <v>10200</v>
      </c>
      <c r="J325" s="249"/>
    </row>
    <row r="326" spans="2:10" s="158" customFormat="1" ht="12.75" customHeight="1">
      <c r="B326" s="353">
        <v>320</v>
      </c>
      <c r="C326" s="376" t="s">
        <v>224</v>
      </c>
      <c r="D326" s="376" t="s">
        <v>366</v>
      </c>
      <c r="E326" s="376" t="s">
        <v>367</v>
      </c>
      <c r="F326" s="376" t="s">
        <v>348</v>
      </c>
      <c r="G326" s="378">
        <v>3</v>
      </c>
      <c r="H326" s="377">
        <v>48000</v>
      </c>
      <c r="I326" s="354">
        <f t="shared" si="5"/>
        <v>10200</v>
      </c>
      <c r="J326" s="249"/>
    </row>
    <row r="327" spans="2:10" s="158" customFormat="1" ht="12.75" customHeight="1">
      <c r="B327" s="353">
        <v>321</v>
      </c>
      <c r="C327" s="376" t="s">
        <v>256</v>
      </c>
      <c r="D327" s="376" t="s">
        <v>368</v>
      </c>
      <c r="E327" s="376" t="s">
        <v>365</v>
      </c>
      <c r="F327" s="376" t="s">
        <v>348</v>
      </c>
      <c r="G327" s="378">
        <v>2</v>
      </c>
      <c r="H327" s="377">
        <v>32000</v>
      </c>
      <c r="I327" s="354">
        <f t="shared" si="5"/>
        <v>6800</v>
      </c>
      <c r="J327" s="249"/>
    </row>
    <row r="328" spans="2:10" s="158" customFormat="1" ht="12.75" customHeight="1">
      <c r="B328" s="353">
        <v>322</v>
      </c>
      <c r="C328" s="376" t="s">
        <v>238</v>
      </c>
      <c r="D328" s="376" t="s">
        <v>369</v>
      </c>
      <c r="E328" s="376" t="s">
        <v>355</v>
      </c>
      <c r="F328" s="376" t="s">
        <v>348</v>
      </c>
      <c r="G328" s="378">
        <v>4</v>
      </c>
      <c r="H328" s="377">
        <v>64000</v>
      </c>
      <c r="I328" s="354">
        <f t="shared" si="5"/>
        <v>13600</v>
      </c>
      <c r="J328" s="249"/>
    </row>
    <row r="329" spans="2:10" s="158" customFormat="1" ht="12.75" customHeight="1">
      <c r="B329" s="353">
        <v>323</v>
      </c>
      <c r="C329" s="376" t="s">
        <v>222</v>
      </c>
      <c r="D329" s="376" t="s">
        <v>374</v>
      </c>
      <c r="E329" s="376" t="s">
        <v>375</v>
      </c>
      <c r="F329" s="376" t="s">
        <v>348</v>
      </c>
      <c r="G329" s="378">
        <v>2</v>
      </c>
      <c r="H329" s="377">
        <v>70000</v>
      </c>
      <c r="I329" s="354">
        <f t="shared" si="5"/>
        <v>14875</v>
      </c>
      <c r="J329" s="249"/>
    </row>
    <row r="330" spans="2:10" s="158" customFormat="1" ht="12.75" customHeight="1">
      <c r="B330" s="353">
        <v>324</v>
      </c>
      <c r="C330" s="376" t="s">
        <v>256</v>
      </c>
      <c r="D330" s="376" t="s">
        <v>368</v>
      </c>
      <c r="E330" s="376" t="s">
        <v>365</v>
      </c>
      <c r="F330" s="376" t="s">
        <v>348</v>
      </c>
      <c r="G330" s="378">
        <v>2</v>
      </c>
      <c r="H330" s="377">
        <v>32000</v>
      </c>
      <c r="I330" s="354">
        <f t="shared" si="5"/>
        <v>6800</v>
      </c>
      <c r="J330" s="249"/>
    </row>
    <row r="331" spans="2:10" s="158" customFormat="1" ht="12.75" customHeight="1">
      <c r="B331" s="353">
        <v>325</v>
      </c>
      <c r="C331" s="376" t="s">
        <v>238</v>
      </c>
      <c r="D331" s="376" t="s">
        <v>369</v>
      </c>
      <c r="E331" s="376" t="s">
        <v>355</v>
      </c>
      <c r="F331" s="376" t="s">
        <v>348</v>
      </c>
      <c r="G331" s="378">
        <v>4</v>
      </c>
      <c r="H331" s="377">
        <v>64000</v>
      </c>
      <c r="I331" s="354">
        <f t="shared" si="5"/>
        <v>13600</v>
      </c>
      <c r="J331" s="249"/>
    </row>
    <row r="332" spans="2:10" s="158" customFormat="1" ht="12.75" customHeight="1">
      <c r="B332" s="353">
        <v>326</v>
      </c>
      <c r="C332" s="376" t="s">
        <v>256</v>
      </c>
      <c r="D332" s="376" t="s">
        <v>358</v>
      </c>
      <c r="E332" s="376" t="s">
        <v>359</v>
      </c>
      <c r="F332" s="376" t="s">
        <v>348</v>
      </c>
      <c r="G332" s="378">
        <v>1</v>
      </c>
      <c r="H332" s="377">
        <v>16000</v>
      </c>
      <c r="I332" s="354">
        <f t="shared" si="5"/>
        <v>3400</v>
      </c>
      <c r="J332" s="249"/>
    </row>
    <row r="333" spans="2:10" s="158" customFormat="1" ht="12.75" customHeight="1">
      <c r="B333" s="353">
        <v>327</v>
      </c>
      <c r="C333" s="376" t="s">
        <v>200</v>
      </c>
      <c r="D333" s="376" t="s">
        <v>351</v>
      </c>
      <c r="E333" s="376" t="s">
        <v>352</v>
      </c>
      <c r="F333" s="376" t="s">
        <v>348</v>
      </c>
      <c r="G333" s="378">
        <v>1</v>
      </c>
      <c r="H333" s="377">
        <v>16000</v>
      </c>
      <c r="I333" s="354">
        <f t="shared" si="5"/>
        <v>3400</v>
      </c>
      <c r="J333" s="249"/>
    </row>
    <row r="334" spans="2:10" s="158" customFormat="1" ht="12.75" customHeight="1">
      <c r="B334" s="353">
        <v>328</v>
      </c>
      <c r="C334" s="376" t="s">
        <v>224</v>
      </c>
      <c r="D334" s="376" t="s">
        <v>376</v>
      </c>
      <c r="E334" s="376" t="s">
        <v>377</v>
      </c>
      <c r="F334" s="376" t="s">
        <v>348</v>
      </c>
      <c r="G334" s="378">
        <v>2</v>
      </c>
      <c r="H334" s="377">
        <v>70000</v>
      </c>
      <c r="I334" s="354">
        <f t="shared" si="5"/>
        <v>14875</v>
      </c>
      <c r="J334" s="249"/>
    </row>
    <row r="335" spans="2:10" s="158" customFormat="1" ht="12.75" customHeight="1">
      <c r="B335" s="353">
        <v>329</v>
      </c>
      <c r="C335" s="376" t="s">
        <v>224</v>
      </c>
      <c r="D335" s="376" t="s">
        <v>376</v>
      </c>
      <c r="E335" s="376" t="s">
        <v>377</v>
      </c>
      <c r="F335" s="376" t="s">
        <v>348</v>
      </c>
      <c r="G335" s="378">
        <v>3</v>
      </c>
      <c r="H335" s="377">
        <v>105000</v>
      </c>
      <c r="I335" s="354">
        <f t="shared" si="5"/>
        <v>22312.5</v>
      </c>
      <c r="J335" s="249"/>
    </row>
    <row r="336" spans="2:10" s="158" customFormat="1" ht="12.75" customHeight="1">
      <c r="B336" s="353">
        <v>330</v>
      </c>
      <c r="C336" s="376" t="s">
        <v>258</v>
      </c>
      <c r="D336" s="376" t="s">
        <v>362</v>
      </c>
      <c r="E336" s="376" t="s">
        <v>363</v>
      </c>
      <c r="F336" s="376" t="s">
        <v>348</v>
      </c>
      <c r="G336" s="378">
        <v>1</v>
      </c>
      <c r="H336" s="377">
        <v>16000</v>
      </c>
      <c r="I336" s="354">
        <f t="shared" si="5"/>
        <v>3400</v>
      </c>
      <c r="J336" s="249"/>
    </row>
    <row r="337" spans="2:10" s="158" customFormat="1" ht="12.75" customHeight="1">
      <c r="B337" s="353">
        <v>331</v>
      </c>
      <c r="C337" s="376" t="s">
        <v>224</v>
      </c>
      <c r="D337" s="376" t="s">
        <v>366</v>
      </c>
      <c r="E337" s="376" t="s">
        <v>367</v>
      </c>
      <c r="F337" s="376" t="s">
        <v>348</v>
      </c>
      <c r="G337" s="378">
        <v>3</v>
      </c>
      <c r="H337" s="377">
        <v>48000</v>
      </c>
      <c r="I337" s="354">
        <f t="shared" si="5"/>
        <v>10200</v>
      </c>
      <c r="J337" s="249"/>
    </row>
    <row r="338" spans="2:10" s="158" customFormat="1" ht="12.75" customHeight="1">
      <c r="B338" s="353">
        <v>332</v>
      </c>
      <c r="C338" s="376" t="s">
        <v>258</v>
      </c>
      <c r="D338" s="376" t="s">
        <v>356</v>
      </c>
      <c r="E338" s="376" t="s">
        <v>357</v>
      </c>
      <c r="F338" s="376" t="s">
        <v>348</v>
      </c>
      <c r="G338" s="378">
        <v>2</v>
      </c>
      <c r="H338" s="377">
        <v>32000</v>
      </c>
      <c r="I338" s="354">
        <f t="shared" si="5"/>
        <v>6800</v>
      </c>
      <c r="J338" s="249"/>
    </row>
    <row r="339" spans="2:10" s="158" customFormat="1" ht="12.75" customHeight="1">
      <c r="B339" s="353">
        <v>333</v>
      </c>
      <c r="C339" s="376" t="s">
        <v>256</v>
      </c>
      <c r="D339" s="376" t="s">
        <v>354</v>
      </c>
      <c r="E339" s="376" t="s">
        <v>355</v>
      </c>
      <c r="F339" s="376" t="s">
        <v>348</v>
      </c>
      <c r="G339" s="378">
        <v>2</v>
      </c>
      <c r="H339" s="377">
        <v>32000</v>
      </c>
      <c r="I339" s="354">
        <f t="shared" si="5"/>
        <v>6800</v>
      </c>
      <c r="J339" s="249"/>
    </row>
    <row r="340" spans="2:10" s="158" customFormat="1" ht="12.75" customHeight="1">
      <c r="B340" s="353">
        <v>334</v>
      </c>
      <c r="C340" s="376" t="s">
        <v>233</v>
      </c>
      <c r="D340" s="376" t="s">
        <v>360</v>
      </c>
      <c r="E340" s="376" t="s">
        <v>361</v>
      </c>
      <c r="F340" s="376" t="s">
        <v>348</v>
      </c>
      <c r="G340" s="378">
        <v>1</v>
      </c>
      <c r="H340" s="377">
        <v>15500</v>
      </c>
      <c r="I340" s="354">
        <f t="shared" si="5"/>
        <v>3293.75</v>
      </c>
      <c r="J340" s="249"/>
    </row>
    <row r="341" spans="2:10" s="158" customFormat="1" ht="12.75" customHeight="1">
      <c r="B341" s="353">
        <v>335</v>
      </c>
      <c r="C341" s="376" t="s">
        <v>256</v>
      </c>
      <c r="D341" s="376" t="s">
        <v>354</v>
      </c>
      <c r="E341" s="376" t="s">
        <v>355</v>
      </c>
      <c r="F341" s="376" t="s">
        <v>348</v>
      </c>
      <c r="G341" s="378">
        <v>2</v>
      </c>
      <c r="H341" s="377">
        <v>32000</v>
      </c>
      <c r="I341" s="354">
        <f t="shared" si="5"/>
        <v>6800</v>
      </c>
      <c r="J341" s="249"/>
    </row>
    <row r="342" spans="2:10" s="158" customFormat="1" ht="12.75" customHeight="1">
      <c r="B342" s="353">
        <v>336</v>
      </c>
      <c r="C342" s="376" t="s">
        <v>224</v>
      </c>
      <c r="D342" s="376" t="s">
        <v>376</v>
      </c>
      <c r="E342" s="376" t="s">
        <v>377</v>
      </c>
      <c r="F342" s="376" t="s">
        <v>348</v>
      </c>
      <c r="G342" s="378">
        <v>8</v>
      </c>
      <c r="H342" s="377">
        <v>280000</v>
      </c>
      <c r="I342" s="354">
        <f t="shared" si="5"/>
        <v>59500</v>
      </c>
      <c r="J342" s="249"/>
    </row>
    <row r="343" spans="2:10" s="158" customFormat="1" ht="12.75" customHeight="1">
      <c r="B343" s="353">
        <v>337</v>
      </c>
      <c r="C343" s="376" t="s">
        <v>233</v>
      </c>
      <c r="D343" s="376" t="s">
        <v>364</v>
      </c>
      <c r="E343" s="376" t="s">
        <v>365</v>
      </c>
      <c r="F343" s="376" t="s">
        <v>348</v>
      </c>
      <c r="G343" s="378">
        <v>1</v>
      </c>
      <c r="H343" s="377">
        <v>35000</v>
      </c>
      <c r="I343" s="354">
        <f t="shared" si="5"/>
        <v>7437.5</v>
      </c>
      <c r="J343" s="249"/>
    </row>
    <row r="344" spans="2:10" s="158" customFormat="1" ht="12.75" customHeight="1">
      <c r="B344" s="353">
        <v>338</v>
      </c>
      <c r="C344" s="376" t="s">
        <v>222</v>
      </c>
      <c r="D344" s="376" t="s">
        <v>374</v>
      </c>
      <c r="E344" s="376" t="s">
        <v>375</v>
      </c>
      <c r="F344" s="376" t="s">
        <v>348</v>
      </c>
      <c r="G344" s="378">
        <v>4</v>
      </c>
      <c r="H344" s="377">
        <v>140000</v>
      </c>
      <c r="I344" s="354">
        <f t="shared" si="5"/>
        <v>29750</v>
      </c>
      <c r="J344" s="249"/>
    </row>
    <row r="345" spans="2:10" s="158" customFormat="1" ht="12.75" customHeight="1">
      <c r="B345" s="353">
        <v>339</v>
      </c>
      <c r="C345" s="376" t="s">
        <v>233</v>
      </c>
      <c r="D345" s="376" t="s">
        <v>378</v>
      </c>
      <c r="E345" s="376" t="s">
        <v>379</v>
      </c>
      <c r="F345" s="376" t="s">
        <v>348</v>
      </c>
      <c r="G345" s="378">
        <v>3</v>
      </c>
      <c r="H345" s="377">
        <v>48000</v>
      </c>
      <c r="I345" s="354">
        <f t="shared" si="5"/>
        <v>10200</v>
      </c>
      <c r="J345" s="249"/>
    </row>
    <row r="346" spans="2:10" s="158" customFormat="1" ht="12.75" customHeight="1">
      <c r="B346" s="353">
        <v>340</v>
      </c>
      <c r="C346" s="376" t="s">
        <v>385</v>
      </c>
      <c r="D346" s="376" t="s">
        <v>386</v>
      </c>
      <c r="E346" s="376" t="s">
        <v>365</v>
      </c>
      <c r="F346" s="376" t="s">
        <v>348</v>
      </c>
      <c r="G346" s="378">
        <v>2</v>
      </c>
      <c r="H346" s="377">
        <v>70000</v>
      </c>
      <c r="I346" s="354">
        <f t="shared" si="5"/>
        <v>14875</v>
      </c>
      <c r="J346" s="249"/>
    </row>
    <row r="347" spans="2:10" s="158" customFormat="1" ht="12.75" customHeight="1">
      <c r="B347" s="353">
        <v>341</v>
      </c>
      <c r="C347" s="376" t="s">
        <v>385</v>
      </c>
      <c r="D347" s="376" t="s">
        <v>386</v>
      </c>
      <c r="E347" s="376" t="s">
        <v>365</v>
      </c>
      <c r="F347" s="376" t="s">
        <v>348</v>
      </c>
      <c r="G347" s="378">
        <v>2</v>
      </c>
      <c r="H347" s="377">
        <v>70000</v>
      </c>
      <c r="I347" s="354">
        <f t="shared" si="5"/>
        <v>14875</v>
      </c>
      <c r="J347" s="249"/>
    </row>
    <row r="348" spans="2:10" s="158" customFormat="1" ht="12.75" customHeight="1">
      <c r="B348" s="353">
        <v>342</v>
      </c>
      <c r="C348" s="376" t="s">
        <v>215</v>
      </c>
      <c r="D348" s="376" t="s">
        <v>387</v>
      </c>
      <c r="E348" s="376" t="s">
        <v>388</v>
      </c>
      <c r="F348" s="376" t="s">
        <v>348</v>
      </c>
      <c r="G348" s="378">
        <v>1</v>
      </c>
      <c r="H348" s="377">
        <v>35000</v>
      </c>
      <c r="I348" s="354">
        <f t="shared" ref="I348:I397" si="6">H348*21.25%</f>
        <v>7437.5</v>
      </c>
      <c r="J348" s="249"/>
    </row>
    <row r="349" spans="2:10" s="158" customFormat="1" ht="12.75" customHeight="1">
      <c r="B349" s="353">
        <v>343</v>
      </c>
      <c r="C349" s="376" t="s">
        <v>212</v>
      </c>
      <c r="D349" s="376" t="s">
        <v>353</v>
      </c>
      <c r="E349" s="376" t="s">
        <v>147</v>
      </c>
      <c r="F349" s="376" t="s">
        <v>348</v>
      </c>
      <c r="G349" s="378">
        <v>4</v>
      </c>
      <c r="H349" s="377">
        <v>64000</v>
      </c>
      <c r="I349" s="354">
        <f t="shared" si="6"/>
        <v>13600</v>
      </c>
      <c r="J349" s="249"/>
    </row>
    <row r="350" spans="2:10" s="158" customFormat="1" ht="12.75" customHeight="1">
      <c r="B350" s="353">
        <v>344</v>
      </c>
      <c r="C350" s="376" t="s">
        <v>224</v>
      </c>
      <c r="D350" s="376" t="s">
        <v>376</v>
      </c>
      <c r="E350" s="376" t="s">
        <v>377</v>
      </c>
      <c r="F350" s="376" t="s">
        <v>348</v>
      </c>
      <c r="G350" s="378">
        <v>1</v>
      </c>
      <c r="H350" s="377">
        <v>35000</v>
      </c>
      <c r="I350" s="354">
        <f t="shared" si="6"/>
        <v>7437.5</v>
      </c>
      <c r="J350" s="249"/>
    </row>
    <row r="351" spans="2:10" s="158" customFormat="1" ht="12.75" customHeight="1">
      <c r="B351" s="353">
        <v>345</v>
      </c>
      <c r="C351" s="376" t="s">
        <v>222</v>
      </c>
      <c r="D351" s="376" t="s">
        <v>374</v>
      </c>
      <c r="E351" s="376" t="s">
        <v>375</v>
      </c>
      <c r="F351" s="376" t="s">
        <v>348</v>
      </c>
      <c r="G351" s="378">
        <v>5</v>
      </c>
      <c r="H351" s="377">
        <v>175000</v>
      </c>
      <c r="I351" s="354">
        <f t="shared" si="6"/>
        <v>37187.5</v>
      </c>
      <c r="J351" s="249"/>
    </row>
    <row r="352" spans="2:10" s="158" customFormat="1" ht="12.75" customHeight="1">
      <c r="B352" s="353">
        <v>346</v>
      </c>
      <c r="C352" s="376" t="s">
        <v>238</v>
      </c>
      <c r="D352" s="376" t="s">
        <v>369</v>
      </c>
      <c r="E352" s="376" t="s">
        <v>355</v>
      </c>
      <c r="F352" s="376" t="s">
        <v>348</v>
      </c>
      <c r="G352" s="378">
        <v>5</v>
      </c>
      <c r="H352" s="377">
        <v>80000</v>
      </c>
      <c r="I352" s="354">
        <f t="shared" si="6"/>
        <v>17000</v>
      </c>
      <c r="J352" s="249"/>
    </row>
    <row r="353" spans="2:10" s="158" customFormat="1" ht="12.75" customHeight="1">
      <c r="B353" s="353">
        <v>347</v>
      </c>
      <c r="C353" s="376" t="s">
        <v>233</v>
      </c>
      <c r="D353" s="376" t="s">
        <v>378</v>
      </c>
      <c r="E353" s="376" t="s">
        <v>379</v>
      </c>
      <c r="F353" s="376" t="s">
        <v>348</v>
      </c>
      <c r="G353" s="378">
        <v>2</v>
      </c>
      <c r="H353" s="377">
        <v>32000</v>
      </c>
      <c r="I353" s="354">
        <f t="shared" si="6"/>
        <v>6800</v>
      </c>
      <c r="J353" s="249"/>
    </row>
    <row r="354" spans="2:10" s="158" customFormat="1" ht="12.75" customHeight="1">
      <c r="B354" s="353">
        <v>348</v>
      </c>
      <c r="C354" s="376" t="s">
        <v>209</v>
      </c>
      <c r="D354" s="376" t="s">
        <v>384</v>
      </c>
      <c r="E354" s="376" t="s">
        <v>377</v>
      </c>
      <c r="F354" s="376" t="s">
        <v>348</v>
      </c>
      <c r="G354" s="378">
        <v>4</v>
      </c>
      <c r="H354" s="377">
        <v>64000</v>
      </c>
      <c r="I354" s="354">
        <f t="shared" si="6"/>
        <v>13600</v>
      </c>
      <c r="J354" s="249"/>
    </row>
    <row r="355" spans="2:10" s="158" customFormat="1" ht="12.75" customHeight="1">
      <c r="B355" s="353">
        <v>349</v>
      </c>
      <c r="C355" s="376" t="s">
        <v>233</v>
      </c>
      <c r="D355" s="376" t="s">
        <v>360</v>
      </c>
      <c r="E355" s="376" t="s">
        <v>361</v>
      </c>
      <c r="F355" s="376" t="s">
        <v>348</v>
      </c>
      <c r="G355" s="378">
        <v>3</v>
      </c>
      <c r="H355" s="377">
        <v>46500</v>
      </c>
      <c r="I355" s="354">
        <f t="shared" si="6"/>
        <v>9881.25</v>
      </c>
      <c r="J355" s="249"/>
    </row>
    <row r="356" spans="2:10" s="158" customFormat="1" ht="12.75" customHeight="1">
      <c r="B356" s="353">
        <v>350</v>
      </c>
      <c r="C356" s="376" t="s">
        <v>224</v>
      </c>
      <c r="D356" s="376" t="s">
        <v>366</v>
      </c>
      <c r="E356" s="376" t="s">
        <v>367</v>
      </c>
      <c r="F356" s="376" t="s">
        <v>348</v>
      </c>
      <c r="G356" s="378">
        <v>2</v>
      </c>
      <c r="H356" s="377">
        <v>32000</v>
      </c>
      <c r="I356" s="354">
        <f t="shared" si="6"/>
        <v>6800</v>
      </c>
      <c r="J356" s="249"/>
    </row>
    <row r="357" spans="2:10" s="158" customFormat="1" ht="12.75" customHeight="1">
      <c r="B357" s="353">
        <v>351</v>
      </c>
      <c r="C357" s="376" t="s">
        <v>258</v>
      </c>
      <c r="D357" s="376" t="s">
        <v>356</v>
      </c>
      <c r="E357" s="376" t="s">
        <v>357</v>
      </c>
      <c r="F357" s="376" t="s">
        <v>348</v>
      </c>
      <c r="G357" s="378">
        <v>3</v>
      </c>
      <c r="H357" s="377">
        <v>48000</v>
      </c>
      <c r="I357" s="354">
        <f t="shared" si="6"/>
        <v>10200</v>
      </c>
      <c r="J357" s="249"/>
    </row>
    <row r="358" spans="2:10" s="158" customFormat="1" ht="12.75" customHeight="1">
      <c r="B358" s="353">
        <v>352</v>
      </c>
      <c r="C358" s="376" t="s">
        <v>224</v>
      </c>
      <c r="D358" s="376" t="s">
        <v>366</v>
      </c>
      <c r="E358" s="376" t="s">
        <v>367</v>
      </c>
      <c r="F358" s="376" t="s">
        <v>348</v>
      </c>
      <c r="G358" s="378">
        <v>1</v>
      </c>
      <c r="H358" s="377">
        <v>16000</v>
      </c>
      <c r="I358" s="354">
        <f t="shared" si="6"/>
        <v>3400</v>
      </c>
      <c r="J358" s="249"/>
    </row>
    <row r="359" spans="2:10" s="158" customFormat="1" ht="12.75" customHeight="1">
      <c r="B359" s="353">
        <v>353</v>
      </c>
      <c r="C359" s="376" t="s">
        <v>385</v>
      </c>
      <c r="D359" s="376" t="s">
        <v>386</v>
      </c>
      <c r="E359" s="376" t="s">
        <v>365</v>
      </c>
      <c r="F359" s="376" t="s">
        <v>348</v>
      </c>
      <c r="G359" s="378">
        <v>1</v>
      </c>
      <c r="H359" s="377">
        <v>35000</v>
      </c>
      <c r="I359" s="354">
        <f t="shared" si="6"/>
        <v>7437.5</v>
      </c>
      <c r="J359" s="249"/>
    </row>
    <row r="360" spans="2:10" s="158" customFormat="1" ht="12.75" customHeight="1">
      <c r="B360" s="353">
        <v>354</v>
      </c>
      <c r="C360" s="376" t="s">
        <v>233</v>
      </c>
      <c r="D360" s="376" t="s">
        <v>364</v>
      </c>
      <c r="E360" s="376" t="s">
        <v>365</v>
      </c>
      <c r="F360" s="376" t="s">
        <v>348</v>
      </c>
      <c r="G360" s="378">
        <v>1</v>
      </c>
      <c r="H360" s="377">
        <v>35000</v>
      </c>
      <c r="I360" s="354">
        <f t="shared" si="6"/>
        <v>7437.5</v>
      </c>
      <c r="J360" s="249"/>
    </row>
    <row r="361" spans="2:10" s="158" customFormat="1" ht="12.75" customHeight="1">
      <c r="B361" s="353">
        <v>355</v>
      </c>
      <c r="C361" s="376" t="s">
        <v>224</v>
      </c>
      <c r="D361" s="376" t="s">
        <v>376</v>
      </c>
      <c r="E361" s="376" t="s">
        <v>377</v>
      </c>
      <c r="F361" s="376" t="s">
        <v>348</v>
      </c>
      <c r="G361" s="378">
        <v>2</v>
      </c>
      <c r="H361" s="377">
        <v>70000</v>
      </c>
      <c r="I361" s="354">
        <f t="shared" si="6"/>
        <v>14875</v>
      </c>
      <c r="J361" s="249"/>
    </row>
    <row r="362" spans="2:10" s="158" customFormat="1" ht="12.75" customHeight="1">
      <c r="B362" s="353">
        <v>356</v>
      </c>
      <c r="C362" s="376" t="s">
        <v>222</v>
      </c>
      <c r="D362" s="376" t="s">
        <v>374</v>
      </c>
      <c r="E362" s="376" t="s">
        <v>375</v>
      </c>
      <c r="F362" s="376" t="s">
        <v>348</v>
      </c>
      <c r="G362" s="378">
        <v>4</v>
      </c>
      <c r="H362" s="377">
        <v>140000</v>
      </c>
      <c r="I362" s="354">
        <f t="shared" si="6"/>
        <v>29750</v>
      </c>
      <c r="J362" s="249"/>
    </row>
    <row r="363" spans="2:10" s="158" customFormat="1" ht="12.75" customHeight="1">
      <c r="B363" s="353">
        <v>357</v>
      </c>
      <c r="C363" s="376" t="s">
        <v>238</v>
      </c>
      <c r="D363" s="376" t="s">
        <v>369</v>
      </c>
      <c r="E363" s="376" t="s">
        <v>355</v>
      </c>
      <c r="F363" s="376" t="s">
        <v>348</v>
      </c>
      <c r="G363" s="378">
        <v>5</v>
      </c>
      <c r="H363" s="377">
        <v>80000</v>
      </c>
      <c r="I363" s="354">
        <f t="shared" si="6"/>
        <v>17000</v>
      </c>
      <c r="J363" s="249"/>
    </row>
    <row r="364" spans="2:10" s="158" customFormat="1" ht="12.75" customHeight="1">
      <c r="B364" s="353">
        <v>358</v>
      </c>
      <c r="C364" s="376" t="s">
        <v>233</v>
      </c>
      <c r="D364" s="376" t="s">
        <v>364</v>
      </c>
      <c r="E364" s="376" t="s">
        <v>365</v>
      </c>
      <c r="F364" s="376" t="s">
        <v>348</v>
      </c>
      <c r="G364" s="378">
        <v>7</v>
      </c>
      <c r="H364" s="377">
        <v>245000</v>
      </c>
      <c r="I364" s="354">
        <f t="shared" si="6"/>
        <v>52062.5</v>
      </c>
      <c r="J364" s="249"/>
    </row>
    <row r="365" spans="2:10" s="158" customFormat="1" ht="12.75" customHeight="1">
      <c r="B365" s="353">
        <v>359</v>
      </c>
      <c r="C365" s="376" t="s">
        <v>258</v>
      </c>
      <c r="D365" s="376" t="s">
        <v>356</v>
      </c>
      <c r="E365" s="376" t="s">
        <v>357</v>
      </c>
      <c r="F365" s="376" t="s">
        <v>348</v>
      </c>
      <c r="G365" s="378">
        <v>1</v>
      </c>
      <c r="H365" s="377">
        <v>16000</v>
      </c>
      <c r="I365" s="354">
        <f t="shared" si="6"/>
        <v>3400</v>
      </c>
      <c r="J365" s="249"/>
    </row>
    <row r="366" spans="2:10" s="158" customFormat="1" ht="12.75" customHeight="1">
      <c r="B366" s="353">
        <v>360</v>
      </c>
      <c r="C366" s="376" t="s">
        <v>256</v>
      </c>
      <c r="D366" s="376" t="s">
        <v>368</v>
      </c>
      <c r="E366" s="376" t="s">
        <v>365</v>
      </c>
      <c r="F366" s="376" t="s">
        <v>348</v>
      </c>
      <c r="G366" s="378">
        <v>1</v>
      </c>
      <c r="H366" s="377">
        <v>16000</v>
      </c>
      <c r="I366" s="354">
        <f t="shared" si="6"/>
        <v>3400</v>
      </c>
      <c r="J366" s="249"/>
    </row>
    <row r="367" spans="2:10" s="158" customFormat="1" ht="12.75" customHeight="1">
      <c r="B367" s="353">
        <v>361</v>
      </c>
      <c r="C367" s="376" t="s">
        <v>212</v>
      </c>
      <c r="D367" s="376" t="s">
        <v>353</v>
      </c>
      <c r="E367" s="376" t="s">
        <v>147</v>
      </c>
      <c r="F367" s="376" t="s">
        <v>348</v>
      </c>
      <c r="G367" s="378">
        <v>1</v>
      </c>
      <c r="H367" s="377">
        <v>16000</v>
      </c>
      <c r="I367" s="354">
        <f t="shared" si="6"/>
        <v>3400</v>
      </c>
      <c r="J367" s="249"/>
    </row>
    <row r="368" spans="2:10" s="158" customFormat="1" ht="12.75" customHeight="1">
      <c r="B368" s="353">
        <v>362</v>
      </c>
      <c r="C368" s="376" t="s">
        <v>233</v>
      </c>
      <c r="D368" s="376" t="s">
        <v>360</v>
      </c>
      <c r="E368" s="376" t="s">
        <v>361</v>
      </c>
      <c r="F368" s="376" t="s">
        <v>348</v>
      </c>
      <c r="G368" s="378">
        <v>2</v>
      </c>
      <c r="H368" s="377">
        <v>31000</v>
      </c>
      <c r="I368" s="354">
        <f t="shared" si="6"/>
        <v>6587.5</v>
      </c>
      <c r="J368" s="249"/>
    </row>
    <row r="369" spans="2:10" s="158" customFormat="1" ht="12.75" customHeight="1">
      <c r="B369" s="353">
        <v>363</v>
      </c>
      <c r="C369" s="376" t="s">
        <v>224</v>
      </c>
      <c r="D369" s="376" t="s">
        <v>376</v>
      </c>
      <c r="E369" s="376" t="s">
        <v>377</v>
      </c>
      <c r="F369" s="376" t="s">
        <v>348</v>
      </c>
      <c r="G369" s="378">
        <v>8</v>
      </c>
      <c r="H369" s="377">
        <v>280000</v>
      </c>
      <c r="I369" s="354">
        <f t="shared" si="6"/>
        <v>59500</v>
      </c>
      <c r="J369" s="249"/>
    </row>
    <row r="370" spans="2:10" s="158" customFormat="1" ht="12.75" customHeight="1">
      <c r="B370" s="353">
        <v>364</v>
      </c>
      <c r="C370" s="376" t="s">
        <v>256</v>
      </c>
      <c r="D370" s="376" t="s">
        <v>368</v>
      </c>
      <c r="E370" s="376" t="s">
        <v>365</v>
      </c>
      <c r="F370" s="376" t="s">
        <v>348</v>
      </c>
      <c r="G370" s="378">
        <v>2</v>
      </c>
      <c r="H370" s="377">
        <v>32000</v>
      </c>
      <c r="I370" s="354">
        <f t="shared" si="6"/>
        <v>6800</v>
      </c>
      <c r="J370" s="249"/>
    </row>
    <row r="371" spans="2:10" s="158" customFormat="1" ht="12.75" customHeight="1">
      <c r="B371" s="353">
        <v>365</v>
      </c>
      <c r="C371" s="376" t="s">
        <v>256</v>
      </c>
      <c r="D371" s="376" t="s">
        <v>358</v>
      </c>
      <c r="E371" s="376" t="s">
        <v>359</v>
      </c>
      <c r="F371" s="376" t="s">
        <v>348</v>
      </c>
      <c r="G371" s="378">
        <v>2</v>
      </c>
      <c r="H371" s="377">
        <v>32000</v>
      </c>
      <c r="I371" s="354">
        <f t="shared" si="6"/>
        <v>6800</v>
      </c>
      <c r="J371" s="249"/>
    </row>
    <row r="372" spans="2:10" s="158" customFormat="1" ht="12.75" customHeight="1">
      <c r="B372" s="353">
        <v>366</v>
      </c>
      <c r="C372" s="376" t="s">
        <v>256</v>
      </c>
      <c r="D372" s="376" t="s">
        <v>354</v>
      </c>
      <c r="E372" s="376" t="s">
        <v>355</v>
      </c>
      <c r="F372" s="376" t="s">
        <v>348</v>
      </c>
      <c r="G372" s="378">
        <v>2</v>
      </c>
      <c r="H372" s="377">
        <v>32000</v>
      </c>
      <c r="I372" s="354">
        <f t="shared" si="6"/>
        <v>6800</v>
      </c>
      <c r="J372" s="249"/>
    </row>
    <row r="373" spans="2:10" s="158" customFormat="1" ht="12.75" customHeight="1">
      <c r="B373" s="353">
        <v>367</v>
      </c>
      <c r="C373" s="376" t="s">
        <v>233</v>
      </c>
      <c r="D373" s="376" t="s">
        <v>378</v>
      </c>
      <c r="E373" s="376" t="s">
        <v>379</v>
      </c>
      <c r="F373" s="376" t="s">
        <v>348</v>
      </c>
      <c r="G373" s="378">
        <v>2</v>
      </c>
      <c r="H373" s="377">
        <v>32000</v>
      </c>
      <c r="I373" s="354">
        <f t="shared" si="6"/>
        <v>6800</v>
      </c>
      <c r="J373" s="249"/>
    </row>
    <row r="374" spans="2:10" s="158" customFormat="1" ht="12.75" customHeight="1">
      <c r="B374" s="353">
        <v>368</v>
      </c>
      <c r="C374" s="376" t="s">
        <v>224</v>
      </c>
      <c r="D374" s="376" t="s">
        <v>376</v>
      </c>
      <c r="E374" s="376" t="s">
        <v>377</v>
      </c>
      <c r="F374" s="376" t="s">
        <v>348</v>
      </c>
      <c r="G374" s="378">
        <v>7</v>
      </c>
      <c r="H374" s="377">
        <v>245000</v>
      </c>
      <c r="I374" s="354">
        <f t="shared" si="6"/>
        <v>52062.5</v>
      </c>
      <c r="J374" s="249"/>
    </row>
    <row r="375" spans="2:10" s="158" customFormat="1" ht="12.75" customHeight="1">
      <c r="B375" s="353">
        <v>369</v>
      </c>
      <c r="C375" s="376" t="s">
        <v>258</v>
      </c>
      <c r="D375" s="376" t="s">
        <v>356</v>
      </c>
      <c r="E375" s="376" t="s">
        <v>357</v>
      </c>
      <c r="F375" s="376" t="s">
        <v>348</v>
      </c>
      <c r="G375" s="378">
        <v>1</v>
      </c>
      <c r="H375" s="377">
        <v>16000</v>
      </c>
      <c r="I375" s="354">
        <f t="shared" si="6"/>
        <v>3400</v>
      </c>
      <c r="J375" s="249"/>
    </row>
    <row r="376" spans="2:10" s="158" customFormat="1" ht="12.75" customHeight="1">
      <c r="B376" s="353">
        <v>370</v>
      </c>
      <c r="C376" s="376" t="s">
        <v>224</v>
      </c>
      <c r="D376" s="376" t="s">
        <v>366</v>
      </c>
      <c r="E376" s="376" t="s">
        <v>367</v>
      </c>
      <c r="F376" s="376" t="s">
        <v>348</v>
      </c>
      <c r="G376" s="378">
        <v>4</v>
      </c>
      <c r="H376" s="377">
        <v>64000</v>
      </c>
      <c r="I376" s="354">
        <f t="shared" si="6"/>
        <v>13600</v>
      </c>
      <c r="J376" s="249"/>
    </row>
    <row r="377" spans="2:10" s="158" customFormat="1" ht="12.75" customHeight="1">
      <c r="B377" s="353">
        <v>371</v>
      </c>
      <c r="C377" s="376" t="s">
        <v>215</v>
      </c>
      <c r="D377" s="376" t="s">
        <v>372</v>
      </c>
      <c r="E377" s="376" t="s">
        <v>373</v>
      </c>
      <c r="F377" s="376" t="s">
        <v>348</v>
      </c>
      <c r="G377" s="378">
        <v>2</v>
      </c>
      <c r="H377" s="377">
        <v>32000</v>
      </c>
      <c r="I377" s="354">
        <f t="shared" si="6"/>
        <v>6800</v>
      </c>
      <c r="J377" s="249"/>
    </row>
    <row r="378" spans="2:10" s="158" customFormat="1" ht="12.75" customHeight="1">
      <c r="B378" s="353">
        <v>372</v>
      </c>
      <c r="C378" s="376" t="s">
        <v>224</v>
      </c>
      <c r="D378" s="376" t="s">
        <v>376</v>
      </c>
      <c r="E378" s="376" t="s">
        <v>377</v>
      </c>
      <c r="F378" s="376" t="s">
        <v>348</v>
      </c>
      <c r="G378" s="378">
        <v>3</v>
      </c>
      <c r="H378" s="377">
        <v>105000</v>
      </c>
      <c r="I378" s="354">
        <f t="shared" si="6"/>
        <v>22312.5</v>
      </c>
      <c r="J378" s="249"/>
    </row>
    <row r="379" spans="2:10" s="158" customFormat="1" ht="12.75" customHeight="1">
      <c r="B379" s="353">
        <v>373</v>
      </c>
      <c r="C379" s="376" t="s">
        <v>215</v>
      </c>
      <c r="D379" s="376" t="s">
        <v>372</v>
      </c>
      <c r="E379" s="376" t="s">
        <v>373</v>
      </c>
      <c r="F379" s="376" t="s">
        <v>348</v>
      </c>
      <c r="G379" s="378">
        <v>3</v>
      </c>
      <c r="H379" s="377">
        <v>48000</v>
      </c>
      <c r="I379" s="354">
        <f t="shared" si="6"/>
        <v>10200</v>
      </c>
      <c r="J379" s="249"/>
    </row>
    <row r="380" spans="2:10" s="158" customFormat="1" ht="12.75" customHeight="1">
      <c r="B380" s="353">
        <v>374</v>
      </c>
      <c r="C380" s="376" t="s">
        <v>233</v>
      </c>
      <c r="D380" s="376" t="s">
        <v>378</v>
      </c>
      <c r="E380" s="376" t="s">
        <v>379</v>
      </c>
      <c r="F380" s="376" t="s">
        <v>348</v>
      </c>
      <c r="G380" s="378">
        <v>3</v>
      </c>
      <c r="H380" s="377">
        <v>48000</v>
      </c>
      <c r="I380" s="354">
        <f t="shared" si="6"/>
        <v>10200</v>
      </c>
      <c r="J380" s="249"/>
    </row>
    <row r="381" spans="2:10" s="158" customFormat="1" ht="12.75" customHeight="1">
      <c r="B381" s="353">
        <v>375</v>
      </c>
      <c r="C381" s="376" t="s">
        <v>224</v>
      </c>
      <c r="D381" s="376" t="s">
        <v>376</v>
      </c>
      <c r="E381" s="376" t="s">
        <v>377</v>
      </c>
      <c r="F381" s="376" t="s">
        <v>348</v>
      </c>
      <c r="G381" s="378">
        <v>9</v>
      </c>
      <c r="H381" s="377">
        <v>315000</v>
      </c>
      <c r="I381" s="354">
        <f t="shared" si="6"/>
        <v>66937.5</v>
      </c>
      <c r="J381" s="249"/>
    </row>
    <row r="382" spans="2:10" s="158" customFormat="1" ht="12.75" customHeight="1">
      <c r="B382" s="353">
        <v>376</v>
      </c>
      <c r="C382" s="376" t="s">
        <v>215</v>
      </c>
      <c r="D382" s="376" t="s">
        <v>387</v>
      </c>
      <c r="E382" s="376" t="s">
        <v>388</v>
      </c>
      <c r="F382" s="376" t="s">
        <v>348</v>
      </c>
      <c r="G382" s="378">
        <v>2</v>
      </c>
      <c r="H382" s="377">
        <v>70000</v>
      </c>
      <c r="I382" s="354">
        <f t="shared" si="6"/>
        <v>14875</v>
      </c>
      <c r="J382" s="249"/>
    </row>
    <row r="383" spans="2:10" s="158" customFormat="1" ht="12.75" customHeight="1">
      <c r="B383" s="353">
        <v>377</v>
      </c>
      <c r="C383" s="376" t="s">
        <v>224</v>
      </c>
      <c r="D383" s="376" t="s">
        <v>376</v>
      </c>
      <c r="E383" s="376" t="s">
        <v>377</v>
      </c>
      <c r="F383" s="376" t="s">
        <v>348</v>
      </c>
      <c r="G383" s="378">
        <v>12</v>
      </c>
      <c r="H383" s="377">
        <v>420000</v>
      </c>
      <c r="I383" s="354">
        <f t="shared" si="6"/>
        <v>89250</v>
      </c>
      <c r="J383" s="249"/>
    </row>
    <row r="384" spans="2:10" s="158" customFormat="1" ht="12.75" customHeight="1">
      <c r="B384" s="353">
        <v>378</v>
      </c>
      <c r="C384" s="376" t="s">
        <v>222</v>
      </c>
      <c r="D384" s="376" t="s">
        <v>374</v>
      </c>
      <c r="E384" s="376" t="s">
        <v>375</v>
      </c>
      <c r="F384" s="376" t="s">
        <v>348</v>
      </c>
      <c r="G384" s="378">
        <v>3</v>
      </c>
      <c r="H384" s="377">
        <v>105000</v>
      </c>
      <c r="I384" s="354">
        <f t="shared" si="6"/>
        <v>22312.5</v>
      </c>
      <c r="J384" s="249"/>
    </row>
    <row r="385" spans="2:11" s="158" customFormat="1" ht="12.75" customHeight="1">
      <c r="B385" s="353">
        <v>379</v>
      </c>
      <c r="C385" s="376" t="s">
        <v>209</v>
      </c>
      <c r="D385" s="376" t="s">
        <v>384</v>
      </c>
      <c r="E385" s="376" t="s">
        <v>377</v>
      </c>
      <c r="F385" s="376" t="s">
        <v>348</v>
      </c>
      <c r="G385" s="378">
        <v>1</v>
      </c>
      <c r="H385" s="377">
        <v>16000</v>
      </c>
      <c r="I385" s="354">
        <f t="shared" si="6"/>
        <v>3400</v>
      </c>
      <c r="J385" s="249"/>
    </row>
    <row r="386" spans="2:11" s="158" customFormat="1" ht="12.75" customHeight="1">
      <c r="B386" s="353">
        <v>380</v>
      </c>
      <c r="C386" s="376" t="s">
        <v>209</v>
      </c>
      <c r="D386" s="376" t="s">
        <v>389</v>
      </c>
      <c r="E386" s="376" t="s">
        <v>390</v>
      </c>
      <c r="F386" s="376" t="s">
        <v>348</v>
      </c>
      <c r="G386" s="378">
        <v>1</v>
      </c>
      <c r="H386" s="377">
        <v>16000</v>
      </c>
      <c r="I386" s="354">
        <f t="shared" si="6"/>
        <v>3400</v>
      </c>
      <c r="J386" s="249"/>
    </row>
    <row r="387" spans="2:11" s="158" customFormat="1" ht="12.75" customHeight="1">
      <c r="B387" s="353">
        <v>381</v>
      </c>
      <c r="C387" s="376" t="s">
        <v>222</v>
      </c>
      <c r="D387" s="376" t="s">
        <v>380</v>
      </c>
      <c r="E387" s="376" t="s">
        <v>381</v>
      </c>
      <c r="F387" s="376" t="s">
        <v>348</v>
      </c>
      <c r="G387" s="378">
        <v>2</v>
      </c>
      <c r="H387" s="377">
        <v>32000</v>
      </c>
      <c r="I387" s="354">
        <f t="shared" si="6"/>
        <v>6800</v>
      </c>
      <c r="J387" s="249"/>
    </row>
    <row r="388" spans="2:11" s="158" customFormat="1" ht="12.75" customHeight="1">
      <c r="B388" s="353">
        <v>382</v>
      </c>
      <c r="C388" s="376" t="s">
        <v>224</v>
      </c>
      <c r="D388" s="376" t="s">
        <v>376</v>
      </c>
      <c r="E388" s="376" t="s">
        <v>377</v>
      </c>
      <c r="F388" s="376" t="s">
        <v>348</v>
      </c>
      <c r="G388" s="378">
        <v>7</v>
      </c>
      <c r="H388" s="377">
        <v>245000</v>
      </c>
      <c r="I388" s="354">
        <f t="shared" si="6"/>
        <v>52062.5</v>
      </c>
      <c r="J388" s="249"/>
    </row>
    <row r="389" spans="2:11" s="158" customFormat="1" ht="12.75" customHeight="1">
      <c r="B389" s="353">
        <v>383</v>
      </c>
      <c r="C389" s="376" t="s">
        <v>233</v>
      </c>
      <c r="D389" s="376" t="s">
        <v>364</v>
      </c>
      <c r="E389" s="376" t="s">
        <v>365</v>
      </c>
      <c r="F389" s="376" t="s">
        <v>348</v>
      </c>
      <c r="G389" s="378">
        <v>6</v>
      </c>
      <c r="H389" s="377">
        <v>210000</v>
      </c>
      <c r="I389" s="354">
        <f t="shared" si="6"/>
        <v>44625</v>
      </c>
      <c r="J389" s="249"/>
    </row>
    <row r="390" spans="2:11" s="158" customFormat="1" ht="12.75" customHeight="1">
      <c r="B390" s="353">
        <v>384</v>
      </c>
      <c r="C390" s="376" t="s">
        <v>233</v>
      </c>
      <c r="D390" s="376" t="s">
        <v>360</v>
      </c>
      <c r="E390" s="376" t="s">
        <v>361</v>
      </c>
      <c r="F390" s="376" t="s">
        <v>348</v>
      </c>
      <c r="G390" s="378">
        <v>2</v>
      </c>
      <c r="H390" s="377">
        <v>31000</v>
      </c>
      <c r="I390" s="354">
        <f t="shared" si="6"/>
        <v>6587.5</v>
      </c>
      <c r="J390" s="249"/>
    </row>
    <row r="391" spans="2:11" s="158" customFormat="1" ht="12.75" customHeight="1">
      <c r="B391" s="353">
        <v>385</v>
      </c>
      <c r="C391" s="376" t="s">
        <v>233</v>
      </c>
      <c r="D391" s="376" t="s">
        <v>360</v>
      </c>
      <c r="E391" s="376" t="s">
        <v>361</v>
      </c>
      <c r="F391" s="376" t="s">
        <v>348</v>
      </c>
      <c r="G391" s="378">
        <v>1</v>
      </c>
      <c r="H391" s="377">
        <v>15500</v>
      </c>
      <c r="I391" s="354">
        <f t="shared" si="6"/>
        <v>3293.75</v>
      </c>
      <c r="J391" s="249"/>
    </row>
    <row r="392" spans="2:11" s="158" customFormat="1" ht="12.75" customHeight="1">
      <c r="B392" s="353">
        <v>386</v>
      </c>
      <c r="C392" s="376" t="s">
        <v>224</v>
      </c>
      <c r="D392" s="376" t="s">
        <v>376</v>
      </c>
      <c r="E392" s="376" t="s">
        <v>377</v>
      </c>
      <c r="F392" s="376" t="s">
        <v>348</v>
      </c>
      <c r="G392" s="378">
        <v>4</v>
      </c>
      <c r="H392" s="377">
        <v>140000</v>
      </c>
      <c r="I392" s="354">
        <f t="shared" si="6"/>
        <v>29750</v>
      </c>
      <c r="J392" s="249"/>
    </row>
    <row r="393" spans="2:11" s="158" customFormat="1" ht="12.75" customHeight="1">
      <c r="B393" s="353">
        <v>387</v>
      </c>
      <c r="C393" s="376" t="s">
        <v>233</v>
      </c>
      <c r="D393" s="376" t="s">
        <v>364</v>
      </c>
      <c r="E393" s="376" t="s">
        <v>365</v>
      </c>
      <c r="F393" s="376" t="s">
        <v>348</v>
      </c>
      <c r="G393" s="378">
        <v>5</v>
      </c>
      <c r="H393" s="377">
        <v>175000</v>
      </c>
      <c r="I393" s="354">
        <f t="shared" si="6"/>
        <v>37187.5</v>
      </c>
      <c r="J393" s="249"/>
    </row>
    <row r="394" spans="2:11" s="158" customFormat="1" ht="12.75" customHeight="1">
      <c r="B394" s="353">
        <v>388</v>
      </c>
      <c r="C394" s="376" t="s">
        <v>212</v>
      </c>
      <c r="D394" s="376" t="s">
        <v>353</v>
      </c>
      <c r="E394" s="376" t="s">
        <v>147</v>
      </c>
      <c r="F394" s="376" t="s">
        <v>348</v>
      </c>
      <c r="G394" s="378">
        <v>1</v>
      </c>
      <c r="H394" s="377">
        <v>16000</v>
      </c>
      <c r="I394" s="354">
        <f t="shared" si="6"/>
        <v>3400</v>
      </c>
      <c r="J394" s="249"/>
    </row>
    <row r="395" spans="2:11" s="158" customFormat="1" ht="12.75" customHeight="1">
      <c r="B395" s="353">
        <v>389</v>
      </c>
      <c r="C395" s="376" t="s">
        <v>224</v>
      </c>
      <c r="D395" s="376" t="s">
        <v>376</v>
      </c>
      <c r="E395" s="376" t="s">
        <v>377</v>
      </c>
      <c r="F395" s="376" t="s">
        <v>348</v>
      </c>
      <c r="G395" s="378">
        <v>3</v>
      </c>
      <c r="H395" s="377">
        <v>105000</v>
      </c>
      <c r="I395" s="354">
        <f t="shared" si="6"/>
        <v>22312.5</v>
      </c>
      <c r="J395" s="249"/>
    </row>
    <row r="396" spans="2:11" s="158" customFormat="1" ht="12.75" customHeight="1">
      <c r="B396" s="353">
        <v>390</v>
      </c>
      <c r="C396" s="376" t="s">
        <v>209</v>
      </c>
      <c r="D396" s="376" t="s">
        <v>384</v>
      </c>
      <c r="E396" s="376" t="s">
        <v>377</v>
      </c>
      <c r="F396" s="376" t="s">
        <v>348</v>
      </c>
      <c r="G396" s="378">
        <v>3</v>
      </c>
      <c r="H396" s="377">
        <v>48000</v>
      </c>
      <c r="I396" s="354">
        <f t="shared" si="6"/>
        <v>10200</v>
      </c>
      <c r="J396" s="249"/>
    </row>
    <row r="397" spans="2:11" s="158" customFormat="1" ht="12.75" customHeight="1">
      <c r="B397" s="353">
        <v>391</v>
      </c>
      <c r="C397" s="376" t="s">
        <v>200</v>
      </c>
      <c r="D397" s="376" t="s">
        <v>351</v>
      </c>
      <c r="E397" s="376" t="s">
        <v>352</v>
      </c>
      <c r="F397" s="376" t="s">
        <v>348</v>
      </c>
      <c r="G397" s="378">
        <v>1</v>
      </c>
      <c r="H397" s="377">
        <v>16000</v>
      </c>
      <c r="I397" s="354">
        <f t="shared" si="6"/>
        <v>3400</v>
      </c>
      <c r="J397" s="249"/>
    </row>
    <row r="398" spans="2:11" s="158" customFormat="1">
      <c r="B398" s="318"/>
      <c r="C398" s="389"/>
      <c r="D398" s="320" t="s">
        <v>83</v>
      </c>
      <c r="E398" s="389"/>
      <c r="F398" s="320"/>
      <c r="G398" s="319">
        <f>SUBTOTAL(9,G7:G397)</f>
        <v>1284</v>
      </c>
      <c r="H398" s="319">
        <f>SUBTOTAL(9,H7:H397)</f>
        <v>111164500</v>
      </c>
      <c r="I398" s="319">
        <f>SUBTOTAL(9,I7:I397)</f>
        <v>21044518.75</v>
      </c>
      <c r="K398" s="250"/>
    </row>
    <row r="399" spans="2:11" ht="18.75" customHeight="1">
      <c r="B399" s="338"/>
      <c r="C399" s="420"/>
      <c r="D399" s="339"/>
      <c r="E399" s="415"/>
      <c r="F399" s="490" t="s">
        <v>639</v>
      </c>
      <c r="G399" s="490"/>
      <c r="H399" s="490"/>
      <c r="I399" s="490"/>
      <c r="J399" s="165"/>
      <c r="K399" s="193"/>
    </row>
    <row r="400" spans="2:11" ht="15.6">
      <c r="B400" s="492" t="s">
        <v>35</v>
      </c>
      <c r="C400" s="492"/>
      <c r="D400" s="492"/>
      <c r="E400" s="416"/>
      <c r="F400" s="474" t="s">
        <v>117</v>
      </c>
      <c r="G400" s="474"/>
      <c r="H400" s="474"/>
      <c r="I400" s="474"/>
      <c r="J400" s="130"/>
    </row>
    <row r="401" spans="2:12" ht="18">
      <c r="B401" s="340"/>
      <c r="C401" s="340"/>
      <c r="D401" s="340"/>
      <c r="E401" s="416"/>
      <c r="F401" s="341"/>
      <c r="G401" s="341"/>
      <c r="H401" s="495"/>
      <c r="I401" s="495"/>
      <c r="J401" s="137"/>
      <c r="K401" s="193"/>
    </row>
    <row r="402" spans="2:12" ht="18">
      <c r="B402" s="340"/>
      <c r="C402" s="340"/>
      <c r="D402" s="340"/>
      <c r="E402" s="416"/>
      <c r="F402" s="346"/>
      <c r="G402" s="341"/>
      <c r="H402" s="494"/>
      <c r="I402" s="494"/>
      <c r="J402" s="137"/>
      <c r="K402" s="193"/>
    </row>
    <row r="403" spans="2:12" ht="18">
      <c r="B403" s="338"/>
      <c r="C403" s="420"/>
      <c r="D403" s="342"/>
      <c r="E403" s="417"/>
      <c r="F403" s="343"/>
      <c r="G403" s="343"/>
      <c r="H403" s="291"/>
      <c r="I403" s="291"/>
      <c r="J403" s="137"/>
      <c r="K403" s="193"/>
    </row>
    <row r="404" spans="2:12" ht="15.6">
      <c r="B404" s="493" t="s">
        <v>96</v>
      </c>
      <c r="C404" s="493"/>
      <c r="D404" s="493"/>
      <c r="E404" s="417"/>
      <c r="F404" s="491" t="s">
        <v>109</v>
      </c>
      <c r="G404" s="491"/>
      <c r="H404" s="491"/>
      <c r="I404" s="491"/>
      <c r="J404" s="166"/>
      <c r="L404" s="158"/>
    </row>
    <row r="405" spans="2:12" ht="15.6">
      <c r="B405" s="338"/>
      <c r="C405" s="420"/>
      <c r="D405" s="342"/>
      <c r="E405" s="417"/>
      <c r="F405" s="247"/>
      <c r="G405" s="340"/>
      <c r="H405" s="344"/>
      <c r="I405" s="342"/>
    </row>
    <row r="406" spans="2:12">
      <c r="E406" s="168"/>
      <c r="F406" s="168"/>
      <c r="G406" s="260"/>
      <c r="H406" s="99"/>
      <c r="I406" s="193"/>
    </row>
    <row r="407" spans="2:12">
      <c r="E407" s="168"/>
      <c r="F407" s="168"/>
      <c r="G407" s="260"/>
      <c r="H407" s="99"/>
    </row>
    <row r="408" spans="2:12">
      <c r="E408" s="168"/>
      <c r="F408" s="168"/>
      <c r="G408" s="260"/>
      <c r="H408" s="99"/>
    </row>
    <row r="409" spans="2:12">
      <c r="E409" s="168"/>
      <c r="F409" s="168"/>
      <c r="G409" s="260"/>
      <c r="H409" s="99"/>
    </row>
    <row r="410" spans="2:12">
      <c r="E410" s="168"/>
      <c r="F410" s="168"/>
      <c r="G410" s="260"/>
      <c r="H410" s="99"/>
    </row>
    <row r="411" spans="2:12">
      <c r="E411" s="168"/>
      <c r="F411" s="168"/>
      <c r="G411" s="260"/>
      <c r="H411" s="99"/>
    </row>
    <row r="412" spans="2:12">
      <c r="E412" s="168"/>
      <c r="F412" s="168"/>
      <c r="G412" s="260"/>
      <c r="H412" s="99"/>
    </row>
    <row r="413" spans="2:12">
      <c r="E413" s="168"/>
      <c r="F413" s="168"/>
      <c r="G413" s="260"/>
      <c r="H413" s="99"/>
    </row>
    <row r="414" spans="2:12">
      <c r="E414" s="168"/>
      <c r="F414" s="168"/>
      <c r="G414" s="260"/>
      <c r="H414" s="99"/>
    </row>
    <row r="415" spans="2:12">
      <c r="E415" s="168"/>
      <c r="F415" s="168"/>
      <c r="G415" s="260"/>
      <c r="H415" s="99"/>
    </row>
    <row r="416" spans="2:12">
      <c r="E416" s="168"/>
      <c r="F416" s="168"/>
      <c r="G416" s="260"/>
      <c r="H416" s="99"/>
    </row>
    <row r="417" spans="5:8">
      <c r="E417" s="168"/>
      <c r="F417" s="168"/>
      <c r="G417" s="260"/>
      <c r="H417" s="99"/>
    </row>
    <row r="418" spans="5:8">
      <c r="E418" s="168"/>
      <c r="F418" s="168"/>
      <c r="G418" s="260"/>
      <c r="H418" s="99"/>
    </row>
    <row r="419" spans="5:8">
      <c r="E419" s="168"/>
      <c r="F419" s="168"/>
      <c r="G419" s="260"/>
      <c r="H419" s="99"/>
    </row>
    <row r="420" spans="5:8">
      <c r="E420" s="168"/>
      <c r="F420" s="168"/>
      <c r="G420" s="260"/>
      <c r="H420" s="99"/>
    </row>
    <row r="421" spans="5:8">
      <c r="E421" s="168"/>
      <c r="F421" s="168"/>
      <c r="G421" s="260"/>
      <c r="H421" s="99"/>
    </row>
    <row r="422" spans="5:8">
      <c r="E422" s="168"/>
      <c r="F422" s="168"/>
      <c r="G422" s="260"/>
      <c r="H422" s="99"/>
    </row>
    <row r="423" spans="5:8">
      <c r="E423" s="168"/>
      <c r="F423" s="168"/>
      <c r="G423" s="260"/>
      <c r="H423" s="99"/>
    </row>
    <row r="424" spans="5:8">
      <c r="E424" s="168"/>
      <c r="F424" s="168"/>
      <c r="G424" s="260"/>
      <c r="H424" s="99"/>
    </row>
    <row r="425" spans="5:8">
      <c r="E425" s="168"/>
      <c r="F425" s="168"/>
      <c r="G425" s="260"/>
      <c r="H425" s="99"/>
    </row>
    <row r="426" spans="5:8">
      <c r="E426" s="168"/>
      <c r="F426" s="168"/>
      <c r="G426" s="260"/>
      <c r="H426" s="99"/>
    </row>
    <row r="427" spans="5:8">
      <c r="E427" s="168"/>
      <c r="F427" s="168"/>
      <c r="G427" s="260"/>
      <c r="H427" s="99"/>
    </row>
    <row r="428" spans="5:8">
      <c r="E428" s="168"/>
      <c r="F428" s="168"/>
      <c r="G428" s="260"/>
      <c r="H428" s="99"/>
    </row>
    <row r="429" spans="5:8">
      <c r="E429" s="168"/>
      <c r="F429" s="168"/>
      <c r="G429" s="260"/>
      <c r="H429" s="99"/>
    </row>
    <row r="430" spans="5:8">
      <c r="E430" s="168"/>
      <c r="F430" s="168"/>
      <c r="G430" s="260"/>
      <c r="H430" s="99"/>
    </row>
    <row r="431" spans="5:8">
      <c r="E431" s="168"/>
      <c r="F431" s="168"/>
      <c r="G431" s="260"/>
      <c r="H431" s="99"/>
    </row>
    <row r="432" spans="5:8">
      <c r="E432" s="168"/>
      <c r="F432" s="168"/>
      <c r="G432" s="260"/>
      <c r="H432" s="99"/>
    </row>
    <row r="433" spans="5:8">
      <c r="E433" s="168"/>
      <c r="F433" s="168"/>
      <c r="G433" s="260"/>
      <c r="H433" s="99"/>
    </row>
    <row r="434" spans="5:8">
      <c r="E434" s="168"/>
      <c r="F434" s="168"/>
      <c r="G434" s="260"/>
      <c r="H434" s="99"/>
    </row>
    <row r="435" spans="5:8">
      <c r="E435" s="168"/>
      <c r="F435" s="168"/>
      <c r="G435" s="260"/>
      <c r="H435" s="99"/>
    </row>
    <row r="436" spans="5:8">
      <c r="E436" s="168"/>
      <c r="F436" s="168"/>
      <c r="G436" s="260"/>
      <c r="H436" s="99"/>
    </row>
    <row r="437" spans="5:8">
      <c r="E437" s="168"/>
      <c r="F437" s="168"/>
      <c r="G437" s="260"/>
      <c r="H437" s="99"/>
    </row>
    <row r="438" spans="5:8">
      <c r="E438" s="168"/>
      <c r="F438" s="168"/>
      <c r="G438" s="260"/>
      <c r="H438" s="99"/>
    </row>
    <row r="439" spans="5:8">
      <c r="E439" s="168"/>
      <c r="F439" s="168"/>
      <c r="G439" s="260"/>
      <c r="H439" s="99"/>
    </row>
    <row r="440" spans="5:8">
      <c r="E440" s="168"/>
      <c r="F440" s="168"/>
      <c r="G440" s="260"/>
      <c r="H440" s="99"/>
    </row>
    <row r="441" spans="5:8">
      <c r="E441" s="168"/>
      <c r="F441" s="168"/>
      <c r="G441" s="260"/>
      <c r="H441" s="99"/>
    </row>
    <row r="442" spans="5:8">
      <c r="E442" s="168"/>
      <c r="F442" s="168"/>
      <c r="G442" s="260"/>
      <c r="H442" s="99"/>
    </row>
    <row r="443" spans="5:8">
      <c r="E443" s="168"/>
      <c r="F443" s="168"/>
      <c r="G443" s="260"/>
      <c r="H443" s="99"/>
    </row>
    <row r="444" spans="5:8">
      <c r="E444" s="168"/>
      <c r="F444" s="168"/>
      <c r="G444" s="260"/>
      <c r="H444" s="99"/>
    </row>
    <row r="445" spans="5:8">
      <c r="E445" s="168"/>
      <c r="F445" s="168"/>
      <c r="G445" s="260"/>
      <c r="H445" s="99"/>
    </row>
    <row r="446" spans="5:8">
      <c r="E446" s="168"/>
      <c r="F446" s="168"/>
      <c r="G446" s="260"/>
      <c r="H446" s="99"/>
    </row>
    <row r="447" spans="5:8">
      <c r="E447" s="168"/>
      <c r="F447" s="168"/>
      <c r="G447" s="260"/>
      <c r="H447" s="99"/>
    </row>
    <row r="448" spans="5:8">
      <c r="E448" s="168"/>
      <c r="F448" s="168"/>
      <c r="G448" s="260"/>
      <c r="H448" s="99"/>
    </row>
    <row r="449" spans="5:8">
      <c r="E449" s="168"/>
      <c r="F449" s="168"/>
      <c r="G449" s="260"/>
      <c r="H449" s="99"/>
    </row>
    <row r="450" spans="5:8">
      <c r="E450" s="168"/>
      <c r="F450" s="168"/>
      <c r="G450" s="260"/>
      <c r="H450" s="99"/>
    </row>
    <row r="451" spans="5:8">
      <c r="E451" s="168"/>
      <c r="F451" s="168"/>
      <c r="G451" s="260"/>
      <c r="H451" s="99"/>
    </row>
    <row r="452" spans="5:8">
      <c r="E452" s="168"/>
      <c r="F452" s="168"/>
      <c r="G452" s="260"/>
      <c r="H452" s="99"/>
    </row>
    <row r="453" spans="5:8">
      <c r="E453" s="168"/>
      <c r="F453" s="168"/>
      <c r="G453" s="260"/>
      <c r="H453" s="99"/>
    </row>
    <row r="454" spans="5:8">
      <c r="E454" s="168"/>
      <c r="F454" s="168"/>
      <c r="G454" s="260"/>
      <c r="H454" s="99"/>
    </row>
    <row r="455" spans="5:8">
      <c r="E455" s="168"/>
      <c r="F455" s="168"/>
      <c r="G455" s="260"/>
      <c r="H455" s="99"/>
    </row>
    <row r="456" spans="5:8">
      <c r="E456" s="168"/>
      <c r="F456" s="168"/>
      <c r="G456" s="260"/>
      <c r="H456" s="99"/>
    </row>
    <row r="457" spans="5:8">
      <c r="E457" s="168"/>
      <c r="F457" s="168"/>
      <c r="G457" s="260"/>
      <c r="H457" s="99"/>
    </row>
    <row r="458" spans="5:8">
      <c r="E458" s="168"/>
      <c r="F458" s="168"/>
      <c r="G458" s="260"/>
      <c r="H458" s="99"/>
    </row>
    <row r="459" spans="5:8">
      <c r="E459" s="168"/>
      <c r="F459" s="168"/>
      <c r="G459" s="260"/>
      <c r="H459" s="99"/>
    </row>
    <row r="460" spans="5:8">
      <c r="E460" s="168"/>
      <c r="F460" s="168"/>
      <c r="G460" s="260"/>
      <c r="H460" s="99"/>
    </row>
    <row r="461" spans="5:8">
      <c r="E461" s="168"/>
      <c r="F461" s="168"/>
      <c r="G461" s="260"/>
      <c r="H461" s="99"/>
    </row>
    <row r="462" spans="5:8">
      <c r="E462" s="168"/>
      <c r="F462" s="168"/>
      <c r="G462" s="260"/>
      <c r="H462" s="99"/>
    </row>
    <row r="463" spans="5:8">
      <c r="E463" s="168"/>
      <c r="F463" s="168"/>
      <c r="G463" s="260"/>
      <c r="H463" s="99"/>
    </row>
    <row r="464" spans="5:8">
      <c r="E464" s="168"/>
      <c r="F464" s="168"/>
      <c r="G464" s="260"/>
      <c r="H464" s="99"/>
    </row>
    <row r="465" spans="5:8">
      <c r="E465" s="168"/>
      <c r="F465" s="168"/>
      <c r="G465" s="260"/>
      <c r="H465" s="99"/>
    </row>
    <row r="466" spans="5:8">
      <c r="E466" s="168"/>
      <c r="F466" s="168"/>
      <c r="G466" s="260"/>
      <c r="H466" s="99"/>
    </row>
    <row r="467" spans="5:8">
      <c r="E467" s="168"/>
      <c r="F467" s="168"/>
      <c r="G467" s="260"/>
      <c r="H467" s="99"/>
    </row>
    <row r="468" spans="5:8">
      <c r="E468" s="168"/>
      <c r="F468" s="168"/>
      <c r="G468" s="260"/>
      <c r="H468" s="99"/>
    </row>
    <row r="469" spans="5:8">
      <c r="E469" s="168"/>
      <c r="F469" s="168"/>
      <c r="G469" s="260"/>
      <c r="H469" s="99"/>
    </row>
    <row r="470" spans="5:8">
      <c r="E470" s="168"/>
      <c r="F470" s="168"/>
      <c r="G470" s="260"/>
      <c r="H470" s="99"/>
    </row>
    <row r="471" spans="5:8">
      <c r="E471" s="168"/>
      <c r="F471" s="168"/>
      <c r="G471" s="260"/>
      <c r="H471" s="99"/>
    </row>
    <row r="472" spans="5:8">
      <c r="E472" s="168"/>
      <c r="F472" s="168"/>
      <c r="G472" s="260"/>
      <c r="H472" s="99"/>
    </row>
    <row r="473" spans="5:8">
      <c r="E473" s="168"/>
      <c r="F473" s="168"/>
      <c r="G473" s="260"/>
      <c r="H473" s="99"/>
    </row>
    <row r="474" spans="5:8">
      <c r="E474" s="168"/>
      <c r="F474" s="168"/>
      <c r="G474" s="260"/>
      <c r="H474" s="99"/>
    </row>
    <row r="475" spans="5:8">
      <c r="E475" s="168"/>
      <c r="F475" s="168"/>
      <c r="G475" s="260"/>
      <c r="H475" s="99"/>
    </row>
    <row r="476" spans="5:8">
      <c r="E476" s="168"/>
      <c r="F476" s="168"/>
      <c r="G476" s="260"/>
      <c r="H476" s="99"/>
    </row>
    <row r="477" spans="5:8">
      <c r="E477" s="168"/>
      <c r="F477" s="168"/>
      <c r="G477" s="260"/>
      <c r="H477" s="99"/>
    </row>
    <row r="478" spans="5:8">
      <c r="E478" s="168"/>
      <c r="F478" s="168"/>
      <c r="G478" s="260"/>
      <c r="H478" s="99"/>
    </row>
    <row r="479" spans="5:8">
      <c r="E479" s="168"/>
      <c r="F479" s="168"/>
      <c r="G479" s="260"/>
      <c r="H479" s="99"/>
    </row>
    <row r="480" spans="5:8">
      <c r="E480" s="168"/>
      <c r="F480" s="168"/>
      <c r="G480" s="260"/>
      <c r="H480" s="99"/>
    </row>
    <row r="481" spans="5:8">
      <c r="E481" s="168"/>
      <c r="F481" s="168"/>
      <c r="G481" s="260"/>
      <c r="H481" s="99"/>
    </row>
    <row r="482" spans="5:8">
      <c r="E482" s="168"/>
      <c r="F482" s="168"/>
      <c r="G482" s="260"/>
      <c r="H482" s="99"/>
    </row>
    <row r="483" spans="5:8">
      <c r="E483" s="168"/>
      <c r="F483" s="168"/>
      <c r="G483" s="260"/>
      <c r="H483" s="99"/>
    </row>
    <row r="484" spans="5:8">
      <c r="E484" s="168"/>
      <c r="F484" s="168"/>
      <c r="G484" s="260"/>
      <c r="H484" s="99"/>
    </row>
    <row r="485" spans="5:8">
      <c r="E485" s="168"/>
      <c r="F485" s="168"/>
      <c r="G485" s="260"/>
      <c r="H485" s="99"/>
    </row>
    <row r="486" spans="5:8">
      <c r="E486" s="168"/>
      <c r="F486" s="168"/>
      <c r="G486" s="260"/>
      <c r="H486" s="99"/>
    </row>
    <row r="487" spans="5:8">
      <c r="E487" s="168"/>
      <c r="F487" s="168"/>
      <c r="G487" s="260"/>
      <c r="H487" s="99"/>
    </row>
    <row r="488" spans="5:8">
      <c r="E488" s="168"/>
      <c r="F488" s="168"/>
      <c r="G488" s="260"/>
      <c r="H488" s="99"/>
    </row>
    <row r="489" spans="5:8">
      <c r="E489" s="168"/>
      <c r="F489" s="168"/>
      <c r="G489" s="260"/>
      <c r="H489" s="99"/>
    </row>
    <row r="490" spans="5:8">
      <c r="E490" s="168"/>
      <c r="F490" s="168"/>
      <c r="G490" s="260"/>
      <c r="H490" s="99"/>
    </row>
    <row r="491" spans="5:8">
      <c r="E491" s="168"/>
      <c r="F491" s="168"/>
      <c r="G491" s="260"/>
      <c r="H491" s="99"/>
    </row>
    <row r="492" spans="5:8">
      <c r="E492" s="168"/>
      <c r="F492" s="168"/>
      <c r="G492" s="260"/>
      <c r="H492" s="99"/>
    </row>
    <row r="493" spans="5:8">
      <c r="E493" s="168"/>
      <c r="F493" s="168"/>
      <c r="G493" s="260"/>
      <c r="H493" s="99"/>
    </row>
    <row r="494" spans="5:8">
      <c r="E494" s="168"/>
      <c r="F494" s="168"/>
      <c r="G494" s="260"/>
      <c r="H494" s="99"/>
    </row>
    <row r="495" spans="5:8">
      <c r="E495" s="168"/>
      <c r="F495" s="168"/>
      <c r="G495" s="260"/>
      <c r="H495" s="99"/>
    </row>
    <row r="496" spans="5:8">
      <c r="E496" s="168"/>
      <c r="F496" s="168"/>
      <c r="G496" s="260"/>
      <c r="H496" s="99"/>
    </row>
    <row r="497" spans="5:8">
      <c r="E497" s="168"/>
      <c r="F497" s="168"/>
      <c r="G497" s="260"/>
      <c r="H497" s="99"/>
    </row>
    <row r="498" spans="5:8">
      <c r="E498" s="168"/>
      <c r="F498" s="168"/>
      <c r="G498" s="260"/>
      <c r="H498" s="99"/>
    </row>
    <row r="499" spans="5:8">
      <c r="E499" s="168"/>
      <c r="F499" s="168"/>
      <c r="G499" s="260"/>
      <c r="H499" s="99"/>
    </row>
    <row r="500" spans="5:8">
      <c r="E500" s="168"/>
      <c r="F500" s="168"/>
      <c r="G500" s="260"/>
      <c r="H500" s="99"/>
    </row>
    <row r="501" spans="5:8">
      <c r="E501" s="168"/>
      <c r="F501" s="168"/>
      <c r="G501" s="260"/>
      <c r="H501" s="99"/>
    </row>
    <row r="502" spans="5:8">
      <c r="E502" s="168"/>
      <c r="F502" s="168"/>
      <c r="G502" s="260"/>
      <c r="H502" s="99"/>
    </row>
    <row r="503" spans="5:8">
      <c r="E503" s="168"/>
      <c r="F503" s="168"/>
      <c r="G503" s="260"/>
      <c r="H503" s="99"/>
    </row>
    <row r="504" spans="5:8">
      <c r="E504" s="168"/>
      <c r="F504" s="168"/>
      <c r="G504" s="260"/>
      <c r="H504" s="99"/>
    </row>
    <row r="505" spans="5:8">
      <c r="E505" s="168"/>
      <c r="F505" s="168"/>
      <c r="G505" s="260"/>
      <c r="H505" s="99"/>
    </row>
    <row r="506" spans="5:8">
      <c r="E506" s="168"/>
      <c r="F506" s="168"/>
      <c r="G506" s="260"/>
      <c r="H506" s="99"/>
    </row>
    <row r="507" spans="5:8">
      <c r="E507" s="168"/>
      <c r="F507" s="168"/>
      <c r="G507" s="260"/>
      <c r="H507" s="99"/>
    </row>
    <row r="508" spans="5:8">
      <c r="E508" s="168"/>
      <c r="F508" s="168"/>
      <c r="G508" s="260"/>
      <c r="H508" s="99"/>
    </row>
    <row r="509" spans="5:8">
      <c r="E509" s="168"/>
      <c r="F509" s="168"/>
      <c r="G509" s="260"/>
      <c r="H509" s="99"/>
    </row>
    <row r="510" spans="5:8">
      <c r="E510" s="168"/>
      <c r="F510" s="168"/>
      <c r="G510" s="260"/>
      <c r="H510" s="99"/>
    </row>
    <row r="511" spans="5:8">
      <c r="E511" s="168"/>
      <c r="F511" s="168"/>
      <c r="G511" s="260"/>
      <c r="H511" s="99"/>
    </row>
    <row r="512" spans="5:8">
      <c r="E512" s="168"/>
      <c r="F512" s="168"/>
      <c r="G512" s="260"/>
      <c r="H512" s="99"/>
    </row>
    <row r="513" spans="5:8">
      <c r="E513" s="168"/>
      <c r="F513" s="168"/>
      <c r="G513" s="260"/>
      <c r="H513" s="99"/>
    </row>
    <row r="514" spans="5:8">
      <c r="E514" s="168"/>
      <c r="F514" s="168"/>
      <c r="G514" s="260"/>
      <c r="H514" s="99"/>
    </row>
    <row r="515" spans="5:8">
      <c r="E515" s="168"/>
      <c r="F515" s="168"/>
      <c r="G515" s="260"/>
      <c r="H515" s="99"/>
    </row>
    <row r="516" spans="5:8">
      <c r="E516" s="168"/>
      <c r="F516" s="168"/>
      <c r="G516" s="260"/>
      <c r="H516" s="99"/>
    </row>
    <row r="517" spans="5:8">
      <c r="E517" s="168"/>
      <c r="F517" s="168"/>
      <c r="G517" s="260"/>
      <c r="H517" s="99"/>
    </row>
    <row r="518" spans="5:8">
      <c r="E518" s="168"/>
      <c r="F518" s="168"/>
      <c r="G518" s="260"/>
      <c r="H518" s="99"/>
    </row>
    <row r="519" spans="5:8">
      <c r="E519" s="168"/>
      <c r="F519" s="168"/>
      <c r="G519" s="260"/>
      <c r="H519" s="99"/>
    </row>
    <row r="520" spans="5:8">
      <c r="E520" s="168"/>
      <c r="F520" s="168"/>
      <c r="G520" s="260"/>
      <c r="H520" s="99"/>
    </row>
    <row r="521" spans="5:8">
      <c r="E521" s="168"/>
      <c r="F521" s="168"/>
      <c r="G521" s="260"/>
      <c r="H521" s="99"/>
    </row>
    <row r="522" spans="5:8">
      <c r="E522" s="168"/>
      <c r="F522" s="168"/>
      <c r="G522" s="260"/>
      <c r="H522" s="99"/>
    </row>
    <row r="523" spans="5:8">
      <c r="E523" s="168"/>
      <c r="F523" s="168"/>
      <c r="G523" s="260"/>
      <c r="H523" s="99"/>
    </row>
    <row r="524" spans="5:8">
      <c r="E524" s="168"/>
      <c r="F524" s="168"/>
      <c r="G524" s="260"/>
      <c r="H524" s="99"/>
    </row>
    <row r="525" spans="5:8">
      <c r="E525" s="168"/>
      <c r="F525" s="168"/>
      <c r="G525" s="260"/>
      <c r="H525" s="99"/>
    </row>
    <row r="526" spans="5:8">
      <c r="E526" s="168"/>
      <c r="F526" s="168"/>
      <c r="G526" s="260"/>
      <c r="H526" s="99"/>
    </row>
    <row r="527" spans="5:8">
      <c r="E527" s="168"/>
      <c r="F527" s="168"/>
      <c r="G527" s="260"/>
      <c r="H527" s="99"/>
    </row>
    <row r="528" spans="5:8">
      <c r="E528" s="168"/>
      <c r="F528" s="168"/>
      <c r="G528" s="260"/>
      <c r="H528" s="99"/>
    </row>
    <row r="529" spans="5:8">
      <c r="E529" s="168"/>
      <c r="F529" s="168"/>
      <c r="G529" s="260"/>
      <c r="H529" s="99"/>
    </row>
    <row r="530" spans="5:8">
      <c r="E530" s="168"/>
      <c r="F530" s="168"/>
      <c r="G530" s="260"/>
      <c r="H530" s="99"/>
    </row>
    <row r="531" spans="5:8">
      <c r="E531" s="168"/>
      <c r="F531" s="168"/>
      <c r="G531" s="260"/>
      <c r="H531" s="99"/>
    </row>
    <row r="532" spans="5:8">
      <c r="E532" s="168"/>
      <c r="F532" s="168"/>
      <c r="G532" s="260"/>
      <c r="H532" s="99"/>
    </row>
    <row r="533" spans="5:8">
      <c r="E533" s="168"/>
      <c r="F533" s="168"/>
      <c r="G533" s="260"/>
      <c r="H533" s="99"/>
    </row>
    <row r="534" spans="5:8">
      <c r="E534" s="168"/>
      <c r="F534" s="168"/>
      <c r="G534" s="260"/>
      <c r="H534" s="99"/>
    </row>
    <row r="535" spans="5:8">
      <c r="E535" s="168"/>
      <c r="F535" s="168"/>
      <c r="G535" s="260"/>
      <c r="H535" s="99"/>
    </row>
    <row r="536" spans="5:8">
      <c r="E536" s="168"/>
      <c r="F536" s="168"/>
      <c r="G536" s="260"/>
      <c r="H536" s="99"/>
    </row>
    <row r="537" spans="5:8">
      <c r="E537" s="168"/>
      <c r="F537" s="168"/>
      <c r="G537" s="260"/>
      <c r="H537" s="99"/>
    </row>
    <row r="538" spans="5:8">
      <c r="E538" s="168"/>
      <c r="F538" s="168"/>
      <c r="G538" s="260"/>
      <c r="H538" s="99"/>
    </row>
    <row r="539" spans="5:8">
      <c r="E539" s="168"/>
      <c r="F539" s="168"/>
      <c r="G539" s="260"/>
      <c r="H539" s="99"/>
    </row>
    <row r="540" spans="5:8">
      <c r="E540" s="168"/>
      <c r="F540" s="168"/>
      <c r="G540" s="260"/>
      <c r="H540" s="99"/>
    </row>
    <row r="541" spans="5:8">
      <c r="E541" s="168"/>
      <c r="F541" s="168"/>
      <c r="G541" s="260"/>
      <c r="H541" s="99"/>
    </row>
    <row r="542" spans="5:8">
      <c r="E542" s="168"/>
      <c r="F542" s="168"/>
      <c r="G542" s="260"/>
      <c r="H542" s="99"/>
    </row>
    <row r="543" spans="5:8">
      <c r="E543" s="168"/>
      <c r="F543" s="168"/>
      <c r="G543" s="260"/>
      <c r="H543" s="99"/>
    </row>
    <row r="544" spans="5:8">
      <c r="E544" s="168"/>
      <c r="F544" s="168"/>
      <c r="G544" s="260"/>
      <c r="H544" s="99"/>
    </row>
    <row r="545" spans="5:8">
      <c r="E545" s="168"/>
      <c r="F545" s="168"/>
      <c r="G545" s="260"/>
      <c r="H545" s="99"/>
    </row>
    <row r="546" spans="5:8">
      <c r="E546" s="168"/>
      <c r="F546" s="168"/>
      <c r="G546" s="260"/>
      <c r="H546" s="99"/>
    </row>
    <row r="547" spans="5:8">
      <c r="E547" s="168"/>
      <c r="F547" s="168"/>
      <c r="G547" s="260"/>
      <c r="H547" s="99"/>
    </row>
    <row r="548" spans="5:8">
      <c r="E548" s="168"/>
      <c r="F548" s="168"/>
      <c r="G548" s="260"/>
      <c r="H548" s="99"/>
    </row>
    <row r="549" spans="5:8">
      <c r="E549" s="168"/>
      <c r="F549" s="168"/>
      <c r="G549" s="260"/>
      <c r="H549" s="99"/>
    </row>
    <row r="550" spans="5:8">
      <c r="E550" s="168"/>
      <c r="F550" s="168"/>
      <c r="G550" s="260"/>
      <c r="H550" s="99"/>
    </row>
    <row r="551" spans="5:8">
      <c r="E551" s="168"/>
      <c r="F551" s="168"/>
      <c r="G551" s="260"/>
      <c r="H551" s="99"/>
    </row>
    <row r="552" spans="5:8">
      <c r="E552" s="168"/>
      <c r="F552" s="168"/>
      <c r="G552" s="260"/>
      <c r="H552" s="99"/>
    </row>
    <row r="553" spans="5:8">
      <c r="E553" s="168"/>
      <c r="F553" s="168"/>
      <c r="G553" s="260"/>
      <c r="H553" s="99"/>
    </row>
    <row r="554" spans="5:8">
      <c r="E554" s="168"/>
      <c r="F554" s="168"/>
      <c r="G554" s="260"/>
      <c r="H554" s="99"/>
    </row>
    <row r="555" spans="5:8">
      <c r="E555" s="168"/>
      <c r="F555" s="168"/>
      <c r="G555" s="260"/>
      <c r="H555" s="99"/>
    </row>
    <row r="556" spans="5:8">
      <c r="E556" s="168"/>
      <c r="F556" s="168"/>
      <c r="G556" s="260"/>
      <c r="H556" s="99"/>
    </row>
    <row r="557" spans="5:8">
      <c r="E557" s="168"/>
      <c r="F557" s="168"/>
      <c r="G557" s="260"/>
      <c r="H557" s="99"/>
    </row>
    <row r="558" spans="5:8">
      <c r="E558" s="168"/>
      <c r="F558" s="168"/>
      <c r="G558" s="260"/>
      <c r="H558" s="99"/>
    </row>
    <row r="559" spans="5:8">
      <c r="E559" s="168"/>
      <c r="F559" s="168"/>
      <c r="G559" s="260"/>
      <c r="H559" s="99"/>
    </row>
    <row r="560" spans="5:8">
      <c r="E560" s="168"/>
      <c r="F560" s="168"/>
      <c r="G560" s="260"/>
      <c r="H560" s="99"/>
    </row>
    <row r="561" spans="5:8">
      <c r="E561" s="168"/>
      <c r="F561" s="168"/>
      <c r="G561" s="260"/>
      <c r="H561" s="99"/>
    </row>
    <row r="562" spans="5:8">
      <c r="E562" s="168"/>
      <c r="F562" s="168"/>
      <c r="G562" s="260"/>
      <c r="H562" s="99"/>
    </row>
    <row r="563" spans="5:8">
      <c r="E563" s="168"/>
      <c r="F563" s="168"/>
      <c r="G563" s="260"/>
      <c r="H563" s="99"/>
    </row>
    <row r="564" spans="5:8">
      <c r="E564" s="168"/>
      <c r="F564" s="168"/>
      <c r="G564" s="260"/>
      <c r="H564" s="99"/>
    </row>
    <row r="565" spans="5:8">
      <c r="E565" s="168"/>
      <c r="F565" s="168"/>
      <c r="G565" s="260"/>
      <c r="H565" s="99"/>
    </row>
    <row r="566" spans="5:8">
      <c r="E566" s="168"/>
      <c r="F566" s="168"/>
      <c r="G566" s="260"/>
      <c r="H566" s="99"/>
    </row>
    <row r="567" spans="5:8">
      <c r="E567" s="168"/>
      <c r="F567" s="168"/>
      <c r="G567" s="260"/>
      <c r="H567" s="99"/>
    </row>
    <row r="568" spans="5:8">
      <c r="E568" s="168"/>
      <c r="F568" s="168"/>
      <c r="G568" s="260"/>
      <c r="H568" s="99"/>
    </row>
    <row r="569" spans="5:8">
      <c r="E569" s="168"/>
      <c r="F569" s="168"/>
      <c r="G569" s="260"/>
      <c r="H569" s="99"/>
    </row>
    <row r="570" spans="5:8">
      <c r="E570" s="168"/>
      <c r="F570" s="168"/>
      <c r="G570" s="260"/>
      <c r="H570" s="99"/>
    </row>
    <row r="571" spans="5:8">
      <c r="E571" s="168"/>
      <c r="F571" s="168"/>
      <c r="G571" s="260"/>
      <c r="H571" s="99"/>
    </row>
    <row r="572" spans="5:8">
      <c r="E572" s="168"/>
      <c r="F572" s="168"/>
      <c r="G572" s="260"/>
      <c r="H572" s="99"/>
    </row>
    <row r="573" spans="5:8">
      <c r="E573" s="168"/>
      <c r="F573" s="168"/>
      <c r="G573" s="260"/>
      <c r="H573" s="99"/>
    </row>
    <row r="574" spans="5:8">
      <c r="E574" s="168"/>
      <c r="F574" s="168"/>
      <c r="G574" s="260"/>
      <c r="H574" s="99"/>
    </row>
    <row r="575" spans="5:8">
      <c r="E575" s="168"/>
      <c r="F575" s="168"/>
      <c r="G575" s="260"/>
      <c r="H575" s="99"/>
    </row>
    <row r="576" spans="5:8">
      <c r="E576" s="168"/>
      <c r="F576" s="168"/>
      <c r="G576" s="260"/>
      <c r="H576" s="99"/>
    </row>
    <row r="577" spans="5:8">
      <c r="E577" s="168"/>
      <c r="F577" s="168"/>
      <c r="G577" s="260"/>
      <c r="H577" s="99"/>
    </row>
    <row r="578" spans="5:8">
      <c r="E578" s="168"/>
      <c r="F578" s="168"/>
      <c r="G578" s="260"/>
      <c r="H578" s="99"/>
    </row>
    <row r="579" spans="5:8">
      <c r="E579" s="168"/>
      <c r="F579" s="168"/>
      <c r="G579" s="260"/>
      <c r="H579" s="99"/>
    </row>
    <row r="580" spans="5:8">
      <c r="E580" s="168"/>
      <c r="F580" s="168"/>
      <c r="G580" s="260"/>
      <c r="H580" s="99"/>
    </row>
    <row r="581" spans="5:8">
      <c r="E581" s="168"/>
      <c r="F581" s="168"/>
      <c r="G581" s="260"/>
      <c r="H581" s="99"/>
    </row>
    <row r="582" spans="5:8">
      <c r="E582" s="168"/>
      <c r="F582" s="168"/>
      <c r="G582" s="260"/>
      <c r="H582" s="99"/>
    </row>
    <row r="583" spans="5:8">
      <c r="E583" s="168"/>
      <c r="F583" s="168"/>
      <c r="G583" s="260"/>
      <c r="H583" s="99"/>
    </row>
    <row r="584" spans="5:8">
      <c r="E584" s="168"/>
      <c r="F584" s="168"/>
      <c r="G584" s="260"/>
      <c r="H584" s="99"/>
    </row>
    <row r="585" spans="5:8">
      <c r="E585" s="168"/>
      <c r="F585" s="168"/>
      <c r="G585" s="260"/>
      <c r="H585" s="99"/>
    </row>
    <row r="586" spans="5:8">
      <c r="E586" s="168"/>
      <c r="F586" s="168"/>
      <c r="G586" s="260"/>
      <c r="H586" s="99"/>
    </row>
    <row r="587" spans="5:8">
      <c r="E587" s="168"/>
      <c r="F587" s="168"/>
      <c r="G587" s="260"/>
      <c r="H587" s="99"/>
    </row>
    <row r="588" spans="5:8">
      <c r="E588" s="168"/>
      <c r="F588" s="168"/>
      <c r="G588" s="260"/>
      <c r="H588" s="99"/>
    </row>
    <row r="589" spans="5:8">
      <c r="E589" s="168"/>
      <c r="F589" s="168"/>
      <c r="G589" s="260"/>
      <c r="H589" s="99"/>
    </row>
    <row r="590" spans="5:8">
      <c r="E590" s="168"/>
      <c r="F590" s="168"/>
      <c r="G590" s="260"/>
      <c r="H590" s="99"/>
    </row>
    <row r="591" spans="5:8">
      <c r="E591" s="168"/>
      <c r="F591" s="168"/>
      <c r="G591" s="260"/>
      <c r="H591" s="99"/>
    </row>
    <row r="592" spans="5:8">
      <c r="E592" s="168"/>
      <c r="F592" s="168"/>
      <c r="G592" s="260"/>
      <c r="H592" s="99"/>
    </row>
    <row r="593" spans="5:8">
      <c r="E593" s="168"/>
      <c r="F593" s="168"/>
      <c r="G593" s="260"/>
      <c r="H593" s="99"/>
    </row>
    <row r="594" spans="5:8">
      <c r="E594" s="168"/>
      <c r="F594" s="168"/>
      <c r="G594" s="260"/>
      <c r="H594" s="99"/>
    </row>
    <row r="595" spans="5:8">
      <c r="E595" s="168"/>
      <c r="F595" s="168"/>
      <c r="G595" s="260"/>
      <c r="H595" s="99"/>
    </row>
    <row r="596" spans="5:8">
      <c r="E596" s="168"/>
      <c r="F596" s="168"/>
      <c r="G596" s="260"/>
      <c r="H596" s="99"/>
    </row>
    <row r="597" spans="5:8">
      <c r="E597" s="168"/>
      <c r="F597" s="168"/>
      <c r="G597" s="260"/>
      <c r="H597" s="99"/>
    </row>
    <row r="598" spans="5:8">
      <c r="E598" s="168"/>
      <c r="F598" s="168"/>
      <c r="G598" s="260"/>
      <c r="H598" s="99"/>
    </row>
    <row r="599" spans="5:8">
      <c r="E599" s="168"/>
      <c r="F599" s="168"/>
      <c r="G599" s="260"/>
      <c r="H599" s="99"/>
    </row>
    <row r="600" spans="5:8">
      <c r="E600" s="168"/>
      <c r="F600" s="168"/>
      <c r="G600" s="260"/>
      <c r="H600" s="99"/>
    </row>
    <row r="601" spans="5:8">
      <c r="E601" s="168"/>
      <c r="F601" s="168"/>
      <c r="G601" s="260"/>
      <c r="H601" s="99"/>
    </row>
    <row r="602" spans="5:8">
      <c r="E602" s="168"/>
      <c r="F602" s="168"/>
      <c r="G602" s="260"/>
      <c r="H602" s="99"/>
    </row>
    <row r="603" spans="5:8">
      <c r="E603" s="168"/>
      <c r="F603" s="168"/>
      <c r="G603" s="260"/>
      <c r="H603" s="99"/>
    </row>
    <row r="604" spans="5:8">
      <c r="E604" s="168"/>
      <c r="F604" s="168"/>
      <c r="G604" s="260"/>
      <c r="H604" s="99"/>
    </row>
    <row r="605" spans="5:8">
      <c r="E605" s="168"/>
      <c r="F605" s="168"/>
      <c r="G605" s="260"/>
      <c r="H605" s="99"/>
    </row>
    <row r="606" spans="5:8">
      <c r="E606" s="168"/>
      <c r="F606" s="168"/>
      <c r="G606" s="260"/>
      <c r="H606" s="99"/>
    </row>
    <row r="607" spans="5:8">
      <c r="E607" s="168"/>
      <c r="F607" s="168"/>
      <c r="G607" s="260"/>
      <c r="H607" s="99"/>
    </row>
    <row r="608" spans="5:8">
      <c r="E608" s="168"/>
      <c r="F608" s="168"/>
      <c r="G608" s="260"/>
      <c r="H608" s="99"/>
    </row>
    <row r="609" spans="5:8">
      <c r="E609" s="168"/>
      <c r="F609" s="168"/>
      <c r="G609" s="260"/>
      <c r="H609" s="99"/>
    </row>
    <row r="610" spans="5:8">
      <c r="E610" s="168"/>
      <c r="F610" s="168"/>
      <c r="G610" s="260"/>
      <c r="H610" s="99"/>
    </row>
    <row r="611" spans="5:8">
      <c r="E611" s="168"/>
      <c r="F611" s="168"/>
      <c r="G611" s="260"/>
      <c r="H611" s="99"/>
    </row>
    <row r="612" spans="5:8">
      <c r="E612" s="168"/>
      <c r="F612" s="168"/>
      <c r="G612" s="260"/>
      <c r="H612" s="99"/>
    </row>
    <row r="613" spans="5:8">
      <c r="E613" s="168"/>
      <c r="F613" s="168"/>
      <c r="G613" s="260"/>
      <c r="H613" s="99"/>
    </row>
    <row r="614" spans="5:8">
      <c r="E614" s="168"/>
      <c r="F614" s="168"/>
      <c r="G614" s="260"/>
      <c r="H614" s="99"/>
    </row>
    <row r="615" spans="5:8">
      <c r="E615" s="168"/>
      <c r="F615" s="168"/>
      <c r="G615" s="260"/>
      <c r="H615" s="99"/>
    </row>
    <row r="616" spans="5:8">
      <c r="E616" s="168"/>
      <c r="F616" s="168"/>
      <c r="G616" s="260"/>
      <c r="H616" s="99"/>
    </row>
    <row r="617" spans="5:8">
      <c r="E617" s="168"/>
      <c r="F617" s="168"/>
      <c r="G617" s="260"/>
      <c r="H617" s="99"/>
    </row>
    <row r="618" spans="5:8">
      <c r="E618" s="168"/>
      <c r="F618" s="168"/>
      <c r="G618" s="260"/>
      <c r="H618" s="99"/>
    </row>
    <row r="619" spans="5:8">
      <c r="E619" s="168"/>
      <c r="F619" s="168"/>
      <c r="G619" s="260"/>
      <c r="H619" s="99"/>
    </row>
    <row r="620" spans="5:8">
      <c r="E620" s="168"/>
      <c r="F620" s="168"/>
      <c r="G620" s="260"/>
      <c r="H620" s="99"/>
    </row>
    <row r="621" spans="5:8">
      <c r="E621" s="168"/>
      <c r="F621" s="168"/>
      <c r="G621" s="260"/>
      <c r="H621" s="99"/>
    </row>
    <row r="622" spans="5:8">
      <c r="E622" s="168"/>
      <c r="F622" s="168"/>
      <c r="G622" s="260"/>
      <c r="H622" s="99"/>
    </row>
    <row r="623" spans="5:8">
      <c r="E623" s="168"/>
      <c r="F623" s="168"/>
      <c r="G623" s="260"/>
      <c r="H623" s="99"/>
    </row>
    <row r="624" spans="5:8">
      <c r="E624" s="168"/>
      <c r="F624" s="168"/>
      <c r="G624" s="260"/>
      <c r="H624" s="99"/>
    </row>
    <row r="625" spans="5:8">
      <c r="E625" s="168"/>
      <c r="F625" s="168"/>
      <c r="G625" s="260"/>
      <c r="H625" s="99"/>
    </row>
    <row r="626" spans="5:8">
      <c r="E626" s="168"/>
      <c r="F626" s="168"/>
      <c r="G626" s="260"/>
      <c r="H626" s="99"/>
    </row>
    <row r="627" spans="5:8">
      <c r="E627" s="168"/>
      <c r="F627" s="168"/>
      <c r="G627" s="260"/>
      <c r="H627" s="99"/>
    </row>
    <row r="628" spans="5:8">
      <c r="E628" s="168"/>
      <c r="F628" s="168"/>
      <c r="G628" s="260"/>
      <c r="H628" s="99"/>
    </row>
    <row r="629" spans="5:8">
      <c r="E629" s="168"/>
      <c r="F629" s="168"/>
      <c r="G629" s="260"/>
      <c r="H629" s="99"/>
    </row>
    <row r="630" spans="5:8">
      <c r="E630" s="168"/>
      <c r="F630" s="168"/>
      <c r="G630" s="260"/>
      <c r="H630" s="99"/>
    </row>
    <row r="631" spans="5:8">
      <c r="E631" s="168"/>
      <c r="F631" s="168"/>
      <c r="G631" s="260"/>
      <c r="H631" s="99"/>
    </row>
    <row r="632" spans="5:8">
      <c r="E632" s="168"/>
      <c r="F632" s="168"/>
      <c r="G632" s="260"/>
      <c r="H632" s="99"/>
    </row>
    <row r="633" spans="5:8">
      <c r="E633" s="168"/>
      <c r="F633" s="168"/>
      <c r="G633" s="260"/>
      <c r="H633" s="99"/>
    </row>
    <row r="634" spans="5:8">
      <c r="E634" s="168"/>
      <c r="F634" s="168"/>
      <c r="G634" s="260"/>
      <c r="H634" s="99"/>
    </row>
    <row r="635" spans="5:8">
      <c r="E635" s="168"/>
      <c r="F635" s="168"/>
      <c r="G635" s="260"/>
      <c r="H635" s="99"/>
    </row>
    <row r="636" spans="5:8">
      <c r="E636" s="168"/>
      <c r="F636" s="168"/>
      <c r="G636" s="260"/>
      <c r="H636" s="99"/>
    </row>
    <row r="637" spans="5:8">
      <c r="E637" s="168"/>
      <c r="F637" s="168"/>
      <c r="G637" s="260"/>
      <c r="H637" s="99"/>
    </row>
    <row r="638" spans="5:8">
      <c r="E638" s="168"/>
      <c r="F638" s="168"/>
      <c r="G638" s="260"/>
      <c r="H638" s="99"/>
    </row>
    <row r="639" spans="5:8">
      <c r="E639" s="168"/>
      <c r="F639" s="168"/>
      <c r="G639" s="260"/>
      <c r="H639" s="99"/>
    </row>
    <row r="640" spans="5:8">
      <c r="E640" s="168"/>
      <c r="F640" s="168"/>
      <c r="G640" s="260"/>
      <c r="H640" s="99"/>
    </row>
    <row r="641" spans="5:8">
      <c r="E641" s="168"/>
      <c r="F641" s="168"/>
      <c r="G641" s="260"/>
      <c r="H641" s="99"/>
    </row>
    <row r="642" spans="5:8">
      <c r="E642" s="168"/>
      <c r="F642" s="168"/>
      <c r="G642" s="260"/>
      <c r="H642" s="99"/>
    </row>
    <row r="643" spans="5:8">
      <c r="E643" s="168"/>
      <c r="F643" s="168"/>
      <c r="G643" s="260"/>
      <c r="H643" s="99"/>
    </row>
    <row r="644" spans="5:8">
      <c r="E644" s="168"/>
      <c r="F644" s="168"/>
      <c r="G644" s="260"/>
      <c r="H644" s="99"/>
    </row>
    <row r="645" spans="5:8">
      <c r="E645" s="168"/>
      <c r="F645" s="168"/>
      <c r="G645" s="260"/>
      <c r="H645" s="99"/>
    </row>
    <row r="646" spans="5:8">
      <c r="E646" s="168"/>
      <c r="F646" s="168"/>
      <c r="G646" s="260"/>
      <c r="H646" s="99"/>
    </row>
    <row r="647" spans="5:8">
      <c r="E647" s="168"/>
      <c r="F647" s="168"/>
      <c r="G647" s="260"/>
      <c r="H647" s="99"/>
    </row>
    <row r="648" spans="5:8">
      <c r="E648" s="168"/>
      <c r="F648" s="168"/>
      <c r="G648" s="260"/>
      <c r="H648" s="99"/>
    </row>
    <row r="649" spans="5:8">
      <c r="E649" s="168"/>
      <c r="F649" s="168"/>
      <c r="G649" s="260"/>
      <c r="H649" s="99"/>
    </row>
    <row r="650" spans="5:8">
      <c r="E650" s="168"/>
      <c r="F650" s="168"/>
      <c r="G650" s="260"/>
      <c r="H650" s="99"/>
    </row>
    <row r="651" spans="5:8">
      <c r="E651" s="168"/>
      <c r="F651" s="168"/>
      <c r="G651" s="260"/>
      <c r="H651" s="99"/>
    </row>
    <row r="652" spans="5:8">
      <c r="E652" s="168"/>
      <c r="F652" s="168"/>
      <c r="G652" s="260"/>
      <c r="H652" s="99"/>
    </row>
    <row r="653" spans="5:8">
      <c r="E653" s="168"/>
      <c r="F653" s="168"/>
      <c r="G653" s="260"/>
      <c r="H653" s="99"/>
    </row>
    <row r="654" spans="5:8">
      <c r="E654" s="168"/>
      <c r="F654" s="168"/>
      <c r="G654" s="260"/>
      <c r="H654" s="99"/>
    </row>
    <row r="655" spans="5:8">
      <c r="E655" s="168"/>
      <c r="F655" s="168"/>
      <c r="G655" s="260"/>
      <c r="H655" s="99"/>
    </row>
    <row r="656" spans="5:8">
      <c r="E656" s="168"/>
      <c r="F656" s="168"/>
      <c r="G656" s="260"/>
      <c r="H656" s="99"/>
    </row>
    <row r="657" spans="5:8">
      <c r="E657" s="168"/>
      <c r="F657" s="168"/>
      <c r="G657" s="260"/>
      <c r="H657" s="99"/>
    </row>
    <row r="658" spans="5:8">
      <c r="E658" s="168"/>
      <c r="F658" s="168"/>
      <c r="G658" s="260"/>
      <c r="H658" s="99"/>
    </row>
    <row r="659" spans="5:8">
      <c r="E659" s="168"/>
      <c r="F659" s="168"/>
      <c r="G659" s="260"/>
      <c r="H659" s="99"/>
    </row>
    <row r="660" spans="5:8">
      <c r="E660" s="168"/>
      <c r="F660" s="168"/>
      <c r="G660" s="260"/>
      <c r="H660" s="99"/>
    </row>
    <row r="661" spans="5:8">
      <c r="E661" s="168"/>
      <c r="F661" s="168"/>
      <c r="G661" s="260"/>
      <c r="H661" s="99"/>
    </row>
    <row r="662" spans="5:8">
      <c r="E662" s="168"/>
      <c r="F662" s="168"/>
      <c r="G662" s="260"/>
      <c r="H662" s="99"/>
    </row>
    <row r="663" spans="5:8">
      <c r="E663" s="168"/>
      <c r="F663" s="168"/>
      <c r="G663" s="260"/>
      <c r="H663" s="99"/>
    </row>
    <row r="664" spans="5:8">
      <c r="E664" s="168"/>
      <c r="F664" s="168"/>
      <c r="G664" s="260"/>
      <c r="H664" s="99"/>
    </row>
    <row r="665" spans="5:8">
      <c r="E665" s="168"/>
      <c r="F665" s="168"/>
      <c r="G665" s="260"/>
      <c r="H665" s="99"/>
    </row>
    <row r="666" spans="5:8">
      <c r="E666" s="168"/>
      <c r="F666" s="168"/>
      <c r="G666" s="260"/>
      <c r="H666" s="99"/>
    </row>
    <row r="667" spans="5:8">
      <c r="E667" s="168"/>
      <c r="F667" s="168"/>
      <c r="G667" s="260"/>
      <c r="H667" s="99"/>
    </row>
    <row r="668" spans="5:8">
      <c r="E668" s="168"/>
      <c r="F668" s="168"/>
      <c r="G668" s="260"/>
      <c r="H668" s="99"/>
    </row>
    <row r="669" spans="5:8">
      <c r="E669" s="168"/>
      <c r="F669" s="168"/>
      <c r="G669" s="260"/>
      <c r="H669" s="99"/>
    </row>
    <row r="670" spans="5:8">
      <c r="E670" s="168"/>
      <c r="F670" s="168"/>
      <c r="G670" s="260"/>
      <c r="H670" s="99"/>
    </row>
    <row r="671" spans="5:8">
      <c r="E671" s="168"/>
      <c r="F671" s="168"/>
      <c r="G671" s="260"/>
      <c r="H671" s="99"/>
    </row>
    <row r="672" spans="5:8">
      <c r="E672" s="168"/>
      <c r="F672" s="168"/>
      <c r="G672" s="260"/>
      <c r="H672" s="99"/>
    </row>
    <row r="673" spans="5:8">
      <c r="E673" s="168"/>
      <c r="F673" s="168"/>
      <c r="G673" s="260"/>
      <c r="H673" s="99"/>
    </row>
    <row r="674" spans="5:8">
      <c r="E674" s="168"/>
      <c r="F674" s="168"/>
      <c r="G674" s="260"/>
      <c r="H674" s="99"/>
    </row>
    <row r="675" spans="5:8">
      <c r="E675" s="168"/>
      <c r="F675" s="168"/>
      <c r="G675" s="260"/>
      <c r="H675" s="99"/>
    </row>
    <row r="676" spans="5:8">
      <c r="E676" s="168"/>
      <c r="F676" s="168"/>
      <c r="G676" s="260"/>
      <c r="H676" s="99"/>
    </row>
    <row r="677" spans="5:8">
      <c r="E677" s="168"/>
      <c r="F677" s="168"/>
      <c r="G677" s="260"/>
      <c r="H677" s="99"/>
    </row>
    <row r="678" spans="5:8">
      <c r="E678" s="168"/>
      <c r="F678" s="168"/>
      <c r="G678" s="260"/>
      <c r="H678" s="99"/>
    </row>
    <row r="679" spans="5:8">
      <c r="E679" s="168"/>
      <c r="F679" s="168"/>
      <c r="G679" s="260"/>
      <c r="H679" s="99"/>
    </row>
  </sheetData>
  <autoFilter ref="B5:I400" xr:uid="{00000000-0009-0000-0000-000007000000}"/>
  <sortState xmlns:xlrd2="http://schemas.microsoft.com/office/spreadsheetml/2017/richdata2" ref="B7:GF397">
    <sortCondition ref="F7:F397"/>
  </sortState>
  <mergeCells count="17">
    <mergeCell ref="H5:H6"/>
    <mergeCell ref="E5:E6"/>
    <mergeCell ref="B3:I3"/>
    <mergeCell ref="B4:I4"/>
    <mergeCell ref="D5:D6"/>
    <mergeCell ref="F5:F6"/>
    <mergeCell ref="G5:G6"/>
    <mergeCell ref="I5:I6"/>
    <mergeCell ref="B5:B6"/>
    <mergeCell ref="C5:C6"/>
    <mergeCell ref="F399:I399"/>
    <mergeCell ref="F400:I400"/>
    <mergeCell ref="F404:I404"/>
    <mergeCell ref="B400:D400"/>
    <mergeCell ref="B404:D404"/>
    <mergeCell ref="H402:I402"/>
    <mergeCell ref="H401:I401"/>
  </mergeCells>
  <phoneticPr fontId="75" type="noConversion"/>
  <pageMargins left="0.4375" right="0.39583333333333331" top="0.36" bottom="0.2" header="0.45" footer="0.22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2"/>
  <sheetViews>
    <sheetView view="pageLayout" zoomScaleNormal="100" workbookViewId="0">
      <selection activeCell="B4" sqref="B4"/>
    </sheetView>
  </sheetViews>
  <sheetFormatPr defaultColWidth="9.109375" defaultRowHeight="13.2"/>
  <cols>
    <col min="1" max="1" width="7.109375" style="37" customWidth="1"/>
    <col min="2" max="2" width="27" style="37" customWidth="1"/>
    <col min="3" max="3" width="18" style="38" customWidth="1"/>
    <col min="4" max="4" width="17.88671875" style="38" customWidth="1"/>
    <col min="5" max="5" width="18" style="37" customWidth="1"/>
    <col min="6" max="6" width="1.109375" style="37" customWidth="1"/>
    <col min="7" max="7" width="16.5546875" style="37" bestFit="1" customWidth="1"/>
    <col min="8" max="16384" width="9.109375" style="37"/>
  </cols>
  <sheetData>
    <row r="1" spans="1:8" ht="16.8">
      <c r="A1" s="472" t="s">
        <v>0</v>
      </c>
      <c r="B1" s="472"/>
    </row>
    <row r="2" spans="1:8" ht="16.8">
      <c r="A2" s="471" t="s">
        <v>44</v>
      </c>
      <c r="B2" s="471"/>
    </row>
    <row r="3" spans="1:8" ht="20.399999999999999">
      <c r="B3" s="480" t="s">
        <v>174</v>
      </c>
      <c r="C3" s="480"/>
      <c r="D3" s="480"/>
      <c r="G3" s="2"/>
    </row>
    <row r="4" spans="1:8" ht="20.399999999999999">
      <c r="B4" s="39"/>
      <c r="C4" s="40" t="s">
        <v>54</v>
      </c>
      <c r="G4" s="2"/>
    </row>
    <row r="5" spans="1:8" ht="10.5" customHeight="1" thickBot="1">
      <c r="B5" s="39"/>
      <c r="C5" s="40"/>
      <c r="G5" s="2"/>
    </row>
    <row r="6" spans="1:8" ht="17.399999999999999" thickBot="1">
      <c r="A6" s="3" t="s">
        <v>2</v>
      </c>
      <c r="B6" s="4" t="s">
        <v>13</v>
      </c>
      <c r="C6" s="5" t="s">
        <v>25</v>
      </c>
      <c r="D6" s="5" t="s">
        <v>14</v>
      </c>
      <c r="E6" s="5" t="s">
        <v>15</v>
      </c>
      <c r="F6" s="13"/>
    </row>
    <row r="7" spans="1:8" ht="17.399999999999999" thickBot="1">
      <c r="A7" s="6">
        <v>1</v>
      </c>
      <c r="B7" s="9" t="s">
        <v>45</v>
      </c>
      <c r="C7" s="57" t="s">
        <v>27</v>
      </c>
      <c r="D7" s="11">
        <f>'thu thuat'!I398/8</f>
        <v>2630564.84375</v>
      </c>
      <c r="E7" s="42"/>
      <c r="F7" s="33">
        <v>19.5</v>
      </c>
      <c r="H7" s="41"/>
    </row>
    <row r="8" spans="1:8" ht="17.399999999999999" thickBot="1">
      <c r="A8" s="6">
        <v>2</v>
      </c>
      <c r="B8" s="9" t="s">
        <v>65</v>
      </c>
      <c r="C8" s="57" t="s">
        <v>27</v>
      </c>
      <c r="D8" s="11">
        <f>D7</f>
        <v>2630564.84375</v>
      </c>
      <c r="E8" s="42"/>
      <c r="F8" s="33">
        <v>19.5</v>
      </c>
    </row>
    <row r="9" spans="1:8" ht="17.399999999999999" thickBot="1">
      <c r="A9" s="6">
        <v>3</v>
      </c>
      <c r="B9" s="79" t="s">
        <v>82</v>
      </c>
      <c r="C9" s="87" t="s">
        <v>27</v>
      </c>
      <c r="D9" s="11">
        <f t="shared" ref="D9:D14" si="0">D8</f>
        <v>2630564.84375</v>
      </c>
      <c r="E9" s="80"/>
      <c r="F9" s="33"/>
    </row>
    <row r="10" spans="1:8" ht="17.399999999999999" thickBot="1">
      <c r="A10" s="6">
        <v>4</v>
      </c>
      <c r="B10" s="79" t="s">
        <v>70</v>
      </c>
      <c r="C10" s="87" t="s">
        <v>27</v>
      </c>
      <c r="D10" s="11">
        <f t="shared" si="0"/>
        <v>2630564.84375</v>
      </c>
      <c r="E10" s="80"/>
      <c r="F10" s="33"/>
    </row>
    <row r="11" spans="1:8" ht="17.399999999999999" thickBot="1">
      <c r="A11" s="6">
        <v>5</v>
      </c>
      <c r="B11" s="79" t="s">
        <v>46</v>
      </c>
      <c r="C11" s="87" t="s">
        <v>27</v>
      </c>
      <c r="D11" s="11">
        <f t="shared" si="0"/>
        <v>2630564.84375</v>
      </c>
      <c r="E11" s="80"/>
      <c r="F11" s="33"/>
    </row>
    <row r="12" spans="1:8" ht="17.399999999999999" thickBot="1">
      <c r="A12" s="6">
        <v>6</v>
      </c>
      <c r="B12" s="79" t="s">
        <v>116</v>
      </c>
      <c r="C12" s="87" t="s">
        <v>27</v>
      </c>
      <c r="D12" s="11">
        <f t="shared" si="0"/>
        <v>2630564.84375</v>
      </c>
      <c r="E12" s="80"/>
      <c r="F12" s="33"/>
    </row>
    <row r="13" spans="1:8" ht="17.399999999999999" thickBot="1">
      <c r="A13" s="372">
        <v>7</v>
      </c>
      <c r="B13" s="79" t="s">
        <v>93</v>
      </c>
      <c r="C13" s="87" t="s">
        <v>27</v>
      </c>
      <c r="D13" s="11">
        <f t="shared" si="0"/>
        <v>2630564.84375</v>
      </c>
      <c r="E13" s="80"/>
      <c r="F13" s="33"/>
    </row>
    <row r="14" spans="1:8" ht="17.399999999999999" thickBot="1">
      <c r="A14" s="6">
        <v>8</v>
      </c>
      <c r="B14" s="79" t="s">
        <v>73</v>
      </c>
      <c r="C14" s="87" t="s">
        <v>27</v>
      </c>
      <c r="D14" s="11">
        <f t="shared" si="0"/>
        <v>2630564.84375</v>
      </c>
      <c r="E14" s="80"/>
      <c r="F14" s="33"/>
    </row>
    <row r="15" spans="1:8" ht="17.399999999999999" thickBot="1">
      <c r="A15" s="7"/>
      <c r="B15" s="44" t="s">
        <v>28</v>
      </c>
      <c r="C15" s="8"/>
      <c r="D15" s="11">
        <f>SUM(D7:D14)</f>
        <v>21044518.75</v>
      </c>
      <c r="E15" s="12"/>
      <c r="F15" s="45">
        <f>SUM(F7:F8)</f>
        <v>39</v>
      </c>
      <c r="G15" s="43"/>
    </row>
    <row r="16" spans="1:8" ht="27.75" customHeight="1">
      <c r="A16" s="1"/>
      <c r="B16" s="43"/>
    </row>
    <row r="17" spans="1:5">
      <c r="D17" s="475" t="s">
        <v>137</v>
      </c>
      <c r="E17" s="475"/>
    </row>
    <row r="18" spans="1:5">
      <c r="A18" s="476" t="s">
        <v>20</v>
      </c>
      <c r="B18" s="476"/>
      <c r="D18" s="477" t="s">
        <v>21</v>
      </c>
      <c r="E18" s="477"/>
    </row>
    <row r="21" spans="1:5">
      <c r="E21" s="41"/>
    </row>
    <row r="22" spans="1:5">
      <c r="C22" s="46"/>
    </row>
  </sheetData>
  <mergeCells count="6">
    <mergeCell ref="A1:B1"/>
    <mergeCell ref="A2:B2"/>
    <mergeCell ref="B3:D3"/>
    <mergeCell ref="D17:E17"/>
    <mergeCell ref="A18:B18"/>
    <mergeCell ref="D18:E18"/>
  </mergeCells>
  <pageMargins left="0.89583333333333337" right="0.5" top="0.5" bottom="0.5" header="0" footer="0"/>
  <pageSetup paperSize="9" orientation="portrait" verticalDpi="2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K59"/>
  <sheetViews>
    <sheetView zoomScaleNormal="100" workbookViewId="0">
      <pane xSplit="6" ySplit="6" topLeftCell="G53" activePane="bottomRight" state="frozen"/>
      <selection pane="topRight" activeCell="G1" sqref="G1"/>
      <selection pane="bottomLeft" activeCell="A7" sqref="A7"/>
      <selection pane="bottomRight" activeCell="E55" sqref="E55"/>
    </sheetView>
  </sheetViews>
  <sheetFormatPr defaultColWidth="4.6640625" defaultRowHeight="13.8"/>
  <cols>
    <col min="1" max="1" width="4.6640625" style="164" customWidth="1"/>
    <col min="2" max="2" width="9.6640625" style="164" customWidth="1"/>
    <col min="3" max="3" width="24.109375" style="264" customWidth="1"/>
    <col min="4" max="4" width="8.5546875" style="268" customWidth="1"/>
    <col min="5" max="5" width="30.44140625" style="264" customWidth="1"/>
    <col min="6" max="6" width="13.33203125" style="289" customWidth="1"/>
    <col min="7" max="7" width="8.33203125" style="357" customWidth="1"/>
    <col min="8" max="8" width="12.88671875" style="287" bestFit="1" customWidth="1"/>
    <col min="9" max="9" width="9.5546875" style="164" customWidth="1"/>
    <col min="10" max="10" width="8.5546875" style="164" customWidth="1"/>
    <col min="11" max="11" width="10.109375" style="164" customWidth="1"/>
    <col min="12" max="247" width="9.109375" style="105" customWidth="1"/>
    <col min="248" max="248" width="5.109375" style="105" customWidth="1"/>
    <col min="249" max="249" width="4.6640625" style="105" customWidth="1"/>
    <col min="250" max="250" width="7.44140625" style="105" customWidth="1"/>
    <col min="251" max="252" width="23.88671875" style="105" customWidth="1"/>
    <col min="253" max="253" width="10.109375" style="105" customWidth="1"/>
    <col min="254" max="254" width="5.88671875" style="105" customWidth="1"/>
    <col min="255" max="255" width="4.6640625" style="105" customWidth="1"/>
    <col min="256" max="256" width="4.88671875" style="105" customWidth="1"/>
    <col min="257" max="257" width="16.109375" style="105" customWidth="1"/>
    <col min="258" max="258" width="9.6640625" style="105" customWidth="1"/>
    <col min="259" max="259" width="14.5546875" style="105" customWidth="1"/>
    <col min="260" max="260" width="10.6640625" style="105" customWidth="1"/>
    <col min="261" max="261" width="8.88671875" style="105" customWidth="1"/>
    <col min="262" max="262" width="11" style="105" customWidth="1"/>
    <col min="263" max="263" width="5.33203125" style="105" customWidth="1"/>
    <col min="264" max="264" width="10.33203125" style="105" customWidth="1"/>
    <col min="265" max="265" width="10.109375" style="105" customWidth="1"/>
    <col min="266" max="503" width="9.109375" style="105" customWidth="1"/>
    <col min="504" max="504" width="5.109375" style="105" customWidth="1"/>
    <col min="505" max="505" width="4.6640625" style="105" customWidth="1"/>
    <col min="506" max="506" width="7.44140625" style="105" customWidth="1"/>
    <col min="507" max="508" width="23.88671875" style="105" customWidth="1"/>
    <col min="509" max="509" width="10.109375" style="105" customWidth="1"/>
    <col min="510" max="510" width="5.88671875" style="105" customWidth="1"/>
    <col min="511" max="511" width="4.6640625" style="105" customWidth="1"/>
    <col min="512" max="512" width="4.88671875" style="105" customWidth="1"/>
    <col min="513" max="513" width="16.109375" style="105" customWidth="1"/>
    <col min="514" max="514" width="9.6640625" style="105" customWidth="1"/>
    <col min="515" max="515" width="14.5546875" style="105" customWidth="1"/>
    <col min="516" max="516" width="10.6640625" style="105" customWidth="1"/>
    <col min="517" max="517" width="8.88671875" style="105" customWidth="1"/>
    <col min="518" max="518" width="11" style="105" customWidth="1"/>
    <col min="519" max="519" width="5.33203125" style="105" customWidth="1"/>
    <col min="520" max="520" width="10.33203125" style="105" customWidth="1"/>
    <col min="521" max="521" width="10.109375" style="105" customWidth="1"/>
    <col min="522" max="759" width="9.109375" style="105" customWidth="1"/>
    <col min="760" max="760" width="5.109375" style="105" customWidth="1"/>
    <col min="761" max="761" width="4.6640625" style="105" customWidth="1"/>
    <col min="762" max="762" width="7.44140625" style="105" customWidth="1"/>
    <col min="763" max="764" width="23.88671875" style="105" customWidth="1"/>
    <col min="765" max="765" width="10.109375" style="105" customWidth="1"/>
    <col min="766" max="766" width="5.88671875" style="105" customWidth="1"/>
    <col min="767" max="767" width="4.6640625" style="105" customWidth="1"/>
    <col min="768" max="768" width="4.88671875" style="105" customWidth="1"/>
    <col min="769" max="769" width="16.109375" style="105" customWidth="1"/>
    <col min="770" max="770" width="9.6640625" style="105" customWidth="1"/>
    <col min="771" max="771" width="14.5546875" style="105" customWidth="1"/>
    <col min="772" max="772" width="10.6640625" style="105" customWidth="1"/>
    <col min="773" max="773" width="8.88671875" style="105" customWidth="1"/>
    <col min="774" max="774" width="11" style="105" customWidth="1"/>
    <col min="775" max="775" width="5.33203125" style="105" customWidth="1"/>
    <col min="776" max="776" width="10.33203125" style="105" customWidth="1"/>
    <col min="777" max="777" width="10.109375" style="105" customWidth="1"/>
    <col min="778" max="1015" width="9.109375" style="105" customWidth="1"/>
    <col min="1016" max="1016" width="5.109375" style="105" customWidth="1"/>
    <col min="1017" max="1017" width="4.6640625" style="105" customWidth="1"/>
    <col min="1018" max="1018" width="7.44140625" style="105" customWidth="1"/>
    <col min="1019" max="1020" width="23.88671875" style="105" customWidth="1"/>
    <col min="1021" max="1021" width="10.109375" style="105" customWidth="1"/>
    <col min="1022" max="1022" width="5.88671875" style="105" customWidth="1"/>
    <col min="1023" max="1023" width="4.6640625" style="105" customWidth="1"/>
    <col min="1024" max="1024" width="4.88671875" style="105" customWidth="1"/>
    <col min="1025" max="1025" width="16.109375" style="105" customWidth="1"/>
    <col min="1026" max="1026" width="9.6640625" style="105" customWidth="1"/>
    <col min="1027" max="1027" width="14.5546875" style="105" customWidth="1"/>
    <col min="1028" max="1028" width="10.6640625" style="105" customWidth="1"/>
    <col min="1029" max="1029" width="8.88671875" style="105" customWidth="1"/>
    <col min="1030" max="1030" width="11" style="105" customWidth="1"/>
    <col min="1031" max="1031" width="5.33203125" style="105" customWidth="1"/>
    <col min="1032" max="1032" width="10.33203125" style="105" customWidth="1"/>
    <col min="1033" max="1033" width="10.109375" style="105" customWidth="1"/>
    <col min="1034" max="1271" width="9.109375" style="105" customWidth="1"/>
    <col min="1272" max="1272" width="5.109375" style="105" customWidth="1"/>
    <col min="1273" max="1273" width="4.6640625" style="105" customWidth="1"/>
    <col min="1274" max="1274" width="7.44140625" style="105" customWidth="1"/>
    <col min="1275" max="1276" width="23.88671875" style="105" customWidth="1"/>
    <col min="1277" max="1277" width="10.109375" style="105" customWidth="1"/>
    <col min="1278" max="1278" width="5.88671875" style="105" customWidth="1"/>
    <col min="1279" max="1279" width="4.6640625" style="105" customWidth="1"/>
    <col min="1280" max="1280" width="4.88671875" style="105" customWidth="1"/>
    <col min="1281" max="1281" width="16.109375" style="105" customWidth="1"/>
    <col min="1282" max="1282" width="9.6640625" style="105" customWidth="1"/>
    <col min="1283" max="1283" width="14.5546875" style="105" customWidth="1"/>
    <col min="1284" max="1284" width="10.6640625" style="105" customWidth="1"/>
    <col min="1285" max="1285" width="8.88671875" style="105" customWidth="1"/>
    <col min="1286" max="1286" width="11" style="105" customWidth="1"/>
    <col min="1287" max="1287" width="5.33203125" style="105" customWidth="1"/>
    <col min="1288" max="1288" width="10.33203125" style="105" customWidth="1"/>
    <col min="1289" max="1289" width="10.109375" style="105" customWidth="1"/>
    <col min="1290" max="1527" width="9.109375" style="105" customWidth="1"/>
    <col min="1528" max="1528" width="5.109375" style="105" customWidth="1"/>
    <col min="1529" max="1529" width="4.6640625" style="105" customWidth="1"/>
    <col min="1530" max="1530" width="7.44140625" style="105" customWidth="1"/>
    <col min="1531" max="1532" width="23.88671875" style="105" customWidth="1"/>
    <col min="1533" max="1533" width="10.109375" style="105" customWidth="1"/>
    <col min="1534" max="1534" width="5.88671875" style="105" customWidth="1"/>
    <col min="1535" max="1535" width="4.6640625" style="105" customWidth="1"/>
    <col min="1536" max="1536" width="4.88671875" style="105" customWidth="1"/>
    <col min="1537" max="1537" width="16.109375" style="105" customWidth="1"/>
    <col min="1538" max="1538" width="9.6640625" style="105" customWidth="1"/>
    <col min="1539" max="1539" width="14.5546875" style="105" customWidth="1"/>
    <col min="1540" max="1540" width="10.6640625" style="105" customWidth="1"/>
    <col min="1541" max="1541" width="8.88671875" style="105" customWidth="1"/>
    <col min="1542" max="1542" width="11" style="105" customWidth="1"/>
    <col min="1543" max="1543" width="5.33203125" style="105" customWidth="1"/>
    <col min="1544" max="1544" width="10.33203125" style="105" customWidth="1"/>
    <col min="1545" max="1545" width="10.109375" style="105" customWidth="1"/>
    <col min="1546" max="1783" width="9.109375" style="105" customWidth="1"/>
    <col min="1784" max="1784" width="5.109375" style="105" customWidth="1"/>
    <col min="1785" max="1785" width="4.6640625" style="105" customWidth="1"/>
    <col min="1786" max="1786" width="7.44140625" style="105" customWidth="1"/>
    <col min="1787" max="1788" width="23.88671875" style="105" customWidth="1"/>
    <col min="1789" max="1789" width="10.109375" style="105" customWidth="1"/>
    <col min="1790" max="1790" width="5.88671875" style="105" customWidth="1"/>
    <col min="1791" max="1791" width="4.6640625" style="105" customWidth="1"/>
    <col min="1792" max="1792" width="4.88671875" style="105" customWidth="1"/>
    <col min="1793" max="1793" width="16.109375" style="105" customWidth="1"/>
    <col min="1794" max="1794" width="9.6640625" style="105" customWidth="1"/>
    <col min="1795" max="1795" width="14.5546875" style="105" customWidth="1"/>
    <col min="1796" max="1796" width="10.6640625" style="105" customWidth="1"/>
    <col min="1797" max="1797" width="8.88671875" style="105" customWidth="1"/>
    <col min="1798" max="1798" width="11" style="105" customWidth="1"/>
    <col min="1799" max="1799" width="5.33203125" style="105" customWidth="1"/>
    <col min="1800" max="1800" width="10.33203125" style="105" customWidth="1"/>
    <col min="1801" max="1801" width="10.109375" style="105" customWidth="1"/>
    <col min="1802" max="2039" width="9.109375" style="105" customWidth="1"/>
    <col min="2040" max="2040" width="5.109375" style="105" customWidth="1"/>
    <col min="2041" max="2041" width="4.6640625" style="105" customWidth="1"/>
    <col min="2042" max="2042" width="7.44140625" style="105" customWidth="1"/>
    <col min="2043" max="2044" width="23.88671875" style="105" customWidth="1"/>
    <col min="2045" max="2045" width="10.109375" style="105" customWidth="1"/>
    <col min="2046" max="2046" width="5.88671875" style="105" customWidth="1"/>
    <col min="2047" max="2047" width="4.6640625" style="105" customWidth="1"/>
    <col min="2048" max="2048" width="4.88671875" style="105" customWidth="1"/>
    <col min="2049" max="2049" width="16.109375" style="105" customWidth="1"/>
    <col min="2050" max="2050" width="9.6640625" style="105" customWidth="1"/>
    <col min="2051" max="2051" width="14.5546875" style="105" customWidth="1"/>
    <col min="2052" max="2052" width="10.6640625" style="105" customWidth="1"/>
    <col min="2053" max="2053" width="8.88671875" style="105" customWidth="1"/>
    <col min="2054" max="2054" width="11" style="105" customWidth="1"/>
    <col min="2055" max="2055" width="5.33203125" style="105" customWidth="1"/>
    <col min="2056" max="2056" width="10.33203125" style="105" customWidth="1"/>
    <col min="2057" max="2057" width="10.109375" style="105" customWidth="1"/>
    <col min="2058" max="2295" width="9.109375" style="105" customWidth="1"/>
    <col min="2296" max="2296" width="5.109375" style="105" customWidth="1"/>
    <col min="2297" max="2297" width="4.6640625" style="105" customWidth="1"/>
    <col min="2298" max="2298" width="7.44140625" style="105" customWidth="1"/>
    <col min="2299" max="2300" width="23.88671875" style="105" customWidth="1"/>
    <col min="2301" max="2301" width="10.109375" style="105" customWidth="1"/>
    <col min="2302" max="2302" width="5.88671875" style="105" customWidth="1"/>
    <col min="2303" max="2303" width="4.6640625" style="105" customWidth="1"/>
    <col min="2304" max="2304" width="4.88671875" style="105" customWidth="1"/>
    <col min="2305" max="2305" width="16.109375" style="105" customWidth="1"/>
    <col min="2306" max="2306" width="9.6640625" style="105" customWidth="1"/>
    <col min="2307" max="2307" width="14.5546875" style="105" customWidth="1"/>
    <col min="2308" max="2308" width="10.6640625" style="105" customWidth="1"/>
    <col min="2309" max="2309" width="8.88671875" style="105" customWidth="1"/>
    <col min="2310" max="2310" width="11" style="105" customWidth="1"/>
    <col min="2311" max="2311" width="5.33203125" style="105" customWidth="1"/>
    <col min="2312" max="2312" width="10.33203125" style="105" customWidth="1"/>
    <col min="2313" max="2313" width="10.109375" style="105" customWidth="1"/>
    <col min="2314" max="2551" width="9.109375" style="105" customWidth="1"/>
    <col min="2552" max="2552" width="5.109375" style="105" customWidth="1"/>
    <col min="2553" max="2553" width="4.6640625" style="105" customWidth="1"/>
    <col min="2554" max="2554" width="7.44140625" style="105" customWidth="1"/>
    <col min="2555" max="2556" width="23.88671875" style="105" customWidth="1"/>
    <col min="2557" max="2557" width="10.109375" style="105" customWidth="1"/>
    <col min="2558" max="2558" width="5.88671875" style="105" customWidth="1"/>
    <col min="2559" max="2559" width="4.6640625" style="105" customWidth="1"/>
    <col min="2560" max="2560" width="4.88671875" style="105" customWidth="1"/>
    <col min="2561" max="2561" width="16.109375" style="105" customWidth="1"/>
    <col min="2562" max="2562" width="9.6640625" style="105" customWidth="1"/>
    <col min="2563" max="2563" width="14.5546875" style="105" customWidth="1"/>
    <col min="2564" max="2564" width="10.6640625" style="105" customWidth="1"/>
    <col min="2565" max="2565" width="8.88671875" style="105" customWidth="1"/>
    <col min="2566" max="2566" width="11" style="105" customWidth="1"/>
    <col min="2567" max="2567" width="5.33203125" style="105" customWidth="1"/>
    <col min="2568" max="2568" width="10.33203125" style="105" customWidth="1"/>
    <col min="2569" max="2569" width="10.109375" style="105" customWidth="1"/>
    <col min="2570" max="2807" width="9.109375" style="105" customWidth="1"/>
    <col min="2808" max="2808" width="5.109375" style="105" customWidth="1"/>
    <col min="2809" max="2809" width="4.6640625" style="105" customWidth="1"/>
    <col min="2810" max="2810" width="7.44140625" style="105" customWidth="1"/>
    <col min="2811" max="2812" width="23.88671875" style="105" customWidth="1"/>
    <col min="2813" max="2813" width="10.109375" style="105" customWidth="1"/>
    <col min="2814" max="2814" width="5.88671875" style="105" customWidth="1"/>
    <col min="2815" max="2815" width="4.6640625" style="105" customWidth="1"/>
    <col min="2816" max="2816" width="4.88671875" style="105" customWidth="1"/>
    <col min="2817" max="2817" width="16.109375" style="105" customWidth="1"/>
    <col min="2818" max="2818" width="9.6640625" style="105" customWidth="1"/>
    <col min="2819" max="2819" width="14.5546875" style="105" customWidth="1"/>
    <col min="2820" max="2820" width="10.6640625" style="105" customWidth="1"/>
    <col min="2821" max="2821" width="8.88671875" style="105" customWidth="1"/>
    <col min="2822" max="2822" width="11" style="105" customWidth="1"/>
    <col min="2823" max="2823" width="5.33203125" style="105" customWidth="1"/>
    <col min="2824" max="2824" width="10.33203125" style="105" customWidth="1"/>
    <col min="2825" max="2825" width="10.109375" style="105" customWidth="1"/>
    <col min="2826" max="3063" width="9.109375" style="105" customWidth="1"/>
    <col min="3064" max="3064" width="5.109375" style="105" customWidth="1"/>
    <col min="3065" max="3065" width="4.6640625" style="105" customWidth="1"/>
    <col min="3066" max="3066" width="7.44140625" style="105" customWidth="1"/>
    <col min="3067" max="3068" width="23.88671875" style="105" customWidth="1"/>
    <col min="3069" max="3069" width="10.109375" style="105" customWidth="1"/>
    <col min="3070" max="3070" width="5.88671875" style="105" customWidth="1"/>
    <col min="3071" max="3071" width="4.6640625" style="105" customWidth="1"/>
    <col min="3072" max="3072" width="4.88671875" style="105" customWidth="1"/>
    <col min="3073" max="3073" width="16.109375" style="105" customWidth="1"/>
    <col min="3074" max="3074" width="9.6640625" style="105" customWidth="1"/>
    <col min="3075" max="3075" width="14.5546875" style="105" customWidth="1"/>
    <col min="3076" max="3076" width="10.6640625" style="105" customWidth="1"/>
    <col min="3077" max="3077" width="8.88671875" style="105" customWidth="1"/>
    <col min="3078" max="3078" width="11" style="105" customWidth="1"/>
    <col min="3079" max="3079" width="5.33203125" style="105" customWidth="1"/>
    <col min="3080" max="3080" width="10.33203125" style="105" customWidth="1"/>
    <col min="3081" max="3081" width="10.109375" style="105" customWidth="1"/>
    <col min="3082" max="3319" width="9.109375" style="105" customWidth="1"/>
    <col min="3320" max="3320" width="5.109375" style="105" customWidth="1"/>
    <col min="3321" max="3321" width="4.6640625" style="105" customWidth="1"/>
    <col min="3322" max="3322" width="7.44140625" style="105" customWidth="1"/>
    <col min="3323" max="3324" width="23.88671875" style="105" customWidth="1"/>
    <col min="3325" max="3325" width="10.109375" style="105" customWidth="1"/>
    <col min="3326" max="3326" width="5.88671875" style="105" customWidth="1"/>
    <col min="3327" max="3327" width="4.6640625" style="105" customWidth="1"/>
    <col min="3328" max="3328" width="4.88671875" style="105" customWidth="1"/>
    <col min="3329" max="3329" width="16.109375" style="105" customWidth="1"/>
    <col min="3330" max="3330" width="9.6640625" style="105" customWidth="1"/>
    <col min="3331" max="3331" width="14.5546875" style="105" customWidth="1"/>
    <col min="3332" max="3332" width="10.6640625" style="105" customWidth="1"/>
    <col min="3333" max="3333" width="8.88671875" style="105" customWidth="1"/>
    <col min="3334" max="3334" width="11" style="105" customWidth="1"/>
    <col min="3335" max="3335" width="5.33203125" style="105" customWidth="1"/>
    <col min="3336" max="3336" width="10.33203125" style="105" customWidth="1"/>
    <col min="3337" max="3337" width="10.109375" style="105" customWidth="1"/>
    <col min="3338" max="3575" width="9.109375" style="105" customWidth="1"/>
    <col min="3576" max="3576" width="5.109375" style="105" customWidth="1"/>
    <col min="3577" max="3577" width="4.6640625" style="105" customWidth="1"/>
    <col min="3578" max="3578" width="7.44140625" style="105" customWidth="1"/>
    <col min="3579" max="3580" width="23.88671875" style="105" customWidth="1"/>
    <col min="3581" max="3581" width="10.109375" style="105" customWidth="1"/>
    <col min="3582" max="3582" width="5.88671875" style="105" customWidth="1"/>
    <col min="3583" max="3583" width="4.6640625" style="105" customWidth="1"/>
    <col min="3584" max="3584" width="4.88671875" style="105" customWidth="1"/>
    <col min="3585" max="3585" width="16.109375" style="105" customWidth="1"/>
    <col min="3586" max="3586" width="9.6640625" style="105" customWidth="1"/>
    <col min="3587" max="3587" width="14.5546875" style="105" customWidth="1"/>
    <col min="3588" max="3588" width="10.6640625" style="105" customWidth="1"/>
    <col min="3589" max="3589" width="8.88671875" style="105" customWidth="1"/>
    <col min="3590" max="3590" width="11" style="105" customWidth="1"/>
    <col min="3591" max="3591" width="5.33203125" style="105" customWidth="1"/>
    <col min="3592" max="3592" width="10.33203125" style="105" customWidth="1"/>
    <col min="3593" max="3593" width="10.109375" style="105" customWidth="1"/>
    <col min="3594" max="3831" width="9.109375" style="105" customWidth="1"/>
    <col min="3832" max="3832" width="5.109375" style="105" customWidth="1"/>
    <col min="3833" max="3833" width="4.6640625" style="105" customWidth="1"/>
    <col min="3834" max="3834" width="7.44140625" style="105" customWidth="1"/>
    <col min="3835" max="3836" width="23.88671875" style="105" customWidth="1"/>
    <col min="3837" max="3837" width="10.109375" style="105" customWidth="1"/>
    <col min="3838" max="3838" width="5.88671875" style="105" customWidth="1"/>
    <col min="3839" max="3839" width="4.6640625" style="105" customWidth="1"/>
    <col min="3840" max="3840" width="4.88671875" style="105" customWidth="1"/>
    <col min="3841" max="3841" width="16.109375" style="105" customWidth="1"/>
    <col min="3842" max="3842" width="9.6640625" style="105" customWidth="1"/>
    <col min="3843" max="3843" width="14.5546875" style="105" customWidth="1"/>
    <col min="3844" max="3844" width="10.6640625" style="105" customWidth="1"/>
    <col min="3845" max="3845" width="8.88671875" style="105" customWidth="1"/>
    <col min="3846" max="3846" width="11" style="105" customWidth="1"/>
    <col min="3847" max="3847" width="5.33203125" style="105" customWidth="1"/>
    <col min="3848" max="3848" width="10.33203125" style="105" customWidth="1"/>
    <col min="3849" max="3849" width="10.109375" style="105" customWidth="1"/>
    <col min="3850" max="4087" width="9.109375" style="105" customWidth="1"/>
    <col min="4088" max="4088" width="5.109375" style="105" customWidth="1"/>
    <col min="4089" max="4089" width="4.6640625" style="105" customWidth="1"/>
    <col min="4090" max="4090" width="7.44140625" style="105" customWidth="1"/>
    <col min="4091" max="4092" width="23.88671875" style="105" customWidth="1"/>
    <col min="4093" max="4093" width="10.109375" style="105" customWidth="1"/>
    <col min="4094" max="4094" width="5.88671875" style="105" customWidth="1"/>
    <col min="4095" max="4095" width="4.6640625" style="105" customWidth="1"/>
    <col min="4096" max="4096" width="4.88671875" style="105" customWidth="1"/>
    <col min="4097" max="4097" width="16.109375" style="105" customWidth="1"/>
    <col min="4098" max="4098" width="9.6640625" style="105" customWidth="1"/>
    <col min="4099" max="4099" width="14.5546875" style="105" customWidth="1"/>
    <col min="4100" max="4100" width="10.6640625" style="105" customWidth="1"/>
    <col min="4101" max="4101" width="8.88671875" style="105" customWidth="1"/>
    <col min="4102" max="4102" width="11" style="105" customWidth="1"/>
    <col min="4103" max="4103" width="5.33203125" style="105" customWidth="1"/>
    <col min="4104" max="4104" width="10.33203125" style="105" customWidth="1"/>
    <col min="4105" max="4105" width="10.109375" style="105" customWidth="1"/>
    <col min="4106" max="4343" width="9.109375" style="105" customWidth="1"/>
    <col min="4344" max="4344" width="5.109375" style="105" customWidth="1"/>
    <col min="4345" max="4345" width="4.6640625" style="105" customWidth="1"/>
    <col min="4346" max="4346" width="7.44140625" style="105" customWidth="1"/>
    <col min="4347" max="4348" width="23.88671875" style="105" customWidth="1"/>
    <col min="4349" max="4349" width="10.109375" style="105" customWidth="1"/>
    <col min="4350" max="4350" width="5.88671875" style="105" customWidth="1"/>
    <col min="4351" max="4351" width="4.6640625" style="105" customWidth="1"/>
    <col min="4352" max="4352" width="4.88671875" style="105" customWidth="1"/>
    <col min="4353" max="4353" width="16.109375" style="105" customWidth="1"/>
    <col min="4354" max="4354" width="9.6640625" style="105" customWidth="1"/>
    <col min="4355" max="4355" width="14.5546875" style="105" customWidth="1"/>
    <col min="4356" max="4356" width="10.6640625" style="105" customWidth="1"/>
    <col min="4357" max="4357" width="8.88671875" style="105" customWidth="1"/>
    <col min="4358" max="4358" width="11" style="105" customWidth="1"/>
    <col min="4359" max="4359" width="5.33203125" style="105" customWidth="1"/>
    <col min="4360" max="4360" width="10.33203125" style="105" customWidth="1"/>
    <col min="4361" max="4361" width="10.109375" style="105" customWidth="1"/>
    <col min="4362" max="4599" width="9.109375" style="105" customWidth="1"/>
    <col min="4600" max="4600" width="5.109375" style="105" customWidth="1"/>
    <col min="4601" max="4601" width="4.6640625" style="105" customWidth="1"/>
    <col min="4602" max="4602" width="7.44140625" style="105" customWidth="1"/>
    <col min="4603" max="4604" width="23.88671875" style="105" customWidth="1"/>
    <col min="4605" max="4605" width="10.109375" style="105" customWidth="1"/>
    <col min="4606" max="4606" width="5.88671875" style="105" customWidth="1"/>
    <col min="4607" max="4607" width="4.6640625" style="105" customWidth="1"/>
    <col min="4608" max="4608" width="4.88671875" style="105" customWidth="1"/>
    <col min="4609" max="4609" width="16.109375" style="105" customWidth="1"/>
    <col min="4610" max="4610" width="9.6640625" style="105" customWidth="1"/>
    <col min="4611" max="4611" width="14.5546875" style="105" customWidth="1"/>
    <col min="4612" max="4612" width="10.6640625" style="105" customWidth="1"/>
    <col min="4613" max="4613" width="8.88671875" style="105" customWidth="1"/>
    <col min="4614" max="4614" width="11" style="105" customWidth="1"/>
    <col min="4615" max="4615" width="5.33203125" style="105" customWidth="1"/>
    <col min="4616" max="4616" width="10.33203125" style="105" customWidth="1"/>
    <col min="4617" max="4617" width="10.109375" style="105" customWidth="1"/>
    <col min="4618" max="4855" width="9.109375" style="105" customWidth="1"/>
    <col min="4856" max="4856" width="5.109375" style="105" customWidth="1"/>
    <col min="4857" max="4857" width="4.6640625" style="105" customWidth="1"/>
    <col min="4858" max="4858" width="7.44140625" style="105" customWidth="1"/>
    <col min="4859" max="4860" width="23.88671875" style="105" customWidth="1"/>
    <col min="4861" max="4861" width="10.109375" style="105" customWidth="1"/>
    <col min="4862" max="4862" width="5.88671875" style="105" customWidth="1"/>
    <col min="4863" max="4863" width="4.6640625" style="105" customWidth="1"/>
    <col min="4864" max="4864" width="4.88671875" style="105" customWidth="1"/>
    <col min="4865" max="4865" width="16.109375" style="105" customWidth="1"/>
    <col min="4866" max="4866" width="9.6640625" style="105" customWidth="1"/>
    <col min="4867" max="4867" width="14.5546875" style="105" customWidth="1"/>
    <col min="4868" max="4868" width="10.6640625" style="105" customWidth="1"/>
    <col min="4869" max="4869" width="8.88671875" style="105" customWidth="1"/>
    <col min="4870" max="4870" width="11" style="105" customWidth="1"/>
    <col min="4871" max="4871" width="5.33203125" style="105" customWidth="1"/>
    <col min="4872" max="4872" width="10.33203125" style="105" customWidth="1"/>
    <col min="4873" max="4873" width="10.109375" style="105" customWidth="1"/>
    <col min="4874" max="5111" width="9.109375" style="105" customWidth="1"/>
    <col min="5112" max="5112" width="5.109375" style="105" customWidth="1"/>
    <col min="5113" max="5113" width="4.6640625" style="105" customWidth="1"/>
    <col min="5114" max="5114" width="7.44140625" style="105" customWidth="1"/>
    <col min="5115" max="5116" width="23.88671875" style="105" customWidth="1"/>
    <col min="5117" max="5117" width="10.109375" style="105" customWidth="1"/>
    <col min="5118" max="5118" width="5.88671875" style="105" customWidth="1"/>
    <col min="5119" max="5119" width="4.6640625" style="105" customWidth="1"/>
    <col min="5120" max="5120" width="4.88671875" style="105" customWidth="1"/>
    <col min="5121" max="5121" width="16.109375" style="105" customWidth="1"/>
    <col min="5122" max="5122" width="9.6640625" style="105" customWidth="1"/>
    <col min="5123" max="5123" width="14.5546875" style="105" customWidth="1"/>
    <col min="5124" max="5124" width="10.6640625" style="105" customWidth="1"/>
    <col min="5125" max="5125" width="8.88671875" style="105" customWidth="1"/>
    <col min="5126" max="5126" width="11" style="105" customWidth="1"/>
    <col min="5127" max="5127" width="5.33203125" style="105" customWidth="1"/>
    <col min="5128" max="5128" width="10.33203125" style="105" customWidth="1"/>
    <col min="5129" max="5129" width="10.109375" style="105" customWidth="1"/>
    <col min="5130" max="5367" width="9.109375" style="105" customWidth="1"/>
    <col min="5368" max="5368" width="5.109375" style="105" customWidth="1"/>
    <col min="5369" max="5369" width="4.6640625" style="105" customWidth="1"/>
    <col min="5370" max="5370" width="7.44140625" style="105" customWidth="1"/>
    <col min="5371" max="5372" width="23.88671875" style="105" customWidth="1"/>
    <col min="5373" max="5373" width="10.109375" style="105" customWidth="1"/>
    <col min="5374" max="5374" width="5.88671875" style="105" customWidth="1"/>
    <col min="5375" max="5375" width="4.6640625" style="105" customWidth="1"/>
    <col min="5376" max="5376" width="4.88671875" style="105" customWidth="1"/>
    <col min="5377" max="5377" width="16.109375" style="105" customWidth="1"/>
    <col min="5378" max="5378" width="9.6640625" style="105" customWidth="1"/>
    <col min="5379" max="5379" width="14.5546875" style="105" customWidth="1"/>
    <col min="5380" max="5380" width="10.6640625" style="105" customWidth="1"/>
    <col min="5381" max="5381" width="8.88671875" style="105" customWidth="1"/>
    <col min="5382" max="5382" width="11" style="105" customWidth="1"/>
    <col min="5383" max="5383" width="5.33203125" style="105" customWidth="1"/>
    <col min="5384" max="5384" width="10.33203125" style="105" customWidth="1"/>
    <col min="5385" max="5385" width="10.109375" style="105" customWidth="1"/>
    <col min="5386" max="5623" width="9.109375" style="105" customWidth="1"/>
    <col min="5624" max="5624" width="5.109375" style="105" customWidth="1"/>
    <col min="5625" max="5625" width="4.6640625" style="105" customWidth="1"/>
    <col min="5626" max="5626" width="7.44140625" style="105" customWidth="1"/>
    <col min="5627" max="5628" width="23.88671875" style="105" customWidth="1"/>
    <col min="5629" max="5629" width="10.109375" style="105" customWidth="1"/>
    <col min="5630" max="5630" width="5.88671875" style="105" customWidth="1"/>
    <col min="5631" max="5631" width="4.6640625" style="105" customWidth="1"/>
    <col min="5632" max="5632" width="4.88671875" style="105" customWidth="1"/>
    <col min="5633" max="5633" width="16.109375" style="105" customWidth="1"/>
    <col min="5634" max="5634" width="9.6640625" style="105" customWidth="1"/>
    <col min="5635" max="5635" width="14.5546875" style="105" customWidth="1"/>
    <col min="5636" max="5636" width="10.6640625" style="105" customWidth="1"/>
    <col min="5637" max="5637" width="8.88671875" style="105" customWidth="1"/>
    <col min="5638" max="5638" width="11" style="105" customWidth="1"/>
    <col min="5639" max="5639" width="5.33203125" style="105" customWidth="1"/>
    <col min="5640" max="5640" width="10.33203125" style="105" customWidth="1"/>
    <col min="5641" max="5641" width="10.109375" style="105" customWidth="1"/>
    <col min="5642" max="5879" width="9.109375" style="105" customWidth="1"/>
    <col min="5880" max="5880" width="5.109375" style="105" customWidth="1"/>
    <col min="5881" max="5881" width="4.6640625" style="105" customWidth="1"/>
    <col min="5882" max="5882" width="7.44140625" style="105" customWidth="1"/>
    <col min="5883" max="5884" width="23.88671875" style="105" customWidth="1"/>
    <col min="5885" max="5885" width="10.109375" style="105" customWidth="1"/>
    <col min="5886" max="5886" width="5.88671875" style="105" customWidth="1"/>
    <col min="5887" max="5887" width="4.6640625" style="105" customWidth="1"/>
    <col min="5888" max="5888" width="4.88671875" style="105" customWidth="1"/>
    <col min="5889" max="5889" width="16.109375" style="105" customWidth="1"/>
    <col min="5890" max="5890" width="9.6640625" style="105" customWidth="1"/>
    <col min="5891" max="5891" width="14.5546875" style="105" customWidth="1"/>
    <col min="5892" max="5892" width="10.6640625" style="105" customWidth="1"/>
    <col min="5893" max="5893" width="8.88671875" style="105" customWidth="1"/>
    <col min="5894" max="5894" width="11" style="105" customWidth="1"/>
    <col min="5895" max="5895" width="5.33203125" style="105" customWidth="1"/>
    <col min="5896" max="5896" width="10.33203125" style="105" customWidth="1"/>
    <col min="5897" max="5897" width="10.109375" style="105" customWidth="1"/>
    <col min="5898" max="6135" width="9.109375" style="105" customWidth="1"/>
    <col min="6136" max="6136" width="5.109375" style="105" customWidth="1"/>
    <col min="6137" max="6137" width="4.6640625" style="105" customWidth="1"/>
    <col min="6138" max="6138" width="7.44140625" style="105" customWidth="1"/>
    <col min="6139" max="6140" width="23.88671875" style="105" customWidth="1"/>
    <col min="6141" max="6141" width="10.109375" style="105" customWidth="1"/>
    <col min="6142" max="6142" width="5.88671875" style="105" customWidth="1"/>
    <col min="6143" max="6143" width="4.6640625" style="105" customWidth="1"/>
    <col min="6144" max="6144" width="4.88671875" style="105" customWidth="1"/>
    <col min="6145" max="6145" width="16.109375" style="105" customWidth="1"/>
    <col min="6146" max="6146" width="9.6640625" style="105" customWidth="1"/>
    <col min="6147" max="6147" width="14.5546875" style="105" customWidth="1"/>
    <col min="6148" max="6148" width="10.6640625" style="105" customWidth="1"/>
    <col min="6149" max="6149" width="8.88671875" style="105" customWidth="1"/>
    <col min="6150" max="6150" width="11" style="105" customWidth="1"/>
    <col min="6151" max="6151" width="5.33203125" style="105" customWidth="1"/>
    <col min="6152" max="6152" width="10.33203125" style="105" customWidth="1"/>
    <col min="6153" max="6153" width="10.109375" style="105" customWidth="1"/>
    <col min="6154" max="6391" width="9.109375" style="105" customWidth="1"/>
    <col min="6392" max="6392" width="5.109375" style="105" customWidth="1"/>
    <col min="6393" max="6393" width="4.6640625" style="105" customWidth="1"/>
    <col min="6394" max="6394" width="7.44140625" style="105" customWidth="1"/>
    <col min="6395" max="6396" width="23.88671875" style="105" customWidth="1"/>
    <col min="6397" max="6397" width="10.109375" style="105" customWidth="1"/>
    <col min="6398" max="6398" width="5.88671875" style="105" customWidth="1"/>
    <col min="6399" max="6399" width="4.6640625" style="105" customWidth="1"/>
    <col min="6400" max="6400" width="4.88671875" style="105" customWidth="1"/>
    <col min="6401" max="6401" width="16.109375" style="105" customWidth="1"/>
    <col min="6402" max="6402" width="9.6640625" style="105" customWidth="1"/>
    <col min="6403" max="6403" width="14.5546875" style="105" customWidth="1"/>
    <col min="6404" max="6404" width="10.6640625" style="105" customWidth="1"/>
    <col min="6405" max="6405" width="8.88671875" style="105" customWidth="1"/>
    <col min="6406" max="6406" width="11" style="105" customWidth="1"/>
    <col min="6407" max="6407" width="5.33203125" style="105" customWidth="1"/>
    <col min="6408" max="6408" width="10.33203125" style="105" customWidth="1"/>
    <col min="6409" max="6409" width="10.109375" style="105" customWidth="1"/>
    <col min="6410" max="6647" width="9.109375" style="105" customWidth="1"/>
    <col min="6648" max="6648" width="5.109375" style="105" customWidth="1"/>
    <col min="6649" max="6649" width="4.6640625" style="105" customWidth="1"/>
    <col min="6650" max="6650" width="7.44140625" style="105" customWidth="1"/>
    <col min="6651" max="6652" width="23.88671875" style="105" customWidth="1"/>
    <col min="6653" max="6653" width="10.109375" style="105" customWidth="1"/>
    <col min="6654" max="6654" width="5.88671875" style="105" customWidth="1"/>
    <col min="6655" max="6655" width="4.6640625" style="105" customWidth="1"/>
    <col min="6656" max="6656" width="4.88671875" style="105" customWidth="1"/>
    <col min="6657" max="6657" width="16.109375" style="105" customWidth="1"/>
    <col min="6658" max="6658" width="9.6640625" style="105" customWidth="1"/>
    <col min="6659" max="6659" width="14.5546875" style="105" customWidth="1"/>
    <col min="6660" max="6660" width="10.6640625" style="105" customWidth="1"/>
    <col min="6661" max="6661" width="8.88671875" style="105" customWidth="1"/>
    <col min="6662" max="6662" width="11" style="105" customWidth="1"/>
    <col min="6663" max="6663" width="5.33203125" style="105" customWidth="1"/>
    <col min="6664" max="6664" width="10.33203125" style="105" customWidth="1"/>
    <col min="6665" max="6665" width="10.109375" style="105" customWidth="1"/>
    <col min="6666" max="6903" width="9.109375" style="105" customWidth="1"/>
    <col min="6904" max="6904" width="5.109375" style="105" customWidth="1"/>
    <col min="6905" max="6905" width="4.6640625" style="105" customWidth="1"/>
    <col min="6906" max="6906" width="7.44140625" style="105" customWidth="1"/>
    <col min="6907" max="6908" width="23.88671875" style="105" customWidth="1"/>
    <col min="6909" max="6909" width="10.109375" style="105" customWidth="1"/>
    <col min="6910" max="6910" width="5.88671875" style="105" customWidth="1"/>
    <col min="6911" max="6911" width="4.6640625" style="105" customWidth="1"/>
    <col min="6912" max="6912" width="4.88671875" style="105" customWidth="1"/>
    <col min="6913" max="6913" width="16.109375" style="105" customWidth="1"/>
    <col min="6914" max="6914" width="9.6640625" style="105" customWidth="1"/>
    <col min="6915" max="6915" width="14.5546875" style="105" customWidth="1"/>
    <col min="6916" max="6916" width="10.6640625" style="105" customWidth="1"/>
    <col min="6917" max="6917" width="8.88671875" style="105" customWidth="1"/>
    <col min="6918" max="6918" width="11" style="105" customWidth="1"/>
    <col min="6919" max="6919" width="5.33203125" style="105" customWidth="1"/>
    <col min="6920" max="6920" width="10.33203125" style="105" customWidth="1"/>
    <col min="6921" max="6921" width="10.109375" style="105" customWidth="1"/>
    <col min="6922" max="7159" width="9.109375" style="105" customWidth="1"/>
    <col min="7160" max="7160" width="5.109375" style="105" customWidth="1"/>
    <col min="7161" max="7161" width="4.6640625" style="105" customWidth="1"/>
    <col min="7162" max="7162" width="7.44140625" style="105" customWidth="1"/>
    <col min="7163" max="7164" width="23.88671875" style="105" customWidth="1"/>
    <col min="7165" max="7165" width="10.109375" style="105" customWidth="1"/>
    <col min="7166" max="7166" width="5.88671875" style="105" customWidth="1"/>
    <col min="7167" max="7167" width="4.6640625" style="105" customWidth="1"/>
    <col min="7168" max="7168" width="4.88671875" style="105" customWidth="1"/>
    <col min="7169" max="7169" width="16.109375" style="105" customWidth="1"/>
    <col min="7170" max="7170" width="9.6640625" style="105" customWidth="1"/>
    <col min="7171" max="7171" width="14.5546875" style="105" customWidth="1"/>
    <col min="7172" max="7172" width="10.6640625" style="105" customWidth="1"/>
    <col min="7173" max="7173" width="8.88671875" style="105" customWidth="1"/>
    <col min="7174" max="7174" width="11" style="105" customWidth="1"/>
    <col min="7175" max="7175" width="5.33203125" style="105" customWidth="1"/>
    <col min="7176" max="7176" width="10.33203125" style="105" customWidth="1"/>
    <col min="7177" max="7177" width="10.109375" style="105" customWidth="1"/>
    <col min="7178" max="7415" width="9.109375" style="105" customWidth="1"/>
    <col min="7416" max="7416" width="5.109375" style="105" customWidth="1"/>
    <col min="7417" max="7417" width="4.6640625" style="105" customWidth="1"/>
    <col min="7418" max="7418" width="7.44140625" style="105" customWidth="1"/>
    <col min="7419" max="7420" width="23.88671875" style="105" customWidth="1"/>
    <col min="7421" max="7421" width="10.109375" style="105" customWidth="1"/>
    <col min="7422" max="7422" width="5.88671875" style="105" customWidth="1"/>
    <col min="7423" max="7423" width="4.6640625" style="105" customWidth="1"/>
    <col min="7424" max="7424" width="4.88671875" style="105" customWidth="1"/>
    <col min="7425" max="7425" width="16.109375" style="105" customWidth="1"/>
    <col min="7426" max="7426" width="9.6640625" style="105" customWidth="1"/>
    <col min="7427" max="7427" width="14.5546875" style="105" customWidth="1"/>
    <col min="7428" max="7428" width="10.6640625" style="105" customWidth="1"/>
    <col min="7429" max="7429" width="8.88671875" style="105" customWidth="1"/>
    <col min="7430" max="7430" width="11" style="105" customWidth="1"/>
    <col min="7431" max="7431" width="5.33203125" style="105" customWidth="1"/>
    <col min="7432" max="7432" width="10.33203125" style="105" customWidth="1"/>
    <col min="7433" max="7433" width="10.109375" style="105" customWidth="1"/>
    <col min="7434" max="7671" width="9.109375" style="105" customWidth="1"/>
    <col min="7672" max="7672" width="5.109375" style="105" customWidth="1"/>
    <col min="7673" max="7673" width="4.6640625" style="105" customWidth="1"/>
    <col min="7674" max="7674" width="7.44140625" style="105" customWidth="1"/>
    <col min="7675" max="7676" width="23.88671875" style="105" customWidth="1"/>
    <col min="7677" max="7677" width="10.109375" style="105" customWidth="1"/>
    <col min="7678" max="7678" width="5.88671875" style="105" customWidth="1"/>
    <col min="7679" max="7679" width="4.6640625" style="105" customWidth="1"/>
    <col min="7680" max="7680" width="4.88671875" style="105" customWidth="1"/>
    <col min="7681" max="7681" width="16.109375" style="105" customWidth="1"/>
    <col min="7682" max="7682" width="9.6640625" style="105" customWidth="1"/>
    <col min="7683" max="7683" width="14.5546875" style="105" customWidth="1"/>
    <col min="7684" max="7684" width="10.6640625" style="105" customWidth="1"/>
    <col min="7685" max="7685" width="8.88671875" style="105" customWidth="1"/>
    <col min="7686" max="7686" width="11" style="105" customWidth="1"/>
    <col min="7687" max="7687" width="5.33203125" style="105" customWidth="1"/>
    <col min="7688" max="7688" width="10.33203125" style="105" customWidth="1"/>
    <col min="7689" max="7689" width="10.109375" style="105" customWidth="1"/>
    <col min="7690" max="7927" width="9.109375" style="105" customWidth="1"/>
    <col min="7928" max="7928" width="5.109375" style="105" customWidth="1"/>
    <col min="7929" max="7929" width="4.6640625" style="105" customWidth="1"/>
    <col min="7930" max="7930" width="7.44140625" style="105" customWidth="1"/>
    <col min="7931" max="7932" width="23.88671875" style="105" customWidth="1"/>
    <col min="7933" max="7933" width="10.109375" style="105" customWidth="1"/>
    <col min="7934" max="7934" width="5.88671875" style="105" customWidth="1"/>
    <col min="7935" max="7935" width="4.6640625" style="105" customWidth="1"/>
    <col min="7936" max="7936" width="4.88671875" style="105" customWidth="1"/>
    <col min="7937" max="7937" width="16.109375" style="105" customWidth="1"/>
    <col min="7938" max="7938" width="9.6640625" style="105" customWidth="1"/>
    <col min="7939" max="7939" width="14.5546875" style="105" customWidth="1"/>
    <col min="7940" max="7940" width="10.6640625" style="105" customWidth="1"/>
    <col min="7941" max="7941" width="8.88671875" style="105" customWidth="1"/>
    <col min="7942" max="7942" width="11" style="105" customWidth="1"/>
    <col min="7943" max="7943" width="5.33203125" style="105" customWidth="1"/>
    <col min="7944" max="7944" width="10.33203125" style="105" customWidth="1"/>
    <col min="7945" max="7945" width="10.109375" style="105" customWidth="1"/>
    <col min="7946" max="8183" width="9.109375" style="105" customWidth="1"/>
    <col min="8184" max="8184" width="5.109375" style="105" customWidth="1"/>
    <col min="8185" max="8185" width="4.6640625" style="105" customWidth="1"/>
    <col min="8186" max="8186" width="7.44140625" style="105" customWidth="1"/>
    <col min="8187" max="8188" width="23.88671875" style="105" customWidth="1"/>
    <col min="8189" max="8189" width="10.109375" style="105" customWidth="1"/>
    <col min="8190" max="8190" width="5.88671875" style="105" customWidth="1"/>
    <col min="8191" max="8191" width="4.6640625" style="105" customWidth="1"/>
    <col min="8192" max="8192" width="4.88671875" style="105" customWidth="1"/>
    <col min="8193" max="8193" width="16.109375" style="105" customWidth="1"/>
    <col min="8194" max="8194" width="9.6640625" style="105" customWidth="1"/>
    <col min="8195" max="8195" width="14.5546875" style="105" customWidth="1"/>
    <col min="8196" max="8196" width="10.6640625" style="105" customWidth="1"/>
    <col min="8197" max="8197" width="8.88671875" style="105" customWidth="1"/>
    <col min="8198" max="8198" width="11" style="105" customWidth="1"/>
    <col min="8199" max="8199" width="5.33203125" style="105" customWidth="1"/>
    <col min="8200" max="8200" width="10.33203125" style="105" customWidth="1"/>
    <col min="8201" max="8201" width="10.109375" style="105" customWidth="1"/>
    <col min="8202" max="8439" width="9.109375" style="105" customWidth="1"/>
    <col min="8440" max="8440" width="5.109375" style="105" customWidth="1"/>
    <col min="8441" max="8441" width="4.6640625" style="105" customWidth="1"/>
    <col min="8442" max="8442" width="7.44140625" style="105" customWidth="1"/>
    <col min="8443" max="8444" width="23.88671875" style="105" customWidth="1"/>
    <col min="8445" max="8445" width="10.109375" style="105" customWidth="1"/>
    <col min="8446" max="8446" width="5.88671875" style="105" customWidth="1"/>
    <col min="8447" max="8447" width="4.6640625" style="105" customWidth="1"/>
    <col min="8448" max="8448" width="4.88671875" style="105" customWidth="1"/>
    <col min="8449" max="8449" width="16.109375" style="105" customWidth="1"/>
    <col min="8450" max="8450" width="9.6640625" style="105" customWidth="1"/>
    <col min="8451" max="8451" width="14.5546875" style="105" customWidth="1"/>
    <col min="8452" max="8452" width="10.6640625" style="105" customWidth="1"/>
    <col min="8453" max="8453" width="8.88671875" style="105" customWidth="1"/>
    <col min="8454" max="8454" width="11" style="105" customWidth="1"/>
    <col min="8455" max="8455" width="5.33203125" style="105" customWidth="1"/>
    <col min="8456" max="8456" width="10.33203125" style="105" customWidth="1"/>
    <col min="8457" max="8457" width="10.109375" style="105" customWidth="1"/>
    <col min="8458" max="8695" width="9.109375" style="105" customWidth="1"/>
    <col min="8696" max="8696" width="5.109375" style="105" customWidth="1"/>
    <col min="8697" max="8697" width="4.6640625" style="105" customWidth="1"/>
    <col min="8698" max="8698" width="7.44140625" style="105" customWidth="1"/>
    <col min="8699" max="8700" width="23.88671875" style="105" customWidth="1"/>
    <col min="8701" max="8701" width="10.109375" style="105" customWidth="1"/>
    <col min="8702" max="8702" width="5.88671875" style="105" customWidth="1"/>
    <col min="8703" max="8703" width="4.6640625" style="105" customWidth="1"/>
    <col min="8704" max="8704" width="4.88671875" style="105" customWidth="1"/>
    <col min="8705" max="8705" width="16.109375" style="105" customWidth="1"/>
    <col min="8706" max="8706" width="9.6640625" style="105" customWidth="1"/>
    <col min="8707" max="8707" width="14.5546875" style="105" customWidth="1"/>
    <col min="8708" max="8708" width="10.6640625" style="105" customWidth="1"/>
    <col min="8709" max="8709" width="8.88671875" style="105" customWidth="1"/>
    <col min="8710" max="8710" width="11" style="105" customWidth="1"/>
    <col min="8711" max="8711" width="5.33203125" style="105" customWidth="1"/>
    <col min="8712" max="8712" width="10.33203125" style="105" customWidth="1"/>
    <col min="8713" max="8713" width="10.109375" style="105" customWidth="1"/>
    <col min="8714" max="8951" width="9.109375" style="105" customWidth="1"/>
    <col min="8952" max="8952" width="5.109375" style="105" customWidth="1"/>
    <col min="8953" max="8953" width="4.6640625" style="105" customWidth="1"/>
    <col min="8954" max="8954" width="7.44140625" style="105" customWidth="1"/>
    <col min="8955" max="8956" width="23.88671875" style="105" customWidth="1"/>
    <col min="8957" max="8957" width="10.109375" style="105" customWidth="1"/>
    <col min="8958" max="8958" width="5.88671875" style="105" customWidth="1"/>
    <col min="8959" max="8959" width="4.6640625" style="105" customWidth="1"/>
    <col min="8960" max="8960" width="4.88671875" style="105" customWidth="1"/>
    <col min="8961" max="8961" width="16.109375" style="105" customWidth="1"/>
    <col min="8962" max="8962" width="9.6640625" style="105" customWidth="1"/>
    <col min="8963" max="8963" width="14.5546875" style="105" customWidth="1"/>
    <col min="8964" max="8964" width="10.6640625" style="105" customWidth="1"/>
    <col min="8965" max="8965" width="8.88671875" style="105" customWidth="1"/>
    <col min="8966" max="8966" width="11" style="105" customWidth="1"/>
    <col min="8967" max="8967" width="5.33203125" style="105" customWidth="1"/>
    <col min="8968" max="8968" width="10.33203125" style="105" customWidth="1"/>
    <col min="8969" max="8969" width="10.109375" style="105" customWidth="1"/>
    <col min="8970" max="9207" width="9.109375" style="105" customWidth="1"/>
    <col min="9208" max="9208" width="5.109375" style="105" customWidth="1"/>
    <col min="9209" max="9209" width="4.6640625" style="105" customWidth="1"/>
    <col min="9210" max="9210" width="7.44140625" style="105" customWidth="1"/>
    <col min="9211" max="9212" width="23.88671875" style="105" customWidth="1"/>
    <col min="9213" max="9213" width="10.109375" style="105" customWidth="1"/>
    <col min="9214" max="9214" width="5.88671875" style="105" customWidth="1"/>
    <col min="9215" max="9215" width="4.6640625" style="105" customWidth="1"/>
    <col min="9216" max="9216" width="4.88671875" style="105" customWidth="1"/>
    <col min="9217" max="9217" width="16.109375" style="105" customWidth="1"/>
    <col min="9218" max="9218" width="9.6640625" style="105" customWidth="1"/>
    <col min="9219" max="9219" width="14.5546875" style="105" customWidth="1"/>
    <col min="9220" max="9220" width="10.6640625" style="105" customWidth="1"/>
    <col min="9221" max="9221" width="8.88671875" style="105" customWidth="1"/>
    <col min="9222" max="9222" width="11" style="105" customWidth="1"/>
    <col min="9223" max="9223" width="5.33203125" style="105" customWidth="1"/>
    <col min="9224" max="9224" width="10.33203125" style="105" customWidth="1"/>
    <col min="9225" max="9225" width="10.109375" style="105" customWidth="1"/>
    <col min="9226" max="9463" width="9.109375" style="105" customWidth="1"/>
    <col min="9464" max="9464" width="5.109375" style="105" customWidth="1"/>
    <col min="9465" max="9465" width="4.6640625" style="105" customWidth="1"/>
    <col min="9466" max="9466" width="7.44140625" style="105" customWidth="1"/>
    <col min="9467" max="9468" width="23.88671875" style="105" customWidth="1"/>
    <col min="9469" max="9469" width="10.109375" style="105" customWidth="1"/>
    <col min="9470" max="9470" width="5.88671875" style="105" customWidth="1"/>
    <col min="9471" max="9471" width="4.6640625" style="105" customWidth="1"/>
    <col min="9472" max="9472" width="4.88671875" style="105" customWidth="1"/>
    <col min="9473" max="9473" width="16.109375" style="105" customWidth="1"/>
    <col min="9474" max="9474" width="9.6640625" style="105" customWidth="1"/>
    <col min="9475" max="9475" width="14.5546875" style="105" customWidth="1"/>
    <col min="9476" max="9476" width="10.6640625" style="105" customWidth="1"/>
    <col min="9477" max="9477" width="8.88671875" style="105" customWidth="1"/>
    <col min="9478" max="9478" width="11" style="105" customWidth="1"/>
    <col min="9479" max="9479" width="5.33203125" style="105" customWidth="1"/>
    <col min="9480" max="9480" width="10.33203125" style="105" customWidth="1"/>
    <col min="9481" max="9481" width="10.109375" style="105" customWidth="1"/>
    <col min="9482" max="9719" width="9.109375" style="105" customWidth="1"/>
    <col min="9720" max="9720" width="5.109375" style="105" customWidth="1"/>
    <col min="9721" max="9721" width="4.6640625" style="105" customWidth="1"/>
    <col min="9722" max="9722" width="7.44140625" style="105" customWidth="1"/>
    <col min="9723" max="9724" width="23.88671875" style="105" customWidth="1"/>
    <col min="9725" max="9725" width="10.109375" style="105" customWidth="1"/>
    <col min="9726" max="9726" width="5.88671875" style="105" customWidth="1"/>
    <col min="9727" max="9727" width="4.6640625" style="105" customWidth="1"/>
    <col min="9728" max="9728" width="4.88671875" style="105" customWidth="1"/>
    <col min="9729" max="9729" width="16.109375" style="105" customWidth="1"/>
    <col min="9730" max="9730" width="9.6640625" style="105" customWidth="1"/>
    <col min="9731" max="9731" width="14.5546875" style="105" customWidth="1"/>
    <col min="9732" max="9732" width="10.6640625" style="105" customWidth="1"/>
    <col min="9733" max="9733" width="8.88671875" style="105" customWidth="1"/>
    <col min="9734" max="9734" width="11" style="105" customWidth="1"/>
    <col min="9735" max="9735" width="5.33203125" style="105" customWidth="1"/>
    <col min="9736" max="9736" width="10.33203125" style="105" customWidth="1"/>
    <col min="9737" max="9737" width="10.109375" style="105" customWidth="1"/>
    <col min="9738" max="9975" width="9.109375" style="105" customWidth="1"/>
    <col min="9976" max="9976" width="5.109375" style="105" customWidth="1"/>
    <col min="9977" max="9977" width="4.6640625" style="105" customWidth="1"/>
    <col min="9978" max="9978" width="7.44140625" style="105" customWidth="1"/>
    <col min="9979" max="9980" width="23.88671875" style="105" customWidth="1"/>
    <col min="9981" max="9981" width="10.109375" style="105" customWidth="1"/>
    <col min="9982" max="9982" width="5.88671875" style="105" customWidth="1"/>
    <col min="9983" max="9983" width="4.6640625" style="105" customWidth="1"/>
    <col min="9984" max="9984" width="4.88671875" style="105" customWidth="1"/>
    <col min="9985" max="9985" width="16.109375" style="105" customWidth="1"/>
    <col min="9986" max="9986" width="9.6640625" style="105" customWidth="1"/>
    <col min="9987" max="9987" width="14.5546875" style="105" customWidth="1"/>
    <col min="9988" max="9988" width="10.6640625" style="105" customWidth="1"/>
    <col min="9989" max="9989" width="8.88671875" style="105" customWidth="1"/>
    <col min="9990" max="9990" width="11" style="105" customWidth="1"/>
    <col min="9991" max="9991" width="5.33203125" style="105" customWidth="1"/>
    <col min="9992" max="9992" width="10.33203125" style="105" customWidth="1"/>
    <col min="9993" max="9993" width="10.109375" style="105" customWidth="1"/>
    <col min="9994" max="10231" width="9.109375" style="105" customWidth="1"/>
    <col min="10232" max="10232" width="5.109375" style="105" customWidth="1"/>
    <col min="10233" max="10233" width="4.6640625" style="105" customWidth="1"/>
    <col min="10234" max="10234" width="7.44140625" style="105" customWidth="1"/>
    <col min="10235" max="10236" width="23.88671875" style="105" customWidth="1"/>
    <col min="10237" max="10237" width="10.109375" style="105" customWidth="1"/>
    <col min="10238" max="10238" width="5.88671875" style="105" customWidth="1"/>
    <col min="10239" max="10239" width="4.6640625" style="105" customWidth="1"/>
    <col min="10240" max="10240" width="4.88671875" style="105" customWidth="1"/>
    <col min="10241" max="10241" width="16.109375" style="105" customWidth="1"/>
    <col min="10242" max="10242" width="9.6640625" style="105" customWidth="1"/>
    <col min="10243" max="10243" width="14.5546875" style="105" customWidth="1"/>
    <col min="10244" max="10244" width="10.6640625" style="105" customWidth="1"/>
    <col min="10245" max="10245" width="8.88671875" style="105" customWidth="1"/>
    <col min="10246" max="10246" width="11" style="105" customWidth="1"/>
    <col min="10247" max="10247" width="5.33203125" style="105" customWidth="1"/>
    <col min="10248" max="10248" width="10.33203125" style="105" customWidth="1"/>
    <col min="10249" max="10249" width="10.109375" style="105" customWidth="1"/>
    <col min="10250" max="10487" width="9.109375" style="105" customWidth="1"/>
    <col min="10488" max="10488" width="5.109375" style="105" customWidth="1"/>
    <col min="10489" max="10489" width="4.6640625" style="105" customWidth="1"/>
    <col min="10490" max="10490" width="7.44140625" style="105" customWidth="1"/>
    <col min="10491" max="10492" width="23.88671875" style="105" customWidth="1"/>
    <col min="10493" max="10493" width="10.109375" style="105" customWidth="1"/>
    <col min="10494" max="10494" width="5.88671875" style="105" customWidth="1"/>
    <col min="10495" max="10495" width="4.6640625" style="105" customWidth="1"/>
    <col min="10496" max="10496" width="4.88671875" style="105" customWidth="1"/>
    <col min="10497" max="10497" width="16.109375" style="105" customWidth="1"/>
    <col min="10498" max="10498" width="9.6640625" style="105" customWidth="1"/>
    <col min="10499" max="10499" width="14.5546875" style="105" customWidth="1"/>
    <col min="10500" max="10500" width="10.6640625" style="105" customWidth="1"/>
    <col min="10501" max="10501" width="8.88671875" style="105" customWidth="1"/>
    <col min="10502" max="10502" width="11" style="105" customWidth="1"/>
    <col min="10503" max="10503" width="5.33203125" style="105" customWidth="1"/>
    <col min="10504" max="10504" width="10.33203125" style="105" customWidth="1"/>
    <col min="10505" max="10505" width="10.109375" style="105" customWidth="1"/>
    <col min="10506" max="10743" width="9.109375" style="105" customWidth="1"/>
    <col min="10744" max="10744" width="5.109375" style="105" customWidth="1"/>
    <col min="10745" max="10745" width="4.6640625" style="105" customWidth="1"/>
    <col min="10746" max="10746" width="7.44140625" style="105" customWidth="1"/>
    <col min="10747" max="10748" width="23.88671875" style="105" customWidth="1"/>
    <col min="10749" max="10749" width="10.109375" style="105" customWidth="1"/>
    <col min="10750" max="10750" width="5.88671875" style="105" customWidth="1"/>
    <col min="10751" max="10751" width="4.6640625" style="105" customWidth="1"/>
    <col min="10752" max="10752" width="4.88671875" style="105" customWidth="1"/>
    <col min="10753" max="10753" width="16.109375" style="105" customWidth="1"/>
    <col min="10754" max="10754" width="9.6640625" style="105" customWidth="1"/>
    <col min="10755" max="10755" width="14.5546875" style="105" customWidth="1"/>
    <col min="10756" max="10756" width="10.6640625" style="105" customWidth="1"/>
    <col min="10757" max="10757" width="8.88671875" style="105" customWidth="1"/>
    <col min="10758" max="10758" width="11" style="105" customWidth="1"/>
    <col min="10759" max="10759" width="5.33203125" style="105" customWidth="1"/>
    <col min="10760" max="10760" width="10.33203125" style="105" customWidth="1"/>
    <col min="10761" max="10761" width="10.109375" style="105" customWidth="1"/>
    <col min="10762" max="10999" width="9.109375" style="105" customWidth="1"/>
    <col min="11000" max="11000" width="5.109375" style="105" customWidth="1"/>
    <col min="11001" max="11001" width="4.6640625" style="105" customWidth="1"/>
    <col min="11002" max="11002" width="7.44140625" style="105" customWidth="1"/>
    <col min="11003" max="11004" width="23.88671875" style="105" customWidth="1"/>
    <col min="11005" max="11005" width="10.109375" style="105" customWidth="1"/>
    <col min="11006" max="11006" width="5.88671875" style="105" customWidth="1"/>
    <col min="11007" max="11007" width="4.6640625" style="105" customWidth="1"/>
    <col min="11008" max="11008" width="4.88671875" style="105" customWidth="1"/>
    <col min="11009" max="11009" width="16.109375" style="105" customWidth="1"/>
    <col min="11010" max="11010" width="9.6640625" style="105" customWidth="1"/>
    <col min="11011" max="11011" width="14.5546875" style="105" customWidth="1"/>
    <col min="11012" max="11012" width="10.6640625" style="105" customWidth="1"/>
    <col min="11013" max="11013" width="8.88671875" style="105" customWidth="1"/>
    <col min="11014" max="11014" width="11" style="105" customWidth="1"/>
    <col min="11015" max="11015" width="5.33203125" style="105" customWidth="1"/>
    <col min="11016" max="11016" width="10.33203125" style="105" customWidth="1"/>
    <col min="11017" max="11017" width="10.109375" style="105" customWidth="1"/>
    <col min="11018" max="11255" width="9.109375" style="105" customWidth="1"/>
    <col min="11256" max="11256" width="5.109375" style="105" customWidth="1"/>
    <col min="11257" max="11257" width="4.6640625" style="105" customWidth="1"/>
    <col min="11258" max="11258" width="7.44140625" style="105" customWidth="1"/>
    <col min="11259" max="11260" width="23.88671875" style="105" customWidth="1"/>
    <col min="11261" max="11261" width="10.109375" style="105" customWidth="1"/>
    <col min="11262" max="11262" width="5.88671875" style="105" customWidth="1"/>
    <col min="11263" max="11263" width="4.6640625" style="105" customWidth="1"/>
    <col min="11264" max="11264" width="4.88671875" style="105" customWidth="1"/>
    <col min="11265" max="11265" width="16.109375" style="105" customWidth="1"/>
    <col min="11266" max="11266" width="9.6640625" style="105" customWidth="1"/>
    <col min="11267" max="11267" width="14.5546875" style="105" customWidth="1"/>
    <col min="11268" max="11268" width="10.6640625" style="105" customWidth="1"/>
    <col min="11269" max="11269" width="8.88671875" style="105" customWidth="1"/>
    <col min="11270" max="11270" width="11" style="105" customWidth="1"/>
    <col min="11271" max="11271" width="5.33203125" style="105" customWidth="1"/>
    <col min="11272" max="11272" width="10.33203125" style="105" customWidth="1"/>
    <col min="11273" max="11273" width="10.109375" style="105" customWidth="1"/>
    <col min="11274" max="11511" width="9.109375" style="105" customWidth="1"/>
    <col min="11512" max="11512" width="5.109375" style="105" customWidth="1"/>
    <col min="11513" max="11513" width="4.6640625" style="105" customWidth="1"/>
    <col min="11514" max="11514" width="7.44140625" style="105" customWidth="1"/>
    <col min="11515" max="11516" width="23.88671875" style="105" customWidth="1"/>
    <col min="11517" max="11517" width="10.109375" style="105" customWidth="1"/>
    <col min="11518" max="11518" width="5.88671875" style="105" customWidth="1"/>
    <col min="11519" max="11519" width="4.6640625" style="105" customWidth="1"/>
    <col min="11520" max="11520" width="4.88671875" style="105" customWidth="1"/>
    <col min="11521" max="11521" width="16.109375" style="105" customWidth="1"/>
    <col min="11522" max="11522" width="9.6640625" style="105" customWidth="1"/>
    <col min="11523" max="11523" width="14.5546875" style="105" customWidth="1"/>
    <col min="11524" max="11524" width="10.6640625" style="105" customWidth="1"/>
    <col min="11525" max="11525" width="8.88671875" style="105" customWidth="1"/>
    <col min="11526" max="11526" width="11" style="105" customWidth="1"/>
    <col min="11527" max="11527" width="5.33203125" style="105" customWidth="1"/>
    <col min="11528" max="11528" width="10.33203125" style="105" customWidth="1"/>
    <col min="11529" max="11529" width="10.109375" style="105" customWidth="1"/>
    <col min="11530" max="11767" width="9.109375" style="105" customWidth="1"/>
    <col min="11768" max="11768" width="5.109375" style="105" customWidth="1"/>
    <col min="11769" max="11769" width="4.6640625" style="105" customWidth="1"/>
    <col min="11770" max="11770" width="7.44140625" style="105" customWidth="1"/>
    <col min="11771" max="11772" width="23.88671875" style="105" customWidth="1"/>
    <col min="11773" max="11773" width="10.109375" style="105" customWidth="1"/>
    <col min="11774" max="11774" width="5.88671875" style="105" customWidth="1"/>
    <col min="11775" max="11775" width="4.6640625" style="105" customWidth="1"/>
    <col min="11776" max="11776" width="4.88671875" style="105" customWidth="1"/>
    <col min="11777" max="11777" width="16.109375" style="105" customWidth="1"/>
    <col min="11778" max="11778" width="9.6640625" style="105" customWidth="1"/>
    <col min="11779" max="11779" width="14.5546875" style="105" customWidth="1"/>
    <col min="11780" max="11780" width="10.6640625" style="105" customWidth="1"/>
    <col min="11781" max="11781" width="8.88671875" style="105" customWidth="1"/>
    <col min="11782" max="11782" width="11" style="105" customWidth="1"/>
    <col min="11783" max="11783" width="5.33203125" style="105" customWidth="1"/>
    <col min="11784" max="11784" width="10.33203125" style="105" customWidth="1"/>
    <col min="11785" max="11785" width="10.109375" style="105" customWidth="1"/>
    <col min="11786" max="12023" width="9.109375" style="105" customWidth="1"/>
    <col min="12024" max="12024" width="5.109375" style="105" customWidth="1"/>
    <col min="12025" max="12025" width="4.6640625" style="105" customWidth="1"/>
    <col min="12026" max="12026" width="7.44140625" style="105" customWidth="1"/>
    <col min="12027" max="12028" width="23.88671875" style="105" customWidth="1"/>
    <col min="12029" max="12029" width="10.109375" style="105" customWidth="1"/>
    <col min="12030" max="12030" width="5.88671875" style="105" customWidth="1"/>
    <col min="12031" max="12031" width="4.6640625" style="105" customWidth="1"/>
    <col min="12032" max="12032" width="4.88671875" style="105" customWidth="1"/>
    <col min="12033" max="12033" width="16.109375" style="105" customWidth="1"/>
    <col min="12034" max="12034" width="9.6640625" style="105" customWidth="1"/>
    <col min="12035" max="12035" width="14.5546875" style="105" customWidth="1"/>
    <col min="12036" max="12036" width="10.6640625" style="105" customWidth="1"/>
    <col min="12037" max="12037" width="8.88671875" style="105" customWidth="1"/>
    <col min="12038" max="12038" width="11" style="105" customWidth="1"/>
    <col min="12039" max="12039" width="5.33203125" style="105" customWidth="1"/>
    <col min="12040" max="12040" width="10.33203125" style="105" customWidth="1"/>
    <col min="12041" max="12041" width="10.109375" style="105" customWidth="1"/>
    <col min="12042" max="12279" width="9.109375" style="105" customWidth="1"/>
    <col min="12280" max="12280" width="5.109375" style="105" customWidth="1"/>
    <col min="12281" max="12281" width="4.6640625" style="105" customWidth="1"/>
    <col min="12282" max="12282" width="7.44140625" style="105" customWidth="1"/>
    <col min="12283" max="12284" width="23.88671875" style="105" customWidth="1"/>
    <col min="12285" max="12285" width="10.109375" style="105" customWidth="1"/>
    <col min="12286" max="12286" width="5.88671875" style="105" customWidth="1"/>
    <col min="12287" max="12287" width="4.6640625" style="105" customWidth="1"/>
    <col min="12288" max="12288" width="4.88671875" style="105" customWidth="1"/>
    <col min="12289" max="12289" width="16.109375" style="105" customWidth="1"/>
    <col min="12290" max="12290" width="9.6640625" style="105" customWidth="1"/>
    <col min="12291" max="12291" width="14.5546875" style="105" customWidth="1"/>
    <col min="12292" max="12292" width="10.6640625" style="105" customWidth="1"/>
    <col min="12293" max="12293" width="8.88671875" style="105" customWidth="1"/>
    <col min="12294" max="12294" width="11" style="105" customWidth="1"/>
    <col min="12295" max="12295" width="5.33203125" style="105" customWidth="1"/>
    <col min="12296" max="12296" width="10.33203125" style="105" customWidth="1"/>
    <col min="12297" max="12297" width="10.109375" style="105" customWidth="1"/>
    <col min="12298" max="12535" width="9.109375" style="105" customWidth="1"/>
    <col min="12536" max="12536" width="5.109375" style="105" customWidth="1"/>
    <col min="12537" max="12537" width="4.6640625" style="105" customWidth="1"/>
    <col min="12538" max="12538" width="7.44140625" style="105" customWidth="1"/>
    <col min="12539" max="12540" width="23.88671875" style="105" customWidth="1"/>
    <col min="12541" max="12541" width="10.109375" style="105" customWidth="1"/>
    <col min="12542" max="12542" width="5.88671875" style="105" customWidth="1"/>
    <col min="12543" max="12543" width="4.6640625" style="105" customWidth="1"/>
    <col min="12544" max="12544" width="4.88671875" style="105" customWidth="1"/>
    <col min="12545" max="12545" width="16.109375" style="105" customWidth="1"/>
    <col min="12546" max="12546" width="9.6640625" style="105" customWidth="1"/>
    <col min="12547" max="12547" width="14.5546875" style="105" customWidth="1"/>
    <col min="12548" max="12548" width="10.6640625" style="105" customWidth="1"/>
    <col min="12549" max="12549" width="8.88671875" style="105" customWidth="1"/>
    <col min="12550" max="12550" width="11" style="105" customWidth="1"/>
    <col min="12551" max="12551" width="5.33203125" style="105" customWidth="1"/>
    <col min="12552" max="12552" width="10.33203125" style="105" customWidth="1"/>
    <col min="12553" max="12553" width="10.109375" style="105" customWidth="1"/>
    <col min="12554" max="12791" width="9.109375" style="105" customWidth="1"/>
    <col min="12792" max="12792" width="5.109375" style="105" customWidth="1"/>
    <col min="12793" max="12793" width="4.6640625" style="105" customWidth="1"/>
    <col min="12794" max="12794" width="7.44140625" style="105" customWidth="1"/>
    <col min="12795" max="12796" width="23.88671875" style="105" customWidth="1"/>
    <col min="12797" max="12797" width="10.109375" style="105" customWidth="1"/>
    <col min="12798" max="12798" width="5.88671875" style="105" customWidth="1"/>
    <col min="12799" max="12799" width="4.6640625" style="105" customWidth="1"/>
    <col min="12800" max="12800" width="4.88671875" style="105" customWidth="1"/>
    <col min="12801" max="12801" width="16.109375" style="105" customWidth="1"/>
    <col min="12802" max="12802" width="9.6640625" style="105" customWidth="1"/>
    <col min="12803" max="12803" width="14.5546875" style="105" customWidth="1"/>
    <col min="12804" max="12804" width="10.6640625" style="105" customWidth="1"/>
    <col min="12805" max="12805" width="8.88671875" style="105" customWidth="1"/>
    <col min="12806" max="12806" width="11" style="105" customWidth="1"/>
    <col min="12807" max="12807" width="5.33203125" style="105" customWidth="1"/>
    <col min="12808" max="12808" width="10.33203125" style="105" customWidth="1"/>
    <col min="12809" max="12809" width="10.109375" style="105" customWidth="1"/>
    <col min="12810" max="13047" width="9.109375" style="105" customWidth="1"/>
    <col min="13048" max="13048" width="5.109375" style="105" customWidth="1"/>
    <col min="13049" max="13049" width="4.6640625" style="105" customWidth="1"/>
    <col min="13050" max="13050" width="7.44140625" style="105" customWidth="1"/>
    <col min="13051" max="13052" width="23.88671875" style="105" customWidth="1"/>
    <col min="13053" max="13053" width="10.109375" style="105" customWidth="1"/>
    <col min="13054" max="13054" width="5.88671875" style="105" customWidth="1"/>
    <col min="13055" max="13055" width="4.6640625" style="105" customWidth="1"/>
    <col min="13056" max="13056" width="4.88671875" style="105" customWidth="1"/>
    <col min="13057" max="13057" width="16.109375" style="105" customWidth="1"/>
    <col min="13058" max="13058" width="9.6640625" style="105" customWidth="1"/>
    <col min="13059" max="13059" width="14.5546875" style="105" customWidth="1"/>
    <col min="13060" max="13060" width="10.6640625" style="105" customWidth="1"/>
    <col min="13061" max="13061" width="8.88671875" style="105" customWidth="1"/>
    <col min="13062" max="13062" width="11" style="105" customWidth="1"/>
    <col min="13063" max="13063" width="5.33203125" style="105" customWidth="1"/>
    <col min="13064" max="13064" width="10.33203125" style="105" customWidth="1"/>
    <col min="13065" max="13065" width="10.109375" style="105" customWidth="1"/>
    <col min="13066" max="13303" width="9.109375" style="105" customWidth="1"/>
    <col min="13304" max="13304" width="5.109375" style="105" customWidth="1"/>
    <col min="13305" max="13305" width="4.6640625" style="105" customWidth="1"/>
    <col min="13306" max="13306" width="7.44140625" style="105" customWidth="1"/>
    <col min="13307" max="13308" width="23.88671875" style="105" customWidth="1"/>
    <col min="13309" max="13309" width="10.109375" style="105" customWidth="1"/>
    <col min="13310" max="13310" width="5.88671875" style="105" customWidth="1"/>
    <col min="13311" max="13311" width="4.6640625" style="105" customWidth="1"/>
    <col min="13312" max="13312" width="4.88671875" style="105" customWidth="1"/>
    <col min="13313" max="13313" width="16.109375" style="105" customWidth="1"/>
    <col min="13314" max="13314" width="9.6640625" style="105" customWidth="1"/>
    <col min="13315" max="13315" width="14.5546875" style="105" customWidth="1"/>
    <col min="13316" max="13316" width="10.6640625" style="105" customWidth="1"/>
    <col min="13317" max="13317" width="8.88671875" style="105" customWidth="1"/>
    <col min="13318" max="13318" width="11" style="105" customWidth="1"/>
    <col min="13319" max="13319" width="5.33203125" style="105" customWidth="1"/>
    <col min="13320" max="13320" width="10.33203125" style="105" customWidth="1"/>
    <col min="13321" max="13321" width="10.109375" style="105" customWidth="1"/>
    <col min="13322" max="13559" width="9.109375" style="105" customWidth="1"/>
    <col min="13560" max="13560" width="5.109375" style="105" customWidth="1"/>
    <col min="13561" max="13561" width="4.6640625" style="105" customWidth="1"/>
    <col min="13562" max="13562" width="7.44140625" style="105" customWidth="1"/>
    <col min="13563" max="13564" width="23.88671875" style="105" customWidth="1"/>
    <col min="13565" max="13565" width="10.109375" style="105" customWidth="1"/>
    <col min="13566" max="13566" width="5.88671875" style="105" customWidth="1"/>
    <col min="13567" max="13567" width="4.6640625" style="105" customWidth="1"/>
    <col min="13568" max="13568" width="4.88671875" style="105" customWidth="1"/>
    <col min="13569" max="13569" width="16.109375" style="105" customWidth="1"/>
    <col min="13570" max="13570" width="9.6640625" style="105" customWidth="1"/>
    <col min="13571" max="13571" width="14.5546875" style="105" customWidth="1"/>
    <col min="13572" max="13572" width="10.6640625" style="105" customWidth="1"/>
    <col min="13573" max="13573" width="8.88671875" style="105" customWidth="1"/>
    <col min="13574" max="13574" width="11" style="105" customWidth="1"/>
    <col min="13575" max="13575" width="5.33203125" style="105" customWidth="1"/>
    <col min="13576" max="13576" width="10.33203125" style="105" customWidth="1"/>
    <col min="13577" max="13577" width="10.109375" style="105" customWidth="1"/>
    <col min="13578" max="13815" width="9.109375" style="105" customWidth="1"/>
    <col min="13816" max="13816" width="5.109375" style="105" customWidth="1"/>
    <col min="13817" max="13817" width="4.6640625" style="105" customWidth="1"/>
    <col min="13818" max="13818" width="7.44140625" style="105" customWidth="1"/>
    <col min="13819" max="13820" width="23.88671875" style="105" customWidth="1"/>
    <col min="13821" max="13821" width="10.109375" style="105" customWidth="1"/>
    <col min="13822" max="13822" width="5.88671875" style="105" customWidth="1"/>
    <col min="13823" max="13823" width="4.6640625" style="105" customWidth="1"/>
    <col min="13824" max="13824" width="4.88671875" style="105" customWidth="1"/>
    <col min="13825" max="13825" width="16.109375" style="105" customWidth="1"/>
    <col min="13826" max="13826" width="9.6640625" style="105" customWidth="1"/>
    <col min="13827" max="13827" width="14.5546875" style="105" customWidth="1"/>
    <col min="13828" max="13828" width="10.6640625" style="105" customWidth="1"/>
    <col min="13829" max="13829" width="8.88671875" style="105" customWidth="1"/>
    <col min="13830" max="13830" width="11" style="105" customWidth="1"/>
    <col min="13831" max="13831" width="5.33203125" style="105" customWidth="1"/>
    <col min="13832" max="13832" width="10.33203125" style="105" customWidth="1"/>
    <col min="13833" max="13833" width="10.109375" style="105" customWidth="1"/>
    <col min="13834" max="14071" width="9.109375" style="105" customWidth="1"/>
    <col min="14072" max="14072" width="5.109375" style="105" customWidth="1"/>
    <col min="14073" max="14073" width="4.6640625" style="105" customWidth="1"/>
    <col min="14074" max="14074" width="7.44140625" style="105" customWidth="1"/>
    <col min="14075" max="14076" width="23.88671875" style="105" customWidth="1"/>
    <col min="14077" max="14077" width="10.109375" style="105" customWidth="1"/>
    <col min="14078" max="14078" width="5.88671875" style="105" customWidth="1"/>
    <col min="14079" max="14079" width="4.6640625" style="105" customWidth="1"/>
    <col min="14080" max="14080" width="4.88671875" style="105" customWidth="1"/>
    <col min="14081" max="14081" width="16.109375" style="105" customWidth="1"/>
    <col min="14082" max="14082" width="9.6640625" style="105" customWidth="1"/>
    <col min="14083" max="14083" width="14.5546875" style="105" customWidth="1"/>
    <col min="14084" max="14084" width="10.6640625" style="105" customWidth="1"/>
    <col min="14085" max="14085" width="8.88671875" style="105" customWidth="1"/>
    <col min="14086" max="14086" width="11" style="105" customWidth="1"/>
    <col min="14087" max="14087" width="5.33203125" style="105" customWidth="1"/>
    <col min="14088" max="14088" width="10.33203125" style="105" customWidth="1"/>
    <col min="14089" max="14089" width="10.109375" style="105" customWidth="1"/>
    <col min="14090" max="14327" width="9.109375" style="105" customWidth="1"/>
    <col min="14328" max="14328" width="5.109375" style="105" customWidth="1"/>
    <col min="14329" max="14329" width="4.6640625" style="105" customWidth="1"/>
    <col min="14330" max="14330" width="7.44140625" style="105" customWidth="1"/>
    <col min="14331" max="14332" width="23.88671875" style="105" customWidth="1"/>
    <col min="14333" max="14333" width="10.109375" style="105" customWidth="1"/>
    <col min="14334" max="14334" width="5.88671875" style="105" customWidth="1"/>
    <col min="14335" max="14335" width="4.6640625" style="105" customWidth="1"/>
    <col min="14336" max="14336" width="4.88671875" style="105" customWidth="1"/>
    <col min="14337" max="14337" width="16.109375" style="105" customWidth="1"/>
    <col min="14338" max="14338" width="9.6640625" style="105" customWidth="1"/>
    <col min="14339" max="14339" width="14.5546875" style="105" customWidth="1"/>
    <col min="14340" max="14340" width="10.6640625" style="105" customWidth="1"/>
    <col min="14341" max="14341" width="8.88671875" style="105" customWidth="1"/>
    <col min="14342" max="14342" width="11" style="105" customWidth="1"/>
    <col min="14343" max="14343" width="5.33203125" style="105" customWidth="1"/>
    <col min="14344" max="14344" width="10.33203125" style="105" customWidth="1"/>
    <col min="14345" max="14345" width="10.109375" style="105" customWidth="1"/>
    <col min="14346" max="14583" width="9.109375" style="105" customWidth="1"/>
    <col min="14584" max="14584" width="5.109375" style="105" customWidth="1"/>
    <col min="14585" max="14585" width="4.6640625" style="105" customWidth="1"/>
    <col min="14586" max="14586" width="7.44140625" style="105" customWidth="1"/>
    <col min="14587" max="14588" width="23.88671875" style="105" customWidth="1"/>
    <col min="14589" max="14589" width="10.109375" style="105" customWidth="1"/>
    <col min="14590" max="14590" width="5.88671875" style="105" customWidth="1"/>
    <col min="14591" max="14591" width="4.6640625" style="105" customWidth="1"/>
    <col min="14592" max="14592" width="4.88671875" style="105" customWidth="1"/>
    <col min="14593" max="14593" width="16.109375" style="105" customWidth="1"/>
    <col min="14594" max="14594" width="9.6640625" style="105" customWidth="1"/>
    <col min="14595" max="14595" width="14.5546875" style="105" customWidth="1"/>
    <col min="14596" max="14596" width="10.6640625" style="105" customWidth="1"/>
    <col min="14597" max="14597" width="8.88671875" style="105" customWidth="1"/>
    <col min="14598" max="14598" width="11" style="105" customWidth="1"/>
    <col min="14599" max="14599" width="5.33203125" style="105" customWidth="1"/>
    <col min="14600" max="14600" width="10.33203125" style="105" customWidth="1"/>
    <col min="14601" max="14601" width="10.109375" style="105" customWidth="1"/>
    <col min="14602" max="14839" width="9.109375" style="105" customWidth="1"/>
    <col min="14840" max="14840" width="5.109375" style="105" customWidth="1"/>
    <col min="14841" max="14841" width="4.6640625" style="105" customWidth="1"/>
    <col min="14842" max="14842" width="7.44140625" style="105" customWidth="1"/>
    <col min="14843" max="14844" width="23.88671875" style="105" customWidth="1"/>
    <col min="14845" max="14845" width="10.109375" style="105" customWidth="1"/>
    <col min="14846" max="14846" width="5.88671875" style="105" customWidth="1"/>
    <col min="14847" max="14847" width="4.6640625" style="105" customWidth="1"/>
    <col min="14848" max="14848" width="4.88671875" style="105" customWidth="1"/>
    <col min="14849" max="14849" width="16.109375" style="105" customWidth="1"/>
    <col min="14850" max="14850" width="9.6640625" style="105" customWidth="1"/>
    <col min="14851" max="14851" width="14.5546875" style="105" customWidth="1"/>
    <col min="14852" max="14852" width="10.6640625" style="105" customWidth="1"/>
    <col min="14853" max="14853" width="8.88671875" style="105" customWidth="1"/>
    <col min="14854" max="14854" width="11" style="105" customWidth="1"/>
    <col min="14855" max="14855" width="5.33203125" style="105" customWidth="1"/>
    <col min="14856" max="14856" width="10.33203125" style="105" customWidth="1"/>
    <col min="14857" max="14857" width="10.109375" style="105" customWidth="1"/>
    <col min="14858" max="15095" width="9.109375" style="105" customWidth="1"/>
    <col min="15096" max="15096" width="5.109375" style="105" customWidth="1"/>
    <col min="15097" max="15097" width="4.6640625" style="105" customWidth="1"/>
    <col min="15098" max="15098" width="7.44140625" style="105" customWidth="1"/>
    <col min="15099" max="15100" width="23.88671875" style="105" customWidth="1"/>
    <col min="15101" max="15101" width="10.109375" style="105" customWidth="1"/>
    <col min="15102" max="15102" width="5.88671875" style="105" customWidth="1"/>
    <col min="15103" max="15103" width="4.6640625" style="105" customWidth="1"/>
    <col min="15104" max="15104" width="4.88671875" style="105" customWidth="1"/>
    <col min="15105" max="15105" width="16.109375" style="105" customWidth="1"/>
    <col min="15106" max="15106" width="9.6640625" style="105" customWidth="1"/>
    <col min="15107" max="15107" width="14.5546875" style="105" customWidth="1"/>
    <col min="15108" max="15108" width="10.6640625" style="105" customWidth="1"/>
    <col min="15109" max="15109" width="8.88671875" style="105" customWidth="1"/>
    <col min="15110" max="15110" width="11" style="105" customWidth="1"/>
    <col min="15111" max="15111" width="5.33203125" style="105" customWidth="1"/>
    <col min="15112" max="15112" width="10.33203125" style="105" customWidth="1"/>
    <col min="15113" max="15113" width="10.109375" style="105" customWidth="1"/>
    <col min="15114" max="15351" width="9.109375" style="105" customWidth="1"/>
    <col min="15352" max="15352" width="5.109375" style="105" customWidth="1"/>
    <col min="15353" max="15353" width="4.6640625" style="105" customWidth="1"/>
    <col min="15354" max="15354" width="7.44140625" style="105" customWidth="1"/>
    <col min="15355" max="15356" width="23.88671875" style="105" customWidth="1"/>
    <col min="15357" max="15357" width="10.109375" style="105" customWidth="1"/>
    <col min="15358" max="15358" width="5.88671875" style="105" customWidth="1"/>
    <col min="15359" max="15359" width="4.6640625" style="105" customWidth="1"/>
    <col min="15360" max="15360" width="4.88671875" style="105" customWidth="1"/>
    <col min="15361" max="15361" width="16.109375" style="105" customWidth="1"/>
    <col min="15362" max="15362" width="9.6640625" style="105" customWidth="1"/>
    <col min="15363" max="15363" width="14.5546875" style="105" customWidth="1"/>
    <col min="15364" max="15364" width="10.6640625" style="105" customWidth="1"/>
    <col min="15365" max="15365" width="8.88671875" style="105" customWidth="1"/>
    <col min="15366" max="15366" width="11" style="105" customWidth="1"/>
    <col min="15367" max="15367" width="5.33203125" style="105" customWidth="1"/>
    <col min="15368" max="15368" width="10.33203125" style="105" customWidth="1"/>
    <col min="15369" max="15369" width="10.109375" style="105" customWidth="1"/>
    <col min="15370" max="15607" width="9.109375" style="105" customWidth="1"/>
    <col min="15608" max="15608" width="5.109375" style="105" customWidth="1"/>
    <col min="15609" max="15609" width="4.6640625" style="105" customWidth="1"/>
    <col min="15610" max="15610" width="7.44140625" style="105" customWidth="1"/>
    <col min="15611" max="15612" width="23.88671875" style="105" customWidth="1"/>
    <col min="15613" max="15613" width="10.109375" style="105" customWidth="1"/>
    <col min="15614" max="15614" width="5.88671875" style="105" customWidth="1"/>
    <col min="15615" max="15615" width="4.6640625" style="105" customWidth="1"/>
    <col min="15616" max="15616" width="4.88671875" style="105" customWidth="1"/>
    <col min="15617" max="15617" width="16.109375" style="105" customWidth="1"/>
    <col min="15618" max="15618" width="9.6640625" style="105" customWidth="1"/>
    <col min="15619" max="15619" width="14.5546875" style="105" customWidth="1"/>
    <col min="15620" max="15620" width="10.6640625" style="105" customWidth="1"/>
    <col min="15621" max="15621" width="8.88671875" style="105" customWidth="1"/>
    <col min="15622" max="15622" width="11" style="105" customWidth="1"/>
    <col min="15623" max="15623" width="5.33203125" style="105" customWidth="1"/>
    <col min="15624" max="15624" width="10.33203125" style="105" customWidth="1"/>
    <col min="15625" max="15625" width="10.109375" style="105" customWidth="1"/>
    <col min="15626" max="15863" width="9.109375" style="105" customWidth="1"/>
    <col min="15864" max="15864" width="5.109375" style="105" customWidth="1"/>
    <col min="15865" max="15865" width="4.6640625" style="105" customWidth="1"/>
    <col min="15866" max="15866" width="7.44140625" style="105" customWidth="1"/>
    <col min="15867" max="15868" width="23.88671875" style="105" customWidth="1"/>
    <col min="15869" max="15869" width="10.109375" style="105" customWidth="1"/>
    <col min="15870" max="15870" width="5.88671875" style="105" customWidth="1"/>
    <col min="15871" max="15871" width="4.6640625" style="105" customWidth="1"/>
    <col min="15872" max="15872" width="4.88671875" style="105" customWidth="1"/>
    <col min="15873" max="15873" width="16.109375" style="105" customWidth="1"/>
    <col min="15874" max="15874" width="9.6640625" style="105" customWidth="1"/>
    <col min="15875" max="15875" width="14.5546875" style="105" customWidth="1"/>
    <col min="15876" max="15876" width="10.6640625" style="105" customWidth="1"/>
    <col min="15877" max="15877" width="8.88671875" style="105" customWidth="1"/>
    <col min="15878" max="15878" width="11" style="105" customWidth="1"/>
    <col min="15879" max="15879" width="5.33203125" style="105" customWidth="1"/>
    <col min="15880" max="15880" width="10.33203125" style="105" customWidth="1"/>
    <col min="15881" max="15881" width="10.109375" style="105" customWidth="1"/>
    <col min="15882" max="16119" width="9.109375" style="105" customWidth="1"/>
    <col min="16120" max="16120" width="5.109375" style="105" customWidth="1"/>
    <col min="16121" max="16121" width="4.6640625" style="105" customWidth="1"/>
    <col min="16122" max="16122" width="7.44140625" style="105" customWidth="1"/>
    <col min="16123" max="16124" width="23.88671875" style="105" customWidth="1"/>
    <col min="16125" max="16125" width="10.109375" style="105" customWidth="1"/>
    <col min="16126" max="16126" width="5.88671875" style="105" customWidth="1"/>
    <col min="16127" max="16127" width="4.6640625" style="105" customWidth="1"/>
    <col min="16128" max="16128" width="4.88671875" style="105" customWidth="1"/>
    <col min="16129" max="16129" width="16.109375" style="105" customWidth="1"/>
    <col min="16130" max="16130" width="9.6640625" style="105" customWidth="1"/>
    <col min="16131" max="16131" width="14.5546875" style="105" customWidth="1"/>
    <col min="16132" max="16132" width="10.6640625" style="105" customWidth="1"/>
    <col min="16133" max="16133" width="8.88671875" style="105" customWidth="1"/>
    <col min="16134" max="16134" width="11" style="105" customWidth="1"/>
    <col min="16135" max="16135" width="5.33203125" style="105" customWidth="1"/>
    <col min="16136" max="16136" width="10.33203125" style="105" customWidth="1"/>
    <col min="16137" max="16137" width="10.109375" style="105" customWidth="1"/>
    <col min="16138" max="16375" width="9.109375" style="105" customWidth="1"/>
    <col min="16376" max="16384" width="5.109375" style="105" customWidth="1"/>
  </cols>
  <sheetData>
    <row r="1" spans="1:11" ht="15.6">
      <c r="A1" s="500" t="s">
        <v>0</v>
      </c>
      <c r="B1" s="500"/>
      <c r="C1" s="500"/>
      <c r="D1" s="500"/>
      <c r="J1" s="269"/>
    </row>
    <row r="2" spans="1:11" ht="15.6">
      <c r="A2" s="501" t="s">
        <v>102</v>
      </c>
      <c r="B2" s="501"/>
      <c r="C2" s="501"/>
      <c r="D2" s="501"/>
      <c r="F2" s="290"/>
      <c r="J2" s="269"/>
    </row>
    <row r="3" spans="1:11" ht="20.399999999999999">
      <c r="A3" s="502" t="s">
        <v>37</v>
      </c>
      <c r="B3" s="502"/>
      <c r="C3" s="502"/>
      <c r="D3" s="502"/>
      <c r="E3" s="502"/>
      <c r="F3" s="502"/>
      <c r="G3" s="502"/>
      <c r="H3" s="502"/>
      <c r="I3" s="502"/>
      <c r="J3" s="502"/>
      <c r="K3" s="502"/>
    </row>
    <row r="4" spans="1:11" ht="15.6">
      <c r="A4" s="474" t="s">
        <v>175</v>
      </c>
      <c r="B4" s="474"/>
      <c r="C4" s="474"/>
      <c r="D4" s="474"/>
      <c r="E4" s="474"/>
      <c r="F4" s="474"/>
      <c r="G4" s="474"/>
      <c r="H4" s="474"/>
      <c r="I4" s="474"/>
      <c r="J4" s="474"/>
      <c r="K4" s="474"/>
    </row>
    <row r="5" spans="1:11">
      <c r="H5" s="288"/>
      <c r="J5" s="269"/>
    </row>
    <row r="6" spans="1:11" ht="18" customHeight="1">
      <c r="A6" s="224" t="s">
        <v>2</v>
      </c>
      <c r="B6" s="225" t="s">
        <v>12</v>
      </c>
      <c r="C6" s="226" t="s">
        <v>98</v>
      </c>
      <c r="D6" s="225" t="s">
        <v>4</v>
      </c>
      <c r="E6" s="226" t="s">
        <v>30</v>
      </c>
      <c r="F6" s="225" t="s">
        <v>87</v>
      </c>
      <c r="G6" s="358" t="s">
        <v>99</v>
      </c>
      <c r="H6" s="225" t="s">
        <v>100</v>
      </c>
      <c r="I6" s="225" t="s">
        <v>101</v>
      </c>
      <c r="J6" s="227" t="s">
        <v>100</v>
      </c>
      <c r="K6" s="225" t="s">
        <v>88</v>
      </c>
    </row>
    <row r="7" spans="1:11" s="164" customFormat="1" ht="33" customHeight="1">
      <c r="A7" s="293">
        <v>1</v>
      </c>
      <c r="B7" s="276" t="s">
        <v>197</v>
      </c>
      <c r="C7" s="276" t="s">
        <v>580</v>
      </c>
      <c r="D7" s="276" t="s">
        <v>154</v>
      </c>
      <c r="E7" s="276" t="s">
        <v>581</v>
      </c>
      <c r="F7" s="423">
        <v>300000</v>
      </c>
      <c r="G7" s="276" t="s">
        <v>264</v>
      </c>
      <c r="H7" s="270">
        <f t="shared" ref="H7:H37" si="0">K7-J7</f>
        <v>60000</v>
      </c>
      <c r="I7" s="271" t="s">
        <v>89</v>
      </c>
      <c r="J7" s="270">
        <f t="shared" ref="J7:J28" si="1">F7*0.05</f>
        <v>15000</v>
      </c>
      <c r="K7" s="270">
        <f t="shared" ref="K7:K37" si="2">IF(G7="NGUYỆN",F7*25%*75%,IF(G7="TOẢN",F7*25%*75%,IF(G7="V.TÂN",F7*25%*75%,F7*0.25)))</f>
        <v>75000</v>
      </c>
    </row>
    <row r="8" spans="1:11" s="164" customFormat="1" ht="33" customHeight="1">
      <c r="A8" s="293">
        <v>2</v>
      </c>
      <c r="B8" s="276" t="s">
        <v>197</v>
      </c>
      <c r="C8" s="276" t="s">
        <v>603</v>
      </c>
      <c r="D8" s="276" t="s">
        <v>552</v>
      </c>
      <c r="E8" s="276" t="s">
        <v>589</v>
      </c>
      <c r="F8" s="423">
        <v>384000</v>
      </c>
      <c r="G8" s="276" t="s">
        <v>264</v>
      </c>
      <c r="H8" s="270">
        <f t="shared" si="0"/>
        <v>76800</v>
      </c>
      <c r="I8" s="271" t="s">
        <v>89</v>
      </c>
      <c r="J8" s="270">
        <f t="shared" si="1"/>
        <v>19200</v>
      </c>
      <c r="K8" s="270">
        <f t="shared" si="2"/>
        <v>96000</v>
      </c>
    </row>
    <row r="9" spans="1:11" s="164" customFormat="1" ht="33" customHeight="1">
      <c r="A9" s="293">
        <v>3</v>
      </c>
      <c r="B9" s="276" t="s">
        <v>197</v>
      </c>
      <c r="C9" s="276" t="s">
        <v>606</v>
      </c>
      <c r="D9" s="276" t="s">
        <v>426</v>
      </c>
      <c r="E9" s="276" t="s">
        <v>607</v>
      </c>
      <c r="F9" s="423">
        <v>1500000</v>
      </c>
      <c r="G9" s="276" t="s">
        <v>264</v>
      </c>
      <c r="H9" s="270">
        <f t="shared" si="0"/>
        <v>300000</v>
      </c>
      <c r="I9" s="271" t="s">
        <v>89</v>
      </c>
      <c r="J9" s="270">
        <f t="shared" si="1"/>
        <v>75000</v>
      </c>
      <c r="K9" s="270">
        <f t="shared" si="2"/>
        <v>375000</v>
      </c>
    </row>
    <row r="10" spans="1:11" s="164" customFormat="1" ht="33" customHeight="1">
      <c r="A10" s="293">
        <v>4</v>
      </c>
      <c r="B10" s="276" t="s">
        <v>200</v>
      </c>
      <c r="C10" s="276" t="s">
        <v>601</v>
      </c>
      <c r="D10" s="276" t="s">
        <v>468</v>
      </c>
      <c r="E10" s="276" t="s">
        <v>577</v>
      </c>
      <c r="F10" s="423">
        <v>300000</v>
      </c>
      <c r="G10" s="359" t="s">
        <v>269</v>
      </c>
      <c r="H10" s="270">
        <f t="shared" si="0"/>
        <v>60000</v>
      </c>
      <c r="I10" s="271" t="s">
        <v>89</v>
      </c>
      <c r="J10" s="270">
        <f t="shared" si="1"/>
        <v>15000</v>
      </c>
      <c r="K10" s="270">
        <f t="shared" si="2"/>
        <v>75000</v>
      </c>
    </row>
    <row r="11" spans="1:11" s="164" customFormat="1" ht="33" customHeight="1">
      <c r="A11" s="293">
        <v>5</v>
      </c>
      <c r="B11" s="424" t="s">
        <v>200</v>
      </c>
      <c r="C11" s="424" t="s">
        <v>604</v>
      </c>
      <c r="D11" s="276" t="s">
        <v>365</v>
      </c>
      <c r="E11" s="424" t="s">
        <v>600</v>
      </c>
      <c r="F11" s="423">
        <v>104400</v>
      </c>
      <c r="G11" s="359" t="s">
        <v>269</v>
      </c>
      <c r="H11" s="270">
        <f t="shared" si="0"/>
        <v>20880</v>
      </c>
      <c r="I11" s="271" t="s">
        <v>89</v>
      </c>
      <c r="J11" s="270">
        <f t="shared" si="1"/>
        <v>5220</v>
      </c>
      <c r="K11" s="270">
        <f t="shared" si="2"/>
        <v>26100</v>
      </c>
    </row>
    <row r="12" spans="1:11" s="164" customFormat="1" ht="33" customHeight="1">
      <c r="A12" s="293">
        <v>6</v>
      </c>
      <c r="B12" s="424" t="s">
        <v>209</v>
      </c>
      <c r="C12" s="424" t="s">
        <v>576</v>
      </c>
      <c r="D12" s="276" t="s">
        <v>365</v>
      </c>
      <c r="E12" s="424" t="s">
        <v>577</v>
      </c>
      <c r="F12" s="423">
        <v>300000</v>
      </c>
      <c r="G12" s="359" t="s">
        <v>263</v>
      </c>
      <c r="H12" s="270">
        <f t="shared" si="0"/>
        <v>60000</v>
      </c>
      <c r="I12" s="271" t="s">
        <v>89</v>
      </c>
      <c r="J12" s="270">
        <f t="shared" si="1"/>
        <v>15000</v>
      </c>
      <c r="K12" s="270">
        <f t="shared" si="2"/>
        <v>75000</v>
      </c>
    </row>
    <row r="13" spans="1:11" s="164" customFormat="1" ht="33" customHeight="1">
      <c r="A13" s="293">
        <v>7</v>
      </c>
      <c r="B13" s="424" t="s">
        <v>209</v>
      </c>
      <c r="C13" s="424" t="s">
        <v>582</v>
      </c>
      <c r="D13" s="276" t="s">
        <v>355</v>
      </c>
      <c r="E13" s="424" t="s">
        <v>583</v>
      </c>
      <c r="F13" s="423">
        <v>384000</v>
      </c>
      <c r="G13" s="359" t="s">
        <v>263</v>
      </c>
      <c r="H13" s="270">
        <f t="shared" si="0"/>
        <v>76800</v>
      </c>
      <c r="I13" s="271" t="s">
        <v>89</v>
      </c>
      <c r="J13" s="270">
        <f t="shared" si="1"/>
        <v>19200</v>
      </c>
      <c r="K13" s="270">
        <f t="shared" si="2"/>
        <v>96000</v>
      </c>
    </row>
    <row r="14" spans="1:11" s="164" customFormat="1" ht="33" customHeight="1">
      <c r="A14" s="293">
        <v>8</v>
      </c>
      <c r="B14" s="424" t="s">
        <v>209</v>
      </c>
      <c r="C14" s="424" t="s">
        <v>595</v>
      </c>
      <c r="D14" s="276" t="s">
        <v>596</v>
      </c>
      <c r="E14" s="424" t="s">
        <v>579</v>
      </c>
      <c r="F14" s="423">
        <v>300000</v>
      </c>
      <c r="G14" s="276" t="s">
        <v>263</v>
      </c>
      <c r="H14" s="270">
        <f t="shared" si="0"/>
        <v>60000</v>
      </c>
      <c r="I14" s="271" t="s">
        <v>89</v>
      </c>
      <c r="J14" s="270">
        <f t="shared" si="1"/>
        <v>15000</v>
      </c>
      <c r="K14" s="270">
        <f t="shared" si="2"/>
        <v>75000</v>
      </c>
    </row>
    <row r="15" spans="1:11" s="164" customFormat="1" ht="33" customHeight="1">
      <c r="A15" s="293">
        <v>9</v>
      </c>
      <c r="B15" s="424" t="s">
        <v>209</v>
      </c>
      <c r="C15" s="424" t="s">
        <v>602</v>
      </c>
      <c r="D15" s="276" t="s">
        <v>375</v>
      </c>
      <c r="E15" s="424" t="s">
        <v>579</v>
      </c>
      <c r="F15" s="423">
        <v>300000</v>
      </c>
      <c r="G15" s="359" t="s">
        <v>263</v>
      </c>
      <c r="H15" s="270">
        <f t="shared" si="0"/>
        <v>60000</v>
      </c>
      <c r="I15" s="271" t="s">
        <v>89</v>
      </c>
      <c r="J15" s="270">
        <f t="shared" si="1"/>
        <v>15000</v>
      </c>
      <c r="K15" s="270">
        <f t="shared" si="2"/>
        <v>75000</v>
      </c>
    </row>
    <row r="16" spans="1:11" s="164" customFormat="1" ht="33" customHeight="1">
      <c r="A16" s="293">
        <v>10</v>
      </c>
      <c r="B16" s="424" t="s">
        <v>212</v>
      </c>
      <c r="C16" s="424" t="s">
        <v>592</v>
      </c>
      <c r="D16" s="276" t="s">
        <v>542</v>
      </c>
      <c r="E16" s="424" t="s">
        <v>581</v>
      </c>
      <c r="F16" s="423">
        <v>300000</v>
      </c>
      <c r="G16" s="359" t="s">
        <v>268</v>
      </c>
      <c r="H16" s="270">
        <f t="shared" si="0"/>
        <v>41250</v>
      </c>
      <c r="I16" s="271" t="s">
        <v>89</v>
      </c>
      <c r="J16" s="270">
        <f t="shared" si="1"/>
        <v>15000</v>
      </c>
      <c r="K16" s="270">
        <f t="shared" si="2"/>
        <v>56250</v>
      </c>
    </row>
    <row r="17" spans="1:11" s="164" customFormat="1" ht="33" customHeight="1">
      <c r="A17" s="293">
        <v>11</v>
      </c>
      <c r="B17" s="424" t="s">
        <v>212</v>
      </c>
      <c r="C17" s="424" t="s">
        <v>502</v>
      </c>
      <c r="D17" s="276" t="s">
        <v>503</v>
      </c>
      <c r="E17" s="424" t="s">
        <v>573</v>
      </c>
      <c r="F17" s="423">
        <v>126700</v>
      </c>
      <c r="G17" s="276" t="s">
        <v>265</v>
      </c>
      <c r="H17" s="270">
        <f t="shared" si="0"/>
        <v>17421.25</v>
      </c>
      <c r="I17" s="271" t="s">
        <v>89</v>
      </c>
      <c r="J17" s="270">
        <f t="shared" si="1"/>
        <v>6335</v>
      </c>
      <c r="K17" s="270">
        <f t="shared" si="2"/>
        <v>23756.25</v>
      </c>
    </row>
    <row r="18" spans="1:11" s="164" customFormat="1" ht="33" customHeight="1">
      <c r="A18" s="293">
        <v>12</v>
      </c>
      <c r="B18" s="424" t="s">
        <v>212</v>
      </c>
      <c r="C18" s="424" t="s">
        <v>461</v>
      </c>
      <c r="D18" s="276" t="s">
        <v>451</v>
      </c>
      <c r="E18" s="424" t="s">
        <v>612</v>
      </c>
      <c r="F18" s="423">
        <v>500000</v>
      </c>
      <c r="G18" s="276" t="s">
        <v>268</v>
      </c>
      <c r="H18" s="270">
        <f t="shared" si="0"/>
        <v>68750</v>
      </c>
      <c r="I18" s="271" t="s">
        <v>89</v>
      </c>
      <c r="J18" s="270">
        <f t="shared" si="1"/>
        <v>25000</v>
      </c>
      <c r="K18" s="270">
        <f t="shared" si="2"/>
        <v>93750</v>
      </c>
    </row>
    <row r="19" spans="1:11" s="164" customFormat="1" ht="33" customHeight="1">
      <c r="A19" s="293">
        <v>13</v>
      </c>
      <c r="B19" s="424" t="s">
        <v>215</v>
      </c>
      <c r="C19" s="424" t="s">
        <v>611</v>
      </c>
      <c r="D19" s="276" t="s">
        <v>373</v>
      </c>
      <c r="E19" s="424" t="s">
        <v>589</v>
      </c>
      <c r="F19" s="423">
        <v>104400</v>
      </c>
      <c r="G19" s="276" t="s">
        <v>265</v>
      </c>
      <c r="H19" s="270">
        <f t="shared" si="0"/>
        <v>14355</v>
      </c>
      <c r="I19" s="271" t="s">
        <v>89</v>
      </c>
      <c r="J19" s="270">
        <f t="shared" si="1"/>
        <v>5220</v>
      </c>
      <c r="K19" s="270">
        <f t="shared" si="2"/>
        <v>19575</v>
      </c>
    </row>
    <row r="20" spans="1:11" s="164" customFormat="1" ht="33" customHeight="1">
      <c r="A20" s="293">
        <v>14</v>
      </c>
      <c r="B20" s="424" t="s">
        <v>222</v>
      </c>
      <c r="C20" s="424" t="s">
        <v>586</v>
      </c>
      <c r="D20" s="276" t="s">
        <v>503</v>
      </c>
      <c r="E20" s="424" t="s">
        <v>587</v>
      </c>
      <c r="F20" s="423">
        <v>11000000</v>
      </c>
      <c r="G20" s="276" t="s">
        <v>264</v>
      </c>
      <c r="H20" s="270">
        <f t="shared" si="0"/>
        <v>2200000</v>
      </c>
      <c r="I20" s="271" t="s">
        <v>89</v>
      </c>
      <c r="J20" s="270">
        <f t="shared" si="1"/>
        <v>550000</v>
      </c>
      <c r="K20" s="270">
        <f t="shared" si="2"/>
        <v>2750000</v>
      </c>
    </row>
    <row r="21" spans="1:11" s="164" customFormat="1" ht="33" customHeight="1">
      <c r="A21" s="293">
        <v>15</v>
      </c>
      <c r="B21" s="424" t="s">
        <v>224</v>
      </c>
      <c r="C21" s="424" t="s">
        <v>593</v>
      </c>
      <c r="D21" s="276" t="s">
        <v>401</v>
      </c>
      <c r="E21" s="424" t="s">
        <v>594</v>
      </c>
      <c r="F21" s="423">
        <v>500000</v>
      </c>
      <c r="G21" s="276" t="s">
        <v>266</v>
      </c>
      <c r="H21" s="270">
        <f t="shared" si="0"/>
        <v>68750</v>
      </c>
      <c r="I21" s="271" t="s">
        <v>89</v>
      </c>
      <c r="J21" s="270">
        <f t="shared" si="1"/>
        <v>25000</v>
      </c>
      <c r="K21" s="270">
        <f t="shared" si="2"/>
        <v>93750</v>
      </c>
    </row>
    <row r="22" spans="1:11" s="164" customFormat="1" ht="33" customHeight="1">
      <c r="A22" s="293">
        <v>16</v>
      </c>
      <c r="B22" s="424" t="s">
        <v>224</v>
      </c>
      <c r="C22" s="424" t="s">
        <v>597</v>
      </c>
      <c r="D22" s="276" t="s">
        <v>151</v>
      </c>
      <c r="E22" s="424" t="s">
        <v>581</v>
      </c>
      <c r="F22" s="423">
        <v>300000</v>
      </c>
      <c r="G22" s="359" t="s">
        <v>269</v>
      </c>
      <c r="H22" s="270">
        <f t="shared" si="0"/>
        <v>60000</v>
      </c>
      <c r="I22" s="271" t="s">
        <v>89</v>
      </c>
      <c r="J22" s="270">
        <f t="shared" si="1"/>
        <v>15000</v>
      </c>
      <c r="K22" s="270">
        <f t="shared" si="2"/>
        <v>75000</v>
      </c>
    </row>
    <row r="23" spans="1:11" s="164" customFormat="1" ht="33" customHeight="1">
      <c r="A23" s="293">
        <v>17</v>
      </c>
      <c r="B23" s="424" t="s">
        <v>230</v>
      </c>
      <c r="C23" s="424" t="s">
        <v>578</v>
      </c>
      <c r="D23" s="276" t="s">
        <v>475</v>
      </c>
      <c r="E23" s="424" t="s">
        <v>579</v>
      </c>
      <c r="F23" s="423">
        <v>300000</v>
      </c>
      <c r="G23" s="359" t="s">
        <v>263</v>
      </c>
      <c r="H23" s="270">
        <f t="shared" si="0"/>
        <v>60000</v>
      </c>
      <c r="I23" s="271" t="s">
        <v>89</v>
      </c>
      <c r="J23" s="270">
        <f t="shared" si="1"/>
        <v>15000</v>
      </c>
      <c r="K23" s="270">
        <f t="shared" si="2"/>
        <v>75000</v>
      </c>
    </row>
    <row r="24" spans="1:11" s="164" customFormat="1" ht="33" customHeight="1">
      <c r="A24" s="293">
        <v>18</v>
      </c>
      <c r="B24" s="424" t="s">
        <v>230</v>
      </c>
      <c r="C24" s="424" t="s">
        <v>584</v>
      </c>
      <c r="D24" s="276" t="s">
        <v>438</v>
      </c>
      <c r="E24" s="424" t="s">
        <v>577</v>
      </c>
      <c r="F24" s="423">
        <v>300000</v>
      </c>
      <c r="G24" s="276" t="s">
        <v>267</v>
      </c>
      <c r="H24" s="270">
        <f t="shared" si="0"/>
        <v>60000</v>
      </c>
      <c r="I24" s="271" t="s">
        <v>89</v>
      </c>
      <c r="J24" s="270">
        <f t="shared" si="1"/>
        <v>15000</v>
      </c>
      <c r="K24" s="270">
        <f t="shared" si="2"/>
        <v>75000</v>
      </c>
    </row>
    <row r="25" spans="1:11" s="164" customFormat="1" ht="33" customHeight="1">
      <c r="A25" s="293">
        <v>19</v>
      </c>
      <c r="B25" s="424" t="s">
        <v>236</v>
      </c>
      <c r="C25" s="424" t="s">
        <v>585</v>
      </c>
      <c r="D25" s="276" t="s">
        <v>149</v>
      </c>
      <c r="E25" s="424" t="s">
        <v>581</v>
      </c>
      <c r="F25" s="423">
        <v>300000</v>
      </c>
      <c r="G25" s="276" t="s">
        <v>615</v>
      </c>
      <c r="H25" s="270">
        <f t="shared" si="0"/>
        <v>60000</v>
      </c>
      <c r="I25" s="271" t="s">
        <v>89</v>
      </c>
      <c r="J25" s="270">
        <f t="shared" si="1"/>
        <v>15000</v>
      </c>
      <c r="K25" s="270">
        <f t="shared" si="2"/>
        <v>75000</v>
      </c>
    </row>
    <row r="26" spans="1:11" s="164" customFormat="1" ht="33" customHeight="1">
      <c r="A26" s="293">
        <v>20</v>
      </c>
      <c r="B26" s="424" t="s">
        <v>236</v>
      </c>
      <c r="C26" s="424" t="s">
        <v>609</v>
      </c>
      <c r="D26" s="276" t="s">
        <v>381</v>
      </c>
      <c r="E26" s="424" t="s">
        <v>589</v>
      </c>
      <c r="F26" s="423">
        <v>384000</v>
      </c>
      <c r="G26" s="276" t="s">
        <v>265</v>
      </c>
      <c r="H26" s="270">
        <f t="shared" si="0"/>
        <v>52800</v>
      </c>
      <c r="I26" s="271" t="s">
        <v>89</v>
      </c>
      <c r="J26" s="270">
        <f t="shared" si="1"/>
        <v>19200</v>
      </c>
      <c r="K26" s="270">
        <f t="shared" si="2"/>
        <v>72000</v>
      </c>
    </row>
    <row r="27" spans="1:11" s="164" customFormat="1" ht="33" customHeight="1">
      <c r="A27" s="293">
        <v>21</v>
      </c>
      <c r="B27" s="424" t="s">
        <v>238</v>
      </c>
      <c r="C27" s="424" t="s">
        <v>590</v>
      </c>
      <c r="D27" s="276" t="s">
        <v>468</v>
      </c>
      <c r="E27" s="424" t="s">
        <v>591</v>
      </c>
      <c r="F27" s="423">
        <v>129600</v>
      </c>
      <c r="G27" s="359" t="s">
        <v>264</v>
      </c>
      <c r="H27" s="270">
        <f t="shared" si="0"/>
        <v>25920</v>
      </c>
      <c r="I27" s="271" t="s">
        <v>89</v>
      </c>
      <c r="J27" s="270">
        <f t="shared" si="1"/>
        <v>6480</v>
      </c>
      <c r="K27" s="270">
        <f t="shared" si="2"/>
        <v>32400</v>
      </c>
    </row>
    <row r="28" spans="1:11" s="164" customFormat="1" ht="33" customHeight="1">
      <c r="A28" s="293">
        <v>22</v>
      </c>
      <c r="B28" s="424" t="s">
        <v>238</v>
      </c>
      <c r="C28" s="424" t="s">
        <v>610</v>
      </c>
      <c r="D28" s="276" t="s">
        <v>490</v>
      </c>
      <c r="E28" s="424" t="s">
        <v>573</v>
      </c>
      <c r="F28" s="423">
        <v>418000</v>
      </c>
      <c r="G28" s="276" t="s">
        <v>264</v>
      </c>
      <c r="H28" s="270">
        <f t="shared" si="0"/>
        <v>83600</v>
      </c>
      <c r="I28" s="271" t="s">
        <v>89</v>
      </c>
      <c r="J28" s="270">
        <f t="shared" si="1"/>
        <v>20900</v>
      </c>
      <c r="K28" s="270">
        <f t="shared" si="2"/>
        <v>104500</v>
      </c>
    </row>
    <row r="29" spans="1:11" s="164" customFormat="1" ht="33" customHeight="1">
      <c r="A29" s="293">
        <v>23</v>
      </c>
      <c r="B29" s="424" t="s">
        <v>244</v>
      </c>
      <c r="C29" s="424" t="s">
        <v>599</v>
      </c>
      <c r="D29" s="276" t="s">
        <v>355</v>
      </c>
      <c r="E29" s="424" t="s">
        <v>600</v>
      </c>
      <c r="F29" s="423">
        <v>104400</v>
      </c>
      <c r="G29" s="359" t="s">
        <v>269</v>
      </c>
      <c r="H29" s="270">
        <f t="shared" si="0"/>
        <v>15660</v>
      </c>
      <c r="I29" s="271" t="s">
        <v>89</v>
      </c>
      <c r="J29" s="270">
        <f>F29*0.1</f>
        <v>10440</v>
      </c>
      <c r="K29" s="270">
        <f t="shared" si="2"/>
        <v>26100</v>
      </c>
    </row>
    <row r="30" spans="1:11" s="164" customFormat="1" ht="33" customHeight="1">
      <c r="A30" s="293">
        <v>24</v>
      </c>
      <c r="B30" s="424" t="s">
        <v>249</v>
      </c>
      <c r="C30" s="424" t="s">
        <v>588</v>
      </c>
      <c r="D30" s="276" t="s">
        <v>363</v>
      </c>
      <c r="E30" s="424" t="s">
        <v>589</v>
      </c>
      <c r="F30" s="423">
        <v>104400</v>
      </c>
      <c r="G30" s="359" t="s">
        <v>615</v>
      </c>
      <c r="H30" s="270">
        <f t="shared" si="0"/>
        <v>20880</v>
      </c>
      <c r="I30" s="271" t="s">
        <v>89</v>
      </c>
      <c r="J30" s="270">
        <f t="shared" ref="J30:J37" si="3">F30*0.05</f>
        <v>5220</v>
      </c>
      <c r="K30" s="270">
        <f t="shared" si="2"/>
        <v>26100</v>
      </c>
    </row>
    <row r="31" spans="1:11" s="164" customFormat="1" ht="33" customHeight="1">
      <c r="A31" s="293">
        <v>25</v>
      </c>
      <c r="B31" s="424" t="s">
        <v>249</v>
      </c>
      <c r="C31" s="424" t="s">
        <v>598</v>
      </c>
      <c r="D31" s="276" t="s">
        <v>417</v>
      </c>
      <c r="E31" s="424" t="s">
        <v>577</v>
      </c>
      <c r="F31" s="423">
        <v>300000</v>
      </c>
      <c r="G31" s="359" t="s">
        <v>263</v>
      </c>
      <c r="H31" s="270">
        <f t="shared" si="0"/>
        <v>60000</v>
      </c>
      <c r="I31" s="271" t="s">
        <v>89</v>
      </c>
      <c r="J31" s="270">
        <f t="shared" si="3"/>
        <v>15000</v>
      </c>
      <c r="K31" s="270">
        <f t="shared" si="2"/>
        <v>75000</v>
      </c>
    </row>
    <row r="32" spans="1:11" s="164" customFormat="1" ht="33" customHeight="1">
      <c r="A32" s="293">
        <v>26</v>
      </c>
      <c r="B32" s="424" t="s">
        <v>249</v>
      </c>
      <c r="C32" s="424" t="s">
        <v>613</v>
      </c>
      <c r="D32" s="276" t="s">
        <v>150</v>
      </c>
      <c r="E32" s="424" t="s">
        <v>579</v>
      </c>
      <c r="F32" s="423">
        <v>300000</v>
      </c>
      <c r="G32" s="359" t="s">
        <v>263</v>
      </c>
      <c r="H32" s="270">
        <f t="shared" si="0"/>
        <v>60000</v>
      </c>
      <c r="I32" s="271" t="s">
        <v>89</v>
      </c>
      <c r="J32" s="270">
        <f t="shared" si="3"/>
        <v>15000</v>
      </c>
      <c r="K32" s="270">
        <f t="shared" si="2"/>
        <v>75000</v>
      </c>
    </row>
    <row r="33" spans="1:11" s="164" customFormat="1" ht="33" customHeight="1">
      <c r="A33" s="293">
        <v>27</v>
      </c>
      <c r="B33" s="424" t="s">
        <v>324</v>
      </c>
      <c r="C33" s="424" t="s">
        <v>572</v>
      </c>
      <c r="D33" s="276" t="s">
        <v>435</v>
      </c>
      <c r="E33" s="424" t="s">
        <v>573</v>
      </c>
      <c r="F33" s="423">
        <v>126700</v>
      </c>
      <c r="G33" s="359" t="s">
        <v>270</v>
      </c>
      <c r="H33" s="270">
        <f t="shared" si="0"/>
        <v>25340</v>
      </c>
      <c r="I33" s="271" t="s">
        <v>89</v>
      </c>
      <c r="J33" s="270">
        <f t="shared" si="3"/>
        <v>6335</v>
      </c>
      <c r="K33" s="270">
        <f t="shared" si="2"/>
        <v>31675</v>
      </c>
    </row>
    <row r="34" spans="1:11" s="164" customFormat="1" ht="33" customHeight="1">
      <c r="A34" s="293">
        <v>28</v>
      </c>
      <c r="B34" s="424" t="s">
        <v>324</v>
      </c>
      <c r="C34" s="424" t="s">
        <v>605</v>
      </c>
      <c r="D34" s="276" t="s">
        <v>154</v>
      </c>
      <c r="E34" s="424" t="s">
        <v>573</v>
      </c>
      <c r="F34" s="423">
        <v>418000</v>
      </c>
      <c r="G34" s="276" t="s">
        <v>270</v>
      </c>
      <c r="H34" s="270">
        <f t="shared" si="0"/>
        <v>83600</v>
      </c>
      <c r="I34" s="271" t="s">
        <v>89</v>
      </c>
      <c r="J34" s="270">
        <f t="shared" si="3"/>
        <v>20900</v>
      </c>
      <c r="K34" s="270">
        <f t="shared" si="2"/>
        <v>104500</v>
      </c>
    </row>
    <row r="35" spans="1:11" s="164" customFormat="1" ht="33" customHeight="1">
      <c r="A35" s="293">
        <v>29</v>
      </c>
      <c r="B35" s="424" t="s">
        <v>324</v>
      </c>
      <c r="C35" s="424" t="s">
        <v>608</v>
      </c>
      <c r="D35" s="276" t="s">
        <v>135</v>
      </c>
      <c r="E35" s="424" t="s">
        <v>573</v>
      </c>
      <c r="F35" s="423">
        <v>418000</v>
      </c>
      <c r="G35" s="359" t="s">
        <v>270</v>
      </c>
      <c r="H35" s="270">
        <f t="shared" si="0"/>
        <v>83600</v>
      </c>
      <c r="I35" s="271" t="s">
        <v>89</v>
      </c>
      <c r="J35" s="270">
        <f t="shared" si="3"/>
        <v>20900</v>
      </c>
      <c r="K35" s="270">
        <f t="shared" si="2"/>
        <v>104500</v>
      </c>
    </row>
    <row r="36" spans="1:11" s="164" customFormat="1" ht="33" customHeight="1">
      <c r="A36" s="293">
        <v>30</v>
      </c>
      <c r="B36" s="424" t="s">
        <v>324</v>
      </c>
      <c r="C36" s="424" t="s">
        <v>614</v>
      </c>
      <c r="D36" s="276" t="s">
        <v>134</v>
      </c>
      <c r="E36" s="424" t="s">
        <v>573</v>
      </c>
      <c r="F36" s="423">
        <v>126700</v>
      </c>
      <c r="G36" s="359" t="s">
        <v>270</v>
      </c>
      <c r="H36" s="270">
        <f t="shared" si="0"/>
        <v>25340</v>
      </c>
      <c r="I36" s="271" t="s">
        <v>89</v>
      </c>
      <c r="J36" s="270">
        <f t="shared" si="3"/>
        <v>6335</v>
      </c>
      <c r="K36" s="270">
        <f t="shared" si="2"/>
        <v>31675</v>
      </c>
    </row>
    <row r="37" spans="1:11" s="164" customFormat="1" ht="33" customHeight="1">
      <c r="A37" s="293">
        <v>31</v>
      </c>
      <c r="B37" s="424" t="s">
        <v>256</v>
      </c>
      <c r="C37" s="424" t="s">
        <v>574</v>
      </c>
      <c r="D37" s="276" t="s">
        <v>134</v>
      </c>
      <c r="E37" s="424" t="s">
        <v>575</v>
      </c>
      <c r="F37" s="423">
        <v>104400</v>
      </c>
      <c r="G37" s="359" t="s">
        <v>269</v>
      </c>
      <c r="H37" s="270">
        <f t="shared" si="0"/>
        <v>20880</v>
      </c>
      <c r="I37" s="271" t="s">
        <v>89</v>
      </c>
      <c r="J37" s="270">
        <f t="shared" si="3"/>
        <v>5220</v>
      </c>
      <c r="K37" s="270">
        <f t="shared" si="2"/>
        <v>26100</v>
      </c>
    </row>
    <row r="38" spans="1:11" s="164" customFormat="1" ht="33" customHeight="1">
      <c r="A38" s="293">
        <v>32</v>
      </c>
      <c r="B38" s="276" t="s">
        <v>197</v>
      </c>
      <c r="C38" s="276" t="s">
        <v>626</v>
      </c>
      <c r="D38" s="276" t="s">
        <v>150</v>
      </c>
      <c r="E38" s="276" t="s">
        <v>627</v>
      </c>
      <c r="F38" s="427">
        <v>3261000</v>
      </c>
      <c r="G38" s="359" t="s">
        <v>264</v>
      </c>
      <c r="H38" s="270">
        <f t="shared" ref="H38:H50" si="4">K38-J38</f>
        <v>652200</v>
      </c>
      <c r="I38" s="271" t="s">
        <v>89</v>
      </c>
      <c r="J38" s="270">
        <f t="shared" ref="J38:J50" si="5">F38*0.05</f>
        <v>163050</v>
      </c>
      <c r="K38" s="270">
        <f t="shared" ref="K38:K50" si="6">IF(G38="NGUYỆN",F38*25%*75%,IF(G38="TOẢN",F38*25%*75%,IF(G38="V.TÂN",F38*25%*75%,F38*0.25)))</f>
        <v>815250</v>
      </c>
    </row>
    <row r="39" spans="1:11" s="164" customFormat="1" ht="33" customHeight="1">
      <c r="A39" s="293">
        <v>33</v>
      </c>
      <c r="B39" s="426" t="s">
        <v>197</v>
      </c>
      <c r="C39" s="426" t="s">
        <v>632</v>
      </c>
      <c r="D39" s="426" t="s">
        <v>347</v>
      </c>
      <c r="E39" s="276" t="s">
        <v>625</v>
      </c>
      <c r="F39" s="427">
        <v>4000000</v>
      </c>
      <c r="G39" s="359" t="s">
        <v>264</v>
      </c>
      <c r="H39" s="270">
        <f t="shared" si="4"/>
        <v>800000</v>
      </c>
      <c r="I39" s="271" t="s">
        <v>89</v>
      </c>
      <c r="J39" s="270">
        <f t="shared" si="5"/>
        <v>200000</v>
      </c>
      <c r="K39" s="270">
        <f t="shared" si="6"/>
        <v>1000000</v>
      </c>
    </row>
    <row r="40" spans="1:11" s="164" customFormat="1" ht="33" customHeight="1">
      <c r="A40" s="293">
        <v>34</v>
      </c>
      <c r="B40" s="276" t="s">
        <v>209</v>
      </c>
      <c r="C40" s="276" t="s">
        <v>630</v>
      </c>
      <c r="D40" s="276" t="s">
        <v>381</v>
      </c>
      <c r="E40" s="276" t="s">
        <v>629</v>
      </c>
      <c r="F40" s="427">
        <v>1000000</v>
      </c>
      <c r="G40" s="359" t="s">
        <v>263</v>
      </c>
      <c r="H40" s="270">
        <f t="shared" si="4"/>
        <v>200000</v>
      </c>
      <c r="I40" s="271" t="s">
        <v>89</v>
      </c>
      <c r="J40" s="270">
        <f t="shared" si="5"/>
        <v>50000</v>
      </c>
      <c r="K40" s="270">
        <f t="shared" si="6"/>
        <v>250000</v>
      </c>
    </row>
    <row r="41" spans="1:11" s="164" customFormat="1" ht="33" customHeight="1">
      <c r="A41" s="293">
        <v>35</v>
      </c>
      <c r="B41" s="426" t="s">
        <v>215</v>
      </c>
      <c r="C41" s="426" t="s">
        <v>621</v>
      </c>
      <c r="D41" s="426">
        <v>64</v>
      </c>
      <c r="E41" s="276" t="s">
        <v>622</v>
      </c>
      <c r="F41" s="427">
        <v>667000</v>
      </c>
      <c r="G41" s="359" t="s">
        <v>268</v>
      </c>
      <c r="H41" s="270">
        <f t="shared" si="4"/>
        <v>91712.5</v>
      </c>
      <c r="I41" s="271" t="s">
        <v>89</v>
      </c>
      <c r="J41" s="270">
        <f t="shared" si="5"/>
        <v>33350</v>
      </c>
      <c r="K41" s="270">
        <f t="shared" si="6"/>
        <v>125062.5</v>
      </c>
    </row>
    <row r="42" spans="1:11" s="164" customFormat="1" ht="33" customHeight="1">
      <c r="A42" s="293">
        <v>36</v>
      </c>
      <c r="B42" s="276" t="s">
        <v>215</v>
      </c>
      <c r="C42" s="276" t="s">
        <v>635</v>
      </c>
      <c r="D42" s="276" t="s">
        <v>441</v>
      </c>
      <c r="E42" s="276" t="s">
        <v>629</v>
      </c>
      <c r="F42" s="427">
        <v>1000000</v>
      </c>
      <c r="G42" s="359" t="s">
        <v>265</v>
      </c>
      <c r="H42" s="270">
        <f t="shared" si="4"/>
        <v>137500</v>
      </c>
      <c r="I42" s="271" t="s">
        <v>89</v>
      </c>
      <c r="J42" s="270">
        <f t="shared" si="5"/>
        <v>50000</v>
      </c>
      <c r="K42" s="270">
        <f t="shared" si="6"/>
        <v>187500</v>
      </c>
    </row>
    <row r="43" spans="1:11" s="164" customFormat="1" ht="33" customHeight="1">
      <c r="A43" s="293">
        <v>37</v>
      </c>
      <c r="B43" s="276" t="s">
        <v>224</v>
      </c>
      <c r="C43" s="276" t="s">
        <v>619</v>
      </c>
      <c r="D43" s="276">
        <v>64</v>
      </c>
      <c r="E43" s="276" t="s">
        <v>620</v>
      </c>
      <c r="F43" s="427">
        <v>600000</v>
      </c>
      <c r="G43" s="359" t="s">
        <v>269</v>
      </c>
      <c r="H43" s="270">
        <f t="shared" si="4"/>
        <v>120000</v>
      </c>
      <c r="I43" s="271" t="s">
        <v>89</v>
      </c>
      <c r="J43" s="270">
        <f t="shared" si="5"/>
        <v>30000</v>
      </c>
      <c r="K43" s="270">
        <f t="shared" si="6"/>
        <v>150000</v>
      </c>
    </row>
    <row r="44" spans="1:11" s="164" customFormat="1" ht="33" customHeight="1">
      <c r="A44" s="293">
        <v>38</v>
      </c>
      <c r="B44" s="276" t="s">
        <v>236</v>
      </c>
      <c r="C44" s="276" t="s">
        <v>628</v>
      </c>
      <c r="D44" s="276" t="s">
        <v>438</v>
      </c>
      <c r="E44" s="276" t="s">
        <v>629</v>
      </c>
      <c r="F44" s="427">
        <v>1000000</v>
      </c>
      <c r="G44" s="359" t="s">
        <v>615</v>
      </c>
      <c r="H44" s="270">
        <f t="shared" si="4"/>
        <v>200000</v>
      </c>
      <c r="I44" s="271" t="s">
        <v>89</v>
      </c>
      <c r="J44" s="270">
        <f t="shared" si="5"/>
        <v>50000</v>
      </c>
      <c r="K44" s="270">
        <f t="shared" si="6"/>
        <v>250000</v>
      </c>
    </row>
    <row r="45" spans="1:11" s="164" customFormat="1" ht="33" customHeight="1">
      <c r="A45" s="293">
        <v>39</v>
      </c>
      <c r="B45" s="426" t="s">
        <v>251</v>
      </c>
      <c r="C45" s="426" t="s">
        <v>623</v>
      </c>
      <c r="D45" s="426" t="s">
        <v>624</v>
      </c>
      <c r="E45" s="276" t="s">
        <v>625</v>
      </c>
      <c r="F45" s="427">
        <v>4000000</v>
      </c>
      <c r="G45" s="359" t="s">
        <v>264</v>
      </c>
      <c r="H45" s="270">
        <f t="shared" si="4"/>
        <v>800000</v>
      </c>
      <c r="I45" s="271" t="s">
        <v>89</v>
      </c>
      <c r="J45" s="270">
        <f t="shared" si="5"/>
        <v>200000</v>
      </c>
      <c r="K45" s="270">
        <f t="shared" si="6"/>
        <v>1000000</v>
      </c>
    </row>
    <row r="46" spans="1:11" s="164" customFormat="1" ht="33" customHeight="1">
      <c r="A46" s="293">
        <v>40</v>
      </c>
      <c r="B46" s="276" t="s">
        <v>251</v>
      </c>
      <c r="C46" s="276" t="s">
        <v>623</v>
      </c>
      <c r="D46" s="276" t="s">
        <v>624</v>
      </c>
      <c r="E46" s="276" t="s">
        <v>625</v>
      </c>
      <c r="F46" s="427">
        <v>2000000</v>
      </c>
      <c r="G46" s="359" t="s">
        <v>264</v>
      </c>
      <c r="H46" s="270">
        <f t="shared" si="4"/>
        <v>400000</v>
      </c>
      <c r="I46" s="271" t="s">
        <v>89</v>
      </c>
      <c r="J46" s="270">
        <f t="shared" si="5"/>
        <v>100000</v>
      </c>
      <c r="K46" s="270">
        <f t="shared" si="6"/>
        <v>500000</v>
      </c>
    </row>
    <row r="47" spans="1:11" s="164" customFormat="1" ht="33" customHeight="1">
      <c r="A47" s="293">
        <v>41</v>
      </c>
      <c r="B47" s="276" t="s">
        <v>251</v>
      </c>
      <c r="C47" s="276" t="s">
        <v>636</v>
      </c>
      <c r="D47" s="276" t="s">
        <v>359</v>
      </c>
      <c r="E47" s="276" t="s">
        <v>637</v>
      </c>
      <c r="F47" s="427">
        <v>3000000</v>
      </c>
      <c r="G47" s="359" t="s">
        <v>265</v>
      </c>
      <c r="H47" s="270">
        <f t="shared" si="4"/>
        <v>412500</v>
      </c>
      <c r="I47" s="271" t="s">
        <v>89</v>
      </c>
      <c r="J47" s="270">
        <f t="shared" si="5"/>
        <v>150000</v>
      </c>
      <c r="K47" s="270">
        <f t="shared" si="6"/>
        <v>562500</v>
      </c>
    </row>
    <row r="48" spans="1:11" s="164" customFormat="1" ht="33" customHeight="1">
      <c r="A48" s="293">
        <v>42</v>
      </c>
      <c r="B48" s="426" t="s">
        <v>253</v>
      </c>
      <c r="C48" s="426" t="s">
        <v>633</v>
      </c>
      <c r="D48" s="426" t="s">
        <v>151</v>
      </c>
      <c r="E48" s="276" t="s">
        <v>634</v>
      </c>
      <c r="F48" s="427">
        <v>3261000</v>
      </c>
      <c r="G48" s="359" t="s">
        <v>264</v>
      </c>
      <c r="H48" s="270">
        <f t="shared" si="4"/>
        <v>652200</v>
      </c>
      <c r="I48" s="271" t="s">
        <v>89</v>
      </c>
      <c r="J48" s="270">
        <f t="shared" si="5"/>
        <v>163050</v>
      </c>
      <c r="K48" s="270">
        <f t="shared" si="6"/>
        <v>815250</v>
      </c>
    </row>
    <row r="49" spans="1:11" s="164" customFormat="1" ht="33" customHeight="1">
      <c r="A49" s="293">
        <v>43</v>
      </c>
      <c r="B49" s="426" t="s">
        <v>256</v>
      </c>
      <c r="C49" s="426" t="s">
        <v>631</v>
      </c>
      <c r="D49" s="426" t="s">
        <v>414</v>
      </c>
      <c r="E49" s="276" t="s">
        <v>629</v>
      </c>
      <c r="F49" s="427">
        <v>1000000</v>
      </c>
      <c r="G49" s="359" t="s">
        <v>266</v>
      </c>
      <c r="H49" s="270">
        <f t="shared" si="4"/>
        <v>137500</v>
      </c>
      <c r="I49" s="271" t="s">
        <v>89</v>
      </c>
      <c r="J49" s="270">
        <f t="shared" si="5"/>
        <v>50000</v>
      </c>
      <c r="K49" s="270">
        <f t="shared" si="6"/>
        <v>187500</v>
      </c>
    </row>
    <row r="50" spans="1:11" s="164" customFormat="1" ht="33" customHeight="1">
      <c r="A50" s="293">
        <v>44</v>
      </c>
      <c r="B50" s="276" t="s">
        <v>189</v>
      </c>
      <c r="C50" s="276" t="s">
        <v>330</v>
      </c>
      <c r="D50" s="276">
        <v>38</v>
      </c>
      <c r="E50" s="276" t="s">
        <v>618</v>
      </c>
      <c r="F50" s="427">
        <v>2000000</v>
      </c>
      <c r="G50" s="359" t="s">
        <v>268</v>
      </c>
      <c r="H50" s="270">
        <f t="shared" si="4"/>
        <v>275000</v>
      </c>
      <c r="I50" s="271" t="s">
        <v>89</v>
      </c>
      <c r="J50" s="270">
        <f t="shared" si="5"/>
        <v>100000</v>
      </c>
      <c r="K50" s="270">
        <f t="shared" si="6"/>
        <v>375000</v>
      </c>
    </row>
    <row r="51" spans="1:11" s="164" customFormat="1" ht="33" customHeight="1">
      <c r="A51" s="293"/>
      <c r="B51" s="379"/>
      <c r="C51" s="380" t="s">
        <v>83</v>
      </c>
      <c r="D51" s="347"/>
      <c r="E51" s="381"/>
      <c r="F51" s="382">
        <f>SUBTOTAL(9,F7:F50)</f>
        <v>47326700</v>
      </c>
      <c r="G51" s="382"/>
      <c r="H51" s="382">
        <f t="shared" ref="H51:K51" si="7">SUBTOTAL(9,H7:H50)</f>
        <v>8861238.75</v>
      </c>
      <c r="I51" s="382"/>
      <c r="J51" s="382">
        <f t="shared" si="7"/>
        <v>2371555</v>
      </c>
      <c r="K51" s="382">
        <f t="shared" si="7"/>
        <v>11232793.75</v>
      </c>
    </row>
    <row r="52" spans="1:11" s="164" customFormat="1" ht="33" customHeight="1">
      <c r="A52" s="361"/>
      <c r="B52" s="362"/>
      <c r="C52" s="363"/>
      <c r="D52" s="364"/>
      <c r="E52" s="365"/>
      <c r="F52" s="366"/>
      <c r="G52" s="367"/>
      <c r="H52" s="366"/>
      <c r="I52" s="366"/>
      <c r="J52" s="366"/>
      <c r="K52" s="366"/>
    </row>
    <row r="53" spans="1:11" ht="16.8">
      <c r="A53" s="294"/>
      <c r="B53" s="295"/>
      <c r="C53" s="296"/>
      <c r="D53" s="297"/>
      <c r="E53" s="296"/>
      <c r="F53" s="298"/>
      <c r="G53" s="505" t="s">
        <v>641</v>
      </c>
      <c r="H53" s="505"/>
      <c r="I53" s="505"/>
      <c r="J53" s="505"/>
      <c r="K53" s="505"/>
    </row>
    <row r="54" spans="1:11" ht="18.75" customHeight="1">
      <c r="A54" s="504" t="s">
        <v>35</v>
      </c>
      <c r="B54" s="504"/>
      <c r="C54" s="504"/>
      <c r="D54" s="299"/>
      <c r="E54" s="300"/>
      <c r="F54" s="301"/>
      <c r="G54" s="505" t="s">
        <v>114</v>
      </c>
      <c r="H54" s="505"/>
      <c r="I54" s="505"/>
      <c r="J54" s="505"/>
      <c r="K54" s="505"/>
    </row>
    <row r="55" spans="1:11" ht="16.8">
      <c r="A55" s="294"/>
      <c r="B55" s="294"/>
      <c r="C55" s="302"/>
      <c r="D55" s="303"/>
      <c r="E55" s="302"/>
      <c r="F55" s="304"/>
      <c r="G55" s="360"/>
      <c r="H55" s="294"/>
      <c r="I55" s="294"/>
      <c r="J55" s="294"/>
      <c r="K55" s="305"/>
    </row>
    <row r="56" spans="1:11" ht="16.8">
      <c r="A56" s="294"/>
      <c r="B56" s="294"/>
      <c r="C56" s="302"/>
      <c r="D56" s="303"/>
      <c r="E56" s="302"/>
      <c r="F56" s="304"/>
      <c r="G56" s="360"/>
      <c r="H56" s="294"/>
      <c r="I56" s="294"/>
      <c r="J56" s="294"/>
      <c r="K56" s="305"/>
    </row>
    <row r="57" spans="1:11" ht="21" customHeight="1">
      <c r="A57" s="294"/>
      <c r="B57" s="294"/>
      <c r="C57" s="302"/>
      <c r="D57" s="306"/>
      <c r="E57" s="302"/>
      <c r="F57" s="301"/>
      <c r="G57" s="360"/>
      <c r="H57" s="294"/>
      <c r="I57" s="294"/>
      <c r="J57" s="294"/>
      <c r="K57" s="307"/>
    </row>
    <row r="58" spans="1:11" ht="16.8">
      <c r="A58" s="471" t="s">
        <v>96</v>
      </c>
      <c r="B58" s="471"/>
      <c r="C58" s="471"/>
      <c r="D58" s="306"/>
      <c r="E58" s="302"/>
      <c r="F58" s="304"/>
      <c r="G58" s="503" t="s">
        <v>110</v>
      </c>
      <c r="H58" s="503"/>
      <c r="I58" s="503"/>
      <c r="J58" s="503"/>
      <c r="K58" s="503"/>
    </row>
    <row r="59" spans="1:11" ht="16.8">
      <c r="A59" s="294"/>
      <c r="B59" s="294"/>
      <c r="C59" s="302"/>
      <c r="D59" s="306"/>
      <c r="E59" s="302"/>
      <c r="F59" s="304"/>
      <c r="G59" s="360"/>
      <c r="H59" s="294"/>
      <c r="I59" s="294"/>
      <c r="J59" s="294"/>
      <c r="K59" s="294"/>
    </row>
  </sheetData>
  <autoFilter ref="A6:XEV54" xr:uid="{00000000-0009-0000-0000-000009000000}"/>
  <sortState xmlns:xlrd2="http://schemas.microsoft.com/office/spreadsheetml/2017/richdata2" ref="A38:XEU50">
    <sortCondition ref="B38:B50"/>
  </sortState>
  <mergeCells count="9">
    <mergeCell ref="A1:D1"/>
    <mergeCell ref="A2:D2"/>
    <mergeCell ref="A3:K3"/>
    <mergeCell ref="A4:K4"/>
    <mergeCell ref="A58:C58"/>
    <mergeCell ref="G58:K58"/>
    <mergeCell ref="A54:C54"/>
    <mergeCell ref="G54:K54"/>
    <mergeCell ref="G53:K53"/>
  </mergeCells>
  <phoneticPr fontId="0" type="noConversion"/>
  <pageMargins left="0.47831632653061223" right="0.39328231292517007" top="0.38" bottom="0.39" header="0.54" footer="0.61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3"/>
  <sheetViews>
    <sheetView view="pageLayout" topLeftCell="A4" zoomScaleNormal="100" workbookViewId="0">
      <selection activeCell="D17" sqref="D17"/>
    </sheetView>
  </sheetViews>
  <sheetFormatPr defaultColWidth="9.109375" defaultRowHeight="15"/>
  <cols>
    <col min="1" max="1" width="4.44140625" style="10" customWidth="1"/>
    <col min="2" max="2" width="26.109375" style="10" customWidth="1"/>
    <col min="3" max="3" width="15" style="10" customWidth="1"/>
    <col min="4" max="4" width="17" style="10" customWidth="1"/>
    <col min="5" max="5" width="16.109375" style="10" customWidth="1"/>
    <col min="6" max="6" width="12.88671875" style="10" bestFit="1" customWidth="1"/>
    <col min="7" max="16384" width="9.109375" style="10"/>
  </cols>
  <sheetData>
    <row r="1" spans="1:6" ht="15.6">
      <c r="A1" s="506" t="s">
        <v>0</v>
      </c>
      <c r="B1" s="506"/>
      <c r="C1" s="141"/>
      <c r="D1" s="141"/>
      <c r="E1" s="141"/>
    </row>
    <row r="2" spans="1:6" ht="18">
      <c r="A2" s="474" t="s">
        <v>108</v>
      </c>
      <c r="B2" s="474"/>
      <c r="C2" s="39"/>
      <c r="D2" s="141"/>
      <c r="E2" s="141"/>
    </row>
    <row r="3" spans="1:6" ht="21.75" customHeight="1">
      <c r="A3" s="462" t="s">
        <v>174</v>
      </c>
      <c r="B3" s="462"/>
      <c r="C3" s="462"/>
      <c r="D3" s="462"/>
      <c r="E3" s="462"/>
    </row>
    <row r="4" spans="1:6" ht="17.25" customHeight="1">
      <c r="A4" s="474" t="s">
        <v>32</v>
      </c>
      <c r="B4" s="474"/>
      <c r="C4" s="474"/>
      <c r="D4" s="474"/>
      <c r="E4" s="474"/>
    </row>
    <row r="5" spans="1:6" ht="15.6">
      <c r="A5" s="141"/>
      <c r="B5" s="141"/>
      <c r="C5" s="141"/>
      <c r="D5" s="141"/>
      <c r="E5" s="141"/>
    </row>
    <row r="6" spans="1:6" ht="15.6">
      <c r="A6" s="142" t="s">
        <v>29</v>
      </c>
      <c r="B6" s="142" t="s">
        <v>31</v>
      </c>
      <c r="C6" s="142" t="s">
        <v>33</v>
      </c>
      <c r="D6" s="142" t="s">
        <v>7</v>
      </c>
      <c r="E6" s="142" t="s">
        <v>34</v>
      </c>
    </row>
    <row r="7" spans="1:6" ht="16.8">
      <c r="A7" s="143">
        <v>1</v>
      </c>
      <c r="B7" s="62" t="s">
        <v>23</v>
      </c>
      <c r="C7" s="144" t="s">
        <v>26</v>
      </c>
      <c r="D7" s="145">
        <f>SUM(SUMIF(tieuphau!$G$7:$G$61,"TRIỀU",tieuphau!$H$7:$H$61),SUMIF(tieuphau!$I$7:$I$61,"TRIỀU",tieuphau!$J$7:$J$61))</f>
        <v>636800</v>
      </c>
      <c r="E7" s="143"/>
      <c r="F7" s="61"/>
    </row>
    <row r="8" spans="1:6" ht="16.8">
      <c r="A8" s="143">
        <v>2</v>
      </c>
      <c r="B8" s="62" t="s">
        <v>18</v>
      </c>
      <c r="C8" s="144" t="s">
        <v>26</v>
      </c>
      <c r="D8" s="145">
        <f>SUM(SUMIF(tieuphau!$G$7:$G$37,"TẤN",tieuphau!$H$7:$H$37),SUMIF(tieuphau!$I$7:$I$37,"TẤN",tieuphau!$J$7:$J$37))</f>
        <v>0</v>
      </c>
      <c r="E8" s="143"/>
      <c r="F8" s="61"/>
    </row>
    <row r="9" spans="1:6" ht="16.8">
      <c r="A9" s="143">
        <v>3</v>
      </c>
      <c r="B9" s="62" t="s">
        <v>17</v>
      </c>
      <c r="C9" s="144" t="s">
        <v>26</v>
      </c>
      <c r="D9" s="145">
        <f>SUM(SUMIF(tieuphau!$G$7:$G$61,"HOAN",tieuphau!$H$7:$H$61),SUMIF(tieuphau!$I$7:$I$61,"HOAN",tieuphau!$J$7:$J$61))</f>
        <v>6050720</v>
      </c>
      <c r="E9" s="143"/>
      <c r="F9" s="61"/>
    </row>
    <row r="10" spans="1:6" ht="16.8">
      <c r="A10" s="143">
        <v>4</v>
      </c>
      <c r="B10" s="62" t="s">
        <v>19</v>
      </c>
      <c r="C10" s="144" t="s">
        <v>26</v>
      </c>
      <c r="D10" s="145">
        <f>SUM(SUMIF(tieuphau!$G$7:$G$61,"TÚ",tieuphau!$H$7:$H$61),SUMIF(tieuphau!$I$7:$I$61,"TÚ",tieuphau!$J$7:$J$61))</f>
        <v>280880</v>
      </c>
      <c r="E10" s="143"/>
    </row>
    <row r="11" spans="1:6" ht="18" customHeight="1">
      <c r="A11" s="143">
        <v>5</v>
      </c>
      <c r="B11" s="62" t="s">
        <v>74</v>
      </c>
      <c r="C11" s="144" t="s">
        <v>26</v>
      </c>
      <c r="D11" s="145">
        <f>SUM(SUMIF(tieuphau!$G$7:$G$61,"NGUYỆN",tieuphau!$H$7:$H$61),SUMIF(tieuphau!$I$7:$I$61,"NGUYỆN",tieuphau!$J$7:$J$61))</f>
        <v>634576.25</v>
      </c>
      <c r="E11" s="143"/>
    </row>
    <row r="12" spans="1:6" ht="18" customHeight="1">
      <c r="A12" s="143">
        <v>6</v>
      </c>
      <c r="B12" s="62" t="s">
        <v>84</v>
      </c>
      <c r="C12" s="144" t="s">
        <v>26</v>
      </c>
      <c r="D12" s="145">
        <f>SUM(SUMIF(tieuphau!$G$7:$G$61,"v.tân",tieuphau!$H$7:$H$61),SUMIF(tieuphau!$I$7:$I$61,"v.tân",tieuphau!$J$7:$J$61))</f>
        <v>206250</v>
      </c>
      <c r="E12" s="143"/>
    </row>
    <row r="13" spans="1:6" ht="18" customHeight="1">
      <c r="A13" s="143">
        <v>7</v>
      </c>
      <c r="B13" s="62" t="s">
        <v>115</v>
      </c>
      <c r="C13" s="144" t="s">
        <v>26</v>
      </c>
      <c r="D13" s="145">
        <f>SUM(SUMIF(tieuphau!$G$7:$G$61,"TOẢN",tieuphau!$H$7:$H$61),SUMIF(tieuphau!$I$7:$I$61,"TOẢN",tieuphau!$J$7:$J$61))</f>
        <v>476712.5</v>
      </c>
      <c r="E13" s="143"/>
    </row>
    <row r="14" spans="1:6" ht="18" customHeight="1">
      <c r="A14" s="143">
        <v>8</v>
      </c>
      <c r="B14" s="62" t="s">
        <v>94</v>
      </c>
      <c r="C14" s="144" t="s">
        <v>26</v>
      </c>
      <c r="D14" s="145">
        <f>SUM(SUMIF(tieuphau!$G$7:$G$61,"GIÀU",tieuphau!$H$7:$H$61),SUMIF(tieuphau!$I$7:$I$61,"GIÀU",tieuphau!$J$7:$J$61))</f>
        <v>297420</v>
      </c>
      <c r="E14" s="143"/>
    </row>
    <row r="15" spans="1:6" ht="18" customHeight="1">
      <c r="A15" s="143">
        <v>9</v>
      </c>
      <c r="B15" s="62" t="s">
        <v>72</v>
      </c>
      <c r="C15" s="144" t="s">
        <v>26</v>
      </c>
      <c r="D15" s="145">
        <f>SUM(SUMIF(tieuphau!$G$7:$G$61,"Điền",tieuphau!$H$7:$H$61),SUMIF(tieuphau!$I$7:$I$61,"điền",tieuphau!$J$7:$J$61))</f>
        <v>60000</v>
      </c>
      <c r="E15" s="143"/>
    </row>
    <row r="16" spans="1:6" ht="18" customHeight="1">
      <c r="A16" s="143">
        <v>10</v>
      </c>
      <c r="B16" s="62" t="s">
        <v>68</v>
      </c>
      <c r="C16" s="144" t="s">
        <v>26</v>
      </c>
      <c r="D16" s="145">
        <f>SUM(SUMIF(tieuphau!$G$7:$G$61,"minh",tieuphau!$H$7:$H$61),SUMIF(tieuphau!$I$7:$I$61,"minh",tieuphau!$J$7:$J$61))</f>
        <v>217880</v>
      </c>
      <c r="E16" s="143"/>
    </row>
    <row r="17" spans="1:6" ht="18" customHeight="1">
      <c r="A17" s="143">
        <v>11</v>
      </c>
      <c r="B17" s="62" t="s">
        <v>124</v>
      </c>
      <c r="C17" s="144" t="s">
        <v>26</v>
      </c>
      <c r="D17" s="145">
        <f>SUM(SUMIF(tieuphau!$G$7:$G$37,"ĐĂNG",tieuphau!$H$7:$H$37),SUMIF(tieuphau!$I$7:$I$37,"ĐĂNG",tieuphau!$J$7:$J$37))</f>
        <v>0</v>
      </c>
      <c r="E17" s="143"/>
    </row>
    <row r="18" spans="1:6" ht="17.25" customHeight="1">
      <c r="A18" s="143">
        <v>12</v>
      </c>
      <c r="B18" s="62" t="s">
        <v>45</v>
      </c>
      <c r="C18" s="55" t="s">
        <v>27</v>
      </c>
      <c r="D18" s="146">
        <f>tieuphau!J51/8</f>
        <v>296444.375</v>
      </c>
      <c r="E18" s="143"/>
    </row>
    <row r="19" spans="1:6" ht="19.5" customHeight="1">
      <c r="A19" s="143">
        <v>13</v>
      </c>
      <c r="B19" s="62" t="s">
        <v>65</v>
      </c>
      <c r="C19" s="55" t="s">
        <v>27</v>
      </c>
      <c r="D19" s="146">
        <f>D18</f>
        <v>296444.375</v>
      </c>
      <c r="E19" s="147"/>
    </row>
    <row r="20" spans="1:6" ht="16.5" customHeight="1">
      <c r="A20" s="143">
        <v>15</v>
      </c>
      <c r="B20" s="62" t="s">
        <v>82</v>
      </c>
      <c r="C20" s="55" t="s">
        <v>27</v>
      </c>
      <c r="D20" s="146">
        <f t="shared" ref="D20:D25" si="0">D19</f>
        <v>296444.375</v>
      </c>
      <c r="E20" s="143"/>
    </row>
    <row r="21" spans="1:6" ht="16.8">
      <c r="A21" s="143">
        <v>17</v>
      </c>
      <c r="B21" s="62" t="s">
        <v>46</v>
      </c>
      <c r="C21" s="55" t="s">
        <v>27</v>
      </c>
      <c r="D21" s="146">
        <f t="shared" si="0"/>
        <v>296444.375</v>
      </c>
      <c r="E21" s="143"/>
    </row>
    <row r="22" spans="1:6" ht="16.5" customHeight="1">
      <c r="A22" s="143">
        <v>18</v>
      </c>
      <c r="B22" s="62" t="s">
        <v>70</v>
      </c>
      <c r="C22" s="55" t="s">
        <v>27</v>
      </c>
      <c r="D22" s="146">
        <f t="shared" si="0"/>
        <v>296444.375</v>
      </c>
      <c r="E22" s="143"/>
    </row>
    <row r="23" spans="1:6" ht="16.5" customHeight="1">
      <c r="A23" s="143">
        <v>19</v>
      </c>
      <c r="B23" s="62" t="s">
        <v>116</v>
      </c>
      <c r="C23" s="55" t="s">
        <v>27</v>
      </c>
      <c r="D23" s="146">
        <f t="shared" si="0"/>
        <v>296444.375</v>
      </c>
      <c r="E23" s="143"/>
    </row>
    <row r="24" spans="1:6" ht="16.5" customHeight="1">
      <c r="A24" s="143">
        <v>20</v>
      </c>
      <c r="B24" s="62" t="s">
        <v>93</v>
      </c>
      <c r="C24" s="55" t="s">
        <v>27</v>
      </c>
      <c r="D24" s="146">
        <f t="shared" si="0"/>
        <v>296444.375</v>
      </c>
      <c r="E24" s="143"/>
    </row>
    <row r="25" spans="1:6" ht="16.5" customHeight="1">
      <c r="A25" s="143">
        <v>21</v>
      </c>
      <c r="B25" s="62" t="s">
        <v>73</v>
      </c>
      <c r="C25" s="55" t="s">
        <v>27</v>
      </c>
      <c r="D25" s="146">
        <f t="shared" si="0"/>
        <v>296444.375</v>
      </c>
      <c r="E25" s="143"/>
    </row>
    <row r="26" spans="1:6" ht="15.6">
      <c r="A26" s="143"/>
      <c r="B26" s="148" t="s">
        <v>28</v>
      </c>
      <c r="C26" s="148"/>
      <c r="D26" s="149">
        <f>SUM(D7:D25)</f>
        <v>11232793.75</v>
      </c>
      <c r="E26" s="148"/>
    </row>
    <row r="27" spans="1:6">
      <c r="D27" s="61"/>
      <c r="E27" s="104"/>
      <c r="F27" s="61"/>
    </row>
    <row r="28" spans="1:6" ht="15.6">
      <c r="A28" s="130"/>
      <c r="B28" s="130"/>
      <c r="C28" s="130"/>
      <c r="D28" s="507" t="s">
        <v>137</v>
      </c>
      <c r="E28" s="507"/>
    </row>
    <row r="29" spans="1:6" ht="15.6">
      <c r="A29" s="130" t="s">
        <v>20</v>
      </c>
      <c r="B29" s="130"/>
      <c r="C29" s="150"/>
      <c r="D29" s="474" t="s">
        <v>21</v>
      </c>
      <c r="E29" s="474"/>
    </row>
    <row r="30" spans="1:6">
      <c r="E30" s="61"/>
    </row>
    <row r="31" spans="1:6">
      <c r="D31" s="61"/>
      <c r="E31" s="61"/>
    </row>
    <row r="32" spans="1:6">
      <c r="D32" s="61"/>
    </row>
    <row r="33" spans="1:4">
      <c r="A33" s="508"/>
      <c r="B33" s="508"/>
      <c r="D33" s="61"/>
    </row>
  </sheetData>
  <mergeCells count="7">
    <mergeCell ref="A1:B1"/>
    <mergeCell ref="D28:E28"/>
    <mergeCell ref="A33:B33"/>
    <mergeCell ref="D29:E29"/>
    <mergeCell ref="A3:E3"/>
    <mergeCell ref="A4:E4"/>
    <mergeCell ref="A2:B2"/>
  </mergeCells>
  <phoneticPr fontId="2" type="noConversion"/>
  <pageMargins left="0.75" right="0.5" top="1" bottom="1" header="0" footer="0"/>
  <pageSetup orientation="portrait" horizontalDpi="200" verticalDpi="2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5"/>
  <sheetViews>
    <sheetView view="pageLayout" zoomScaleNormal="100" workbookViewId="0">
      <selection activeCell="E10" sqref="E10"/>
    </sheetView>
  </sheetViews>
  <sheetFormatPr defaultColWidth="9.109375" defaultRowHeight="13.2"/>
  <cols>
    <col min="1" max="1" width="7.109375" style="14" customWidth="1"/>
    <col min="2" max="2" width="26" style="14" customWidth="1"/>
    <col min="3" max="3" width="14.88671875" style="15" customWidth="1"/>
    <col min="4" max="4" width="17.44140625" style="15" customWidth="1"/>
    <col min="5" max="5" width="16.44140625" style="14" customWidth="1"/>
    <col min="6" max="6" width="5.109375" style="14" customWidth="1"/>
    <col min="7" max="7" width="16.5546875" style="14" bestFit="1" customWidth="1"/>
    <col min="8" max="16384" width="9.109375" style="14"/>
  </cols>
  <sheetData>
    <row r="1" spans="1:8" ht="24.75" customHeight="1">
      <c r="A1" s="509" t="s">
        <v>0</v>
      </c>
      <c r="B1" s="509"/>
      <c r="C1" s="509"/>
    </row>
    <row r="2" spans="1:8" ht="16.8">
      <c r="A2" s="510" t="s">
        <v>44</v>
      </c>
      <c r="B2" s="510"/>
      <c r="C2" s="510"/>
    </row>
    <row r="3" spans="1:8" ht="30" customHeight="1">
      <c r="A3" s="511" t="s">
        <v>132</v>
      </c>
      <c r="B3" s="511"/>
      <c r="C3" s="511"/>
      <c r="D3" s="511"/>
      <c r="E3" s="511"/>
      <c r="G3" s="17"/>
    </row>
    <row r="4" spans="1:8" ht="20.399999999999999">
      <c r="B4" s="16"/>
      <c r="C4" s="18" t="s">
        <v>41</v>
      </c>
      <c r="G4" s="17"/>
    </row>
    <row r="5" spans="1:8" ht="10.5" customHeight="1" thickBot="1">
      <c r="B5" s="16"/>
      <c r="C5" s="18"/>
      <c r="G5" s="17"/>
    </row>
    <row r="6" spans="1:8" ht="17.399999999999999" thickBot="1">
      <c r="A6" s="19" t="s">
        <v>2</v>
      </c>
      <c r="B6" s="20" t="s">
        <v>13</v>
      </c>
      <c r="C6" s="21" t="s">
        <v>47</v>
      </c>
      <c r="D6" s="21" t="s">
        <v>14</v>
      </c>
      <c r="E6" s="21" t="s">
        <v>15</v>
      </c>
      <c r="F6" s="34"/>
    </row>
    <row r="7" spans="1:8" ht="17.399999999999999" thickBot="1">
      <c r="A7" s="219">
        <v>1</v>
      </c>
      <c r="B7" s="9" t="s">
        <v>45</v>
      </c>
      <c r="C7" s="22" t="s">
        <v>27</v>
      </c>
      <c r="D7" s="23" t="s">
        <v>56</v>
      </c>
      <c r="E7" s="32">
        <f>F7/19.5</f>
        <v>1</v>
      </c>
      <c r="F7" s="35">
        <v>19.5</v>
      </c>
      <c r="G7" s="24"/>
    </row>
    <row r="8" spans="1:8" ht="17.399999999999999" thickBot="1">
      <c r="A8" s="219">
        <v>2</v>
      </c>
      <c r="B8" s="9" t="s">
        <v>65</v>
      </c>
      <c r="C8" s="22" t="s">
        <v>27</v>
      </c>
      <c r="D8" s="23" t="s">
        <v>56</v>
      </c>
      <c r="E8" s="32">
        <f>F8/19.5</f>
        <v>1</v>
      </c>
      <c r="F8" s="35">
        <v>19.5</v>
      </c>
      <c r="H8" s="25"/>
    </row>
    <row r="9" spans="1:8" ht="21.75" customHeight="1" thickBot="1">
      <c r="A9" s="219">
        <v>3</v>
      </c>
      <c r="B9" s="79" t="s">
        <v>70</v>
      </c>
      <c r="C9" s="22" t="s">
        <v>27</v>
      </c>
      <c r="D9" s="23" t="s">
        <v>56</v>
      </c>
      <c r="E9" s="81"/>
      <c r="F9" s="35"/>
    </row>
    <row r="10" spans="1:8" ht="21.75" customHeight="1" thickBot="1">
      <c r="A10" s="219">
        <v>4</v>
      </c>
      <c r="B10" s="79" t="s">
        <v>73</v>
      </c>
      <c r="C10" s="22" t="s">
        <v>27</v>
      </c>
      <c r="D10" s="23" t="s">
        <v>56</v>
      </c>
      <c r="E10" s="81"/>
      <c r="F10" s="35"/>
    </row>
    <row r="11" spans="1:8" ht="21.75" customHeight="1" thickBot="1">
      <c r="A11" s="219">
        <v>5</v>
      </c>
      <c r="B11" s="79" t="s">
        <v>82</v>
      </c>
      <c r="C11" s="103" t="s">
        <v>27</v>
      </c>
      <c r="D11" s="23" t="s">
        <v>56</v>
      </c>
      <c r="E11" s="81"/>
      <c r="F11" s="35"/>
    </row>
    <row r="12" spans="1:8" ht="21.75" customHeight="1" thickBot="1">
      <c r="A12" s="219">
        <v>6</v>
      </c>
      <c r="B12" s="79" t="s">
        <v>93</v>
      </c>
      <c r="C12" s="103" t="s">
        <v>27</v>
      </c>
      <c r="D12" s="23" t="s">
        <v>56</v>
      </c>
      <c r="E12" s="81"/>
      <c r="F12" s="35"/>
    </row>
    <row r="13" spans="1:8" ht="21.75" customHeight="1" thickBot="1">
      <c r="A13" s="219">
        <v>7</v>
      </c>
      <c r="B13" s="79" t="s">
        <v>46</v>
      </c>
      <c r="C13" s="103" t="s">
        <v>27</v>
      </c>
      <c r="D13" s="23" t="s">
        <v>56</v>
      </c>
      <c r="E13" s="81"/>
      <c r="F13" s="35"/>
    </row>
    <row r="14" spans="1:8" ht="21.75" customHeight="1" thickBot="1">
      <c r="A14" s="220">
        <v>8</v>
      </c>
      <c r="B14" s="79" t="s">
        <v>116</v>
      </c>
      <c r="C14" s="103" t="s">
        <v>27</v>
      </c>
      <c r="D14" s="23" t="s">
        <v>56</v>
      </c>
      <c r="E14" s="81"/>
      <c r="F14" s="35"/>
    </row>
    <row r="15" spans="1:8" ht="17.399999999999999" thickBot="1">
      <c r="A15" s="26"/>
      <c r="B15" s="27" t="s">
        <v>28</v>
      </c>
      <c r="C15" s="28"/>
      <c r="D15" s="29">
        <f>SUM(D7:D14)</f>
        <v>0</v>
      </c>
      <c r="E15" s="30"/>
      <c r="F15" s="36"/>
      <c r="G15" s="24"/>
    </row>
    <row r="16" spans="1:8" ht="26.25" customHeight="1">
      <c r="A16" s="58"/>
      <c r="B16" s="24"/>
    </row>
    <row r="17" spans="2:5">
      <c r="B17" s="24"/>
    </row>
    <row r="18" spans="2:5">
      <c r="D18" s="59" t="s">
        <v>133</v>
      </c>
    </row>
    <row r="19" spans="2:5">
      <c r="B19" s="14" t="s">
        <v>20</v>
      </c>
      <c r="D19" s="512" t="s">
        <v>21</v>
      </c>
      <c r="E19" s="512"/>
    </row>
    <row r="20" spans="2:5">
      <c r="E20" s="169"/>
    </row>
    <row r="22" spans="2:5">
      <c r="E22" s="25"/>
    </row>
    <row r="25" spans="2:5">
      <c r="D25" s="31"/>
    </row>
  </sheetData>
  <mergeCells count="4">
    <mergeCell ref="A1:C1"/>
    <mergeCell ref="A2:C2"/>
    <mergeCell ref="A3:E3"/>
    <mergeCell ref="D19:E19"/>
  </mergeCells>
  <phoneticPr fontId="0" type="noConversion"/>
  <pageMargins left="0.75" right="0.5" top="0.5" bottom="0.5" header="0" footer="0"/>
  <pageSetup paperSize="9" orientation="portrait" verticalDpi="2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48"/>
  <sheetViews>
    <sheetView topLeftCell="A22" workbookViewId="0">
      <selection activeCell="B29" sqref="B29"/>
    </sheetView>
  </sheetViews>
  <sheetFormatPr defaultColWidth="9.109375" defaultRowHeight="13.2"/>
  <cols>
    <col min="1" max="1" width="5" style="72" customWidth="1"/>
    <col min="2" max="2" width="24.6640625" style="72" customWidth="1"/>
    <col min="3" max="3" width="13.109375" style="71" customWidth="1"/>
    <col min="4" max="4" width="18.88671875" style="71" customWidth="1"/>
    <col min="5" max="5" width="12.5546875" style="178" customWidth="1"/>
    <col min="6" max="6" width="12.88671875" style="384" customWidth="1"/>
    <col min="7" max="7" width="12.5546875" style="182" customWidth="1"/>
    <col min="8" max="8" width="12.5546875" style="72" customWidth="1"/>
    <col min="9" max="9" width="11.109375" style="72" customWidth="1"/>
    <col min="10" max="12" width="9.109375" style="72"/>
    <col min="13" max="13" width="12.5546875" style="72" bestFit="1" customWidth="1"/>
    <col min="14" max="16384" width="9.109375" style="72"/>
  </cols>
  <sheetData>
    <row r="1" spans="1:9" ht="16.8">
      <c r="A1" s="513" t="s">
        <v>0</v>
      </c>
      <c r="B1" s="513"/>
      <c r="C1" s="513"/>
      <c r="D1" s="203"/>
    </row>
    <row r="2" spans="1:9" ht="18" customHeight="1">
      <c r="A2" s="514" t="s">
        <v>75</v>
      </c>
      <c r="B2" s="514"/>
      <c r="C2" s="514"/>
      <c r="D2" s="204"/>
    </row>
    <row r="3" spans="1:9" s="189" customFormat="1" ht="26.25" customHeight="1">
      <c r="A3" s="518" t="s">
        <v>176</v>
      </c>
      <c r="B3" s="518"/>
      <c r="C3" s="518"/>
      <c r="D3" s="518"/>
      <c r="E3" s="518"/>
      <c r="F3" s="518"/>
      <c r="G3" s="518"/>
      <c r="H3" s="518"/>
    </row>
    <row r="4" spans="1:9" ht="20.25" customHeight="1">
      <c r="A4" s="519" t="s">
        <v>67</v>
      </c>
      <c r="B4" s="519"/>
      <c r="C4" s="519"/>
      <c r="D4" s="519"/>
      <c r="E4" s="519"/>
      <c r="F4" s="519"/>
      <c r="G4" s="519"/>
      <c r="H4" s="519"/>
    </row>
    <row r="5" spans="1:9" ht="5.25" customHeight="1">
      <c r="B5" s="74"/>
      <c r="C5" s="75"/>
      <c r="D5" s="75"/>
      <c r="H5" s="73"/>
    </row>
    <row r="6" spans="1:9" s="189" customFormat="1" ht="20.25" customHeight="1">
      <c r="A6" s="102" t="s">
        <v>2</v>
      </c>
      <c r="B6" s="102" t="s">
        <v>13</v>
      </c>
      <c r="C6" s="134" t="s">
        <v>85</v>
      </c>
      <c r="D6" s="134" t="s">
        <v>118</v>
      </c>
      <c r="E6" s="179" t="s">
        <v>14</v>
      </c>
      <c r="F6" s="383" t="s">
        <v>90</v>
      </c>
      <c r="G6" s="179" t="s">
        <v>51</v>
      </c>
      <c r="H6" s="134" t="s">
        <v>15</v>
      </c>
    </row>
    <row r="7" spans="1:9" s="189" customFormat="1" ht="20.25" customHeight="1">
      <c r="A7" s="114">
        <v>1</v>
      </c>
      <c r="B7" s="115" t="s">
        <v>23</v>
      </c>
      <c r="C7" s="116" t="s">
        <v>26</v>
      </c>
      <c r="D7" s="232">
        <v>102006610216</v>
      </c>
      <c r="E7" s="180">
        <f>'lanh tien tphau'!D7+'lanh tien PT'!D7+'Lãnh tiền PTYC'!E7</f>
        <v>1894377.5</v>
      </c>
      <c r="F7" s="222">
        <f>E7-G7</f>
        <v>0</v>
      </c>
      <c r="G7" s="183">
        <f>E7</f>
        <v>1894377.5</v>
      </c>
      <c r="H7" s="118"/>
    </row>
    <row r="8" spans="1:9" s="189" customFormat="1" ht="20.25" customHeight="1">
      <c r="A8" s="114">
        <v>2</v>
      </c>
      <c r="B8" s="115" t="s">
        <v>18</v>
      </c>
      <c r="C8" s="116" t="s">
        <v>26</v>
      </c>
      <c r="D8" s="232">
        <v>103006610215</v>
      </c>
      <c r="E8" s="180">
        <f>'lanh tien tphau'!D8+'lanh tien PT'!D8</f>
        <v>626283</v>
      </c>
      <c r="F8" s="222">
        <f t="shared" ref="F8:F31" si="0">E8-G8</f>
        <v>0</v>
      </c>
      <c r="G8" s="183">
        <f>E8</f>
        <v>626283</v>
      </c>
      <c r="H8" s="118"/>
    </row>
    <row r="9" spans="1:9" s="189" customFormat="1" ht="20.25" customHeight="1">
      <c r="A9" s="114">
        <v>3</v>
      </c>
      <c r="B9" s="115" t="s">
        <v>17</v>
      </c>
      <c r="C9" s="116" t="s">
        <v>26</v>
      </c>
      <c r="D9" s="232">
        <v>100006610218</v>
      </c>
      <c r="E9" s="180">
        <f>'lanh tien tphau'!D9+'lanh tien PT'!D9+'Bác sĩ điều trị'!D9+'Lãnh tiền PTYC'!E9</f>
        <v>15116652.5</v>
      </c>
      <c r="F9" s="222">
        <f t="shared" si="0"/>
        <v>1511665.25</v>
      </c>
      <c r="G9" s="183">
        <f t="shared" ref="G9" si="1">E9*0.9</f>
        <v>13604987.25</v>
      </c>
      <c r="H9" s="118"/>
      <c r="I9" s="233"/>
    </row>
    <row r="10" spans="1:9" s="189" customFormat="1" ht="20.25" customHeight="1">
      <c r="A10" s="114">
        <v>4</v>
      </c>
      <c r="B10" s="115" t="s">
        <v>19</v>
      </c>
      <c r="C10" s="116" t="s">
        <v>26</v>
      </c>
      <c r="D10" s="232">
        <v>100006610162</v>
      </c>
      <c r="E10" s="180">
        <f>'lanh tien tphau'!D10</f>
        <v>280880</v>
      </c>
      <c r="F10" s="222">
        <f t="shared" si="0"/>
        <v>0</v>
      </c>
      <c r="G10" s="183">
        <f>E10</f>
        <v>280880</v>
      </c>
      <c r="H10" s="119"/>
    </row>
    <row r="11" spans="1:9" s="189" customFormat="1" ht="20.25" customHeight="1">
      <c r="A11" s="114">
        <v>5</v>
      </c>
      <c r="B11" s="115" t="s">
        <v>74</v>
      </c>
      <c r="C11" s="116" t="s">
        <v>66</v>
      </c>
      <c r="D11" s="232">
        <v>105001159195</v>
      </c>
      <c r="E11" s="180">
        <f>'lanh tien tphau'!D11+'lanh tien PT'!D10</f>
        <v>6490548.25</v>
      </c>
      <c r="F11" s="222">
        <f t="shared" si="0"/>
        <v>0</v>
      </c>
      <c r="G11" s="183">
        <f>E11</f>
        <v>6490548.25</v>
      </c>
      <c r="H11" s="118"/>
    </row>
    <row r="12" spans="1:9" s="189" customFormat="1" ht="20.25" customHeight="1">
      <c r="A12" s="114">
        <v>6</v>
      </c>
      <c r="B12" s="115" t="s">
        <v>94</v>
      </c>
      <c r="C12" s="116" t="s">
        <v>66</v>
      </c>
      <c r="D12" s="232">
        <v>105867664283</v>
      </c>
      <c r="E12" s="180">
        <f>'lanh tien PT'!D11+'lanh tien tphau'!D14+'Bác sĩ điều trị'!D15</f>
        <v>4828111.5</v>
      </c>
      <c r="F12" s="222">
        <f t="shared" si="0"/>
        <v>482811.14999999944</v>
      </c>
      <c r="G12" s="183">
        <f>E12*0.9</f>
        <v>4345300.3500000006</v>
      </c>
      <c r="H12" s="117"/>
    </row>
    <row r="13" spans="1:9" s="189" customFormat="1" ht="20.25" customHeight="1">
      <c r="A13" s="114">
        <v>7</v>
      </c>
      <c r="B13" s="115" t="s">
        <v>72</v>
      </c>
      <c r="C13" s="116" t="s">
        <v>66</v>
      </c>
      <c r="D13" s="232">
        <v>105001225232</v>
      </c>
      <c r="E13" s="180">
        <f>'lanh tien PT'!D12+'Bác sĩ điều trị'!D13+'lanh tien tphau'!D15</f>
        <v>5420833.5</v>
      </c>
      <c r="F13" s="222">
        <f t="shared" si="0"/>
        <v>542083.34999999963</v>
      </c>
      <c r="G13" s="183">
        <f>E13*0.9</f>
        <v>4878750.1500000004</v>
      </c>
      <c r="H13" s="117"/>
    </row>
    <row r="14" spans="1:9" s="189" customFormat="1" ht="20.25" customHeight="1">
      <c r="A14" s="114">
        <v>8</v>
      </c>
      <c r="B14" s="115" t="s">
        <v>115</v>
      </c>
      <c r="C14" s="116" t="s">
        <v>66</v>
      </c>
      <c r="D14" s="232">
        <v>107868829237</v>
      </c>
      <c r="E14" s="180">
        <f>'lanh tien tphau'!D13+'lanh tien PT'!D13+'Bác sĩ điều trị'!D16</f>
        <v>5805006.75</v>
      </c>
      <c r="F14" s="222">
        <f t="shared" si="0"/>
        <v>0</v>
      </c>
      <c r="G14" s="183">
        <f t="shared" ref="G14:G32" si="2">E14</f>
        <v>5805006.75</v>
      </c>
      <c r="H14" s="117"/>
    </row>
    <row r="15" spans="1:9" s="189" customFormat="1" ht="20.25" customHeight="1">
      <c r="A15" s="114">
        <v>9</v>
      </c>
      <c r="B15" s="115" t="s">
        <v>84</v>
      </c>
      <c r="C15" s="116" t="s">
        <v>66</v>
      </c>
      <c r="D15" s="348" t="s">
        <v>131</v>
      </c>
      <c r="E15" s="180">
        <f>'lanh tien tphau'!D12+'lanh tien PT'!D14+'Bác sĩ điều trị'!D14</f>
        <v>2639471.125</v>
      </c>
      <c r="F15" s="222">
        <f t="shared" si="0"/>
        <v>0</v>
      </c>
      <c r="G15" s="183">
        <f t="shared" si="2"/>
        <v>2639471.125</v>
      </c>
      <c r="H15" s="117"/>
    </row>
    <row r="16" spans="1:9" s="189" customFormat="1" ht="20.25" customHeight="1">
      <c r="A16" s="114">
        <v>10</v>
      </c>
      <c r="B16" s="115" t="s">
        <v>68</v>
      </c>
      <c r="C16" s="116" t="s">
        <v>66</v>
      </c>
      <c r="D16" s="348" t="s">
        <v>640</v>
      </c>
      <c r="E16" s="180">
        <f>'lanh tien tphau'!D16+'lanh tien PT'!D15</f>
        <v>1099323.5</v>
      </c>
      <c r="F16" s="222">
        <f t="shared" si="0"/>
        <v>0</v>
      </c>
      <c r="G16" s="183">
        <f>E16</f>
        <v>1099323.5</v>
      </c>
      <c r="H16" s="117"/>
    </row>
    <row r="17" spans="1:13" s="189" customFormat="1" ht="20.25" customHeight="1">
      <c r="A17" s="114">
        <v>11</v>
      </c>
      <c r="B17" s="115" t="s">
        <v>138</v>
      </c>
      <c r="C17" s="116" t="s">
        <v>66</v>
      </c>
      <c r="D17" s="348" t="s">
        <v>141</v>
      </c>
      <c r="E17" s="180">
        <f>'lanh tien PT'!D16</f>
        <v>3615463</v>
      </c>
      <c r="F17" s="222">
        <f t="shared" si="0"/>
        <v>0</v>
      </c>
      <c r="G17" s="183">
        <f t="shared" si="2"/>
        <v>3615463</v>
      </c>
      <c r="H17" s="117"/>
    </row>
    <row r="18" spans="1:13" s="189" customFormat="1" ht="20.25" customHeight="1">
      <c r="A18" s="114">
        <v>14</v>
      </c>
      <c r="B18" s="107" t="s">
        <v>157</v>
      </c>
      <c r="C18" s="261" t="s">
        <v>60</v>
      </c>
      <c r="D18" s="393">
        <v>106879496711</v>
      </c>
      <c r="E18" s="180">
        <f>'lanh tien PT'!D17</f>
        <v>1126579</v>
      </c>
      <c r="F18" s="222">
        <f t="shared" si="0"/>
        <v>0</v>
      </c>
      <c r="G18" s="183">
        <f t="shared" si="2"/>
        <v>1126579</v>
      </c>
      <c r="H18" s="117"/>
    </row>
    <row r="19" spans="1:13" s="189" customFormat="1" ht="20.25" customHeight="1">
      <c r="A19" s="114">
        <v>15</v>
      </c>
      <c r="B19" s="107" t="s">
        <v>158</v>
      </c>
      <c r="C19" s="261" t="s">
        <v>60</v>
      </c>
      <c r="D19" s="393">
        <v>106879496654</v>
      </c>
      <c r="E19" s="180">
        <f>'lanh tien PT'!D18</f>
        <v>1053571</v>
      </c>
      <c r="F19" s="222">
        <f t="shared" si="0"/>
        <v>0</v>
      </c>
      <c r="G19" s="183">
        <f t="shared" si="2"/>
        <v>1053571</v>
      </c>
      <c r="H19" s="117"/>
    </row>
    <row r="20" spans="1:13" s="189" customFormat="1" ht="20.25" customHeight="1">
      <c r="A20" s="114">
        <v>16</v>
      </c>
      <c r="B20" s="107" t="s">
        <v>159</v>
      </c>
      <c r="C20" s="261" t="s">
        <v>60</v>
      </c>
      <c r="D20" s="393">
        <v>102872446123</v>
      </c>
      <c r="E20" s="180">
        <f>'lanh tien PT'!D19</f>
        <v>876779</v>
      </c>
      <c r="F20" s="222">
        <f t="shared" si="0"/>
        <v>0</v>
      </c>
      <c r="G20" s="183">
        <f t="shared" si="2"/>
        <v>876779</v>
      </c>
      <c r="H20" s="117"/>
    </row>
    <row r="21" spans="1:13" s="189" customFormat="1" ht="20.25" customHeight="1">
      <c r="A21" s="114">
        <v>17</v>
      </c>
      <c r="B21" s="107" t="s">
        <v>160</v>
      </c>
      <c r="C21" s="261" t="s">
        <v>60</v>
      </c>
      <c r="D21" s="232">
        <v>102881115539</v>
      </c>
      <c r="E21" s="180">
        <f>'lanh tien PT'!D20</f>
        <v>305383</v>
      </c>
      <c r="F21" s="222">
        <f t="shared" si="0"/>
        <v>0</v>
      </c>
      <c r="G21" s="183">
        <f t="shared" si="2"/>
        <v>305383</v>
      </c>
      <c r="H21" s="117"/>
    </row>
    <row r="22" spans="1:13" s="189" customFormat="1" ht="20.25" customHeight="1">
      <c r="A22" s="114">
        <v>18</v>
      </c>
      <c r="B22" s="107" t="s">
        <v>161</v>
      </c>
      <c r="C22" s="261" t="s">
        <v>60</v>
      </c>
      <c r="D22" s="309">
        <v>101881130087</v>
      </c>
      <c r="E22" s="180">
        <f>'lanh tien PT'!D21</f>
        <v>1026382</v>
      </c>
      <c r="F22" s="222">
        <f t="shared" si="0"/>
        <v>0</v>
      </c>
      <c r="G22" s="183">
        <f t="shared" si="2"/>
        <v>1026382</v>
      </c>
      <c r="H22" s="117"/>
    </row>
    <row r="23" spans="1:13" s="189" customFormat="1" ht="20.25" customHeight="1">
      <c r="A23" s="114">
        <v>19</v>
      </c>
      <c r="B23" s="107" t="s">
        <v>162</v>
      </c>
      <c r="C23" s="261" t="s">
        <v>60</v>
      </c>
      <c r="D23" s="309">
        <v>106881106486</v>
      </c>
      <c r="E23" s="180">
        <f>'lanh tien PT'!D22</f>
        <v>782506</v>
      </c>
      <c r="F23" s="222">
        <f t="shared" si="0"/>
        <v>0</v>
      </c>
      <c r="G23" s="183">
        <f t="shared" si="2"/>
        <v>782506</v>
      </c>
      <c r="H23" s="117"/>
    </row>
    <row r="24" spans="1:13" s="189" customFormat="1" ht="20.25" customHeight="1">
      <c r="A24" s="114">
        <v>20</v>
      </c>
      <c r="B24" s="107" t="s">
        <v>163</v>
      </c>
      <c r="C24" s="261" t="s">
        <v>60</v>
      </c>
      <c r="D24" s="309">
        <v>108881113738</v>
      </c>
      <c r="E24" s="180">
        <f>'lanh tien PT'!D23</f>
        <v>212850</v>
      </c>
      <c r="F24" s="222">
        <f t="shared" si="0"/>
        <v>0</v>
      </c>
      <c r="G24" s="183">
        <f t="shared" si="2"/>
        <v>212850</v>
      </c>
      <c r="H24" s="117"/>
    </row>
    <row r="25" spans="1:13" s="189" customFormat="1" ht="20.25" customHeight="1">
      <c r="A25" s="114">
        <v>21</v>
      </c>
      <c r="B25" s="107" t="s">
        <v>164</v>
      </c>
      <c r="C25" s="261" t="s">
        <v>60</v>
      </c>
      <c r="D25" s="309">
        <v>105881179249</v>
      </c>
      <c r="E25" s="180">
        <f>'lanh tien PT'!D24</f>
        <v>651965</v>
      </c>
      <c r="F25" s="222">
        <f t="shared" si="0"/>
        <v>0</v>
      </c>
      <c r="G25" s="183">
        <f t="shared" si="2"/>
        <v>651965</v>
      </c>
      <c r="H25" s="117"/>
    </row>
    <row r="26" spans="1:13" s="189" customFormat="1" ht="20.25" customHeight="1">
      <c r="A26" s="114">
        <v>22</v>
      </c>
      <c r="B26" s="107" t="s">
        <v>165</v>
      </c>
      <c r="C26" s="261" t="s">
        <v>60</v>
      </c>
      <c r="D26" s="309">
        <v>101881053043</v>
      </c>
      <c r="E26" s="180">
        <f>'lanh tien PT'!D25</f>
        <v>341159.5</v>
      </c>
      <c r="F26" s="222">
        <f t="shared" si="0"/>
        <v>0</v>
      </c>
      <c r="G26" s="183">
        <f t="shared" si="2"/>
        <v>341159.5</v>
      </c>
      <c r="H26" s="117"/>
    </row>
    <row r="27" spans="1:13" s="189" customFormat="1" ht="20.25" customHeight="1">
      <c r="A27" s="114">
        <v>23</v>
      </c>
      <c r="B27" s="107" t="s">
        <v>166</v>
      </c>
      <c r="C27" s="261" t="s">
        <v>60</v>
      </c>
      <c r="D27" s="409">
        <v>102883571393</v>
      </c>
      <c r="E27" s="180">
        <f>'lanh tien PT'!D26</f>
        <v>410344</v>
      </c>
      <c r="F27" s="222">
        <f t="shared" si="0"/>
        <v>0</v>
      </c>
      <c r="G27" s="183">
        <f t="shared" si="2"/>
        <v>410344</v>
      </c>
      <c r="H27" s="117"/>
    </row>
    <row r="28" spans="1:13" s="189" customFormat="1" ht="20.25" customHeight="1">
      <c r="A28" s="114">
        <v>24</v>
      </c>
      <c r="B28" s="107" t="s">
        <v>167</v>
      </c>
      <c r="C28" s="261" t="s">
        <v>60</v>
      </c>
      <c r="D28" s="410">
        <v>102869161271</v>
      </c>
      <c r="E28" s="180">
        <f>'lanh tien PT'!D27</f>
        <v>26971</v>
      </c>
      <c r="F28" s="222">
        <f t="shared" si="0"/>
        <v>0</v>
      </c>
      <c r="G28" s="183">
        <f t="shared" si="2"/>
        <v>26971</v>
      </c>
      <c r="H28" s="117"/>
    </row>
    <row r="29" spans="1:13" s="189" customFormat="1" ht="20.25" customHeight="1">
      <c r="A29" s="114">
        <v>25</v>
      </c>
      <c r="B29" s="107" t="s">
        <v>642</v>
      </c>
      <c r="C29" s="261" t="s">
        <v>60</v>
      </c>
      <c r="D29" s="411">
        <v>106883542216</v>
      </c>
      <c r="E29" s="180">
        <f>'lanh tien PT'!D28</f>
        <v>50524</v>
      </c>
      <c r="F29" s="222">
        <f t="shared" si="0"/>
        <v>0</v>
      </c>
      <c r="G29" s="183">
        <f t="shared" si="2"/>
        <v>50524</v>
      </c>
      <c r="H29" s="117"/>
    </row>
    <row r="30" spans="1:13" s="189" customFormat="1" ht="20.25" customHeight="1">
      <c r="A30" s="114">
        <v>26</v>
      </c>
      <c r="B30" s="107" t="s">
        <v>169</v>
      </c>
      <c r="C30" s="261" t="s">
        <v>60</v>
      </c>
      <c r="D30" s="349">
        <v>103870057143</v>
      </c>
      <c r="E30" s="180">
        <f>'lanh tien PT'!D29</f>
        <v>237968</v>
      </c>
      <c r="F30" s="222">
        <f t="shared" si="0"/>
        <v>0</v>
      </c>
      <c r="G30" s="183">
        <f t="shared" si="2"/>
        <v>237968</v>
      </c>
      <c r="H30" s="117"/>
    </row>
    <row r="31" spans="1:13" s="189" customFormat="1" ht="20.25" customHeight="1">
      <c r="A31" s="114">
        <v>27</v>
      </c>
      <c r="B31" s="107" t="s">
        <v>170</v>
      </c>
      <c r="C31" s="261" t="s">
        <v>60</v>
      </c>
      <c r="D31" s="411">
        <v>106883557907</v>
      </c>
      <c r="E31" s="180">
        <f>'lanh tien PT'!D30</f>
        <v>128954</v>
      </c>
      <c r="F31" s="222">
        <f t="shared" si="0"/>
        <v>0</v>
      </c>
      <c r="G31" s="183">
        <f t="shared" si="2"/>
        <v>128954</v>
      </c>
      <c r="H31" s="117"/>
    </row>
    <row r="32" spans="1:13" s="189" customFormat="1" ht="20.25" customHeight="1">
      <c r="A32" s="114">
        <v>28</v>
      </c>
      <c r="B32" s="115" t="s">
        <v>45</v>
      </c>
      <c r="C32" s="116" t="s">
        <v>27</v>
      </c>
      <c r="D32" s="232">
        <v>106006773860</v>
      </c>
      <c r="E32" s="180">
        <f>'lanh tien PT1'!D20</f>
        <v>2898754.8235294116</v>
      </c>
      <c r="F32" s="222" t="s">
        <v>56</v>
      </c>
      <c r="G32" s="183">
        <f t="shared" si="2"/>
        <v>2898754.8235294116</v>
      </c>
      <c r="H32" s="118"/>
      <c r="M32" s="234"/>
    </row>
    <row r="33" spans="1:12" s="189" customFormat="1" ht="20.25" customHeight="1">
      <c r="A33" s="114">
        <v>29</v>
      </c>
      <c r="B33" s="115" t="s">
        <v>65</v>
      </c>
      <c r="C33" s="116" t="s">
        <v>27</v>
      </c>
      <c r="D33" s="232">
        <v>105866700129</v>
      </c>
      <c r="E33" s="180">
        <f>'lanh tien PT1'!D21</f>
        <v>2898754.8235294116</v>
      </c>
      <c r="F33" s="222" t="s">
        <v>56</v>
      </c>
      <c r="G33" s="183">
        <f t="shared" ref="G33:G40" si="3">E33</f>
        <v>2898754.8235294116</v>
      </c>
      <c r="H33" s="118"/>
    </row>
    <row r="34" spans="1:12" s="189" customFormat="1" ht="20.25" customHeight="1">
      <c r="A34" s="114">
        <v>30</v>
      </c>
      <c r="B34" s="115" t="s">
        <v>82</v>
      </c>
      <c r="C34" s="116" t="s">
        <v>27</v>
      </c>
      <c r="D34" s="232" t="s">
        <v>119</v>
      </c>
      <c r="E34" s="180">
        <f>'lanh tien PT1'!D23</f>
        <v>2898754.8235294116</v>
      </c>
      <c r="F34" s="222" t="s">
        <v>56</v>
      </c>
      <c r="G34" s="183">
        <f t="shared" ref="G34:G39" si="4">E34</f>
        <v>2898754.8235294116</v>
      </c>
      <c r="H34" s="118"/>
    </row>
    <row r="35" spans="1:12" s="189" customFormat="1" ht="20.25" customHeight="1">
      <c r="A35" s="114">
        <v>31</v>
      </c>
      <c r="B35" s="115" t="s">
        <v>46</v>
      </c>
      <c r="C35" s="116" t="s">
        <v>27</v>
      </c>
      <c r="D35" s="232">
        <v>106002699376</v>
      </c>
      <c r="E35" s="180">
        <f>'lanh tien PT1'!D24+'Bác sĩ điều trị'!D17+'Bác sĩ điều trị'!D18</f>
        <v>5598754.8235294111</v>
      </c>
      <c r="F35" s="222" t="s">
        <v>56</v>
      </c>
      <c r="G35" s="183">
        <f t="shared" si="4"/>
        <v>5598754.8235294111</v>
      </c>
      <c r="H35" s="118"/>
    </row>
    <row r="36" spans="1:12" s="189" customFormat="1" ht="20.25" customHeight="1">
      <c r="A36" s="114">
        <v>32</v>
      </c>
      <c r="B36" s="115" t="s">
        <v>70</v>
      </c>
      <c r="C36" s="116" t="s">
        <v>27</v>
      </c>
      <c r="D36" s="232" t="s">
        <v>120</v>
      </c>
      <c r="E36" s="180">
        <f>'lanh tien PT1'!D22</f>
        <v>2898754.8235294116</v>
      </c>
      <c r="F36" s="222" t="s">
        <v>56</v>
      </c>
      <c r="G36" s="183">
        <f t="shared" si="4"/>
        <v>2898754.8235294116</v>
      </c>
      <c r="H36" s="118"/>
    </row>
    <row r="37" spans="1:12" s="189" customFormat="1" ht="20.25" customHeight="1">
      <c r="A37" s="114">
        <v>33</v>
      </c>
      <c r="B37" s="115" t="s">
        <v>116</v>
      </c>
      <c r="C37" s="116" t="s">
        <v>27</v>
      </c>
      <c r="D37" s="232">
        <v>102877256973</v>
      </c>
      <c r="E37" s="180">
        <f>'lanh tien PT1'!D25</f>
        <v>2898754.8235294116</v>
      </c>
      <c r="F37" s="222" t="s">
        <v>56</v>
      </c>
      <c r="G37" s="183">
        <f t="shared" si="4"/>
        <v>2898754.8235294116</v>
      </c>
      <c r="H37" s="118"/>
    </row>
    <row r="38" spans="1:12" s="189" customFormat="1" ht="20.25" customHeight="1">
      <c r="A38" s="114">
        <v>34</v>
      </c>
      <c r="B38" s="236" t="s">
        <v>93</v>
      </c>
      <c r="C38" s="237" t="s">
        <v>27</v>
      </c>
      <c r="D38" s="232">
        <v>108872473096</v>
      </c>
      <c r="E38" s="180">
        <f>'lanh tien PT1'!D26</f>
        <v>2898754.8235294116</v>
      </c>
      <c r="F38" s="222" t="s">
        <v>56</v>
      </c>
      <c r="G38" s="183">
        <f t="shared" si="4"/>
        <v>2898754.8235294116</v>
      </c>
      <c r="H38" s="118"/>
    </row>
    <row r="39" spans="1:12" s="189" customFormat="1" ht="20.25" customHeight="1">
      <c r="A39" s="114">
        <v>35</v>
      </c>
      <c r="B39" s="236" t="s">
        <v>73</v>
      </c>
      <c r="C39" s="237" t="s">
        <v>27</v>
      </c>
      <c r="D39" s="232">
        <v>109869939394</v>
      </c>
      <c r="E39" s="180">
        <f>'lanh tien PT1'!D27</f>
        <v>2898754.8235294116</v>
      </c>
      <c r="F39" s="222" t="s">
        <v>56</v>
      </c>
      <c r="G39" s="183">
        <f t="shared" si="4"/>
        <v>2898754.8235294116</v>
      </c>
      <c r="H39" s="118"/>
    </row>
    <row r="40" spans="1:12" s="189" customFormat="1" ht="20.25" customHeight="1">
      <c r="A40" s="114">
        <v>36</v>
      </c>
      <c r="B40" s="115" t="s">
        <v>55</v>
      </c>
      <c r="C40" s="120" t="s">
        <v>91</v>
      </c>
      <c r="D40" s="232">
        <v>108002699374</v>
      </c>
      <c r="E40" s="180">
        <f>'lanh tien PT1'!D28</f>
        <v>1548335.4117647058</v>
      </c>
      <c r="F40" s="222" t="s">
        <v>56</v>
      </c>
      <c r="G40" s="183">
        <f t="shared" si="3"/>
        <v>1548335.4117647058</v>
      </c>
      <c r="H40" s="118"/>
    </row>
    <row r="41" spans="1:12" s="189" customFormat="1" ht="20.25" customHeight="1">
      <c r="A41" s="115"/>
      <c r="B41" s="113" t="s">
        <v>28</v>
      </c>
      <c r="C41" s="121"/>
      <c r="D41" s="121"/>
      <c r="E41" s="180">
        <f>SUM(E7:E40)</f>
        <v>82487260.125</v>
      </c>
      <c r="F41" s="222">
        <f>SUM(F7:F40)</f>
        <v>2536559.7499999991</v>
      </c>
      <c r="G41" s="180">
        <f>SUM(G7:G40)</f>
        <v>79950700.375</v>
      </c>
      <c r="H41" s="122"/>
      <c r="J41" s="235"/>
    </row>
    <row r="42" spans="1:12">
      <c r="B42" s="77"/>
      <c r="L42" s="78"/>
    </row>
    <row r="43" spans="1:12" ht="16.5" customHeight="1">
      <c r="B43" s="77"/>
      <c r="F43" s="516" t="s">
        <v>137</v>
      </c>
      <c r="G43" s="516"/>
      <c r="H43" s="516"/>
      <c r="I43" s="516"/>
      <c r="L43" s="78"/>
    </row>
    <row r="44" spans="1:12" ht="18">
      <c r="A44" s="515" t="s">
        <v>20</v>
      </c>
      <c r="B44" s="515"/>
      <c r="C44" s="75"/>
      <c r="D44" s="75"/>
      <c r="E44" s="272"/>
      <c r="F44" s="517" t="s">
        <v>21</v>
      </c>
      <c r="G44" s="517"/>
      <c r="H44" s="517"/>
    </row>
    <row r="45" spans="1:12" ht="18">
      <c r="A45" s="74"/>
      <c r="B45" s="74"/>
      <c r="C45" s="75"/>
      <c r="D45" s="75"/>
      <c r="E45" s="272"/>
      <c r="F45" s="385"/>
      <c r="G45" s="273"/>
      <c r="H45" s="74"/>
    </row>
    <row r="46" spans="1:12" ht="18">
      <c r="A46" s="74"/>
      <c r="B46" s="74"/>
      <c r="C46" s="75"/>
      <c r="D46" s="75"/>
      <c r="E46" s="272"/>
      <c r="F46" s="385"/>
      <c r="G46" s="274"/>
      <c r="H46" s="74"/>
    </row>
    <row r="47" spans="1:12" ht="18">
      <c r="A47" s="74"/>
      <c r="B47" s="74"/>
      <c r="C47" s="75"/>
      <c r="D47" s="75"/>
      <c r="E47" s="272"/>
      <c r="F47" s="385"/>
      <c r="G47" s="273"/>
      <c r="H47" s="74"/>
    </row>
    <row r="48" spans="1:12" ht="18">
      <c r="A48" s="515" t="s">
        <v>96</v>
      </c>
      <c r="B48" s="515"/>
      <c r="C48" s="75"/>
      <c r="D48" s="75"/>
      <c r="E48" s="272"/>
      <c r="F48" s="515" t="s">
        <v>109</v>
      </c>
      <c r="G48" s="515"/>
      <c r="H48" s="515"/>
    </row>
  </sheetData>
  <mergeCells count="9">
    <mergeCell ref="A1:C1"/>
    <mergeCell ref="A2:C2"/>
    <mergeCell ref="F48:H48"/>
    <mergeCell ref="A44:B44"/>
    <mergeCell ref="F43:I43"/>
    <mergeCell ref="F44:H44"/>
    <mergeCell ref="A3:H3"/>
    <mergeCell ref="A4:H4"/>
    <mergeCell ref="A48:B48"/>
  </mergeCells>
  <pageMargins left="0.39370078740157483" right="0.27559055118110237" top="0.39370078740157483" bottom="0.19685039370078741" header="0.31496062992125984" footer="0.25"/>
  <pageSetup paperSize="9" scale="87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49"/>
  <sheetViews>
    <sheetView topLeftCell="A10" zoomScaleNormal="100" workbookViewId="0">
      <selection activeCell="B29" sqref="B29"/>
    </sheetView>
  </sheetViews>
  <sheetFormatPr defaultColWidth="9.109375" defaultRowHeight="13.2"/>
  <cols>
    <col min="1" max="1" width="5" style="72" customWidth="1"/>
    <col min="2" max="2" width="23.33203125" style="72" customWidth="1"/>
    <col min="3" max="3" width="11.109375" style="71" customWidth="1"/>
    <col min="4" max="4" width="14.109375" style="221" customWidth="1"/>
    <col min="5" max="5" width="12" style="384" customWidth="1"/>
    <col min="6" max="6" width="11.44140625" style="178" customWidth="1"/>
    <col min="7" max="7" width="12.5546875" style="182" customWidth="1"/>
    <col min="8" max="8" width="12" style="72" customWidth="1"/>
    <col min="9" max="10" width="9.109375" style="72"/>
    <col min="11" max="11" width="12.5546875" style="72" bestFit="1" customWidth="1"/>
    <col min="12" max="16384" width="9.109375" style="72"/>
  </cols>
  <sheetData>
    <row r="1" spans="1:8" ht="16.8">
      <c r="A1" s="513" t="s">
        <v>0</v>
      </c>
      <c r="B1" s="513"/>
      <c r="C1" s="513"/>
      <c r="D1" s="203"/>
    </row>
    <row r="2" spans="1:8" ht="18" customHeight="1">
      <c r="A2" s="514" t="s">
        <v>75</v>
      </c>
      <c r="B2" s="514"/>
      <c r="C2" s="514"/>
      <c r="D2" s="204"/>
    </row>
    <row r="3" spans="1:8" ht="26.25" customHeight="1">
      <c r="A3" s="515" t="s">
        <v>176</v>
      </c>
      <c r="B3" s="515"/>
      <c r="C3" s="515"/>
      <c r="D3" s="515"/>
      <c r="E3" s="515"/>
      <c r="F3" s="515"/>
      <c r="G3" s="515"/>
      <c r="H3" s="515"/>
    </row>
    <row r="4" spans="1:8" ht="20.25" customHeight="1">
      <c r="A4" s="519" t="s">
        <v>67</v>
      </c>
      <c r="B4" s="519"/>
      <c r="C4" s="519"/>
      <c r="D4" s="519"/>
      <c r="E4" s="519"/>
      <c r="F4" s="519"/>
      <c r="G4" s="519"/>
      <c r="H4" s="519"/>
    </row>
    <row r="5" spans="1:8" ht="20.399999999999999">
      <c r="B5" s="74"/>
      <c r="C5" s="75"/>
      <c r="D5" s="394"/>
      <c r="H5" s="73"/>
    </row>
    <row r="6" spans="1:8" s="246" customFormat="1" ht="24.75" customHeight="1">
      <c r="A6" s="243" t="s">
        <v>2</v>
      </c>
      <c r="B6" s="243" t="s">
        <v>13</v>
      </c>
      <c r="C6" s="244" t="s">
        <v>85</v>
      </c>
      <c r="D6" s="244" t="s">
        <v>118</v>
      </c>
      <c r="E6" s="244" t="s">
        <v>14</v>
      </c>
      <c r="F6" s="181" t="s">
        <v>90</v>
      </c>
      <c r="G6" s="245" t="s">
        <v>51</v>
      </c>
      <c r="H6" s="244" t="s">
        <v>15</v>
      </c>
    </row>
    <row r="7" spans="1:8" s="189" customFormat="1" ht="24.75" customHeight="1">
      <c r="A7" s="114">
        <v>1</v>
      </c>
      <c r="B7" s="236" t="s">
        <v>23</v>
      </c>
      <c r="C7" s="120" t="s">
        <v>26</v>
      </c>
      <c r="D7" s="308">
        <v>102006610216</v>
      </c>
      <c r="E7" s="239">
        <f>'lanh tien tphau'!D7+'lanh tien PT'!D7+'Lãnh tiền PTYC'!E7</f>
        <v>1894377.5</v>
      </c>
      <c r="F7" s="239">
        <f>E7-G7</f>
        <v>0</v>
      </c>
      <c r="G7" s="183">
        <f>E7</f>
        <v>1894377.5</v>
      </c>
      <c r="H7" s="118"/>
    </row>
    <row r="8" spans="1:8" s="374" customFormat="1" ht="24.75" customHeight="1">
      <c r="A8" s="114">
        <v>2</v>
      </c>
      <c r="B8" s="375" t="s">
        <v>18</v>
      </c>
      <c r="C8" s="120" t="s">
        <v>26</v>
      </c>
      <c r="D8" s="308">
        <v>103006610215</v>
      </c>
      <c r="E8" s="239">
        <f>'lanh tien tphau'!D8+'lanh tien PT'!D8</f>
        <v>626283</v>
      </c>
      <c r="F8" s="239">
        <f t="shared" ref="F8:F17" si="0">E8-G8</f>
        <v>0</v>
      </c>
      <c r="G8" s="373">
        <f>E8</f>
        <v>626283</v>
      </c>
      <c r="H8" s="119"/>
    </row>
    <row r="9" spans="1:8" s="189" customFormat="1" ht="24.75" customHeight="1">
      <c r="A9" s="114">
        <v>3</v>
      </c>
      <c r="B9" s="236" t="s">
        <v>17</v>
      </c>
      <c r="C9" s="120" t="s">
        <v>26</v>
      </c>
      <c r="D9" s="308">
        <v>100006610218</v>
      </c>
      <c r="E9" s="239">
        <f>'lanh tien tphau'!D9+'lanh tien PT'!D9+'Bác sĩ điều trị'!D9-'Thực lãnh'!I17+'Lãnh tiền PTYC'!E9</f>
        <v>7526652.5</v>
      </c>
      <c r="F9" s="239">
        <f t="shared" si="0"/>
        <v>752665.25</v>
      </c>
      <c r="G9" s="183">
        <f>E9*0.9</f>
        <v>6773987.25</v>
      </c>
      <c r="H9" s="118"/>
    </row>
    <row r="10" spans="1:8" s="189" customFormat="1" ht="24.75" customHeight="1">
      <c r="A10" s="114">
        <v>4</v>
      </c>
      <c r="B10" s="236" t="s">
        <v>19</v>
      </c>
      <c r="C10" s="120" t="s">
        <v>26</v>
      </c>
      <c r="D10" s="308">
        <v>100006610162</v>
      </c>
      <c r="E10" s="239">
        <f>'lanh tien tphau'!D10</f>
        <v>280880</v>
      </c>
      <c r="F10" s="239">
        <f t="shared" si="0"/>
        <v>0</v>
      </c>
      <c r="G10" s="183">
        <f>E10</f>
        <v>280880</v>
      </c>
      <c r="H10" s="119"/>
    </row>
    <row r="11" spans="1:8" s="189" customFormat="1" ht="24.75" customHeight="1">
      <c r="A11" s="114">
        <v>5</v>
      </c>
      <c r="B11" s="236" t="s">
        <v>74</v>
      </c>
      <c r="C11" s="120" t="s">
        <v>66</v>
      </c>
      <c r="D11" s="308">
        <v>105001159195</v>
      </c>
      <c r="E11" s="239">
        <f>'lanh tien tphau'!D11+'lanh tien PT'!D10</f>
        <v>6490548.25</v>
      </c>
      <c r="F11" s="239">
        <f t="shared" si="0"/>
        <v>0</v>
      </c>
      <c r="G11" s="183">
        <f>E11</f>
        <v>6490548.25</v>
      </c>
      <c r="H11" s="118"/>
    </row>
    <row r="12" spans="1:8" s="189" customFormat="1" ht="24.75" customHeight="1">
      <c r="A12" s="114">
        <v>6</v>
      </c>
      <c r="B12" s="236" t="s">
        <v>94</v>
      </c>
      <c r="C12" s="120" t="s">
        <v>66</v>
      </c>
      <c r="D12" s="308">
        <v>105867664283</v>
      </c>
      <c r="E12" s="239">
        <f>'lanh tien PT'!D11+'lanh tien tphau'!D14+'Bác sĩ điều trị'!D15-'Thực lãnh'!I27</f>
        <v>4693111.5</v>
      </c>
      <c r="F12" s="239">
        <f t="shared" si="0"/>
        <v>469311.14999999944</v>
      </c>
      <c r="G12" s="183">
        <f>E12*0.9</f>
        <v>4223800.3500000006</v>
      </c>
      <c r="H12" s="117"/>
    </row>
    <row r="13" spans="1:8" s="189" customFormat="1" ht="24.75" customHeight="1">
      <c r="A13" s="114">
        <v>7</v>
      </c>
      <c r="B13" s="236" t="s">
        <v>72</v>
      </c>
      <c r="C13" s="120" t="s">
        <v>66</v>
      </c>
      <c r="D13" s="308">
        <v>105001225232</v>
      </c>
      <c r="E13" s="239">
        <f>'lanh tien PT'!D12+'Bác sĩ điều trị'!D13+'lanh tien tphau'!D15-'Thực lãnh'!I22</f>
        <v>2900833.5</v>
      </c>
      <c r="F13" s="239">
        <f t="shared" si="0"/>
        <v>290083.35000000009</v>
      </c>
      <c r="G13" s="183">
        <f>E13*0.9</f>
        <v>2610750.15</v>
      </c>
      <c r="H13" s="117"/>
    </row>
    <row r="14" spans="1:8" s="189" customFormat="1" ht="24.75" customHeight="1">
      <c r="A14" s="114">
        <v>8</v>
      </c>
      <c r="B14" s="236" t="s">
        <v>115</v>
      </c>
      <c r="C14" s="120" t="s">
        <v>66</v>
      </c>
      <c r="D14" s="308">
        <v>107868829237</v>
      </c>
      <c r="E14" s="239">
        <f>'lanh tien tphau'!D13+'lanh tien PT'!D13+'Bác sĩ điều trị'!D16</f>
        <v>5805006.75</v>
      </c>
      <c r="F14" s="239">
        <f t="shared" si="0"/>
        <v>0</v>
      </c>
      <c r="G14" s="183">
        <f t="shared" ref="G14:G17" si="1">E14</f>
        <v>5805006.75</v>
      </c>
      <c r="H14" s="117"/>
    </row>
    <row r="15" spans="1:8" s="189" customFormat="1" ht="24.75" customHeight="1">
      <c r="A15" s="114">
        <v>9</v>
      </c>
      <c r="B15" s="115" t="s">
        <v>84</v>
      </c>
      <c r="C15" s="120" t="s">
        <v>66</v>
      </c>
      <c r="D15" s="406" t="s">
        <v>131</v>
      </c>
      <c r="E15" s="222">
        <f>'lanh tien tphau'!D12+'lanh tien PT'!D14+'Bác sĩ điều trị'!D14</f>
        <v>2639471.125</v>
      </c>
      <c r="F15" s="222">
        <f t="shared" si="0"/>
        <v>0</v>
      </c>
      <c r="G15" s="183">
        <f t="shared" si="1"/>
        <v>2639471.125</v>
      </c>
      <c r="H15" s="117"/>
    </row>
    <row r="16" spans="1:8" s="189" customFormat="1" ht="24.75" customHeight="1">
      <c r="A16" s="114">
        <v>10</v>
      </c>
      <c r="B16" s="115" t="s">
        <v>68</v>
      </c>
      <c r="C16" s="120" t="s">
        <v>66</v>
      </c>
      <c r="D16" s="406" t="s">
        <v>640</v>
      </c>
      <c r="E16" s="222">
        <f>'lanh tien tphau'!D16+'lanh tien PT'!D15</f>
        <v>1099323.5</v>
      </c>
      <c r="F16" s="222">
        <f t="shared" si="0"/>
        <v>0</v>
      </c>
      <c r="G16" s="183">
        <f>E16</f>
        <v>1099323.5</v>
      </c>
      <c r="H16" s="117"/>
    </row>
    <row r="17" spans="1:11" s="189" customFormat="1" ht="24.75" customHeight="1">
      <c r="A17" s="114">
        <v>11</v>
      </c>
      <c r="B17" s="115" t="s">
        <v>138</v>
      </c>
      <c r="C17" s="120" t="s">
        <v>66</v>
      </c>
      <c r="D17" s="406" t="s">
        <v>141</v>
      </c>
      <c r="E17" s="222">
        <f>'lanh tien PT'!D16</f>
        <v>3615463</v>
      </c>
      <c r="F17" s="222">
        <f t="shared" si="0"/>
        <v>0</v>
      </c>
      <c r="G17" s="183">
        <f t="shared" si="1"/>
        <v>3615463</v>
      </c>
      <c r="H17" s="117"/>
    </row>
    <row r="18" spans="1:11" s="189" customFormat="1" ht="24.75" customHeight="1">
      <c r="A18" s="114">
        <v>13</v>
      </c>
      <c r="B18" s="107" t="s">
        <v>157</v>
      </c>
      <c r="C18" s="412" t="s">
        <v>60</v>
      </c>
      <c r="D18" s="393">
        <v>106879496711</v>
      </c>
      <c r="E18" s="239">
        <f>'lanh tien PT_BHYT'!E17+'lanh tien PT'!D17</f>
        <v>3661579</v>
      </c>
      <c r="F18" s="239">
        <f t="shared" ref="F18:F31" si="2">E18-G18</f>
        <v>366157.89999999991</v>
      </c>
      <c r="G18" s="183">
        <f>E18*0.9</f>
        <v>3295421.1</v>
      </c>
      <c r="H18" s="117"/>
    </row>
    <row r="19" spans="1:11" s="189" customFormat="1" ht="24.75" customHeight="1">
      <c r="A19" s="114">
        <v>14</v>
      </c>
      <c r="B19" s="107" t="s">
        <v>158</v>
      </c>
      <c r="C19" s="412" t="s">
        <v>60</v>
      </c>
      <c r="D19" s="393">
        <v>106879496654</v>
      </c>
      <c r="E19" s="239">
        <f>'lanh tien PT_BHYT'!E18+'lanh tien PT'!D18</f>
        <v>2433571</v>
      </c>
      <c r="F19" s="239">
        <f t="shared" si="2"/>
        <v>243357.10000000009</v>
      </c>
      <c r="G19" s="183">
        <f>E19*0.9</f>
        <v>2190213.9</v>
      </c>
      <c r="H19" s="117"/>
    </row>
    <row r="20" spans="1:11" s="189" customFormat="1" ht="24.75" customHeight="1">
      <c r="A20" s="114">
        <v>15</v>
      </c>
      <c r="B20" s="107" t="s">
        <v>159</v>
      </c>
      <c r="C20" s="412" t="s">
        <v>60</v>
      </c>
      <c r="D20" s="393">
        <v>102872446123</v>
      </c>
      <c r="E20" s="239">
        <f>'lanh tien PT_BHYT'!E19+'lanh tien PT'!D19</f>
        <v>2946779</v>
      </c>
      <c r="F20" s="239">
        <f t="shared" si="2"/>
        <v>294677.89999999991</v>
      </c>
      <c r="G20" s="183">
        <f>E20*0.9</f>
        <v>2652101.1</v>
      </c>
      <c r="H20" s="117"/>
    </row>
    <row r="21" spans="1:11" s="189" customFormat="1" ht="24.75" customHeight="1">
      <c r="A21" s="114">
        <v>16</v>
      </c>
      <c r="B21" s="107" t="s">
        <v>160</v>
      </c>
      <c r="C21" s="412" t="s">
        <v>60</v>
      </c>
      <c r="D21" s="308">
        <v>102881115539</v>
      </c>
      <c r="E21" s="239">
        <f>'lanh tien PT_BHYT'!E20+'lanh tien PT'!D20</f>
        <v>1265383</v>
      </c>
      <c r="F21" s="239">
        <f t="shared" si="2"/>
        <v>0</v>
      </c>
      <c r="G21" s="183">
        <f>E21</f>
        <v>1265383</v>
      </c>
      <c r="H21" s="117"/>
    </row>
    <row r="22" spans="1:11" s="189" customFormat="1" ht="24.75" customHeight="1">
      <c r="A22" s="114">
        <v>17</v>
      </c>
      <c r="B22" s="107" t="s">
        <v>161</v>
      </c>
      <c r="C22" s="412" t="s">
        <v>60</v>
      </c>
      <c r="D22" s="309">
        <v>101881130087</v>
      </c>
      <c r="E22" s="239">
        <f>'lanh tien PT_BHYT'!E21+'lanh tien PT'!D21</f>
        <v>1671382</v>
      </c>
      <c r="F22" s="239">
        <f t="shared" si="2"/>
        <v>0</v>
      </c>
      <c r="G22" s="183">
        <f>E22</f>
        <v>1671382</v>
      </c>
      <c r="H22" s="117"/>
    </row>
    <row r="23" spans="1:11" s="189" customFormat="1" ht="24.75" customHeight="1">
      <c r="A23" s="114">
        <v>18</v>
      </c>
      <c r="B23" s="107" t="s">
        <v>162</v>
      </c>
      <c r="C23" s="412" t="s">
        <v>60</v>
      </c>
      <c r="D23" s="309">
        <v>106881106486</v>
      </c>
      <c r="E23" s="239">
        <f>'lanh tien PT_BHYT'!E22+'lanh tien PT'!D22</f>
        <v>2087506</v>
      </c>
      <c r="F23" s="239">
        <f t="shared" si="2"/>
        <v>208750.59999999986</v>
      </c>
      <c r="G23" s="183">
        <f>E23*0.9</f>
        <v>1878755.4000000001</v>
      </c>
      <c r="H23" s="117"/>
    </row>
    <row r="24" spans="1:11" s="189" customFormat="1" ht="24.75" customHeight="1">
      <c r="A24" s="114">
        <v>19</v>
      </c>
      <c r="B24" s="107" t="s">
        <v>163</v>
      </c>
      <c r="C24" s="412" t="s">
        <v>60</v>
      </c>
      <c r="D24" s="309">
        <v>108881113738</v>
      </c>
      <c r="E24" s="239">
        <f>'lanh tien PT_BHYT'!E23+'lanh tien PT'!D23</f>
        <v>212850</v>
      </c>
      <c r="F24" s="239">
        <f t="shared" si="2"/>
        <v>0</v>
      </c>
      <c r="G24" s="183">
        <f t="shared" ref="G24:G32" si="3">E24</f>
        <v>212850</v>
      </c>
      <c r="H24" s="117"/>
    </row>
    <row r="25" spans="1:11" s="189" customFormat="1" ht="24.75" customHeight="1">
      <c r="A25" s="114">
        <v>20</v>
      </c>
      <c r="B25" s="107" t="s">
        <v>164</v>
      </c>
      <c r="C25" s="412" t="s">
        <v>60</v>
      </c>
      <c r="D25" s="309">
        <v>105881179249</v>
      </c>
      <c r="E25" s="239">
        <f>'lanh tien PT_BHYT'!E24+'lanh tien PT'!D24</f>
        <v>1146965</v>
      </c>
      <c r="F25" s="239">
        <f t="shared" si="2"/>
        <v>0</v>
      </c>
      <c r="G25" s="183">
        <f t="shared" si="3"/>
        <v>1146965</v>
      </c>
      <c r="H25" s="117"/>
    </row>
    <row r="26" spans="1:11" s="189" customFormat="1" ht="24.75" customHeight="1">
      <c r="A26" s="114">
        <v>21</v>
      </c>
      <c r="B26" s="107" t="s">
        <v>165</v>
      </c>
      <c r="C26" s="412" t="s">
        <v>60</v>
      </c>
      <c r="D26" s="408">
        <v>101881053043</v>
      </c>
      <c r="E26" s="239">
        <f>'lanh tien PT_BHYT'!E25+'lanh tien PT'!D25</f>
        <v>761159.5</v>
      </c>
      <c r="F26" s="239">
        <f t="shared" si="2"/>
        <v>0</v>
      </c>
      <c r="G26" s="183">
        <f t="shared" si="3"/>
        <v>761159.5</v>
      </c>
      <c r="H26" s="117"/>
    </row>
    <row r="27" spans="1:11" s="189" customFormat="1" ht="24.75" customHeight="1">
      <c r="A27" s="114">
        <v>22</v>
      </c>
      <c r="B27" s="107" t="s">
        <v>166</v>
      </c>
      <c r="C27" s="413" t="s">
        <v>60</v>
      </c>
      <c r="D27" s="409">
        <v>102883571393</v>
      </c>
      <c r="E27" s="398">
        <f>'lanh tien PT_BHYT'!E26+'lanh tien PT'!D26</f>
        <v>710344</v>
      </c>
      <c r="F27" s="239">
        <f t="shared" si="2"/>
        <v>0</v>
      </c>
      <c r="G27" s="183">
        <f t="shared" si="3"/>
        <v>710344</v>
      </c>
      <c r="H27" s="117"/>
    </row>
    <row r="28" spans="1:11" s="189" customFormat="1" ht="24.75" customHeight="1">
      <c r="A28" s="114">
        <v>23</v>
      </c>
      <c r="B28" s="107" t="s">
        <v>167</v>
      </c>
      <c r="C28" s="412" t="s">
        <v>60</v>
      </c>
      <c r="D28" s="410">
        <v>102869161271</v>
      </c>
      <c r="E28" s="239">
        <f>'lanh tien PT_BHYT'!E27+'lanh tien PT'!D27</f>
        <v>26971</v>
      </c>
      <c r="F28" s="239">
        <f t="shared" si="2"/>
        <v>0</v>
      </c>
      <c r="G28" s="183">
        <f t="shared" si="3"/>
        <v>26971</v>
      </c>
      <c r="H28" s="117"/>
    </row>
    <row r="29" spans="1:11" s="189" customFormat="1" ht="24.75" customHeight="1">
      <c r="A29" s="114">
        <v>24</v>
      </c>
      <c r="B29" s="107" t="s">
        <v>642</v>
      </c>
      <c r="C29" s="412" t="s">
        <v>60</v>
      </c>
      <c r="D29" s="411">
        <v>106883542216</v>
      </c>
      <c r="E29" s="239">
        <f>'lanh tien PT_BHYT'!E28+'lanh tien PT'!D28</f>
        <v>50524</v>
      </c>
      <c r="F29" s="239">
        <f t="shared" si="2"/>
        <v>0</v>
      </c>
      <c r="G29" s="183">
        <f t="shared" si="3"/>
        <v>50524</v>
      </c>
      <c r="H29" s="117"/>
    </row>
    <row r="30" spans="1:11" s="189" customFormat="1" ht="24.75" customHeight="1">
      <c r="A30" s="114">
        <v>25</v>
      </c>
      <c r="B30" s="107" t="s">
        <v>169</v>
      </c>
      <c r="C30" s="412" t="s">
        <v>60</v>
      </c>
      <c r="D30" s="407">
        <v>103870057143</v>
      </c>
      <c r="E30" s="239">
        <f>'lanh tien PT_BHYT'!E29+'lanh tien PT'!D29</f>
        <v>372968</v>
      </c>
      <c r="F30" s="239">
        <f t="shared" si="2"/>
        <v>0</v>
      </c>
      <c r="G30" s="183">
        <f t="shared" si="3"/>
        <v>372968</v>
      </c>
      <c r="H30" s="117"/>
    </row>
    <row r="31" spans="1:11" s="189" customFormat="1" ht="24.75" customHeight="1">
      <c r="A31" s="114">
        <v>26</v>
      </c>
      <c r="B31" s="107" t="s">
        <v>170</v>
      </c>
      <c r="C31" s="412" t="s">
        <v>60</v>
      </c>
      <c r="D31" s="411">
        <v>106883557907</v>
      </c>
      <c r="E31" s="239">
        <f>'lanh tien PT_BHYT'!E30+'lanh tien PT'!D30</f>
        <v>128954</v>
      </c>
      <c r="F31" s="239">
        <f t="shared" si="2"/>
        <v>0</v>
      </c>
      <c r="G31" s="183">
        <f t="shared" si="3"/>
        <v>128954</v>
      </c>
      <c r="H31" s="117"/>
    </row>
    <row r="32" spans="1:11" s="189" customFormat="1" ht="24.75" customHeight="1">
      <c r="A32" s="114">
        <v>27</v>
      </c>
      <c r="B32" s="236" t="s">
        <v>45</v>
      </c>
      <c r="C32" s="120" t="s">
        <v>27</v>
      </c>
      <c r="D32" s="308">
        <v>106006773860</v>
      </c>
      <c r="E32" s="239">
        <f>'lanh tien PT1'!D20</f>
        <v>2898754.8235294116</v>
      </c>
      <c r="F32" s="239" t="s">
        <v>56</v>
      </c>
      <c r="G32" s="183">
        <f t="shared" si="3"/>
        <v>2898754.8235294116</v>
      </c>
      <c r="H32" s="118"/>
      <c r="K32" s="234"/>
    </row>
    <row r="33" spans="1:10" s="189" customFormat="1" ht="24.75" customHeight="1">
      <c r="A33" s="114">
        <v>28</v>
      </c>
      <c r="B33" s="236" t="s">
        <v>65</v>
      </c>
      <c r="C33" s="120" t="s">
        <v>27</v>
      </c>
      <c r="D33" s="308">
        <v>105866700129</v>
      </c>
      <c r="E33" s="239">
        <f>'lanh tien PT1'!D21</f>
        <v>2898754.8235294116</v>
      </c>
      <c r="F33" s="239" t="s">
        <v>56</v>
      </c>
      <c r="G33" s="183">
        <f t="shared" ref="G33:G40" si="4">E33</f>
        <v>2898754.8235294116</v>
      </c>
      <c r="H33" s="118"/>
    </row>
    <row r="34" spans="1:10" s="189" customFormat="1" ht="24.75" customHeight="1">
      <c r="A34" s="114">
        <v>29</v>
      </c>
      <c r="B34" s="236" t="s">
        <v>82</v>
      </c>
      <c r="C34" s="120" t="s">
        <v>27</v>
      </c>
      <c r="D34" s="308" t="s">
        <v>119</v>
      </c>
      <c r="E34" s="239">
        <f>'lanh tien PT1'!D23</f>
        <v>2898754.8235294116</v>
      </c>
      <c r="F34" s="239" t="s">
        <v>56</v>
      </c>
      <c r="G34" s="183">
        <f t="shared" si="4"/>
        <v>2898754.8235294116</v>
      </c>
      <c r="H34" s="118"/>
    </row>
    <row r="35" spans="1:10" s="189" customFormat="1" ht="24.75" customHeight="1">
      <c r="A35" s="114">
        <v>30</v>
      </c>
      <c r="B35" s="236" t="s">
        <v>46</v>
      </c>
      <c r="C35" s="120" t="s">
        <v>27</v>
      </c>
      <c r="D35" s="308">
        <v>106002699376</v>
      </c>
      <c r="E35" s="239">
        <f>'lanh tien PT1'!D24+'Bác sĩ điều trị'!D17+'Bác sĩ điều trị'!D18</f>
        <v>5598754.8235294111</v>
      </c>
      <c r="F35" s="239" t="s">
        <v>56</v>
      </c>
      <c r="G35" s="183">
        <f t="shared" si="4"/>
        <v>5598754.8235294111</v>
      </c>
      <c r="H35" s="118"/>
    </row>
    <row r="36" spans="1:10" s="189" customFormat="1" ht="24.75" customHeight="1">
      <c r="A36" s="114">
        <v>31</v>
      </c>
      <c r="B36" s="236" t="s">
        <v>70</v>
      </c>
      <c r="C36" s="120" t="s">
        <v>27</v>
      </c>
      <c r="D36" s="308" t="s">
        <v>120</v>
      </c>
      <c r="E36" s="239">
        <f>'lanh tien PT1'!D22</f>
        <v>2898754.8235294116</v>
      </c>
      <c r="F36" s="239" t="s">
        <v>56</v>
      </c>
      <c r="G36" s="183">
        <f t="shared" si="4"/>
        <v>2898754.8235294116</v>
      </c>
      <c r="H36" s="118"/>
    </row>
    <row r="37" spans="1:10" s="189" customFormat="1" ht="24.75" customHeight="1">
      <c r="A37" s="114">
        <v>32</v>
      </c>
      <c r="B37" s="236" t="s">
        <v>116</v>
      </c>
      <c r="C37" s="120" t="s">
        <v>27</v>
      </c>
      <c r="D37" s="308">
        <v>102877256973</v>
      </c>
      <c r="E37" s="239">
        <f>'lanh tien PT1'!D25</f>
        <v>2898754.8235294116</v>
      </c>
      <c r="F37" s="239" t="s">
        <v>56</v>
      </c>
      <c r="G37" s="183">
        <f t="shared" si="4"/>
        <v>2898754.8235294116</v>
      </c>
      <c r="H37" s="118"/>
    </row>
    <row r="38" spans="1:10" s="189" customFormat="1" ht="24.75" customHeight="1">
      <c r="A38" s="114">
        <v>33</v>
      </c>
      <c r="B38" s="236" t="s">
        <v>93</v>
      </c>
      <c r="C38" s="120" t="s">
        <v>27</v>
      </c>
      <c r="D38" s="308">
        <v>108872473096</v>
      </c>
      <c r="E38" s="239">
        <f>'lanh tien PT1'!D26</f>
        <v>2898754.8235294116</v>
      </c>
      <c r="F38" s="239" t="s">
        <v>56</v>
      </c>
      <c r="G38" s="183">
        <f t="shared" si="4"/>
        <v>2898754.8235294116</v>
      </c>
      <c r="H38" s="118"/>
    </row>
    <row r="39" spans="1:10" s="189" customFormat="1" ht="24.75" customHeight="1">
      <c r="A39" s="114">
        <v>34</v>
      </c>
      <c r="B39" s="236" t="s">
        <v>73</v>
      </c>
      <c r="C39" s="120" t="s">
        <v>27</v>
      </c>
      <c r="D39" s="308">
        <v>109869939394</v>
      </c>
      <c r="E39" s="239">
        <f>'lanh tien PT1'!D27</f>
        <v>2898754.8235294116</v>
      </c>
      <c r="F39" s="239"/>
      <c r="G39" s="183">
        <f t="shared" si="4"/>
        <v>2898754.8235294116</v>
      </c>
      <c r="H39" s="118"/>
    </row>
    <row r="40" spans="1:10" s="189" customFormat="1" ht="24.75" customHeight="1">
      <c r="A40" s="114">
        <v>35</v>
      </c>
      <c r="B40" s="236" t="s">
        <v>55</v>
      </c>
      <c r="C40" s="120" t="s">
        <v>91</v>
      </c>
      <c r="D40" s="308">
        <v>108002699374</v>
      </c>
      <c r="E40" s="239">
        <f>'lanh tien PT1'!D28</f>
        <v>1548335.4117647058</v>
      </c>
      <c r="F40" s="239" t="s">
        <v>56</v>
      </c>
      <c r="G40" s="183">
        <f t="shared" si="4"/>
        <v>1548335.4117647058</v>
      </c>
      <c r="H40" s="118"/>
    </row>
    <row r="41" spans="1:10" s="189" customFormat="1" ht="24.75" customHeight="1">
      <c r="A41" s="236"/>
      <c r="B41" s="241" t="s">
        <v>28</v>
      </c>
      <c r="C41" s="242"/>
      <c r="D41" s="397"/>
      <c r="E41" s="239">
        <f>SUM(E7:E40)</f>
        <v>82487260.125</v>
      </c>
      <c r="F41" s="238">
        <f>SUM(F7:F40)</f>
        <v>2625003.2499999991</v>
      </c>
      <c r="G41" s="238">
        <f>SUM(G7:G40)</f>
        <v>79862256.875</v>
      </c>
      <c r="H41" s="122"/>
    </row>
    <row r="42" spans="1:10">
      <c r="B42" s="77"/>
      <c r="J42" s="78"/>
    </row>
    <row r="43" spans="1:10" ht="16.5" customHeight="1">
      <c r="B43" s="77"/>
      <c r="F43" s="516" t="s">
        <v>639</v>
      </c>
      <c r="G43" s="516"/>
      <c r="H43" s="516"/>
      <c r="J43" s="78"/>
    </row>
    <row r="44" spans="1:10" ht="18">
      <c r="A44" s="515" t="s">
        <v>20</v>
      </c>
      <c r="B44" s="515"/>
      <c r="C44" s="75"/>
      <c r="D44" s="394"/>
      <c r="E44" s="385"/>
      <c r="F44" s="517" t="s">
        <v>21</v>
      </c>
      <c r="G44" s="517"/>
      <c r="H44" s="517"/>
    </row>
    <row r="45" spans="1:10" ht="18">
      <c r="A45" s="74"/>
      <c r="B45" s="74"/>
      <c r="C45" s="75"/>
      <c r="D45" s="394"/>
      <c r="E45" s="385"/>
      <c r="F45" s="272"/>
      <c r="G45" s="273"/>
      <c r="H45" s="74"/>
    </row>
    <row r="46" spans="1:10" ht="18">
      <c r="A46" s="74"/>
      <c r="B46" s="74"/>
      <c r="C46" s="75"/>
      <c r="D46" s="394"/>
      <c r="E46" s="385"/>
      <c r="F46" s="272"/>
      <c r="G46" s="274"/>
      <c r="H46" s="74"/>
    </row>
    <row r="47" spans="1:10" ht="18">
      <c r="A47" s="74"/>
      <c r="B47" s="74"/>
      <c r="C47" s="75"/>
      <c r="D47" s="394"/>
      <c r="F47" s="272"/>
      <c r="G47" s="273"/>
      <c r="H47" s="74"/>
    </row>
    <row r="48" spans="1:10" ht="18">
      <c r="A48" s="515" t="s">
        <v>96</v>
      </c>
      <c r="B48" s="515"/>
      <c r="C48" s="75"/>
      <c r="D48" s="394"/>
      <c r="E48" s="385"/>
      <c r="F48" s="515" t="s">
        <v>109</v>
      </c>
      <c r="G48" s="515"/>
      <c r="H48" s="515"/>
    </row>
    <row r="49" spans="1:8" ht="18">
      <c r="A49" s="74"/>
      <c r="B49" s="74"/>
      <c r="C49" s="75"/>
      <c r="D49" s="394"/>
      <c r="E49" s="385"/>
      <c r="F49" s="272"/>
      <c r="G49" s="273"/>
      <c r="H49" s="74"/>
    </row>
  </sheetData>
  <mergeCells count="9">
    <mergeCell ref="A48:B48"/>
    <mergeCell ref="F48:H48"/>
    <mergeCell ref="A1:C1"/>
    <mergeCell ref="A2:C2"/>
    <mergeCell ref="A3:H3"/>
    <mergeCell ref="A4:H4"/>
    <mergeCell ref="F43:H43"/>
    <mergeCell ref="A44:B44"/>
    <mergeCell ref="F44:H44"/>
  </mergeCells>
  <pageMargins left="0.19" right="0.17" top="0.46" bottom="0.36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8"/>
  <sheetViews>
    <sheetView workbookViewId="0">
      <selection activeCell="I15" sqref="I15"/>
    </sheetView>
  </sheetViews>
  <sheetFormatPr defaultColWidth="9.109375" defaultRowHeight="13.2"/>
  <cols>
    <col min="1" max="1" width="7.109375" style="37" customWidth="1"/>
    <col min="2" max="2" width="21.109375" style="37" customWidth="1"/>
    <col min="3" max="3" width="20.88671875" style="38" customWidth="1"/>
    <col min="4" max="4" width="21.44140625" style="38" customWidth="1"/>
    <col min="5" max="5" width="13.88671875" style="38" customWidth="1"/>
    <col min="6" max="6" width="16" style="37" customWidth="1"/>
    <col min="7" max="7" width="1.109375" style="37" customWidth="1"/>
    <col min="8" max="8" width="16.5546875" style="37" bestFit="1" customWidth="1"/>
    <col min="9" max="16384" width="9.109375" style="37"/>
  </cols>
  <sheetData>
    <row r="1" spans="1:9" ht="16.8">
      <c r="A1" s="472" t="s">
        <v>0</v>
      </c>
      <c r="B1" s="472"/>
      <c r="C1" s="472"/>
    </row>
    <row r="2" spans="1:9" ht="16.8">
      <c r="A2" s="471" t="s">
        <v>44</v>
      </c>
      <c r="B2" s="471"/>
      <c r="C2" s="471"/>
    </row>
    <row r="3" spans="1:9" ht="27.75" customHeight="1">
      <c r="A3" s="462" t="s">
        <v>130</v>
      </c>
      <c r="B3" s="462"/>
      <c r="C3" s="462"/>
      <c r="D3" s="462"/>
      <c r="E3" s="462"/>
      <c r="F3" s="462"/>
      <c r="H3" s="2"/>
    </row>
    <row r="4" spans="1:9" ht="15" customHeight="1">
      <c r="B4" s="39"/>
      <c r="C4" s="40"/>
      <c r="D4" s="40"/>
      <c r="H4" s="2"/>
    </row>
    <row r="5" spans="1:9" ht="10.5" customHeight="1">
      <c r="B5" s="39"/>
      <c r="C5" s="40"/>
      <c r="D5" s="40"/>
      <c r="H5" s="2"/>
    </row>
    <row r="6" spans="1:9" ht="16.8">
      <c r="A6" s="50" t="s">
        <v>2</v>
      </c>
      <c r="B6" s="51" t="s">
        <v>13</v>
      </c>
      <c r="C6" s="52" t="s">
        <v>85</v>
      </c>
      <c r="D6" s="52" t="s">
        <v>118</v>
      </c>
      <c r="E6" s="52" t="s">
        <v>14</v>
      </c>
      <c r="F6" s="52" t="s">
        <v>15</v>
      </c>
      <c r="G6" s="47"/>
    </row>
    <row r="7" spans="1:9" ht="16.8">
      <c r="A7" s="171">
        <v>1</v>
      </c>
      <c r="B7" s="62" t="s">
        <v>125</v>
      </c>
      <c r="C7" s="55" t="s">
        <v>127</v>
      </c>
      <c r="D7" s="223">
        <v>109869879863</v>
      </c>
      <c r="E7" s="69">
        <v>0</v>
      </c>
      <c r="F7" s="54"/>
      <c r="G7" s="48">
        <v>19.5</v>
      </c>
      <c r="I7" s="41"/>
    </row>
    <row r="8" spans="1:9" ht="16.8">
      <c r="A8" s="66"/>
      <c r="B8" s="67" t="s">
        <v>28</v>
      </c>
      <c r="C8" s="68"/>
      <c r="D8" s="68"/>
      <c r="E8" s="69">
        <f>SUM(E7:E7)</f>
        <v>0</v>
      </c>
      <c r="F8" s="170"/>
      <c r="G8" s="49">
        <f>SUM(G7:G7)</f>
        <v>19.5</v>
      </c>
      <c r="H8" s="43"/>
    </row>
    <row r="9" spans="1:9" ht="27.75" customHeight="1">
      <c r="A9" s="1"/>
      <c r="B9" s="43"/>
    </row>
    <row r="10" spans="1:9" ht="15.6">
      <c r="A10" s="141"/>
      <c r="B10" s="141"/>
      <c r="C10" s="109"/>
      <c r="D10" s="520" t="s">
        <v>126</v>
      </c>
      <c r="E10" s="520"/>
      <c r="F10" s="520"/>
    </row>
    <row r="11" spans="1:9" ht="15.6">
      <c r="A11" s="474" t="s">
        <v>20</v>
      </c>
      <c r="B11" s="474"/>
      <c r="C11" s="109"/>
      <c r="D11" s="473" t="s">
        <v>21</v>
      </c>
      <c r="E11" s="473"/>
      <c r="F11" s="473"/>
    </row>
    <row r="12" spans="1:9" ht="15.6">
      <c r="A12" s="141"/>
      <c r="B12" s="141"/>
      <c r="C12" s="109"/>
      <c r="D12" s="109"/>
      <c r="E12" s="109"/>
      <c r="F12" s="141"/>
    </row>
    <row r="13" spans="1:9" ht="15.6">
      <c r="A13" s="141"/>
      <c r="B13" s="141"/>
      <c r="C13" s="109"/>
      <c r="D13" s="109"/>
      <c r="E13" s="109"/>
      <c r="F13" s="141"/>
    </row>
    <row r="14" spans="1:9" ht="15.6">
      <c r="A14" s="141"/>
      <c r="B14" s="141"/>
      <c r="C14" s="109"/>
      <c r="D14" s="109"/>
      <c r="E14" s="109"/>
      <c r="F14" s="172"/>
    </row>
    <row r="15" spans="1:9" ht="15.6">
      <c r="A15" s="141"/>
      <c r="B15" s="141"/>
      <c r="C15" s="173"/>
      <c r="D15" s="173"/>
      <c r="E15" s="109"/>
      <c r="F15" s="141"/>
    </row>
    <row r="16" spans="1:9" ht="15.6">
      <c r="A16" s="141"/>
      <c r="B16" s="130" t="s">
        <v>96</v>
      </c>
      <c r="C16" s="109"/>
      <c r="D16" s="473" t="s">
        <v>113</v>
      </c>
      <c r="E16" s="473"/>
      <c r="F16" s="473"/>
    </row>
    <row r="17" spans="1:6" ht="15.6">
      <c r="A17" s="141"/>
      <c r="B17" s="141"/>
      <c r="C17" s="109"/>
      <c r="D17" s="109"/>
      <c r="E17" s="109"/>
      <c r="F17" s="141"/>
    </row>
    <row r="18" spans="1:6" ht="15.6">
      <c r="A18" s="141"/>
      <c r="B18" s="141"/>
      <c r="C18" s="109"/>
      <c r="D18" s="109"/>
      <c r="E18" s="109"/>
      <c r="F18" s="141"/>
    </row>
  </sheetData>
  <mergeCells count="7">
    <mergeCell ref="D16:F16"/>
    <mergeCell ref="A11:B11"/>
    <mergeCell ref="A3:F3"/>
    <mergeCell ref="A1:C1"/>
    <mergeCell ref="A2:C2"/>
    <mergeCell ref="D10:F10"/>
    <mergeCell ref="D11:F11"/>
  </mergeCells>
  <pageMargins left="0.21" right="0.17" top="0.74803149606299213" bottom="0.74803149606299213" header="0.31496062992125984" footer="0.31496062992125984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5"/>
  <sheetViews>
    <sheetView workbookViewId="0">
      <selection activeCell="F21" sqref="F21"/>
    </sheetView>
  </sheetViews>
  <sheetFormatPr defaultColWidth="9.109375" defaultRowHeight="13.2"/>
  <cols>
    <col min="1" max="1" width="6.6640625" style="151" customWidth="1"/>
    <col min="2" max="2" width="13.6640625" style="374" customWidth="1"/>
    <col min="3" max="3" width="30.109375" style="368" customWidth="1"/>
    <col min="4" max="4" width="11.6640625" style="374" customWidth="1"/>
    <col min="5" max="5" width="38.6640625" style="72" customWidth="1"/>
    <col min="6" max="6" width="12.5546875" style="392" bestFit="1" customWidth="1"/>
    <col min="7" max="7" width="15.109375" style="221" customWidth="1"/>
    <col min="8" max="8" width="12" style="221" customWidth="1"/>
    <col min="9" max="9" width="12" style="72" customWidth="1"/>
    <col min="10" max="12" width="9.109375" style="72"/>
    <col min="13" max="13" width="12.5546875" style="72" bestFit="1" customWidth="1"/>
    <col min="14" max="16384" width="9.109375" style="72"/>
  </cols>
  <sheetData>
    <row r="1" spans="1:12" ht="16.8">
      <c r="A1" s="524" t="s">
        <v>0</v>
      </c>
      <c r="B1" s="524"/>
      <c r="C1" s="524"/>
      <c r="D1" s="524"/>
      <c r="E1" s="524"/>
      <c r="F1" s="524"/>
    </row>
    <row r="2" spans="1:12" ht="18" customHeight="1">
      <c r="A2" s="525" t="s">
        <v>75</v>
      </c>
      <c r="B2" s="525"/>
      <c r="C2" s="525"/>
      <c r="D2" s="525"/>
      <c r="E2" s="525"/>
      <c r="F2" s="525"/>
    </row>
    <row r="3" spans="1:12" ht="26.25" customHeight="1">
      <c r="A3" s="515" t="s">
        <v>617</v>
      </c>
      <c r="B3" s="515"/>
      <c r="C3" s="515"/>
      <c r="D3" s="515"/>
      <c r="E3" s="515"/>
      <c r="F3" s="515"/>
      <c r="G3" s="515"/>
      <c r="H3" s="515"/>
    </row>
    <row r="4" spans="1:12" ht="18">
      <c r="F4" s="390"/>
    </row>
    <row r="5" spans="1:12" s="352" customFormat="1" ht="33.6">
      <c r="A5" s="350" t="s">
        <v>2</v>
      </c>
      <c r="B5" s="350" t="s">
        <v>104</v>
      </c>
      <c r="C5" s="350" t="s">
        <v>79</v>
      </c>
      <c r="D5" s="350" t="s">
        <v>80</v>
      </c>
      <c r="E5" s="350" t="s">
        <v>172</v>
      </c>
      <c r="F5" s="350" t="s">
        <v>81</v>
      </c>
      <c r="G5" s="351" t="s">
        <v>14</v>
      </c>
      <c r="H5" s="351" t="s">
        <v>122</v>
      </c>
    </row>
    <row r="6" spans="1:12" s="189" customFormat="1" ht="15.6">
      <c r="A6" s="321">
        <v>1</v>
      </c>
      <c r="B6" s="425" t="s">
        <v>222</v>
      </c>
      <c r="C6" s="425" t="s">
        <v>474</v>
      </c>
      <c r="D6" s="425" t="s">
        <v>475</v>
      </c>
      <c r="E6" s="425" t="s">
        <v>171</v>
      </c>
      <c r="F6" s="391" t="s">
        <v>616</v>
      </c>
      <c r="G6" s="322">
        <v>1000000</v>
      </c>
      <c r="H6" s="265">
        <f t="shared" ref="H6:H7" si="0">G6*0.9</f>
        <v>900000</v>
      </c>
    </row>
    <row r="7" spans="1:12" s="189" customFormat="1" ht="15.6">
      <c r="A7" s="321">
        <v>2</v>
      </c>
      <c r="B7" s="425" t="s">
        <v>209</v>
      </c>
      <c r="C7" s="425" t="s">
        <v>384</v>
      </c>
      <c r="D7" s="425" t="s">
        <v>377</v>
      </c>
      <c r="E7" s="425" t="s">
        <v>171</v>
      </c>
      <c r="F7" s="391" t="s">
        <v>136</v>
      </c>
      <c r="G7" s="322">
        <v>1000000</v>
      </c>
      <c r="H7" s="265">
        <f t="shared" si="0"/>
        <v>900000</v>
      </c>
    </row>
    <row r="8" spans="1:12" ht="15.6">
      <c r="A8" s="521" t="s">
        <v>28</v>
      </c>
      <c r="B8" s="522"/>
      <c r="C8" s="522"/>
      <c r="D8" s="522"/>
      <c r="E8" s="522"/>
      <c r="F8" s="523"/>
      <c r="G8" s="152">
        <f>SUM(G6:G7)</f>
        <v>2000000</v>
      </c>
      <c r="H8" s="152">
        <f>SUM(H6:H7)</f>
        <v>1800000</v>
      </c>
    </row>
    <row r="9" spans="1:12" ht="20.25" customHeight="1">
      <c r="F9" s="527" t="s">
        <v>639</v>
      </c>
      <c r="G9" s="527"/>
      <c r="H9" s="527"/>
      <c r="L9" s="78"/>
    </row>
    <row r="10" spans="1:12" ht="21.75" customHeight="1">
      <c r="A10" s="515" t="s">
        <v>20</v>
      </c>
      <c r="B10" s="515"/>
      <c r="C10" s="515"/>
      <c r="F10" s="519" t="s">
        <v>21</v>
      </c>
      <c r="G10" s="519"/>
      <c r="H10" s="519"/>
    </row>
    <row r="11" spans="1:12" ht="15" customHeight="1">
      <c r="C11" s="526"/>
      <c r="D11" s="526"/>
      <c r="E11" s="526"/>
      <c r="F11" s="526"/>
      <c r="G11" s="526"/>
      <c r="H11" s="263"/>
    </row>
    <row r="15" spans="1:12" ht="22.5" customHeight="1">
      <c r="A15" s="515" t="s">
        <v>112</v>
      </c>
      <c r="B15" s="515"/>
      <c r="C15" s="515"/>
      <c r="F15" s="519" t="s">
        <v>113</v>
      </c>
      <c r="G15" s="519"/>
      <c r="H15" s="519"/>
    </row>
  </sheetData>
  <sortState xmlns:xlrd2="http://schemas.microsoft.com/office/spreadsheetml/2017/richdata2" ref="A6:L7">
    <sortCondition ref="B6:B7"/>
  </sortState>
  <mergeCells count="10">
    <mergeCell ref="A15:C15"/>
    <mergeCell ref="A8:F8"/>
    <mergeCell ref="A1:F1"/>
    <mergeCell ref="A2:F2"/>
    <mergeCell ref="C11:G11"/>
    <mergeCell ref="A3:H3"/>
    <mergeCell ref="A10:C10"/>
    <mergeCell ref="F9:H9"/>
    <mergeCell ref="F15:H15"/>
    <mergeCell ref="F10:H10"/>
  </mergeCells>
  <pageMargins left="0.43307086614173229" right="0.27559055118110237" top="0.74803149606299213" bottom="0.74803149606299213" header="0.31496062992125984" footer="0.31496062992125984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F07A1-E848-4DFF-823E-90D6DA7EE0E8}">
  <dimension ref="A1:G25"/>
  <sheetViews>
    <sheetView workbookViewId="0">
      <selection activeCell="D21" sqref="D21:G21"/>
    </sheetView>
  </sheetViews>
  <sheetFormatPr defaultRowHeight="13.2"/>
  <cols>
    <col min="2" max="2" width="26.6640625" customWidth="1"/>
    <col min="3" max="3" width="14.33203125" bestFit="1" customWidth="1"/>
    <col min="4" max="4" width="20.109375" bestFit="1" customWidth="1"/>
    <col min="5" max="5" width="14.5546875" bestFit="1" customWidth="1"/>
    <col min="6" max="6" width="13.6640625" bestFit="1" customWidth="1"/>
  </cols>
  <sheetData>
    <row r="1" spans="1:7" ht="16.8">
      <c r="A1" s="472" t="s">
        <v>0</v>
      </c>
      <c r="B1" s="472"/>
      <c r="C1" s="472"/>
      <c r="D1" s="38"/>
      <c r="E1" s="38"/>
      <c r="F1" s="37"/>
      <c r="G1" s="37"/>
    </row>
    <row r="2" spans="1:7" ht="16.8">
      <c r="A2" s="471" t="s">
        <v>75</v>
      </c>
      <c r="B2" s="471"/>
      <c r="C2" s="471"/>
      <c r="D2" s="38"/>
      <c r="E2" s="38"/>
      <c r="F2" s="37"/>
      <c r="G2" s="37"/>
    </row>
    <row r="3" spans="1:7" ht="17.399999999999999">
      <c r="A3" s="462" t="s">
        <v>174</v>
      </c>
      <c r="B3" s="462"/>
      <c r="C3" s="462"/>
      <c r="D3" s="462"/>
      <c r="E3" s="462"/>
      <c r="F3" s="462"/>
      <c r="G3" s="136"/>
    </row>
    <row r="4" spans="1:7" ht="15.6">
      <c r="A4" s="488" t="s">
        <v>92</v>
      </c>
      <c r="B4" s="488"/>
      <c r="C4" s="488"/>
      <c r="D4" s="488"/>
      <c r="E4" s="488"/>
      <c r="F4" s="488"/>
      <c r="G4" s="488"/>
    </row>
    <row r="5" spans="1:7" ht="18">
      <c r="A5" s="37"/>
      <c r="B5" s="39"/>
      <c r="C5" s="40"/>
      <c r="D5" s="40"/>
      <c r="E5" s="38"/>
      <c r="F5" s="37"/>
      <c r="G5" s="37"/>
    </row>
    <row r="6" spans="1:7" ht="16.8">
      <c r="A6" s="123" t="s">
        <v>2</v>
      </c>
      <c r="B6" s="124" t="s">
        <v>13</v>
      </c>
      <c r="C6" s="125" t="s">
        <v>85</v>
      </c>
      <c r="D6" s="125" t="s">
        <v>118</v>
      </c>
      <c r="E6" s="125" t="s">
        <v>14</v>
      </c>
      <c r="F6" s="125" t="s">
        <v>121</v>
      </c>
      <c r="G6" s="47"/>
    </row>
    <row r="7" spans="1:7" ht="16.8">
      <c r="A7" s="112">
        <v>1</v>
      </c>
      <c r="B7" s="107" t="s">
        <v>23</v>
      </c>
      <c r="C7" s="108" t="s">
        <v>26</v>
      </c>
      <c r="D7" s="205">
        <v>102006610216</v>
      </c>
      <c r="E7" s="86">
        <v>900000</v>
      </c>
      <c r="F7" s="126"/>
      <c r="G7" s="37"/>
    </row>
    <row r="8" spans="1:7" ht="16.8">
      <c r="A8" s="112">
        <v>2</v>
      </c>
      <c r="B8" s="107" t="s">
        <v>18</v>
      </c>
      <c r="C8" s="108" t="s">
        <v>26</v>
      </c>
      <c r="D8" s="205">
        <v>103006610215</v>
      </c>
      <c r="E8" s="86"/>
      <c r="F8" s="126"/>
      <c r="G8" s="37"/>
    </row>
    <row r="9" spans="1:7" ht="16.8">
      <c r="A9" s="112">
        <v>3</v>
      </c>
      <c r="B9" s="107" t="s">
        <v>17</v>
      </c>
      <c r="C9" s="108" t="s">
        <v>26</v>
      </c>
      <c r="D9" s="205">
        <v>100006610218</v>
      </c>
      <c r="E9" s="86">
        <v>900000</v>
      </c>
      <c r="F9" s="126"/>
      <c r="G9" s="37"/>
    </row>
    <row r="10" spans="1:7" ht="16.8">
      <c r="A10" s="112">
        <v>4</v>
      </c>
      <c r="B10" s="107" t="s">
        <v>74</v>
      </c>
      <c r="C10" s="108" t="s">
        <v>26</v>
      </c>
      <c r="D10" s="205">
        <v>105001159195</v>
      </c>
      <c r="E10" s="86"/>
      <c r="F10" s="126"/>
      <c r="G10" s="41"/>
    </row>
    <row r="11" spans="1:7" ht="16.8">
      <c r="A11" s="112">
        <v>5</v>
      </c>
      <c r="B11" s="107" t="s">
        <v>72</v>
      </c>
      <c r="C11" s="108" t="s">
        <v>66</v>
      </c>
      <c r="D11" s="205">
        <v>105001225232</v>
      </c>
      <c r="E11" s="86">
        <v>0</v>
      </c>
      <c r="F11" s="126"/>
      <c r="G11" s="41"/>
    </row>
    <row r="12" spans="1:7" ht="16.8">
      <c r="A12" s="112">
        <v>6</v>
      </c>
      <c r="B12" s="107" t="s">
        <v>115</v>
      </c>
      <c r="C12" s="108" t="s">
        <v>66</v>
      </c>
      <c r="D12" s="205">
        <v>107868829237</v>
      </c>
      <c r="E12" s="86">
        <v>0</v>
      </c>
      <c r="F12" s="126"/>
      <c r="G12" s="41"/>
    </row>
    <row r="13" spans="1:7" ht="16.8">
      <c r="A13" s="112">
        <v>7</v>
      </c>
      <c r="B13" s="107" t="s">
        <v>94</v>
      </c>
      <c r="C13" s="108" t="s">
        <v>66</v>
      </c>
      <c r="D13" s="205">
        <v>105867664283</v>
      </c>
      <c r="E13" s="86"/>
      <c r="F13" s="126"/>
      <c r="G13" s="41"/>
    </row>
    <row r="14" spans="1:7" ht="16.8">
      <c r="A14" s="112">
        <v>8</v>
      </c>
      <c r="B14" s="62" t="s">
        <v>22</v>
      </c>
      <c r="C14" s="108" t="s">
        <v>66</v>
      </c>
      <c r="D14" s="205">
        <v>107003444634</v>
      </c>
      <c r="E14" s="86">
        <v>0</v>
      </c>
      <c r="F14" s="126"/>
      <c r="G14" s="41"/>
    </row>
    <row r="15" spans="1:7" ht="16.8">
      <c r="A15" s="112">
        <v>9</v>
      </c>
      <c r="B15" s="107" t="s">
        <v>39</v>
      </c>
      <c r="C15" s="261" t="s">
        <v>26</v>
      </c>
      <c r="D15" s="205">
        <v>109875250610</v>
      </c>
      <c r="E15" s="86">
        <v>0</v>
      </c>
      <c r="F15" s="262"/>
      <c r="G15" s="41"/>
    </row>
    <row r="16" spans="1:7" ht="16.8">
      <c r="A16" s="112">
        <v>10</v>
      </c>
      <c r="B16" s="107" t="s">
        <v>84</v>
      </c>
      <c r="C16" s="261" t="s">
        <v>26</v>
      </c>
      <c r="D16" s="348" t="s">
        <v>131</v>
      </c>
      <c r="E16" s="86">
        <v>0</v>
      </c>
      <c r="F16" s="262"/>
      <c r="G16" s="41"/>
    </row>
    <row r="17" spans="1:7" ht="16.8">
      <c r="A17" s="112">
        <v>11</v>
      </c>
      <c r="B17" s="107" t="s">
        <v>138</v>
      </c>
      <c r="C17" s="261" t="s">
        <v>26</v>
      </c>
      <c r="D17" s="348"/>
      <c r="E17" s="86">
        <v>0</v>
      </c>
      <c r="F17" s="262"/>
      <c r="G17" s="41"/>
    </row>
    <row r="18" spans="1:7" ht="16.8">
      <c r="A18" s="107"/>
      <c r="B18" s="127" t="s">
        <v>28</v>
      </c>
      <c r="C18" s="128"/>
      <c r="D18" s="128"/>
      <c r="E18" s="86">
        <f>SUM(E7:E17)</f>
        <v>1800000</v>
      </c>
      <c r="F18" s="129"/>
      <c r="G18" s="49"/>
    </row>
    <row r="19" spans="1:7" ht="16.8">
      <c r="A19" s="1"/>
      <c r="B19" s="106"/>
      <c r="C19" s="38"/>
      <c r="D19" s="38"/>
      <c r="E19" s="38"/>
      <c r="F19" s="37"/>
      <c r="G19" s="37"/>
    </row>
    <row r="20" spans="1:7" ht="15.6">
      <c r="A20" s="37"/>
      <c r="B20" s="37"/>
      <c r="C20" s="38"/>
      <c r="D20" s="473" t="s">
        <v>639</v>
      </c>
      <c r="E20" s="473"/>
      <c r="F20" s="473"/>
      <c r="G20" s="473"/>
    </row>
    <row r="21" spans="1:7" ht="18">
      <c r="A21" s="462" t="s">
        <v>20</v>
      </c>
      <c r="B21" s="462"/>
      <c r="C21" s="40"/>
      <c r="D21" s="489" t="s">
        <v>21</v>
      </c>
      <c r="E21" s="489"/>
      <c r="F21" s="489"/>
      <c r="G21" s="489"/>
    </row>
    <row r="22" spans="1:7" ht="18">
      <c r="A22" s="39"/>
      <c r="B22" s="39"/>
      <c r="C22" s="40"/>
      <c r="D22" s="40"/>
      <c r="E22" s="40"/>
      <c r="F22" s="39"/>
      <c r="G22" s="39"/>
    </row>
    <row r="23" spans="1:7" ht="18">
      <c r="A23" s="39"/>
      <c r="B23" s="39"/>
      <c r="C23" s="40"/>
      <c r="D23" s="40"/>
      <c r="E23" s="40"/>
      <c r="F23" s="39"/>
      <c r="G23" s="39"/>
    </row>
    <row r="24" spans="1:7" ht="18">
      <c r="A24" s="39"/>
      <c r="B24" s="39"/>
      <c r="C24" s="40"/>
      <c r="D24" s="40"/>
      <c r="E24" s="40"/>
      <c r="F24" s="275"/>
      <c r="G24" s="39"/>
    </row>
    <row r="25" spans="1:7" ht="18">
      <c r="A25" s="462" t="s">
        <v>96</v>
      </c>
      <c r="B25" s="462"/>
      <c r="C25" s="40"/>
      <c r="D25" s="489" t="s">
        <v>111</v>
      </c>
      <c r="E25" s="489"/>
      <c r="F25" s="489"/>
      <c r="G25" s="489"/>
    </row>
  </sheetData>
  <mergeCells count="9">
    <mergeCell ref="A25:B25"/>
    <mergeCell ref="D25:G25"/>
    <mergeCell ref="A1:C1"/>
    <mergeCell ref="A2:C2"/>
    <mergeCell ref="A3:F3"/>
    <mergeCell ref="A4:G4"/>
    <mergeCell ref="D20:G20"/>
    <mergeCell ref="A21:B21"/>
    <mergeCell ref="D21:G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phauthuat</vt:lpstr>
      <vt:lpstr>lanh tien PT</vt:lpstr>
      <vt:lpstr>Bác sĩ điều trị</vt:lpstr>
      <vt:lpstr>lanh tien PT1</vt:lpstr>
      <vt:lpstr>phauthuat_BHYT</vt:lpstr>
      <vt:lpstr>lanh tien PT_BHYT</vt:lpstr>
      <vt:lpstr>Thực lãnh</vt:lpstr>
      <vt:lpstr>thu thuat</vt:lpstr>
      <vt:lpstr>lanh tien thu thuat</vt:lpstr>
      <vt:lpstr>tieuphau</vt:lpstr>
      <vt:lpstr>lanh tien tphau</vt:lpstr>
      <vt:lpstr>TIỀN GIƯỜNG</vt:lpstr>
      <vt:lpstr>TONG LANH</vt:lpstr>
      <vt:lpstr>Thực lãnh dv</vt:lpstr>
      <vt:lpstr>GIƯỜNG GỬI</vt:lpstr>
      <vt:lpstr>PT YÊU CẦU</vt:lpstr>
      <vt:lpstr>Lãnh tiền PTYC</vt:lpstr>
    </vt:vector>
  </TitlesOfParts>
  <Company>&lt;egyptian hak&gt;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Gostep.info</dc:creator>
  <cp:lastModifiedBy>Anh Duy</cp:lastModifiedBy>
  <cp:lastPrinted>2025-02-18T03:58:32Z</cp:lastPrinted>
  <dcterms:created xsi:type="dcterms:W3CDTF">2012-03-02T08:10:25Z</dcterms:created>
  <dcterms:modified xsi:type="dcterms:W3CDTF">2026-07-05T15:01:29Z</dcterms:modified>
</cp:coreProperties>
</file>