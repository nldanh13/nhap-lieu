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78F96BC2-03E6-471C-A78E-2A3957ACA38F}" xr6:coauthVersionLast="47" xr6:coauthVersionMax="47" xr10:uidLastSave="{00000000-0000-0000-0000-000000000000}"/>
  <bookViews>
    <workbookView xWindow="-120" yWindow="-120" windowWidth="29040" windowHeight="15720" tabRatio="907" activeTab="4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thu thuat" sheetId="41" r:id="rId7"/>
    <sheet name="lanh tien thu thuat" sheetId="42" r:id="rId8"/>
    <sheet name="tieuphau" sheetId="26" r:id="rId9"/>
    <sheet name="lanh tien tphau" sheetId="7" r:id="rId10"/>
    <sheet name="TIỀN GIƯỜNG" sheetId="30" r:id="rId11"/>
    <sheet name="lanh tien PT1" sheetId="57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7" hidden="1">#REF!</definedName>
    <definedName name="_Fill" localSheetId="2" hidden="1">#REF!</definedName>
    <definedName name="_Fill" localSheetId="10" hidden="1">#REF!</definedName>
    <definedName name="_Fill" localSheetId="6" hidden="1">#REF!</definedName>
    <definedName name="_Fill" hidden="1">#REF!</definedName>
    <definedName name="_xlnm._FilterDatabase" localSheetId="0" hidden="1">phauthuat!$A$6:$WWO$170</definedName>
    <definedName name="_xlnm._FilterDatabase" localSheetId="2" hidden="1">phauthuat_BHYT!$A$7:$WWY$182</definedName>
    <definedName name="_xlnm._FilterDatabase" localSheetId="8" hidden="1">tieuphau!$A$6:$XET$120</definedName>
    <definedName name="_xlnm._FilterDatabase" localSheetId="6" hidden="1">'thu thuat'!$B$5:$I$699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9" l="1"/>
  <c r="D18" i="56"/>
  <c r="D17" i="56"/>
  <c r="D16" i="56"/>
  <c r="D15" i="56"/>
  <c r="D14" i="56"/>
  <c r="D13" i="56"/>
  <c r="D9" i="56"/>
  <c r="D21" i="57" l="1"/>
  <c r="J167" i="1"/>
  <c r="D16" i="30"/>
  <c r="F118" i="26"/>
  <c r="H118" i="26"/>
  <c r="J118" i="26"/>
  <c r="D17" i="7" s="1"/>
  <c r="K118" i="26"/>
  <c r="D8" i="30"/>
  <c r="D9" i="30"/>
  <c r="D10" i="30"/>
  <c r="D11" i="30"/>
  <c r="D12" i="30"/>
  <c r="D13" i="30"/>
  <c r="D14" i="30"/>
  <c r="D15" i="30"/>
  <c r="D7" i="30"/>
  <c r="E21" i="40"/>
  <c r="R100" i="1" l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H168" i="1"/>
  <c r="R163" i="1"/>
  <c r="R164" i="1"/>
  <c r="R165" i="1"/>
  <c r="R166" i="1"/>
  <c r="R167" i="1"/>
  <c r="Q163" i="1"/>
  <c r="Q164" i="1"/>
  <c r="Q165" i="1"/>
  <c r="Q166" i="1"/>
  <c r="Q167" i="1"/>
  <c r="P163" i="1"/>
  <c r="P164" i="1"/>
  <c r="P165" i="1"/>
  <c r="P166" i="1"/>
  <c r="P167" i="1"/>
  <c r="N163" i="1"/>
  <c r="N164" i="1"/>
  <c r="N165" i="1"/>
  <c r="N166" i="1"/>
  <c r="N167" i="1"/>
  <c r="L163" i="1"/>
  <c r="L164" i="1"/>
  <c r="L165" i="1"/>
  <c r="L166" i="1"/>
  <c r="L167" i="1"/>
  <c r="J163" i="1" l="1"/>
  <c r="J164" i="1"/>
  <c r="J165" i="1"/>
  <c r="J166" i="1"/>
  <c r="G697" i="41" l="1"/>
  <c r="H697" i="41"/>
  <c r="K110" i="26"/>
  <c r="K114" i="26"/>
  <c r="K115" i="26"/>
  <c r="K9" i="26"/>
  <c r="K10" i="26"/>
  <c r="K11" i="26"/>
  <c r="K17" i="26"/>
  <c r="K18" i="26"/>
  <c r="K19" i="26"/>
  <c r="K20" i="26"/>
  <c r="K22" i="26"/>
  <c r="K23" i="26"/>
  <c r="K24" i="26"/>
  <c r="K34" i="26"/>
  <c r="H34" i="26" s="1"/>
  <c r="K35" i="26"/>
  <c r="K36" i="26"/>
  <c r="K37" i="26"/>
  <c r="K39" i="26"/>
  <c r="K44" i="26"/>
  <c r="K45" i="26"/>
  <c r="K52" i="26"/>
  <c r="K56" i="26"/>
  <c r="H56" i="26" s="1"/>
  <c r="K57" i="26"/>
  <c r="K58" i="26"/>
  <c r="K66" i="26"/>
  <c r="K67" i="26"/>
  <c r="K69" i="26"/>
  <c r="K78" i="26"/>
  <c r="K88" i="26"/>
  <c r="K94" i="26"/>
  <c r="H94" i="26" s="1"/>
  <c r="K95" i="26"/>
  <c r="K102" i="26"/>
  <c r="K103" i="26"/>
  <c r="K104" i="26"/>
  <c r="K105" i="26"/>
  <c r="K111" i="26"/>
  <c r="K112" i="26"/>
  <c r="K113" i="26"/>
  <c r="H113" i="26" s="1"/>
  <c r="K116" i="26"/>
  <c r="K117" i="26"/>
  <c r="J9" i="26"/>
  <c r="J10" i="26"/>
  <c r="J11" i="26"/>
  <c r="J17" i="26"/>
  <c r="J18" i="26"/>
  <c r="J19" i="26"/>
  <c r="J20" i="26"/>
  <c r="J22" i="26"/>
  <c r="J23" i="26"/>
  <c r="J24" i="26"/>
  <c r="J34" i="26"/>
  <c r="J35" i="26"/>
  <c r="J36" i="26"/>
  <c r="J37" i="26"/>
  <c r="J39" i="26"/>
  <c r="J44" i="26"/>
  <c r="J45" i="26"/>
  <c r="J52" i="26"/>
  <c r="J56" i="26"/>
  <c r="J57" i="26"/>
  <c r="J58" i="26"/>
  <c r="J66" i="26"/>
  <c r="J67" i="26"/>
  <c r="J69" i="26"/>
  <c r="J78" i="26"/>
  <c r="J88" i="26"/>
  <c r="J94" i="26"/>
  <c r="J95" i="26"/>
  <c r="J102" i="26"/>
  <c r="J103" i="26"/>
  <c r="J104" i="26"/>
  <c r="J105" i="26"/>
  <c r="J111" i="26"/>
  <c r="J112" i="26"/>
  <c r="J113" i="26"/>
  <c r="J116" i="26"/>
  <c r="J117" i="26"/>
  <c r="H11" i="26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I155" i="38"/>
  <c r="I156" i="38"/>
  <c r="I157" i="38"/>
  <c r="I158" i="38"/>
  <c r="I159" i="38"/>
  <c r="I160" i="38"/>
  <c r="I161" i="38"/>
  <c r="I162" i="38"/>
  <c r="I163" i="38"/>
  <c r="I164" i="38"/>
  <c r="I165" i="38"/>
  <c r="I166" i="38"/>
  <c r="I167" i="38"/>
  <c r="I168" i="38"/>
  <c r="I169" i="38"/>
  <c r="I170" i="38"/>
  <c r="I171" i="38"/>
  <c r="I172" i="38"/>
  <c r="I173" i="38"/>
  <c r="I174" i="38"/>
  <c r="I175" i="38"/>
  <c r="I176" i="38"/>
  <c r="I177" i="38"/>
  <c r="I178" i="38"/>
  <c r="I179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K151" i="38"/>
  <c r="K152" i="38"/>
  <c r="K153" i="38"/>
  <c r="K154" i="38"/>
  <c r="K155" i="38"/>
  <c r="K156" i="38"/>
  <c r="K157" i="38"/>
  <c r="K158" i="38"/>
  <c r="K159" i="38"/>
  <c r="K160" i="38"/>
  <c r="K161" i="38"/>
  <c r="K162" i="38"/>
  <c r="K163" i="38"/>
  <c r="K164" i="38"/>
  <c r="K165" i="38"/>
  <c r="K166" i="38"/>
  <c r="K167" i="38"/>
  <c r="K168" i="38"/>
  <c r="K169" i="38"/>
  <c r="K170" i="38"/>
  <c r="K171" i="38"/>
  <c r="K172" i="38"/>
  <c r="K173" i="38"/>
  <c r="K174" i="38"/>
  <c r="K175" i="38"/>
  <c r="M133" i="38"/>
  <c r="M134" i="38"/>
  <c r="N134" i="38" s="1"/>
  <c r="M135" i="38"/>
  <c r="M136" i="38"/>
  <c r="N136" i="38" s="1"/>
  <c r="M137" i="38"/>
  <c r="M138" i="38"/>
  <c r="M139" i="38"/>
  <c r="M140" i="38"/>
  <c r="M141" i="38"/>
  <c r="N141" i="38" s="1"/>
  <c r="M142" i="38"/>
  <c r="N142" i="38" s="1"/>
  <c r="M143" i="38"/>
  <c r="N143" i="38" s="1"/>
  <c r="M144" i="38"/>
  <c r="M145" i="38"/>
  <c r="M146" i="38"/>
  <c r="M147" i="38"/>
  <c r="M148" i="38"/>
  <c r="M149" i="38"/>
  <c r="N149" i="38" s="1"/>
  <c r="M150" i="38"/>
  <c r="N150" i="38" s="1"/>
  <c r="M151" i="38"/>
  <c r="M152" i="38"/>
  <c r="N152" i="38" s="1"/>
  <c r="M153" i="38"/>
  <c r="M154" i="38"/>
  <c r="M155" i="38"/>
  <c r="M156" i="38"/>
  <c r="M157" i="38"/>
  <c r="N157" i="38" s="1"/>
  <c r="M158" i="38"/>
  <c r="N158" i="38" s="1"/>
  <c r="M159" i="38"/>
  <c r="M160" i="38"/>
  <c r="N160" i="38" s="1"/>
  <c r="M161" i="38"/>
  <c r="M162" i="38"/>
  <c r="M163" i="38"/>
  <c r="M164" i="38"/>
  <c r="M165" i="38"/>
  <c r="N165" i="38" s="1"/>
  <c r="M166" i="38"/>
  <c r="N166" i="38" s="1"/>
  <c r="M167" i="38"/>
  <c r="N167" i="38" s="1"/>
  <c r="M168" i="38"/>
  <c r="N168" i="38" s="1"/>
  <c r="M169" i="38"/>
  <c r="M170" i="38"/>
  <c r="M171" i="38"/>
  <c r="M172" i="38"/>
  <c r="M173" i="38"/>
  <c r="N173" i="38" s="1"/>
  <c r="M174" i="38"/>
  <c r="N174" i="38" s="1"/>
  <c r="M175" i="38"/>
  <c r="M176" i="38"/>
  <c r="M177" i="38"/>
  <c r="M178" i="38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H17" i="26" l="1"/>
  <c r="H105" i="26"/>
  <c r="H44" i="26"/>
  <c r="H22" i="26"/>
  <c r="H69" i="26"/>
  <c r="N144" i="38"/>
  <c r="N169" i="38"/>
  <c r="N161" i="38"/>
  <c r="N153" i="38"/>
  <c r="N145" i="38"/>
  <c r="N137" i="38"/>
  <c r="N159" i="38"/>
  <c r="H10" i="26"/>
  <c r="H116" i="26"/>
  <c r="H95" i="26"/>
  <c r="H57" i="26"/>
  <c r="H35" i="26"/>
  <c r="H104" i="26"/>
  <c r="H103" i="26"/>
  <c r="H19" i="26"/>
  <c r="H112" i="26"/>
  <c r="H88" i="26"/>
  <c r="H52" i="26"/>
  <c r="H24" i="26"/>
  <c r="H67" i="26"/>
  <c r="H20" i="26"/>
  <c r="H37" i="26"/>
  <c r="H39" i="26"/>
  <c r="H66" i="26"/>
  <c r="H111" i="26"/>
  <c r="H78" i="26"/>
  <c r="H45" i="26"/>
  <c r="H23" i="26"/>
  <c r="H9" i="26"/>
  <c r="H117" i="26"/>
  <c r="H58" i="26"/>
  <c r="H18" i="26"/>
  <c r="H102" i="26"/>
  <c r="H36" i="26"/>
  <c r="N135" i="38"/>
  <c r="N175" i="38"/>
  <c r="N151" i="38"/>
  <c r="N172" i="38"/>
  <c r="N164" i="38"/>
  <c r="N156" i="38"/>
  <c r="N148" i="38"/>
  <c r="N140" i="38"/>
  <c r="N147" i="38"/>
  <c r="N171" i="38"/>
  <c r="N163" i="38"/>
  <c r="N155" i="38"/>
  <c r="N139" i="38"/>
  <c r="N170" i="38"/>
  <c r="N162" i="38"/>
  <c r="N154" i="38"/>
  <c r="N146" i="38"/>
  <c r="N138" i="38"/>
  <c r="H7" i="58"/>
  <c r="H8" i="58"/>
  <c r="H9" i="58"/>
  <c r="H10" i="58"/>
  <c r="H11" i="58"/>
  <c r="H12" i="58"/>
  <c r="H13" i="58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J53" i="26" l="1"/>
  <c r="J54" i="26"/>
  <c r="J59" i="26"/>
  <c r="J70" i="26"/>
  <c r="J71" i="26"/>
  <c r="J72" i="26"/>
  <c r="J73" i="26"/>
  <c r="J76" i="26"/>
  <c r="J79" i="26"/>
  <c r="J80" i="26"/>
  <c r="J81" i="26"/>
  <c r="J82" i="26"/>
  <c r="J83" i="26"/>
  <c r="J84" i="26"/>
  <c r="J85" i="26"/>
  <c r="J86" i="26"/>
  <c r="J87" i="26"/>
  <c r="J89" i="26"/>
  <c r="J90" i="26"/>
  <c r="J91" i="26"/>
  <c r="J92" i="26"/>
  <c r="J93" i="26"/>
  <c r="J97" i="26"/>
  <c r="J98" i="26"/>
  <c r="J99" i="26"/>
  <c r="J100" i="26"/>
  <c r="J101" i="26"/>
  <c r="J106" i="26"/>
  <c r="J109" i="26"/>
  <c r="J110" i="26"/>
  <c r="J114" i="26"/>
  <c r="J115" i="26"/>
  <c r="K53" i="26"/>
  <c r="K54" i="26"/>
  <c r="K59" i="26"/>
  <c r="K70" i="26"/>
  <c r="K71" i="26"/>
  <c r="K72" i="26"/>
  <c r="K73" i="26"/>
  <c r="K76" i="26"/>
  <c r="K79" i="26"/>
  <c r="K80" i="26"/>
  <c r="K81" i="26"/>
  <c r="K82" i="26"/>
  <c r="K83" i="26"/>
  <c r="K84" i="26"/>
  <c r="K85" i="26"/>
  <c r="K86" i="26"/>
  <c r="K87" i="26"/>
  <c r="K89" i="26"/>
  <c r="K90" i="26"/>
  <c r="K91" i="26"/>
  <c r="K92" i="26"/>
  <c r="K93" i="26"/>
  <c r="K97" i="26"/>
  <c r="K98" i="26"/>
  <c r="K99" i="26"/>
  <c r="K100" i="26"/>
  <c r="K101" i="26"/>
  <c r="K106" i="26"/>
  <c r="K109" i="2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D18" i="9" s="1"/>
  <c r="L96" i="1"/>
  <c r="L97" i="1"/>
  <c r="L98" i="1"/>
  <c r="L156" i="1"/>
  <c r="L157" i="1"/>
  <c r="L158" i="1"/>
  <c r="L159" i="1"/>
  <c r="L160" i="1"/>
  <c r="L161" i="1"/>
  <c r="L162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D22" i="9" s="1"/>
  <c r="E23" i="32" s="1"/>
  <c r="G23" i="32" s="1"/>
  <c r="N95" i="1"/>
  <c r="N96" i="1"/>
  <c r="N97" i="1"/>
  <c r="N98" i="1"/>
  <c r="N99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160" i="1"/>
  <c r="Q161" i="1"/>
  <c r="Q162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62" i="1"/>
  <c r="I127" i="38"/>
  <c r="I128" i="38"/>
  <c r="I129" i="38"/>
  <c r="I130" i="38"/>
  <c r="I131" i="38"/>
  <c r="K127" i="38"/>
  <c r="K128" i="38"/>
  <c r="K129" i="38"/>
  <c r="K130" i="38"/>
  <c r="K131" i="38"/>
  <c r="K132" i="38"/>
  <c r="K176" i="38"/>
  <c r="N176" i="38" s="1"/>
  <c r="K177" i="38"/>
  <c r="N177" i="38" s="1"/>
  <c r="K178" i="38"/>
  <c r="N178" i="38" s="1"/>
  <c r="K179" i="38"/>
  <c r="M127" i="38"/>
  <c r="M128" i="38"/>
  <c r="M129" i="38"/>
  <c r="M130" i="38"/>
  <c r="M131" i="38"/>
  <c r="M132" i="38"/>
  <c r="M179" i="38"/>
  <c r="E19" i="32" l="1"/>
  <c r="E19" i="62"/>
  <c r="D19" i="9"/>
  <c r="E20" i="32" s="1"/>
  <c r="G20" i="32" s="1"/>
  <c r="D21" i="9"/>
  <c r="E22" i="32" s="1"/>
  <c r="G22" i="32" s="1"/>
  <c r="D20" i="9"/>
  <c r="E21" i="32" s="1"/>
  <c r="G21" i="32" s="1"/>
  <c r="N179" i="38"/>
  <c r="J157" i="1"/>
  <c r="J141" i="1"/>
  <c r="J133" i="1"/>
  <c r="J84" i="1"/>
  <c r="J76" i="1"/>
  <c r="J68" i="1"/>
  <c r="J60" i="1"/>
  <c r="J52" i="1"/>
  <c r="J44" i="1"/>
  <c r="J36" i="1"/>
  <c r="J28" i="1"/>
  <c r="J20" i="1"/>
  <c r="J12" i="1"/>
  <c r="J149" i="1"/>
  <c r="J92" i="1"/>
  <c r="J158" i="1"/>
  <c r="J150" i="1"/>
  <c r="J142" i="1"/>
  <c r="J134" i="1"/>
  <c r="J93" i="1"/>
  <c r="J85" i="1"/>
  <c r="J77" i="1"/>
  <c r="J69" i="1"/>
  <c r="J61" i="1"/>
  <c r="J53" i="1"/>
  <c r="J45" i="1"/>
  <c r="J37" i="1"/>
  <c r="J29" i="1"/>
  <c r="J21" i="1"/>
  <c r="J13" i="1"/>
  <c r="H80" i="26"/>
  <c r="H59" i="26"/>
  <c r="H106" i="26"/>
  <c r="H97" i="26"/>
  <c r="H79" i="26"/>
  <c r="H101" i="26"/>
  <c r="H93" i="26"/>
  <c r="H85" i="26"/>
  <c r="H76" i="26"/>
  <c r="H54" i="26"/>
  <c r="H81" i="26"/>
  <c r="H70" i="26"/>
  <c r="N130" i="38"/>
  <c r="N129" i="38"/>
  <c r="J148" i="1"/>
  <c r="J75" i="1"/>
  <c r="J35" i="1"/>
  <c r="J155" i="1"/>
  <c r="J140" i="1"/>
  <c r="J83" i="1"/>
  <c r="J51" i="1"/>
  <c r="J19" i="1"/>
  <c r="J98" i="1"/>
  <c r="J74" i="1"/>
  <c r="J50" i="1"/>
  <c r="J26" i="1"/>
  <c r="J162" i="1"/>
  <c r="J138" i="1"/>
  <c r="J81" i="1"/>
  <c r="J57" i="1"/>
  <c r="J41" i="1"/>
  <c r="J25" i="1"/>
  <c r="J137" i="1"/>
  <c r="J80" i="1"/>
  <c r="J72" i="1"/>
  <c r="J48" i="1"/>
  <c r="J40" i="1"/>
  <c r="J32" i="1"/>
  <c r="J24" i="1"/>
  <c r="J16" i="1"/>
  <c r="J8" i="1"/>
  <c r="D9" i="9" s="1"/>
  <c r="J99" i="1"/>
  <c r="J67" i="1"/>
  <c r="J43" i="1"/>
  <c r="J11" i="1"/>
  <c r="J147" i="1"/>
  <c r="J82" i="1"/>
  <c r="J66" i="1"/>
  <c r="J42" i="1"/>
  <c r="J18" i="1"/>
  <c r="J154" i="1"/>
  <c r="J97" i="1"/>
  <c r="J73" i="1"/>
  <c r="J49" i="1"/>
  <c r="J17" i="1"/>
  <c r="J161" i="1"/>
  <c r="J145" i="1"/>
  <c r="J88" i="1"/>
  <c r="J56" i="1"/>
  <c r="J160" i="1"/>
  <c r="J152" i="1"/>
  <c r="J144" i="1"/>
  <c r="J136" i="1"/>
  <c r="J95" i="1"/>
  <c r="J87" i="1"/>
  <c r="J79" i="1"/>
  <c r="J71" i="1"/>
  <c r="J63" i="1"/>
  <c r="J55" i="1"/>
  <c r="J47" i="1"/>
  <c r="J39" i="1"/>
  <c r="J31" i="1"/>
  <c r="J23" i="1"/>
  <c r="J15" i="1"/>
  <c r="J156" i="1"/>
  <c r="J91" i="1"/>
  <c r="J59" i="1"/>
  <c r="J27" i="1"/>
  <c r="J139" i="1"/>
  <c r="J90" i="1"/>
  <c r="J58" i="1"/>
  <c r="J34" i="1"/>
  <c r="J10" i="1"/>
  <c r="J146" i="1"/>
  <c r="J89" i="1"/>
  <c r="J65" i="1"/>
  <c r="J33" i="1"/>
  <c r="J9" i="1"/>
  <c r="J153" i="1"/>
  <c r="J96" i="1"/>
  <c r="J64" i="1"/>
  <c r="J159" i="1"/>
  <c r="J151" i="1"/>
  <c r="J143" i="1"/>
  <c r="J135" i="1"/>
  <c r="J94" i="1"/>
  <c r="J86" i="1"/>
  <c r="J78" i="1"/>
  <c r="J70" i="1"/>
  <c r="J62" i="1"/>
  <c r="J54" i="1"/>
  <c r="J46" i="1"/>
  <c r="J38" i="1"/>
  <c r="J30" i="1"/>
  <c r="J22" i="1"/>
  <c r="J14" i="1"/>
  <c r="H98" i="26"/>
  <c r="N128" i="38"/>
  <c r="N127" i="38"/>
  <c r="H92" i="26"/>
  <c r="H84" i="26"/>
  <c r="H53" i="26"/>
  <c r="H110" i="26"/>
  <c r="H89" i="26"/>
  <c r="H86" i="26"/>
  <c r="H82" i="26"/>
  <c r="H115" i="26"/>
  <c r="H99" i="26"/>
  <c r="H90" i="26"/>
  <c r="H72" i="26"/>
  <c r="H114" i="26"/>
  <c r="H71" i="26"/>
  <c r="H109" i="26"/>
  <c r="H87" i="26"/>
  <c r="H100" i="26"/>
  <c r="H91" i="26"/>
  <c r="H83" i="26"/>
  <c r="H73" i="26"/>
  <c r="N133" i="38"/>
  <c r="N132" i="38"/>
  <c r="N131" i="38"/>
  <c r="G14" i="58"/>
  <c r="K51" i="26"/>
  <c r="K33" i="26"/>
  <c r="K47" i="26"/>
  <c r="K21" i="26"/>
  <c r="K48" i="26"/>
  <c r="J51" i="26"/>
  <c r="J33" i="26"/>
  <c r="J47" i="26"/>
  <c r="J21" i="26"/>
  <c r="J48" i="26"/>
  <c r="M112" i="38"/>
  <c r="M113" i="38"/>
  <c r="M114" i="38"/>
  <c r="M115" i="38"/>
  <c r="M116" i="38"/>
  <c r="M117" i="38"/>
  <c r="M118" i="38"/>
  <c r="M119" i="38"/>
  <c r="M120" i="38"/>
  <c r="M121" i="38"/>
  <c r="K112" i="38"/>
  <c r="K113" i="38"/>
  <c r="K114" i="38"/>
  <c r="K115" i="38"/>
  <c r="K116" i="38"/>
  <c r="K117" i="38"/>
  <c r="K118" i="38"/>
  <c r="K119" i="38"/>
  <c r="K120" i="38"/>
  <c r="K121" i="38"/>
  <c r="I112" i="38"/>
  <c r="I113" i="38"/>
  <c r="I114" i="38"/>
  <c r="I115" i="38"/>
  <c r="I116" i="38"/>
  <c r="I117" i="38"/>
  <c r="I118" i="38"/>
  <c r="I119" i="38"/>
  <c r="I120" i="38"/>
  <c r="I121" i="38"/>
  <c r="I537" i="41"/>
  <c r="I538" i="41"/>
  <c r="I539" i="41"/>
  <c r="I540" i="41"/>
  <c r="G19" i="32" l="1"/>
  <c r="F19" i="32" s="1"/>
  <c r="G19" i="62"/>
  <c r="F19" i="62" s="1"/>
  <c r="H51" i="26"/>
  <c r="N117" i="38"/>
  <c r="N116" i="38"/>
  <c r="N119" i="38"/>
  <c r="N118" i="38"/>
  <c r="N115" i="38"/>
  <c r="N114" i="38"/>
  <c r="N121" i="38"/>
  <c r="N113" i="38"/>
  <c r="N120" i="38"/>
  <c r="N112" i="38"/>
  <c r="H33" i="26"/>
  <c r="H48" i="26"/>
  <c r="H21" i="26"/>
  <c r="H47" i="26"/>
  <c r="K70" i="38"/>
  <c r="K71" i="38"/>
  <c r="K72" i="38"/>
  <c r="K73" i="38"/>
  <c r="K74" i="38"/>
  <c r="K75" i="38"/>
  <c r="K76" i="38"/>
  <c r="E19" i="40" s="1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22" i="38"/>
  <c r="K123" i="38"/>
  <c r="K124" i="38"/>
  <c r="K125" i="38"/>
  <c r="K126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22" i="38"/>
  <c r="I123" i="38"/>
  <c r="I124" i="38"/>
  <c r="I125" i="38"/>
  <c r="I126" i="38"/>
  <c r="M70" i="38"/>
  <c r="M71" i="38"/>
  <c r="M72" i="38"/>
  <c r="M73" i="38"/>
  <c r="M74" i="38"/>
  <c r="M75" i="38"/>
  <c r="M76" i="38"/>
  <c r="E22" i="40" s="1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E20" i="40" s="1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22" i="38"/>
  <c r="M123" i="38"/>
  <c r="M124" i="38"/>
  <c r="M125" i="38"/>
  <c r="M126" i="38"/>
  <c r="E20" i="62" l="1"/>
  <c r="G20" i="62" s="1"/>
  <c r="N94" i="38"/>
  <c r="N86" i="38"/>
  <c r="N78" i="38"/>
  <c r="N122" i="38"/>
  <c r="N123" i="38"/>
  <c r="N110" i="38"/>
  <c r="N111" i="38"/>
  <c r="N103" i="38"/>
  <c r="N95" i="38"/>
  <c r="N79" i="38"/>
  <c r="N71" i="38"/>
  <c r="N87" i="38"/>
  <c r="N90" i="38"/>
  <c r="N81" i="38"/>
  <c r="N104" i="38"/>
  <c r="N96" i="38"/>
  <c r="N88" i="38"/>
  <c r="N80" i="38"/>
  <c r="N98" i="38"/>
  <c r="N89" i="38"/>
  <c r="N82" i="38"/>
  <c r="N74" i="38"/>
  <c r="N97" i="38"/>
  <c r="N73" i="38"/>
  <c r="N102" i="38"/>
  <c r="N70" i="38"/>
  <c r="N72" i="38"/>
  <c r="N106" i="38"/>
  <c r="N105" i="38"/>
  <c r="N125" i="38"/>
  <c r="N108" i="38"/>
  <c r="N100" i="38"/>
  <c r="N92" i="38"/>
  <c r="N84" i="38"/>
  <c r="N76" i="38"/>
  <c r="N126" i="38"/>
  <c r="N109" i="38"/>
  <c r="N101" i="38"/>
  <c r="N93" i="38"/>
  <c r="N85" i="38"/>
  <c r="N77" i="38"/>
  <c r="N124" i="38"/>
  <c r="N107" i="38"/>
  <c r="N99" i="38"/>
  <c r="N91" i="38"/>
  <c r="N83" i="38"/>
  <c r="N75" i="38"/>
  <c r="J74" i="26" l="1"/>
  <c r="J41" i="26"/>
  <c r="J55" i="26"/>
  <c r="J40" i="26"/>
  <c r="J25" i="26"/>
  <c r="J29" i="26"/>
  <c r="J13" i="26"/>
  <c r="J42" i="26"/>
  <c r="J28" i="26"/>
  <c r="J96" i="26"/>
  <c r="J27" i="26"/>
  <c r="J65" i="26"/>
  <c r="J60" i="26"/>
  <c r="J64" i="26"/>
  <c r="J31" i="26"/>
  <c r="J7" i="26"/>
  <c r="J68" i="26"/>
  <c r="J43" i="26"/>
  <c r="J12" i="26"/>
  <c r="J46" i="26"/>
  <c r="J108" i="26"/>
  <c r="J15" i="26"/>
  <c r="J38" i="26"/>
  <c r="J16" i="26"/>
  <c r="K74" i="26"/>
  <c r="K41" i="26"/>
  <c r="K55" i="26"/>
  <c r="K40" i="26"/>
  <c r="K25" i="26"/>
  <c r="K29" i="26"/>
  <c r="K13" i="26"/>
  <c r="K42" i="26"/>
  <c r="K28" i="26"/>
  <c r="K96" i="26"/>
  <c r="K27" i="26"/>
  <c r="K65" i="26"/>
  <c r="K60" i="26"/>
  <c r="K64" i="26"/>
  <c r="K31" i="26"/>
  <c r="K7" i="26"/>
  <c r="K68" i="26"/>
  <c r="K43" i="26"/>
  <c r="K12" i="26"/>
  <c r="K46" i="26"/>
  <c r="K108" i="26"/>
  <c r="K15" i="26"/>
  <c r="K38" i="26"/>
  <c r="K16" i="26"/>
  <c r="H13" i="26" l="1"/>
  <c r="H68" i="26"/>
  <c r="H28" i="26"/>
  <c r="H25" i="26"/>
  <c r="H74" i="26"/>
  <c r="H38" i="26"/>
  <c r="H43" i="26"/>
  <c r="H64" i="26"/>
  <c r="H7" i="26"/>
  <c r="H40" i="26"/>
  <c r="H12" i="26"/>
  <c r="H31" i="26"/>
  <c r="H55" i="26"/>
  <c r="H46" i="26"/>
  <c r="H29" i="26"/>
  <c r="H15" i="26"/>
  <c r="H60" i="26"/>
  <c r="H96" i="26"/>
  <c r="H41" i="26"/>
  <c r="H16" i="26"/>
  <c r="H27" i="26"/>
  <c r="H108" i="26"/>
  <c r="H65" i="26"/>
  <c r="H42" i="26"/>
  <c r="K50" i="26" l="1"/>
  <c r="K14" i="26"/>
  <c r="K32" i="26"/>
  <c r="K26" i="26"/>
  <c r="K49" i="26"/>
  <c r="K63" i="26"/>
  <c r="K107" i="26"/>
  <c r="K77" i="26"/>
  <c r="K75" i="26"/>
  <c r="K8" i="26"/>
  <c r="K62" i="26"/>
  <c r="K61" i="26"/>
  <c r="K30" i="26"/>
  <c r="H6" i="58" l="1"/>
  <c r="H14" i="58" s="1"/>
  <c r="J63" i="26" l="1"/>
  <c r="H63" i="26" s="1"/>
  <c r="J14" i="26"/>
  <c r="J30" i="26"/>
  <c r="J32" i="26"/>
  <c r="H32" i="26" s="1"/>
  <c r="H30" i="26" l="1"/>
  <c r="H14" i="26"/>
  <c r="E15" i="63" l="1"/>
  <c r="I7" i="41"/>
  <c r="J61" i="26"/>
  <c r="J49" i="26"/>
  <c r="J107" i="26"/>
  <c r="J77" i="26"/>
  <c r="J75" i="26"/>
  <c r="J50" i="26"/>
  <c r="J62" i="26"/>
  <c r="J26" i="26"/>
  <c r="D8" i="7"/>
  <c r="I697" i="41" l="1"/>
  <c r="H61" i="26"/>
  <c r="H49" i="26"/>
  <c r="H62" i="26"/>
  <c r="H107" i="26"/>
  <c r="H75" i="26"/>
  <c r="H26" i="26"/>
  <c r="D12" i="7" s="1"/>
  <c r="H50" i="26"/>
  <c r="H77" i="26"/>
  <c r="D15" i="7"/>
  <c r="D7" i="42" l="1"/>
  <c r="G24" i="57"/>
  <c r="D16" i="7"/>
  <c r="D9" i="7"/>
  <c r="D19" i="56" l="1"/>
  <c r="R7" i="1"/>
  <c r="R168" i="1" s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8" i="26"/>
  <c r="D10" i="42" l="1"/>
  <c r="H8" i="26"/>
  <c r="D10" i="7" s="1"/>
  <c r="E10" i="62" s="1"/>
  <c r="G10" i="62" s="1"/>
  <c r="D11" i="42" l="1"/>
  <c r="D11" i="7"/>
  <c r="D7" i="7"/>
  <c r="D14" i="7"/>
  <c r="D13" i="7"/>
  <c r="L7" i="1"/>
  <c r="L168" i="1" s="1"/>
  <c r="D32" i="9"/>
  <c r="D25" i="9"/>
  <c r="N7" i="1"/>
  <c r="N168" i="1" s="1"/>
  <c r="P7" i="1"/>
  <c r="P168" i="1" s="1"/>
  <c r="D27" i="7" l="1"/>
  <c r="D12" i="42"/>
  <c r="E33" i="32"/>
  <c r="D28" i="9"/>
  <c r="D30" i="9"/>
  <c r="D29" i="9"/>
  <c r="D27" i="9"/>
  <c r="D31" i="9"/>
  <c r="D23" i="9"/>
  <c r="E24" i="32" s="1"/>
  <c r="E26" i="32"/>
  <c r="D26" i="9"/>
  <c r="E27" i="32" s="1"/>
  <c r="D24" i="9"/>
  <c r="E25" i="32" s="1"/>
  <c r="D17" i="9"/>
  <c r="D16" i="9"/>
  <c r="F22" i="32"/>
  <c r="D14" i="42" l="1"/>
  <c r="G33" i="32"/>
  <c r="F33" i="32" s="1"/>
  <c r="G26" i="32"/>
  <c r="F26" i="32" s="1"/>
  <c r="E31" i="32"/>
  <c r="E28" i="32"/>
  <c r="E30" i="32"/>
  <c r="E29" i="32"/>
  <c r="F23" i="32"/>
  <c r="E32" i="32"/>
  <c r="F20" i="32"/>
  <c r="F21" i="32"/>
  <c r="E18" i="32"/>
  <c r="E17" i="32"/>
  <c r="E17" i="62"/>
  <c r="G17" i="62" s="1"/>
  <c r="F17" i="62" s="1"/>
  <c r="D15" i="42" l="1"/>
  <c r="G27" i="32"/>
  <c r="F27" i="32" s="1"/>
  <c r="G17" i="32"/>
  <c r="F17" i="32" s="1"/>
  <c r="G24" i="32"/>
  <c r="F24" i="32" s="1"/>
  <c r="G25" i="32"/>
  <c r="F25" i="32" s="1"/>
  <c r="G31" i="32"/>
  <c r="F31" i="32" s="1"/>
  <c r="G32" i="32"/>
  <c r="F32" i="32" s="1"/>
  <c r="G29" i="32"/>
  <c r="F29" i="32" s="1"/>
  <c r="G30" i="32"/>
  <c r="F30" i="32" s="1"/>
  <c r="G28" i="32"/>
  <c r="F28" i="32" s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/>
  <c r="N52" i="38"/>
  <c r="N50" i="38"/>
  <c r="N48" i="38"/>
  <c r="N51" i="38"/>
  <c r="N49" i="38"/>
  <c r="Q7" i="1"/>
  <c r="Q168" i="1" s="1"/>
  <c r="D33" i="9" s="1"/>
  <c r="G25" i="57" s="1"/>
  <c r="G26" i="57" l="1"/>
  <c r="G27" i="57" s="1"/>
  <c r="F10" i="62"/>
  <c r="D28" i="57" l="1"/>
  <c r="D18" i="7"/>
  <c r="D19" i="7" l="1"/>
  <c r="D20" i="7" s="1"/>
  <c r="D21" i="7" s="1"/>
  <c r="D22" i="7" s="1"/>
  <c r="D24" i="7" l="1"/>
  <c r="D25" i="7" s="1"/>
  <c r="D15" i="9"/>
  <c r="J7" i="1"/>
  <c r="J168" i="1" s="1"/>
  <c r="D26" i="7" l="1"/>
  <c r="D11" i="9"/>
  <c r="E12" i="32" s="1"/>
  <c r="D12" i="9"/>
  <c r="E16" i="32"/>
  <c r="E16" i="62"/>
  <c r="G16" i="62" s="1"/>
  <c r="D14" i="9"/>
  <c r="E15" i="62" s="1"/>
  <c r="D10" i="9"/>
  <c r="D34" i="9"/>
  <c r="D13" i="9"/>
  <c r="E14" i="62" s="1"/>
  <c r="G16" i="32" l="1"/>
  <c r="E11" i="32"/>
  <c r="E11" i="62"/>
  <c r="E9" i="32"/>
  <c r="E13" i="32"/>
  <c r="F16" i="62"/>
  <c r="F16" i="32"/>
  <c r="E14" i="32"/>
  <c r="D8" i="9"/>
  <c r="E15" i="32"/>
  <c r="G15" i="62"/>
  <c r="F15" i="62" s="1"/>
  <c r="D35" i="9"/>
  <c r="D36" i="9" s="1"/>
  <c r="D37" i="9" s="1"/>
  <c r="D38" i="9" s="1"/>
  <c r="D40" i="9" s="1"/>
  <c r="D41" i="9" s="1"/>
  <c r="D42" i="9" s="1"/>
  <c r="G15" i="32" l="1"/>
  <c r="F15" i="32" s="1"/>
  <c r="G9" i="32"/>
  <c r="E8" i="32"/>
  <c r="E8" i="62"/>
  <c r="G8" i="62" s="1"/>
  <c r="E7" i="32"/>
  <c r="D43" i="9"/>
  <c r="G14" i="32"/>
  <c r="F14" i="32" s="1"/>
  <c r="G7" i="32" l="1"/>
  <c r="G8" i="32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E18" i="40" s="1"/>
  <c r="F17" i="60" s="1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4" i="40" l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M21" i="38"/>
  <c r="M22" i="38"/>
  <c r="N19" i="38" l="1"/>
  <c r="F8" i="62"/>
  <c r="N22" i="38"/>
  <c r="N20" i="38"/>
  <c r="N21" i="38"/>
  <c r="M15" i="38" l="1"/>
  <c r="E29" i="40" s="1"/>
  <c r="M16" i="38"/>
  <c r="M17" i="38"/>
  <c r="M18" i="38"/>
  <c r="E28" i="40" s="1"/>
  <c r="E23" i="62" s="1"/>
  <c r="G23" i="62" s="1"/>
  <c r="F23" i="62" s="1"/>
  <c r="E24" i="62" l="1"/>
  <c r="G24" i="62" s="1"/>
  <c r="F24" i="62" s="1"/>
  <c r="G11" i="62"/>
  <c r="F11" i="62" s="1"/>
  <c r="N16" i="38"/>
  <c r="N15" i="38"/>
  <c r="N17" i="38"/>
  <c r="N18" i="38"/>
  <c r="E10" i="32"/>
  <c r="G10" i="32" l="1"/>
  <c r="M9" i="38"/>
  <c r="M10" i="38"/>
  <c r="M11" i="38"/>
  <c r="M12" i="38"/>
  <c r="E30" i="40" s="1"/>
  <c r="E25" i="62" s="1"/>
  <c r="M13" i="38"/>
  <c r="M14" i="38"/>
  <c r="E25" i="40" s="1"/>
  <c r="M8" i="38"/>
  <c r="K8" i="38"/>
  <c r="K180" i="38" s="1"/>
  <c r="E31" i="40" l="1"/>
  <c r="E26" i="40"/>
  <c r="E27" i="40"/>
  <c r="E22" i="62" s="1"/>
  <c r="G22" i="62" s="1"/>
  <c r="F22" i="62" s="1"/>
  <c r="M180" i="38"/>
  <c r="E32" i="40"/>
  <c r="G25" i="62"/>
  <c r="F25" i="62" s="1"/>
  <c r="I29" i="60"/>
  <c r="F20" i="62"/>
  <c r="E23" i="40"/>
  <c r="E17" i="40"/>
  <c r="E16" i="40"/>
  <c r="F16" i="60" s="1"/>
  <c r="E14" i="40"/>
  <c r="F14" i="60" s="1"/>
  <c r="N9" i="38"/>
  <c r="N12" i="38"/>
  <c r="N10" i="38"/>
  <c r="N14" i="38"/>
  <c r="N13" i="38"/>
  <c r="N11" i="38"/>
  <c r="I8" i="38"/>
  <c r="I180" i="38" s="1"/>
  <c r="I32" i="60" l="1"/>
  <c r="E9" i="62"/>
  <c r="G9" i="62" s="1"/>
  <c r="E27" i="62"/>
  <c r="G27" i="62" s="1"/>
  <c r="F27" i="62" s="1"/>
  <c r="E7" i="62"/>
  <c r="G7" i="62" s="1"/>
  <c r="E26" i="62"/>
  <c r="G26" i="62" s="1"/>
  <c r="F26" i="62" s="1"/>
  <c r="E18" i="62"/>
  <c r="I24" i="60"/>
  <c r="E12" i="62" s="1"/>
  <c r="I19" i="60"/>
  <c r="E21" i="62"/>
  <c r="G21" i="62" s="1"/>
  <c r="E7" i="60"/>
  <c r="F7" i="60" s="1"/>
  <c r="E7" i="40"/>
  <c r="E11" i="60"/>
  <c r="F11" i="60" s="1"/>
  <c r="E12" i="40"/>
  <c r="E12" i="60"/>
  <c r="F12" i="60" s="1"/>
  <c r="E13" i="40"/>
  <c r="E8" i="60"/>
  <c r="E10" i="60"/>
  <c r="F10" i="60" s="1"/>
  <c r="E13" i="60"/>
  <c r="E9" i="60"/>
  <c r="F9" i="60" s="1"/>
  <c r="E8" i="40"/>
  <c r="E11" i="40"/>
  <c r="N8" i="38"/>
  <c r="N180" i="38" s="1"/>
  <c r="E9" i="40"/>
  <c r="G18" i="62" l="1"/>
  <c r="F18" i="62" s="1"/>
  <c r="F13" i="60"/>
  <c r="E13" i="62"/>
  <c r="G13" i="62" s="1"/>
  <c r="F18" i="60"/>
  <c r="F21" i="62"/>
  <c r="G12" i="62"/>
  <c r="F12" i="62" s="1"/>
  <c r="G14" i="62"/>
  <c r="F14" i="62" s="1"/>
  <c r="F9" i="62"/>
  <c r="F8" i="60"/>
  <c r="E33" i="60"/>
  <c r="F13" i="62" l="1"/>
  <c r="F33" i="60"/>
  <c r="F7" i="62"/>
  <c r="G13" i="32"/>
  <c r="G12" i="32"/>
  <c r="F38" i="62" l="1"/>
  <c r="F12" i="32"/>
  <c r="E10" i="40" l="1"/>
  <c r="E33" i="40" s="1"/>
  <c r="G11" i="32" l="1"/>
  <c r="F11" i="32" s="1"/>
  <c r="F17" i="42" l="1"/>
  <c r="E7" i="30"/>
  <c r="E8" i="30"/>
  <c r="F13" i="32" l="1"/>
  <c r="F10" i="32" l="1"/>
  <c r="F9" i="32" l="1"/>
  <c r="F8" i="32" l="1"/>
  <c r="F7" i="32"/>
  <c r="F44" i="32" l="1"/>
  <c r="E41" i="32" l="1"/>
  <c r="E35" i="62"/>
  <c r="G35" i="62" s="1"/>
  <c r="D29" i="57"/>
  <c r="E42" i="32" s="1"/>
  <c r="G42" i="32" l="1"/>
  <c r="G41" i="32"/>
  <c r="E36" i="62"/>
  <c r="E43" i="32" l="1"/>
  <c r="E37" i="62"/>
  <c r="G37" i="62" s="1"/>
  <c r="G36" i="62"/>
  <c r="G43" i="32" l="1"/>
  <c r="E35" i="32"/>
  <c r="E29" i="62"/>
  <c r="G29" i="62" s="1"/>
  <c r="D27" i="57"/>
  <c r="E40" i="32" s="1"/>
  <c r="E28" i="62"/>
  <c r="D23" i="57"/>
  <c r="E36" i="32" s="1"/>
  <c r="D22" i="57"/>
  <c r="E32" i="62" s="1"/>
  <c r="G32" i="62" s="1"/>
  <c r="D25" i="57"/>
  <c r="E33" i="62" s="1"/>
  <c r="G33" i="62" s="1"/>
  <c r="D24" i="57"/>
  <c r="E31" i="62" s="1"/>
  <c r="E34" i="32"/>
  <c r="G40" i="32" l="1"/>
  <c r="G36" i="32"/>
  <c r="G34" i="32"/>
  <c r="G28" i="62"/>
  <c r="E30" i="62"/>
  <c r="G30" i="62" s="1"/>
  <c r="E34" i="62"/>
  <c r="G34" i="62" s="1"/>
  <c r="G31" i="62"/>
  <c r="G38" i="62" s="1"/>
  <c r="G35" i="32"/>
  <c r="D31" i="57"/>
  <c r="E37" i="32"/>
  <c r="E38" i="32"/>
  <c r="E39" i="32"/>
  <c r="G39" i="32" l="1"/>
  <c r="G38" i="32"/>
  <c r="G37" i="32"/>
  <c r="E44" i="32"/>
  <c r="E38" i="62"/>
  <c r="G44" i="32"/>
</calcChain>
</file>

<file path=xl/sharedStrings.xml><?xml version="1.0" encoding="utf-8"?>
<sst xmlns="http://schemas.openxmlformats.org/spreadsheetml/2006/main" count="6787" uniqueCount="992">
  <si>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</si>
  <si>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</si>
  <si>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</si>
  <si>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</si>
  <si>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</si>
  <si>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</si>
  <si>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</si>
  <si>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</si>
  <si>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</si>
  <si>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</si>
  <si>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</si>
  <si>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</si>
  <si>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</si>
  <si>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</si>
  <si>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</si>
  <si>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</si>
  <si>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</si>
  <si>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</si>
  <si>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</si>
  <si>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</si>
  <si>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</si>
  <si>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</si>
  <si>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</si>
  <si>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</si>
  <si>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</si>
  <si>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</si>
  <si>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</si>
  <si>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</si>
  <si>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</si>
  <si>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</si>
  <si>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</si>
  <si>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</si>
  <si>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</si>
  <si>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</si>
  <si>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</si>
  <si>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</si>
  <si>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</si>
  <si>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</si>
  <si>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</si>
  <si>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</si>
  <si>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</si>
  <si>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</si>
  <si>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</si>
  <si>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</si>
  <si>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</si>
  <si>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</si>
  <si>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</si>
  <si>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</si>
  <si>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</si>
  <si>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</si>
  <si>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</si>
  <si>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</si>
  <si>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</si>
  <si>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</si>
  <si>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</si>
  <si>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</si>
  <si>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</si>
  <si>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</si>
  <si>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</si>
  <si>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</si>
  <si>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</si>
  <si>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</si>
  <si>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</si>
  <si>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</si>
  <si>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</si>
  <si>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</si>
  <si>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</si>
  <si>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</si>
  <si>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</si>
  <si>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</si>
  <si>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</si>
  <si>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</si>
  <si>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</si>
  <si>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</si>
  <si>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</si>
  <si>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</si>
  <si>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</si>
  <si>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</si>
  <si>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</si>
  <si>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</si>
  <si>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</si>
  <si>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</si>
  <si>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</si>
  <si>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</si>
  <si>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</si>
  <si>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</si>
  <si>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</si>
  <si>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</si>
  <si>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</si>
  <si>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</si>
  <si>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</si>
  <si>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</si>
  <si>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</si>
  <si>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</si>
  <si>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</si>
  <si>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</si>
  <si>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</si>
  <si>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</si>
  <si>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</si>
  <si>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</si>
  <si>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</si>
  <si>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</si>
  <si>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</si>
  <si>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</si>
  <si>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</si>
  <si>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</si>
  <si>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</si>
  <si>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</si>
  <si>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</si>
  <si>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</si>
  <si>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</si>
  <si>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</si>
  <si>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</si>
  <si>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</si>
  <si>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</si>
  <si>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</si>
  <si>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</si>
  <si>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</si>
  <si>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</si>
  <si>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</si>
  <si>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</si>
  <si>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BS.GIÀU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</si>
  <si>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</si>
  <si>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</si>
  <si>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</si>
  <si>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</si>
  <si>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</si>
  <si>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</si>
  <si>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</si>
  <si>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</si>
  <si>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</si>
  <si>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</si>
  <si>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</si>
  <si>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</si>
  <si>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GIÀU</t>
  </si>
  <si>
    <t>TẤN</t>
  </si>
  <si>
    <t>43 Tuổi</t>
  </si>
  <si>
    <t>105003414654</t>
  </si>
  <si>
    <t>42 Tuổi</t>
  </si>
  <si>
    <t>37 Tuổi</t>
  </si>
  <si>
    <t>65 Tuổi</t>
  </si>
  <si>
    <t>20 Tuổi</t>
  </si>
  <si>
    <t>35 Tuổi</t>
  </si>
  <si>
    <t>69 Tuổi</t>
  </si>
  <si>
    <t>41 Tuổi</t>
  </si>
  <si>
    <t>33 Tuổi</t>
  </si>
  <si>
    <t>68 Tuổi</t>
  </si>
  <si>
    <t>103876067585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</si>
  <si>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</si>
  <si>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</si>
  <si>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</si>
  <si>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</si>
  <si>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</si>
  <si>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</si>
  <si>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</si>
  <si>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</si>
  <si>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Cần Thơ, ngày 25 tháng 4 năm 2025</t>
  </si>
  <si>
    <t>Nhị</t>
  </si>
  <si>
    <t>ThS. Bs.Nguyễn Chí Nguyện</t>
  </si>
  <si>
    <t>HOAN</t>
  </si>
  <si>
    <t>ThS. Bs.CKII. Nguyễn Lê Hoan</t>
  </si>
  <si>
    <t>Ths.Bs.CKII. Nguyễn Lê Hoan</t>
  </si>
  <si>
    <t>DANH SÁCH LÃNH TIỀN THÙ LAO THÁNG 5/2025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</si>
  <si>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</si>
  <si>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</si>
  <si>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</si>
  <si>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</si>
  <si>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</si>
  <si>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</si>
  <si>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109880991105</t>
  </si>
  <si>
    <t>100881016109</t>
  </si>
  <si>
    <t>BS.HOAN</t>
  </si>
  <si>
    <t>BS.ĐẠT</t>
  </si>
  <si>
    <t>ThS. Bs.CKII.Nguyễn Lê Hoan</t>
  </si>
  <si>
    <t>25 Tuổi</t>
  </si>
  <si>
    <t>PHAN THỊ TƯ BIỂN</t>
  </si>
  <si>
    <t>HUỲNH CHÍ CƯỜNG</t>
  </si>
  <si>
    <t>(THÁNG 7/2025)</t>
  </si>
  <si>
    <t>DANH SÁCH LÃNH TIỀN THÙ LAO THÁNG 7/2025</t>
  </si>
  <si>
    <t>20/6/2025</t>
  </si>
  <si>
    <t>Lâm Chriêu</t>
  </si>
  <si>
    <t>PT cắt cụt chi</t>
  </si>
  <si>
    <t>TT2</t>
  </si>
  <si>
    <t>ĐIỀN</t>
  </si>
  <si>
    <t>Nguyễn Thị Nuôi</t>
  </si>
  <si>
    <t xml:space="preserve">Cố định cột sống </t>
  </si>
  <si>
    <t>TTDB</t>
  </si>
  <si>
    <t>24/6/2025</t>
  </si>
  <si>
    <t>Nguyễn Thanh Hải</t>
  </si>
  <si>
    <t>Ghép da tự thân</t>
  </si>
  <si>
    <t>V.TÂN</t>
  </si>
  <si>
    <t>Nguyễn Văn Hùng</t>
  </si>
  <si>
    <t>PT làm mỏm cụt</t>
  </si>
  <si>
    <t>25/6/2025</t>
  </si>
  <si>
    <t>Lê Thị Phan</t>
  </si>
  <si>
    <t xml:space="preserve">Cắt lọc </t>
  </si>
  <si>
    <t>26/6/2025</t>
  </si>
  <si>
    <t>Nguyễn Thị Bé Tư</t>
  </si>
  <si>
    <t>Bơm cement tạo hình thân sống</t>
  </si>
  <si>
    <t>Bùi Kim Ngoạt</t>
  </si>
  <si>
    <t>PT thay toàn bộ khớp gối</t>
  </si>
  <si>
    <t>27/06/2025</t>
  </si>
  <si>
    <t>Nguyễn Thành Đạt</t>
  </si>
  <si>
    <t>Cắt u đường kính &gt;10cm</t>
  </si>
  <si>
    <t>TT1</t>
  </si>
  <si>
    <t>28/06/2025</t>
  </si>
  <si>
    <t>Nguyễn Tấn Thành</t>
  </si>
  <si>
    <t>PT điều trị đứt gân Achille</t>
  </si>
  <si>
    <t>Huỳnh Văn Hoàng</t>
  </si>
  <si>
    <t>Phạm Thị Minh Nghĩa</t>
  </si>
  <si>
    <t>PT KHX trên màn hình tăng sáng</t>
  </si>
  <si>
    <t>Nguyễn Ngọc Hiếu</t>
  </si>
  <si>
    <t>TOẢN</t>
  </si>
  <si>
    <t>Tăng Thị Kim Xoàn</t>
  </si>
  <si>
    <t>NGUYỄN THỊ TRÚC KHOA</t>
  </si>
  <si>
    <t>PT lấy đĩa đệm CSTL qua da</t>
  </si>
  <si>
    <t>29/06/2025</t>
  </si>
  <si>
    <t>Nguyễn Hoàng Phúc</t>
  </si>
  <si>
    <t>PT vết thương phần mềm phức tạp</t>
  </si>
  <si>
    <t>TP</t>
  </si>
  <si>
    <t>30/6/2025</t>
  </si>
  <si>
    <t>Nguyễn Văn Thái</t>
  </si>
  <si>
    <t>Cắt lọc</t>
  </si>
  <si>
    <t>Lê Văn Đô</t>
  </si>
  <si>
    <t>Lâm Kim Ngân</t>
  </si>
  <si>
    <t>Nguyễn Văn Beo</t>
  </si>
  <si>
    <t>Cắt lọc hoại tử ổ loét mãn tính</t>
  </si>
  <si>
    <t>01/7/2025</t>
  </si>
  <si>
    <t>Trần Thanh Tuấn</t>
  </si>
  <si>
    <t>KHX trên màn hình tăng sáng</t>
  </si>
  <si>
    <t>Huỳnh Thị Duyên Em</t>
  </si>
  <si>
    <t>Lấy dụng cụ</t>
  </si>
  <si>
    <t>Nguyễn Ngọc Niệm</t>
  </si>
  <si>
    <t>Lê VĂn Danh</t>
  </si>
  <si>
    <t>Thay toàn bộ khớp háng</t>
  </si>
  <si>
    <t>Lý Thị Nga</t>
  </si>
  <si>
    <t>Thay khớp háng bán phần</t>
  </si>
  <si>
    <t>Nguyễn Khắc Luân</t>
  </si>
  <si>
    <t>02/07/2025</t>
  </si>
  <si>
    <t>Trần Thị Hồng</t>
  </si>
  <si>
    <t>PTNS khớp gối</t>
  </si>
  <si>
    <t>Nguyễn Thị Năm</t>
  </si>
  <si>
    <t>Cố định cột sống thắt lưng</t>
  </si>
  <si>
    <t>Nguyễn Thị Thủy</t>
  </si>
  <si>
    <t>Bơm cement (80%)</t>
  </si>
  <si>
    <t>Nguyễn Quốc Thủ</t>
  </si>
  <si>
    <t>Lấy dụng cụ KHX</t>
  </si>
  <si>
    <t>Phạm Văn Sự</t>
  </si>
  <si>
    <t>PT viêm xương</t>
  </si>
  <si>
    <t>Cắt lọc hoại tử hoại tử ổ loét vết thương mạn tính</t>
  </si>
  <si>
    <t>03/07/2025</t>
  </si>
  <si>
    <t>Nguyễn Văn Tuấn</t>
  </si>
  <si>
    <t>Lê Gia Khiêm</t>
  </si>
  <si>
    <t>Đoàn Đức Trường</t>
  </si>
  <si>
    <t>Huỳnh Thị Nhung</t>
  </si>
  <si>
    <t>Lý Vủ Phong</t>
  </si>
  <si>
    <t>Lấy DC KHX</t>
  </si>
  <si>
    <t>Huỳnh Thúy Nga</t>
  </si>
  <si>
    <t>Đỗ Văn Dương</t>
  </si>
  <si>
    <t>PTNS tái tạo dây chằng</t>
  </si>
  <si>
    <t>04/07/2025</t>
  </si>
  <si>
    <t>Huỳnh Thị Lụa</t>
  </si>
  <si>
    <t>PT u thần kinh</t>
  </si>
  <si>
    <t>Huỳnh Thị Tôi</t>
  </si>
  <si>
    <t>05/7/2025</t>
  </si>
  <si>
    <t>Nguyễn Thị Thu Thủy</t>
  </si>
  <si>
    <t>TRỊNH VĂN TÚ</t>
  </si>
  <si>
    <t>Lấy nhân đệm qua da</t>
  </si>
  <si>
    <t>06/7/2025</t>
  </si>
  <si>
    <t>Nguyễn Văn Chính</t>
  </si>
  <si>
    <t>07/7/2025</t>
  </si>
  <si>
    <t>Nguyễn Thị Yến Giang</t>
  </si>
  <si>
    <t>Nguyễn Kim Thoa</t>
  </si>
  <si>
    <t>08/7/2025</t>
  </si>
  <si>
    <t>Lê Phát Luật</t>
  </si>
  <si>
    <t>Dư Minh Chiến</t>
  </si>
  <si>
    <t>Lê Thị Ngọc Nhứt</t>
  </si>
  <si>
    <t>TRIỀU</t>
  </si>
  <si>
    <t>Phan Quốc Vĩnh</t>
  </si>
  <si>
    <t>NS tái tạo dây chằng</t>
  </si>
  <si>
    <t>Thái Xuân Nghi</t>
  </si>
  <si>
    <t>Trần Hoàng Phi</t>
  </si>
  <si>
    <t>Hồ Văn Hùng</t>
  </si>
  <si>
    <t>PT vết thương phần mềm đơn giản</t>
  </si>
  <si>
    <t>Diệp Thị Tiến</t>
  </si>
  <si>
    <t>HÀ THỊ BÍCH DUNG</t>
  </si>
  <si>
    <t>Đỗ Huy Cường</t>
  </si>
  <si>
    <t>PHẠM THỊ PHỤNG</t>
  </si>
  <si>
    <t>09/7/2025</t>
  </si>
  <si>
    <t>Võ Thị Tốt</t>
  </si>
  <si>
    <t>Cắt u lành phần miềm đường kính dưới 10cm</t>
  </si>
  <si>
    <t>Phạm Thành Công</t>
  </si>
  <si>
    <t>PTNS khâu chóp xoay</t>
  </si>
  <si>
    <t>Dương Phước Xuyên</t>
  </si>
  <si>
    <t>MINH</t>
  </si>
  <si>
    <t>Phan Thị Yến</t>
  </si>
  <si>
    <t>Quách Thị Ngọc Sáng</t>
  </si>
  <si>
    <t>Phan Văn Hải</t>
  </si>
  <si>
    <t>Lấy DC KHX (50%)</t>
  </si>
  <si>
    <t>10/7/2025</t>
  </si>
  <si>
    <t>Mai Viết Anh Bằng</t>
  </si>
  <si>
    <t>Huỳnh Thị Thu Hà</t>
  </si>
  <si>
    <t>Lê Minh Thoàng</t>
  </si>
  <si>
    <t>Lương Ngọc Hải</t>
  </si>
  <si>
    <t>11/7/2025</t>
  </si>
  <si>
    <t>Thạch Ngọc Tâm</t>
  </si>
  <si>
    <t>Trịnh Quốc Đạt</t>
  </si>
  <si>
    <t>Nguyễn Thị Thành</t>
  </si>
  <si>
    <t>12/7/2025</t>
  </si>
  <si>
    <t>Võ Anh Duy</t>
  </si>
  <si>
    <t>TRƯƠNG VĂN HOÁ</t>
  </si>
  <si>
    <t>Nguyễn Trần Thế Vũ</t>
  </si>
  <si>
    <t>Đặng Thu Nga</t>
  </si>
  <si>
    <t>13/7/2015</t>
  </si>
  <si>
    <t>Phạm Thị Nương</t>
  </si>
  <si>
    <t>13/7/2025</t>
  </si>
  <si>
    <t>Nguyễn Văn Ngọc</t>
  </si>
  <si>
    <t>Nguyễn Tích Điền</t>
  </si>
  <si>
    <t>14/7/2025</t>
  </si>
  <si>
    <t>Lâm Ngọc Quang</t>
  </si>
  <si>
    <t>Nguyễn Thị Ngọc Thu</t>
  </si>
  <si>
    <t>Nguyễn Thị Kiều Diễm</t>
  </si>
  <si>
    <t>15/7/2025</t>
  </si>
  <si>
    <t>Lê Thanh Tùng</t>
  </si>
  <si>
    <t>Phạm Quảng Trường</t>
  </si>
  <si>
    <t>PT vết thương PM đơn giản</t>
  </si>
  <si>
    <t>Lê Quang Ánh</t>
  </si>
  <si>
    <t>PT thay toàn bộ khớp háng</t>
  </si>
  <si>
    <t>Nguyễn Văn Thanh</t>
  </si>
  <si>
    <t>Phạm Thị Kiều Vân</t>
  </si>
  <si>
    <t>16/7/2025</t>
  </si>
  <si>
    <t>Nguyễn Thị Yến</t>
  </si>
  <si>
    <t>Cố định cột sống và hàn liên thân đốt CSTL</t>
  </si>
  <si>
    <t>Cắt lọc + khâu vết thương</t>
  </si>
  <si>
    <t>Phùng Bảo Trân</t>
  </si>
  <si>
    <t>La Thanh Tùng</t>
  </si>
  <si>
    <t>PT cố định CS bằng vít qua cuống</t>
  </si>
  <si>
    <t>KHX tăng sáng (80%)</t>
  </si>
  <si>
    <t>Nguyễn Phan Cẩm Phượng</t>
  </si>
  <si>
    <t>KHX tăng sáng</t>
  </si>
  <si>
    <t>Đào Văn Minh</t>
  </si>
  <si>
    <t>Trần Huệ Mẫn</t>
  </si>
  <si>
    <t>Nguyễn Thanh Thanh</t>
  </si>
  <si>
    <t>17/7/2025</t>
  </si>
  <si>
    <t>Phạm Văn Phong</t>
  </si>
  <si>
    <t>Đoàn Thị Huyền Trang</t>
  </si>
  <si>
    <t>Huỳnh Văn Tới</t>
  </si>
  <si>
    <t>La Thanh Sang</t>
  </si>
  <si>
    <t>Lê Thanh Tiến Em</t>
  </si>
  <si>
    <t>Nguyễn Văn Út</t>
  </si>
  <si>
    <t>Nguyễn Tùng Quân</t>
  </si>
  <si>
    <t>PT vết thương phức tạp</t>
  </si>
  <si>
    <t>Phan Thị Tuyền</t>
  </si>
  <si>
    <t>KHX bánh chè</t>
  </si>
  <si>
    <t>18/7/2025</t>
  </si>
  <si>
    <t>Lê Văn Tỉnh</t>
  </si>
  <si>
    <t>Võ Thị Lệ Hai</t>
  </si>
  <si>
    <t>Nguyễn Thị Lộc</t>
  </si>
  <si>
    <t>Huỳnh Thành Gấm</t>
  </si>
  <si>
    <t>Trần Thị Thanh Hòa</t>
  </si>
  <si>
    <t>19/7/2025</t>
  </si>
  <si>
    <t>Trần Thị Chanh</t>
  </si>
  <si>
    <t>Lê Thành Sang</t>
  </si>
  <si>
    <t>Võ Ngọc Nữ</t>
  </si>
  <si>
    <t>Văn Lê Anh Tuấn</t>
  </si>
  <si>
    <t>PTNS điều trị mất vững khớp vai</t>
  </si>
  <si>
    <t>20/7/2025</t>
  </si>
  <si>
    <t>Trần Phước Hoàng</t>
  </si>
  <si>
    <t>21/7/2025</t>
  </si>
  <si>
    <t>Phan Anh Nhựt</t>
  </si>
  <si>
    <t>PHẠM VĂN SỰ</t>
  </si>
  <si>
    <t>Huỳnh Thị Thúy</t>
  </si>
  <si>
    <t>KHX trên màn hình tăng sáng (50%)</t>
  </si>
  <si>
    <t>Huỳnh Thanh Dân</t>
  </si>
  <si>
    <t>22/7/2025</t>
  </si>
  <si>
    <t>Ung Sĩ Hồng Vân</t>
  </si>
  <si>
    <t>Lý Thị Mỹ Linh</t>
  </si>
  <si>
    <t>NGUYỄN THỊ THANH THUỶ</t>
  </si>
  <si>
    <t>SƠN</t>
  </si>
  <si>
    <t>Nguyễn Văn Ngàn</t>
  </si>
  <si>
    <t>PT thay khớp gối trái toàn phần</t>
  </si>
  <si>
    <t>Lê Nguyễn Thoại My</t>
  </si>
  <si>
    <t>Khâu tổn thương gân gấp bàn tay vùng II</t>
  </si>
  <si>
    <t>23/7/2025</t>
  </si>
  <si>
    <t>Trần Gia Bách</t>
  </si>
  <si>
    <t>Nguyễn Thị Vương</t>
  </si>
  <si>
    <t>PT thay khớp háng toàn phần</t>
  </si>
  <si>
    <t>Nguyễn Thị Hội</t>
  </si>
  <si>
    <t>PT thay khớp háng bán phần</t>
  </si>
  <si>
    <t>24/7/2025</t>
  </si>
  <si>
    <t>Trịnh Văn Tới</t>
  </si>
  <si>
    <t>PT tổn thương gân Achille</t>
  </si>
  <si>
    <t>Huỳnh Ngọc Tuyết</t>
  </si>
  <si>
    <t>Lư Quốc Đạt</t>
  </si>
  <si>
    <t>Trần Bá Hùng</t>
  </si>
  <si>
    <t xml:space="preserve">Lấy dụng cụ KHX </t>
  </si>
  <si>
    <t>Lấy dụng cụ KHX (80%)</t>
  </si>
  <si>
    <t>Lê Thị Hằng</t>
  </si>
  <si>
    <t>PTNS tái tạo dây chằng chéo trước bằng gân chân ngỗng</t>
  </si>
  <si>
    <t>Nguyễn Trọng Nghĩa</t>
  </si>
  <si>
    <t>Bùi Thị Lanh</t>
  </si>
  <si>
    <t>Trần Hoài Hận</t>
  </si>
  <si>
    <t>PT thương tích phần mềm cơ quan vận động</t>
  </si>
  <si>
    <t>25/7/2025</t>
  </si>
  <si>
    <t>Nguyễn Quang Trí</t>
  </si>
  <si>
    <t>Huỳnh Tấn Thái</t>
  </si>
  <si>
    <t>Nguyễn VĂn Tân Em</t>
  </si>
  <si>
    <t>Bùi Thị Hai</t>
  </si>
  <si>
    <t xml:space="preserve">Bơm cement </t>
  </si>
  <si>
    <t>Trương Thị Lượng</t>
  </si>
  <si>
    <t>26/7/2025</t>
  </si>
  <si>
    <t>Phan Thị Bảy</t>
  </si>
  <si>
    <t>Tạo hình thân đốt sống bằng bơm cement sinh học qua cuống</t>
  </si>
  <si>
    <t>Trương Ngọc Điệp</t>
  </si>
  <si>
    <t>Cắt u bao gân</t>
  </si>
  <si>
    <t>28/7/2025</t>
  </si>
  <si>
    <t>PHẠM NGỌC ANH THƠ</t>
  </si>
  <si>
    <t>Nguyễn Phúc Ân</t>
  </si>
  <si>
    <t>Nguyễn Văn Minh</t>
  </si>
  <si>
    <t>29/7/2025</t>
  </si>
  <si>
    <t>Nguyễn Văn Thiết</t>
  </si>
  <si>
    <t>Nguyễn Quốc Lãm</t>
  </si>
  <si>
    <t>Cắt u &lt;10cm</t>
  </si>
  <si>
    <t>NGUYỄN HỒNG KHOA NAM</t>
  </si>
  <si>
    <t>Nguyễn Hữu Mến</t>
  </si>
  <si>
    <t>30/7/2025</t>
  </si>
  <si>
    <t>Lê Văn Út Em</t>
  </si>
  <si>
    <t>Phạm Thị Hồng Xuân</t>
  </si>
  <si>
    <t>ĐẠT</t>
  </si>
  <si>
    <t>NGHĨA</t>
  </si>
  <si>
    <t>NGUYÊN</t>
  </si>
  <si>
    <t>HÀO</t>
  </si>
  <si>
    <t>Q.TẤN</t>
  </si>
  <si>
    <t>V.HƯỞNG</t>
  </si>
  <si>
    <t>VINH</t>
  </si>
  <si>
    <t>HẬU</t>
  </si>
  <si>
    <t>ĐAN</t>
  </si>
  <si>
    <t>N.KHANG</t>
  </si>
  <si>
    <t>KIỆT</t>
  </si>
  <si>
    <t>NHỊ</t>
  </si>
  <si>
    <t>THANH</t>
  </si>
  <si>
    <t>PHONG</t>
  </si>
  <si>
    <t>LỢI</t>
  </si>
  <si>
    <t>Lê Văn Bé Tám</t>
  </si>
  <si>
    <t>PTNS cắt hoạt mạc viêm khớp gối</t>
  </si>
  <si>
    <t>DT1</t>
  </si>
  <si>
    <t>Cao Văn Phụ</t>
  </si>
  <si>
    <t>DTDB</t>
  </si>
  <si>
    <t>Nguyễn Thị Nhung</t>
  </si>
  <si>
    <t>Bùi Thanh Thuận</t>
  </si>
  <si>
    <t>Võ Thị Hai</t>
  </si>
  <si>
    <t>Trần Minh Nguyệt</t>
  </si>
  <si>
    <t>Lê Thị Lợi</t>
  </si>
  <si>
    <t>Trần Minh Duy</t>
  </si>
  <si>
    <t>Trần Quốc Tài</t>
  </si>
  <si>
    <t>Trịnh Ngọc Lĩnh</t>
  </si>
  <si>
    <t>KHX trên màn hình tăng sáng (80%)</t>
  </si>
  <si>
    <t>Hồ Nguyễn Tố Như</t>
  </si>
  <si>
    <t>Dương Phúc Ngọ</t>
  </si>
  <si>
    <t>Lê Thị Đẹt</t>
  </si>
  <si>
    <t>Nguyễn Văn Điền</t>
  </si>
  <si>
    <t>DT2</t>
  </si>
  <si>
    <t>PT vết thương phần mền đơn giản</t>
  </si>
  <si>
    <t>Lý Thái Sơn</t>
  </si>
  <si>
    <t>Nguyễn Nguyên</t>
  </si>
  <si>
    <t>Phan Thị Vân</t>
  </si>
  <si>
    <t>Phạm Hữu Thạnh</t>
  </si>
  <si>
    <t>Huỳnh Phát Đạt</t>
  </si>
  <si>
    <t>Võ Minh Khang</t>
  </si>
  <si>
    <t>PT vết thương khớp (gây tê)</t>
  </si>
  <si>
    <t>Lê Thành Khoái</t>
  </si>
  <si>
    <t>PT làm mỏm cụt ngón</t>
  </si>
  <si>
    <t>01/07/2025</t>
  </si>
  <si>
    <t>NGUYỄN THANH HẢI</t>
  </si>
  <si>
    <t>61 Tuổi</t>
  </si>
  <si>
    <t>Truyền tĩnh mạch</t>
  </si>
  <si>
    <t>PHẠM THỊ MINH NGHĨA</t>
  </si>
  <si>
    <t>50 Tuổi</t>
  </si>
  <si>
    <t>Thay băng, cắt chỉ vết mổ</t>
  </si>
  <si>
    <t>LÊ THỊ ĐƯỜNG</t>
  </si>
  <si>
    <t>62 Tuổi</t>
  </si>
  <si>
    <t>Cắt chỉ sau phẫu thuật</t>
  </si>
  <si>
    <t>NGUYỄN NGỌC MINH CHÂU</t>
  </si>
  <si>
    <t>24 Tuổi</t>
  </si>
  <si>
    <t>NGUYỄN TẤN THÀNH</t>
  </si>
  <si>
    <t>38 Tuổi</t>
  </si>
  <si>
    <t>NGUYỄN THỊ BẢY</t>
  </si>
  <si>
    <t>64 Tuổi</t>
  </si>
  <si>
    <t>Thay băng, cắt chỉ vết mổ [chiều dài  ≤ 15cm]</t>
  </si>
  <si>
    <t>BÙI THANH THUẬN</t>
  </si>
  <si>
    <t>TĂNG THỊ KIM XOÀN</t>
  </si>
  <si>
    <t>67 Tuổi</t>
  </si>
  <si>
    <t>NGUYỄN THỊ NGỌC ÁNH</t>
  </si>
  <si>
    <t>LÝ THÁI SƠN</t>
  </si>
  <si>
    <t>16 Tuổi</t>
  </si>
  <si>
    <t xml:space="preserve"> Nẹp bột các loại, không nắn (loại 1) </t>
  </si>
  <si>
    <t>LÊ VĂN ĐÔ</t>
  </si>
  <si>
    <t>40 Tuổi</t>
  </si>
  <si>
    <t>TRẦN ANH THI</t>
  </si>
  <si>
    <t>52 Tuổi</t>
  </si>
  <si>
    <t>Nắn, bó bột gãy xương gót</t>
  </si>
  <si>
    <t>NGUYỄN THỊ BÉ TƯ</t>
  </si>
  <si>
    <t>70 Tuổi</t>
  </si>
  <si>
    <t>NGUYỄN THÀNH ĐẠT</t>
  </si>
  <si>
    <t>23 Tuổi</t>
  </si>
  <si>
    <t>31 Tuổi</t>
  </si>
  <si>
    <t>HUỲNH THỊ DUYÊN EM</t>
  </si>
  <si>
    <t>44 Tuổi</t>
  </si>
  <si>
    <t>NGUYỄN NGỌC HIẾU</t>
  </si>
  <si>
    <t>NGUYỄN VĂN BEO</t>
  </si>
  <si>
    <t>72 Tuổi</t>
  </si>
  <si>
    <t>CAO VĂN PHỤ</t>
  </si>
  <si>
    <t>55 Tuổi</t>
  </si>
  <si>
    <t>NGUYỄN THỊ THU SƯƠNG</t>
  </si>
  <si>
    <t>TRƯƠNG THỊ BỈ</t>
  </si>
  <si>
    <t>NGUYỄN THÀNH HẬU</t>
  </si>
  <si>
    <t>48 Tuổi</t>
  </si>
  <si>
    <t>HUỲNH ANH HÀO</t>
  </si>
  <si>
    <t>NGUYỄN HOÀNG PHÚC</t>
  </si>
  <si>
    <t>27 Tuổi</t>
  </si>
  <si>
    <t>ĐẶNG HỮU RỚT</t>
  </si>
  <si>
    <t>LƯƠNG HUỲNH TÂN</t>
  </si>
  <si>
    <t>15 Tuổi</t>
  </si>
  <si>
    <t>KHƯU HOÀNG VUI</t>
  </si>
  <si>
    <t>LÝ VỦ PHONG</t>
  </si>
  <si>
    <t>34 Tuổi</t>
  </si>
  <si>
    <t>NGUYỄN THỊ NHUNG</t>
  </si>
  <si>
    <t>NGUYỄN QUỐC THỦ</t>
  </si>
  <si>
    <t>LÂM KIM NGÂN</t>
  </si>
  <si>
    <t>LÊ VĂN BÉ TÁM</t>
  </si>
  <si>
    <t>56 Tuổi</t>
  </si>
  <si>
    <t>ĐẶNG THỊ THẮM</t>
  </si>
  <si>
    <t>HUỲNH THANH DÂN</t>
  </si>
  <si>
    <t>58 Tuổi</t>
  </si>
  <si>
    <t>TRẦN THANH TUẤN</t>
  </si>
  <si>
    <t>LÊ VĂN DANH</t>
  </si>
  <si>
    <t>NGUYỄN THỊ ÚT</t>
  </si>
  <si>
    <t>63 Tuổi</t>
  </si>
  <si>
    <t>NGUYỄN CHÍ THIỆN</t>
  </si>
  <si>
    <t>19 Tuổi</t>
  </si>
  <si>
    <t>Nắn, bó bột gãy 1/3 trên hai xương cẳng chân  [bột liền]</t>
  </si>
  <si>
    <t>LÊ QUỐC TOÀN</t>
  </si>
  <si>
    <t>45 Tuổi</t>
  </si>
  <si>
    <t>LẠI THỊ KIM VÂN</t>
  </si>
  <si>
    <t>TRẦN THỊ MƯỜI</t>
  </si>
  <si>
    <t>84 Tuổi</t>
  </si>
  <si>
    <t>Truyền hóa chất tĩnh mạch [nội trú]</t>
  </si>
  <si>
    <t>ĐẶNG NGUYỄN QUỲNH TRÂM</t>
  </si>
  <si>
    <t>Nắn, bó bột gãy xương ngón chân [bột liền]</t>
  </si>
  <si>
    <t>05/07/2025</t>
  </si>
  <si>
    <t>HUỲNH THỊ LỤA</t>
  </si>
  <si>
    <t>06/07/2025</t>
  </si>
  <si>
    <t>NGUYỄN THỊ HỒNG HẠNH</t>
  </si>
  <si>
    <t>07/07/2025</t>
  </si>
  <si>
    <t>NGUYỄN THỊ THỦY</t>
  </si>
  <si>
    <t>71 Tuổi</t>
  </si>
  <si>
    <t>NGUYỄN VĂN THÁI</t>
  </si>
  <si>
    <t>TRẦM THỊ YẾN KHƯƠNG</t>
  </si>
  <si>
    <t>LÊ GIA KHIÊM</t>
  </si>
  <si>
    <t>NGUYỄN VĂN LINH</t>
  </si>
  <si>
    <t>ĐOÀN ĐỨC TRƯỜNG</t>
  </si>
  <si>
    <t>VÕ THỊ CHÓT</t>
  </si>
  <si>
    <t>ĐỖ VĂN DƯƠNG</t>
  </si>
  <si>
    <t>28 Tuổi</t>
  </si>
  <si>
    <t>TRẦN THỊ HỒNG</t>
  </si>
  <si>
    <t>57 Tuổi</t>
  </si>
  <si>
    <t>NGUYỄN THỊ THU THỦY</t>
  </si>
  <si>
    <t>NGUYỄN NGUYÊN</t>
  </si>
  <si>
    <t>PHẠM VĂN HIẾU</t>
  </si>
  <si>
    <t xml:space="preserve"> Tháo bột (nhỏ) </t>
  </si>
  <si>
    <t>HUỲNH THỊ NHUNG</t>
  </si>
  <si>
    <t>73 Tuổi</t>
  </si>
  <si>
    <t>PHAN THANH TÂM</t>
  </si>
  <si>
    <t>60 Tuổi</t>
  </si>
  <si>
    <t>NGUYỄN TẤN ĐỂ</t>
  </si>
  <si>
    <t>54 Tuổi</t>
  </si>
  <si>
    <t>PHẠM THỊ THUẬN</t>
  </si>
  <si>
    <t>47 Tuổi</t>
  </si>
  <si>
    <t>Thay băng điều trị vết thương mạn tính</t>
  </si>
  <si>
    <t>Đặt sonde bàng quang</t>
  </si>
  <si>
    <t>LÊ THỊ CẨM GIANG</t>
  </si>
  <si>
    <t>ĐINH VŨ LUÂN</t>
  </si>
  <si>
    <t>NGUYỄN NGỌC HIỂN</t>
  </si>
  <si>
    <t>Nắn, bó bột gãy 1/3 dưới hai xương cẳng tay  [bột liền]</t>
  </si>
  <si>
    <t>08/07/2025</t>
  </si>
  <si>
    <t>TRẦN THU HƯƠNG</t>
  </si>
  <si>
    <t xml:space="preserve"> Tháo bột (trung bình) </t>
  </si>
  <si>
    <t>LÂM CHRIÊU</t>
  </si>
  <si>
    <t>86 Tuổi</t>
  </si>
  <si>
    <t>Nắn, bó bột gãy 1/3 dưới hai xương cẳng chân  [bột liền]</t>
  </si>
  <si>
    <t>VÕ THỊ HAI</t>
  </si>
  <si>
    <t>77 Tuổi</t>
  </si>
  <si>
    <t>NGUYỄN THỊ KỲ ANH</t>
  </si>
  <si>
    <t>NGUYỄN KHẮC LUÂN</t>
  </si>
  <si>
    <t>82 Tuổi</t>
  </si>
  <si>
    <t>TRẦN THỊ NHUNG</t>
  </si>
  <si>
    <t>MOEUN SONA</t>
  </si>
  <si>
    <t>09/07/2025</t>
  </si>
  <si>
    <t>HUỲNH THÚY NGA</t>
  </si>
  <si>
    <t>59 Tuổi</t>
  </si>
  <si>
    <t>LÝ THỊ NGA</t>
  </si>
  <si>
    <t>74 Tuổi</t>
  </si>
  <si>
    <t>LÊ PHÁT LUẬT</t>
  </si>
  <si>
    <t>17 Tuổi</t>
  </si>
  <si>
    <t>PHAN THỊ TRÚC GIANG</t>
  </si>
  <si>
    <t>THÁI XUÂN NGHI</t>
  </si>
  <si>
    <t>PHAN THỊ LAN</t>
  </si>
  <si>
    <t>Thay băng vết mổ [chiều dài từ trên 30 cm đến 50 cm]</t>
  </si>
  <si>
    <t>NGUYỄN VĂN VỮNG</t>
  </si>
  <si>
    <t>81 Tuổi</t>
  </si>
  <si>
    <t>TRẦN NGUYỄN BẢO TRÂN</t>
  </si>
  <si>
    <t>NGUYỄN KIM VÂN</t>
  </si>
  <si>
    <t>TRẦN VĂN VỮ</t>
  </si>
  <si>
    <t>NGUYỄN KIM OANH</t>
  </si>
  <si>
    <t>Nắn, bó bột gãy một xương cẳng tay  [bột liền]</t>
  </si>
  <si>
    <t>10/07/2025</t>
  </si>
  <si>
    <t>PHẠM TẤN THANH</t>
  </si>
  <si>
    <t>NGUYỄN KIM THOA</t>
  </si>
  <si>
    <t>TRẦN MINH NGUYỆT</t>
  </si>
  <si>
    <t>BÙI KIM NGOẠT</t>
  </si>
  <si>
    <t>NGUYỄN THỊ THU VÂN</t>
  </si>
  <si>
    <t>HỒ VĂN HÙNG</t>
  </si>
  <si>
    <t>46 Tuổi</t>
  </si>
  <si>
    <t>NGUYỄN THỊ NĂM</t>
  </si>
  <si>
    <t>CAO THỊ ỚT</t>
  </si>
  <si>
    <t xml:space="preserve"> Nẹp bột các loại, không nắn (loại 2) </t>
  </si>
  <si>
    <t>VÕ THỊ TỐT</t>
  </si>
  <si>
    <t>NGUYỄN VĂN CHÍNH</t>
  </si>
  <si>
    <t>TRẦN VĂN CHIẾN</t>
  </si>
  <si>
    <t xml:space="preserve"> Nắn gãy mâm chày, bột đùi cẳng bàn chân </t>
  </si>
  <si>
    <t>HỒ TRUNG HIẾU</t>
  </si>
  <si>
    <t>18 Tuổi</t>
  </si>
  <si>
    <t>11/07/2025</t>
  </si>
  <si>
    <t>DƯ MINH CHIẾN</t>
  </si>
  <si>
    <t>NGUYỄN THỊ YẾN GIANG</t>
  </si>
  <si>
    <t>NGUYỄN VĂN HÙNG</t>
  </si>
  <si>
    <t>LÊ THỊ HOÀNG ANH</t>
  </si>
  <si>
    <t xml:space="preserve"> Cắt chỉ kim loại </t>
  </si>
  <si>
    <t>TRƯƠNG THỊ EM</t>
  </si>
  <si>
    <t>PHAN VĂN HẢI</t>
  </si>
  <si>
    <t>PHAN QUỐC VĨNH</t>
  </si>
  <si>
    <t>LÊ THỊ LỢI</t>
  </si>
  <si>
    <t>TRƯƠNG VĂN ĐÁNG</t>
  </si>
  <si>
    <t>HUỲNH THANH HÙNG</t>
  </si>
  <si>
    <t>DƯƠNG PHƯỚC XUYÊN</t>
  </si>
  <si>
    <t>39 Tuổi</t>
  </si>
  <si>
    <t>TRẦN MINH DUY</t>
  </si>
  <si>
    <t>HUỲNH VĂN HOÀNG</t>
  </si>
  <si>
    <t>HUỲNH THỊ THU HÀ</t>
  </si>
  <si>
    <t>NGUYỄN THỊ KẾT</t>
  </si>
  <si>
    <t>66 Tuổi</t>
  </si>
  <si>
    <t>TRẦN HOÀNG PHI</t>
  </si>
  <si>
    <t>ĐỖ HUY CƯỜNG</t>
  </si>
  <si>
    <t>Nắn, bó bột gãy xương bàn chân  [bột liền]</t>
  </si>
  <si>
    <t>NGUYỄN VĂN TRỌNG</t>
  </si>
  <si>
    <t>12/07/2025</t>
  </si>
  <si>
    <t>TRẦN KIM HƯNG</t>
  </si>
  <si>
    <t>21 Tuổi</t>
  </si>
  <si>
    <t>Nắn, bó bột gãy 1/3 trên hai xương cẳng tay  [bột liền]</t>
  </si>
  <si>
    <t>13/07/2025</t>
  </si>
  <si>
    <t>HUỲNH THỊ THÚY DIỄM</t>
  </si>
  <si>
    <t>14/07/2025</t>
  </si>
  <si>
    <t>PHẠM THÀNH CÔNG</t>
  </si>
  <si>
    <t>ĐẶNG THU NGA</t>
  </si>
  <si>
    <t>LÊ MINH THOÀNG</t>
  </si>
  <si>
    <t>51 Tuổi</t>
  </si>
  <si>
    <t>LƯƠNG NGỌC HẢI</t>
  </si>
  <si>
    <t>53 Tuổi</t>
  </si>
  <si>
    <t>MAI VIẾT ANH BẰNG</t>
  </si>
  <si>
    <t>TRẦN QUỐC TÀI</t>
  </si>
  <si>
    <t>LÊ THỊ NGỌC NHỨT</t>
  </si>
  <si>
    <t>PHAN THU THẢO</t>
  </si>
  <si>
    <t>TRỊNH NGỌC LĨNH</t>
  </si>
  <si>
    <t>CHUNG THỊ GẠN</t>
  </si>
  <si>
    <t>TRẦN THỊ MÀNH</t>
  </si>
  <si>
    <t xml:space="preserve"> Bột cẳng bàn chân không kéo nắn </t>
  </si>
  <si>
    <t>TÔ NGỌC LAN</t>
  </si>
  <si>
    <t>Nắn, bó bột trật khớp cổ chân [bột liền]</t>
  </si>
  <si>
    <t>15/07/2025</t>
  </si>
  <si>
    <t>TRẦN KIM CHUYÊN</t>
  </si>
  <si>
    <t>TRỊNH QUỐC ĐẠT</t>
  </si>
  <si>
    <t>LIÊU CHÚC BÌNH</t>
  </si>
  <si>
    <t>THẠCH NGỌC TÂM</t>
  </si>
  <si>
    <t>49 Tuổi</t>
  </si>
  <si>
    <t>NGUYỄN THỊ NUÔI</t>
  </si>
  <si>
    <t>TRẦN THỊ THANH HƯƠNG</t>
  </si>
  <si>
    <t>Bó bột ống trong gãy xương bánh chè</t>
  </si>
  <si>
    <t>76 Tuổi</t>
  </si>
  <si>
    <t>NGUYỄN THỊ MỸ LY</t>
  </si>
  <si>
    <t>16/07/2025</t>
  </si>
  <si>
    <t>NGUYỄN TÍCH ĐIỀN</t>
  </si>
  <si>
    <t>LÊ THANH TÙNG</t>
  </si>
  <si>
    <t>LÂM NỮ TUYẾT NHƯ</t>
  </si>
  <si>
    <t>NGUYỄN LÊ NGỌC TRÂM</t>
  </si>
  <si>
    <t>17/07/2025</t>
  </si>
  <si>
    <t>PHẠM HỮU THẠNH</t>
  </si>
  <si>
    <t>PHẠM THỊ KIỀU VÂN</t>
  </si>
  <si>
    <t>PHÙNG BẢO TRÂN</t>
  </si>
  <si>
    <t>TRẦN HUỆ MẪN</t>
  </si>
  <si>
    <t>VÕ ANH DUY</t>
  </si>
  <si>
    <t>NGUYỄN VĂN CƯỜNG</t>
  </si>
  <si>
    <t>Nắn, bó bột gãy 1/3 giữa hai xương cẳng tay  [bột liền]</t>
  </si>
  <si>
    <t>18/07/2025</t>
  </si>
  <si>
    <t>NGUYỄN PHAN CẨM PHƯỢNG</t>
  </si>
  <si>
    <t>PHẠM QUẢNG TRƯỜNG</t>
  </si>
  <si>
    <t>ĐÀO VĂN MINH</t>
  </si>
  <si>
    <t>30 Tuổi</t>
  </si>
  <si>
    <t>NGUYỄN THANH THANH</t>
  </si>
  <si>
    <t>ĐẶNG VĂN OAY</t>
  </si>
  <si>
    <t>PHAN THỊ YẾN</t>
  </si>
  <si>
    <t>NGUYỄN VĂN NGỌC</t>
  </si>
  <si>
    <t>VÕ THỊ MINH THÙY</t>
  </si>
  <si>
    <t>NGUYỄN KIM QUÝ</t>
  </si>
  <si>
    <t>Nắn, bó bột trật khớp khuỷu [bột liền]</t>
  </si>
  <si>
    <t>VÕ VĂN LƯỢM</t>
  </si>
  <si>
    <t>19/07/2025</t>
  </si>
  <si>
    <t>HUỲNH VĂN TRƯỜNG</t>
  </si>
  <si>
    <t>20/07/2025</t>
  </si>
  <si>
    <t>VÕ THỊ ĐỊNH</t>
  </si>
  <si>
    <t>21/07/2025</t>
  </si>
  <si>
    <t>LA THANH SANG</t>
  </si>
  <si>
    <t>HUỲNH VĂN TỚI</t>
  </si>
  <si>
    <t>36 Tuổi</t>
  </si>
  <si>
    <t>HUỲNH THÀNH GẤM</t>
  </si>
  <si>
    <t>PHẠM KIM HỒNG</t>
  </si>
  <si>
    <t>TRẦN VIỆT THANH</t>
  </si>
  <si>
    <t>Nắn, bó bột gãy xương bàn, ngón tay [bột liền]</t>
  </si>
  <si>
    <t>PHẠM VĂN PHONG</t>
  </si>
  <si>
    <t>ĐOÀN THỊ HUYỀN TRANG</t>
  </si>
  <si>
    <t>TRẦN THỊ THANH HÒA</t>
  </si>
  <si>
    <t>PHAN THỊ TUYỀN</t>
  </si>
  <si>
    <t>LÂM NGỌC QUANG</t>
  </si>
  <si>
    <t>79 Tuổi</t>
  </si>
  <si>
    <t>LA THANH TÙNG</t>
  </si>
  <si>
    <t>PHẠM THỊ MUỐNG</t>
  </si>
  <si>
    <t>NGUYỄN VĂN ÚT</t>
  </si>
  <si>
    <t>LÊ QUANG ÁNH</t>
  </si>
  <si>
    <t>VÕ THỊ LỆ HAI</t>
  </si>
  <si>
    <t>NGUYỄN VĂN TUẤN</t>
  </si>
  <si>
    <t>NGUYỄN HUỲNH VIỆT</t>
  </si>
  <si>
    <t>22/07/2025</t>
  </si>
  <si>
    <t>QUÁCH THỊ NGỌC SÁNG</t>
  </si>
  <si>
    <t>UNG THỊ NỮ</t>
  </si>
  <si>
    <t>HUỲNH THỊ TÔI</t>
  </si>
  <si>
    <t>NGUYỄN VĂN THANH</t>
  </si>
  <si>
    <t>TRẦN KIM HẰNG</t>
  </si>
  <si>
    <t>VĂN LÊ ANH TUẤN</t>
  </si>
  <si>
    <t>TRẦN PHƯỚC HOÀNG</t>
  </si>
  <si>
    <t>LÊ VĂN TỈNH</t>
  </si>
  <si>
    <t>PHAN ANH NHỰT</t>
  </si>
  <si>
    <t>NGUYỄN THỊ THÀNH</t>
  </si>
  <si>
    <t>TRẦN THỊ CHANH</t>
  </si>
  <si>
    <t>PHAN THỊ CÔNG</t>
  </si>
  <si>
    <t>TRẦN THÚY PHƯỢNG</t>
  </si>
  <si>
    <t>Nắn, bó bột trật khớp vai [bột liền]</t>
  </si>
  <si>
    <t>23/07/2025</t>
  </si>
  <si>
    <t>NGUYỄN TÙNG QUÂN</t>
  </si>
  <si>
    <t>NGUYỄN THỊ LỘC</t>
  </si>
  <si>
    <t>UNG SĨ HỒNG VÂN</t>
  </si>
  <si>
    <t>LÊ THỊ MỸ LINH</t>
  </si>
  <si>
    <t>NGUYỄN THỊ CẨM NHUNG</t>
  </si>
  <si>
    <t>NGUYỄN THỊ YẾN</t>
  </si>
  <si>
    <t>ĐỖ LY HẬN</t>
  </si>
  <si>
    <t>BÙI THỊ HUYỀN</t>
  </si>
  <si>
    <t>LÊ XUÂN SANG</t>
  </si>
  <si>
    <t>TÔ VĂN LÝ</t>
  </si>
  <si>
    <t>24/07/2025</t>
  </si>
  <si>
    <t>DIỆP THỊ TIẾN</t>
  </si>
  <si>
    <t>HUỲNH THỊ THÚY</t>
  </si>
  <si>
    <t>NGUYỄN THỊ GIANG</t>
  </si>
  <si>
    <t>26 Tuổi</t>
  </si>
  <si>
    <t>LÊ THÀNH SANG</t>
  </si>
  <si>
    <t>LÊ NGUYỄN THOẠI MY</t>
  </si>
  <si>
    <t>25/07/2025</t>
  </si>
  <si>
    <t>NGUYỄN THỊ NGỌC THU</t>
  </si>
  <si>
    <t>DƯƠNG PHÚC NGỌ</t>
  </si>
  <si>
    <t>HUỲNH PHÁT ĐẠT</t>
  </si>
  <si>
    <t>TRẦN GIA BÁCH</t>
  </si>
  <si>
    <t>NGUYỄN THỊ KIỀU DIỄM</t>
  </si>
  <si>
    <t>Thông bàng quang</t>
  </si>
  <si>
    <t>TRẦN BÁ HÙNG</t>
  </si>
  <si>
    <t>LÝ THỊ MỸ LINH</t>
  </si>
  <si>
    <t>NGUYỄN VĂN ĐIỀN</t>
  </si>
  <si>
    <t>LƯ QUỐC ĐẠT</t>
  </si>
  <si>
    <t>NGUYỄN VĂN NGÀN</t>
  </si>
  <si>
    <t>VÕ NGỌC NỮ</t>
  </si>
  <si>
    <t>HỒ NGUYỄN TỐ NHƯ</t>
  </si>
  <si>
    <t>22 Tuổi</t>
  </si>
  <si>
    <t>NGUYỄN HOÀNG NAM</t>
  </si>
  <si>
    <t>26/07/2025</t>
  </si>
  <si>
    <t>NGUYỄN THỊ THANH THẢO</t>
  </si>
  <si>
    <t>PHAN TUẤN ANH</t>
  </si>
  <si>
    <t xml:space="preserve"> Nắn bột cẳng bàn chân trong gãy xương bàn chân, ngón chân </t>
  </si>
  <si>
    <t>LẠI QUỐC KHÁNH</t>
  </si>
  <si>
    <t>27/07/2025</t>
  </si>
  <si>
    <t>ĐÀO HỒNG TRĂM</t>
  </si>
  <si>
    <t>28/07/2025</t>
  </si>
  <si>
    <t>TRẦN HOÀI HẬN</t>
  </si>
  <si>
    <t>LÊ THANH TIẾN EM</t>
  </si>
  <si>
    <t>TRƯƠNG NGỌC ĐIỆP</t>
  </si>
  <si>
    <t>TRỊNH VĂN TỚI</t>
  </si>
  <si>
    <t>PHAN THỊ BẢY</t>
  </si>
  <si>
    <t>BÙI THỊ HAI</t>
  </si>
  <si>
    <t>HUỲNH TẤN THÁI</t>
  </si>
  <si>
    <t>LÊ THỊ HẰNG</t>
  </si>
  <si>
    <t>NGUYỄN TRỌNG NGHĨA</t>
  </si>
  <si>
    <t>NGUYỄN THỊ VƯƠNG</t>
  </si>
  <si>
    <t>NGUYỄN THANH HỒNG</t>
  </si>
  <si>
    <t>NGUYỄN THỊ KIM BA</t>
  </si>
  <si>
    <t>29/07/2025</t>
  </si>
  <si>
    <t>LÊ THỊ ĐẸT</t>
  </si>
  <si>
    <t>NGUYỄN THỊ HỘI</t>
  </si>
  <si>
    <t>75 Tuổi</t>
  </si>
  <si>
    <t>NGUYỄN VĂN TÂN EM</t>
  </si>
  <si>
    <t>NGUYỄN VĂN HỒNG</t>
  </si>
  <si>
    <t>NGUYỄN PHÚC ÂN</t>
  </si>
  <si>
    <t>12 Tuổi</t>
  </si>
  <si>
    <t>NGUYỄN NGỌC TƯỜNG</t>
  </si>
  <si>
    <t>30/07/2025</t>
  </si>
  <si>
    <t>TRẦN THỊ TÁM</t>
  </si>
  <si>
    <t>Nắn, bó bột gãy xương đòn [bột liền]</t>
  </si>
  <si>
    <t>NGUYỄN VĂN THỪA</t>
  </si>
  <si>
    <t>NGUYỄN QUỐC LÃM</t>
  </si>
  <si>
    <t>NGUYỄN VĂN MINH</t>
  </si>
  <si>
    <t>TRƯƠNG THỊ LƯỢNG</t>
  </si>
  <si>
    <t>NGUYỄN VĂN THIẾT</t>
  </si>
  <si>
    <t>VÕ MINH KHANG</t>
  </si>
  <si>
    <t>NGUYỄN TÂN TIẾN</t>
  </si>
  <si>
    <t>31/07/2025</t>
  </si>
  <si>
    <t>NGUYỄN HỮU MẾN</t>
  </si>
  <si>
    <t>LÊ VĂN ÚT EM</t>
  </si>
  <si>
    <t>LÊ VĂN KIỆT</t>
  </si>
  <si>
    <t>NGUYỄN KIM MUÔN</t>
  </si>
  <si>
    <t>BÙI THỊ LANH</t>
  </si>
  <si>
    <t>NGUYỄN QUANG TRÍ</t>
  </si>
  <si>
    <t>Xét nghiệm đường máu mao mạch tại giường (một lần)</t>
  </si>
  <si>
    <t>NGUYỄN NGỌC NIỆM</t>
  </si>
  <si>
    <t>LÊ THỊ DIỆN</t>
  </si>
  <si>
    <t>NGUYỄN VĂN VĨNH</t>
  </si>
  <si>
    <t>TRẦN VĂN CHÍNH</t>
  </si>
  <si>
    <t>ĐOÀN THÀNH NHƯ</t>
  </si>
  <si>
    <t xml:space="preserve"> Chích rạch nhọt, Apxe nhỏ dẫn lưu </t>
  </si>
  <si>
    <t>THẠCH THỊ PHO</t>
  </si>
  <si>
    <t>Tiêm khớp vai</t>
  </si>
  <si>
    <t>NGUYỄN VĂN BÁ</t>
  </si>
  <si>
    <t>HUỲNH HOÀNG TÍN</t>
  </si>
  <si>
    <t xml:space="preserve"> Khâu vết thương phần mềm sâu dài &gt; 5 cm </t>
  </si>
  <si>
    <t>NGUYỄN THỊ NGỌC Ý</t>
  </si>
  <si>
    <t xml:space="preserve"> Mụn cóc(1-2) thương tổn </t>
  </si>
  <si>
    <t xml:space="preserve"> Mắt cá 1-2 thương tổn </t>
  </si>
  <si>
    <t>VÕ THỊ MỸ NHÂN</t>
  </si>
  <si>
    <t>Tiêm khớp gối</t>
  </si>
  <si>
    <t>NGUYỄN VĂN BÉ BẢY</t>
  </si>
  <si>
    <t>Hút ổ viêm/áp xe phần mềm</t>
  </si>
  <si>
    <t>HUỲNH THỊ BÉ HOA</t>
  </si>
  <si>
    <t>Hút dịch khớp gối</t>
  </si>
  <si>
    <t>DƯƠNG MINH NGUYÊN</t>
  </si>
  <si>
    <t xml:space="preserve"> Cắt u nang bao hoạt dịch cổ tay/khuỷu </t>
  </si>
  <si>
    <t>LÊ ANH KHANG</t>
  </si>
  <si>
    <t xml:space="preserve"> Cắt móng quặm 1 ngón </t>
  </si>
  <si>
    <t>NGUYỄN THỊ THU EM</t>
  </si>
  <si>
    <t xml:space="preserve"> Tiêm cân gân chân </t>
  </si>
  <si>
    <t>LÂM TRỌNG NGUYỄN</t>
  </si>
  <si>
    <t>Khâu vết thương phần mềm dài dưới 10 cm [tổn thương nông]</t>
  </si>
  <si>
    <t>NGUYỄN HỒNG NGUYỆT</t>
  </si>
  <si>
    <t>ĐINH HÒA HƯNG</t>
  </si>
  <si>
    <t>TRẦN THỊ KIM SANG</t>
  </si>
  <si>
    <t>29 Tuổi</t>
  </si>
  <si>
    <t>Hút nang bao hoạt dịch</t>
  </si>
  <si>
    <t>NGUYỄN THỊ THU HỒNG</t>
  </si>
  <si>
    <t>QUAN CHÍ QUYỀN</t>
  </si>
  <si>
    <t>NGUYỄN VĂN ĐẲNG</t>
  </si>
  <si>
    <t>NGUYỄN BÁ HÙNG</t>
  </si>
  <si>
    <t>ĐÀO XUÂN THÀNH</t>
  </si>
  <si>
    <t>Tiêm gân gót</t>
  </si>
  <si>
    <t>TRẦN THẾ MINH</t>
  </si>
  <si>
    <t>NGUYỄN VIỆT THÀNH</t>
  </si>
  <si>
    <t>ĐẶNG THỊ BÉ SÁU</t>
  </si>
  <si>
    <t xml:space="preserve"> Tiêm gân Dequervein </t>
  </si>
  <si>
    <t>NGUYỄN THỊ THẤY</t>
  </si>
  <si>
    <t>TRẦN THỊ LỆ HỒNG</t>
  </si>
  <si>
    <t>Tiêm gân gấp ngón tay</t>
  </si>
  <si>
    <t>NGUYỄN THỊ MẠNH</t>
  </si>
  <si>
    <t>Tiêm gân trên gai (dưới gai, gân bao xoay khớp vai)</t>
  </si>
  <si>
    <t>NGUYỄN THỊ HOA</t>
  </si>
  <si>
    <t>NGUYỄN VĂN NGUYÊN</t>
  </si>
  <si>
    <t>NGUYỄN VĂN GIANG</t>
  </si>
  <si>
    <t xml:space="preserve"> Tiêm gân lồi cầu cánh tay trong/ngoài </t>
  </si>
  <si>
    <t>CAO THỊ MỸ DUNG</t>
  </si>
  <si>
    <t>PHAN VĂN Ú</t>
  </si>
  <si>
    <t>TỪ QUÁCH DUY</t>
  </si>
  <si>
    <t>LÊ THỊ VẼ</t>
  </si>
  <si>
    <t xml:space="preserve"> Tiêm gân duỗi ngón tay </t>
  </si>
  <si>
    <t>ĐOÀN TẤT THẮNG</t>
  </si>
  <si>
    <t>VÕ VĂN TÙA</t>
  </si>
  <si>
    <t>TRẦN HỒNG ĐẠT</t>
  </si>
  <si>
    <t>TRẦN THỊ BỐN</t>
  </si>
  <si>
    <t xml:space="preserve"> Khâu vết thương phần mềm nông dài &lt; 5cm </t>
  </si>
  <si>
    <t>NGUYỄN THỊ KIM THÙY</t>
  </si>
  <si>
    <t>HUỲNH THỊ THOẠI</t>
  </si>
  <si>
    <t>TRẦN THỊ YẾN</t>
  </si>
  <si>
    <t>LÊ THỊ BIẾT</t>
  </si>
  <si>
    <t>78 Tuổi</t>
  </si>
  <si>
    <t>HÀ THỊ BÉ BA</t>
  </si>
  <si>
    <t>TRẦN THỊ KIỀU</t>
  </si>
  <si>
    <t>NGUYỄN THỊ BẢO YẾN</t>
  </si>
  <si>
    <t>NGUYỄN THỊ THÙY NGÂN</t>
  </si>
  <si>
    <t>NGUYỄN ĐỨC LẬP</t>
  </si>
  <si>
    <t>HUỲNH THỊ TUYẾT NGA</t>
  </si>
  <si>
    <t>TRẦM NGỌC HUYỀN</t>
  </si>
  <si>
    <t>VÕ ĐÌNH THƯ CÁT</t>
  </si>
  <si>
    <t>14 Tuổi</t>
  </si>
  <si>
    <t>NGUYỄN DƯƠNG TẤN ĐỨC</t>
  </si>
  <si>
    <t>LÂM THỊ YẾN</t>
  </si>
  <si>
    <t>NGUYỄN VĂN ĐÔNG</t>
  </si>
  <si>
    <t>TÔ THỊ BÍCH</t>
  </si>
  <si>
    <t>HUỲNH THỊ THỦY</t>
  </si>
  <si>
    <t>TRẦN NGỌC LINH</t>
  </si>
  <si>
    <t>NGUYỄN THỊ NGON</t>
  </si>
  <si>
    <t>NGUYỄN THỊ TUYẾT</t>
  </si>
  <si>
    <t>NGUYỄN THỊ THANH LOAN</t>
  </si>
  <si>
    <t>LÊ MINH THIỆN</t>
  </si>
  <si>
    <t>NGUYỄN THỊ BÍCH GIANG</t>
  </si>
  <si>
    <t>HUỲNH BÉ HẰNG</t>
  </si>
  <si>
    <t>NGUYỄN HIỀN TÀI</t>
  </si>
  <si>
    <t>TRẦN DƯƠNG TẤN LỘC</t>
  </si>
  <si>
    <t>LÂM THỊ BÍCH NGỌC</t>
  </si>
  <si>
    <t>Tiêm khớp cổ tay</t>
  </si>
  <si>
    <t>ĐINH THỊ HUỆ</t>
  </si>
  <si>
    <t>BÙI THÙY DƯƠNG</t>
  </si>
  <si>
    <t>NGUYỄN VĂN BÉ BA</t>
  </si>
  <si>
    <t>LÊ THANH NGÂN</t>
  </si>
  <si>
    <t>TRẦN THỊ LINH</t>
  </si>
  <si>
    <t>TÔ HOÀI THƯƠNG</t>
  </si>
  <si>
    <t>PHAN THỊ HỒNG PHIẾN</t>
  </si>
  <si>
    <t>Phẫu thuật điều trị hội chứng ống cổ tay</t>
  </si>
  <si>
    <t>TRẦN THỊ LƯỢM</t>
  </si>
  <si>
    <t xml:space="preserve"> Phẫu thuật điều trị ngón tay cò súng (1 ngón) </t>
  </si>
  <si>
    <t>PHAN THỊ NGỢI</t>
  </si>
  <si>
    <t>TRẦN QUỐC NAM</t>
  </si>
  <si>
    <t>VŨ THỊ PHƯƠNG MAI</t>
  </si>
  <si>
    <t>LÊ HỒNG CHI</t>
  </si>
  <si>
    <t>NGUYỄN THỊ MỸ NHUNG</t>
  </si>
  <si>
    <t xml:space="preserve"> Phẫu thuật điều trị ngón tay cò súng (2 ngón) </t>
  </si>
  <si>
    <t>LÊ THỊ BÍCH PHƯỢNG</t>
  </si>
  <si>
    <t>Phẫu thuật giải ép thần kinh (ống cổ tay, Khuỷu…)</t>
  </si>
  <si>
    <t>HUỲNH MỸ PHƯƠNG</t>
  </si>
  <si>
    <t>LÝ THỊ MAI TRÂM</t>
  </si>
  <si>
    <t xml:space="preserve"> Phẫu thuật cắt bỏ u phần mềm &lt;5cm </t>
  </si>
  <si>
    <t>NGUYỄN NGỌC CHƠN</t>
  </si>
  <si>
    <t>NGÔ MINH TRỨ</t>
  </si>
  <si>
    <t>VÕ THỊ XUYẾN</t>
  </si>
  <si>
    <t>HUỲNH THỊ HỒNG THA</t>
  </si>
  <si>
    <t>THÁI NGỌC LÀNH</t>
  </si>
  <si>
    <t>NGUYỄN THỊ THANH HƯƠNG</t>
  </si>
  <si>
    <t>NGUYỄN THỊ MỸ DUNG</t>
  </si>
  <si>
    <t>LÊ DIỆU HIỀN</t>
  </si>
  <si>
    <t>THÁI THỊ VÂN</t>
  </si>
  <si>
    <t>TRẦN KIM YẾN</t>
  </si>
  <si>
    <t>ĐẶNG THỊ HẠNH</t>
  </si>
  <si>
    <t>PHẠM HUỲNH MAI</t>
  </si>
  <si>
    <t>LÊ VĂN CƯỜNG</t>
  </si>
  <si>
    <t>Cắt u lành phần mềm đường kính dưới 10 cm</t>
  </si>
  <si>
    <t>NGUYỄN THỊ HUỲNH CÚC</t>
  </si>
  <si>
    <t>DIỆP THỊ KIỆM</t>
  </si>
  <si>
    <t>HỒ VĂN DŨNG</t>
  </si>
  <si>
    <t>LÊ TÔN THÙY TRANG</t>
  </si>
  <si>
    <t>TỐNG THỊ NGỌC HIẾU</t>
  </si>
  <si>
    <t>HỒ THỊ XƯƠNG</t>
  </si>
  <si>
    <t>NGUYỄN THÀNH ĐƯỢC</t>
  </si>
  <si>
    <t>Nắn, bó bột trật khớp háng [bột liền]</t>
  </si>
  <si>
    <t>NGUYỄN VĂN TÁM</t>
  </si>
  <si>
    <t>NGUYỄN THỊ HIỂN</t>
  </si>
  <si>
    <t>HUỲNH THỊ THÙA</t>
  </si>
  <si>
    <t>PHẠM VĂN LỢI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</si>
  <si>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</si>
  <si>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>DANH SÁCH LÃNH TIỀN PHẪU THUẬT THEO YÊU CẦU THÁNG 7/2025</t>
  </si>
  <si>
    <t>THÁNG 7 NĂM 2025</t>
  </si>
  <si>
    <t>TÚ</t>
  </si>
  <si>
    <t>Cần Thơ, ngày 25 tháng 8 năm 2025</t>
  </si>
  <si>
    <t>Điều Tấn Kiệt</t>
  </si>
  <si>
    <t>Nguyễn Lê Duy Phong</t>
  </si>
  <si>
    <t>Trương Đại Lợi</t>
  </si>
  <si>
    <t>Nguyễn Chí Thanh</t>
  </si>
  <si>
    <t>DANH SÁCH LÃNH TIỀN THÙ LAO THÁNG 07/2025</t>
  </si>
  <si>
    <t>Cần Thơ, ngày 25 tháng 08 năm 2025</t>
  </si>
  <si>
    <t>Kiệt</t>
  </si>
  <si>
    <t>BS.TRIỀU</t>
  </si>
  <si>
    <t xml:space="preserve"> </t>
  </si>
  <si>
    <t>Cần Thơ, ngày 26 tháng 8 năm 2025</t>
  </si>
  <si>
    <t>Cần Thơ, Ngày 26 tháng 8 năm 2025</t>
  </si>
  <si>
    <t>Cần Thơ, ngày 27 tháng 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</si>
</sst>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8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sz val="12"/>
      <name val="Times New Roman"/>
      <family val="1"/>
      <scheme val="major"/>
    </font>
    <font>
      <sz val="9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4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6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66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8" fillId="0" borderId="9" xfId="0" applyFont="1" applyBorder="1" applyAlignment="1">
      <alignment horizontal="center" vertical="center"/>
    </xf>
    <xf numFmtId="3" fontId="68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9" fillId="0" borderId="0" xfId="0" applyFont="1" applyAlignment="1">
      <alignment vertical="top"/>
    </xf>
    <xf numFmtId="49" fontId="70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1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4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6" fontId="4" fillId="25" borderId="9" xfId="28" applyFont="1" applyFill="1" applyBorder="1" applyAlignment="1">
      <alignment horizontal="center" vertical="center"/>
    </xf>
    <xf numFmtId="1" fontId="71" fillId="25" borderId="9" xfId="0" applyNumberFormat="1" applyFont="1" applyFill="1" applyBorder="1" applyAlignment="1">
      <alignment horizontal="center"/>
    </xf>
    <xf numFmtId="165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5" fontId="10" fillId="25" borderId="9" xfId="0" applyNumberFormat="1" applyFont="1" applyFill="1" applyBorder="1"/>
    <xf numFmtId="165" fontId="37" fillId="25" borderId="0" xfId="0" applyNumberFormat="1" applyFont="1" applyFill="1" applyAlignment="1">
      <alignment horizontal="left" vertical="center"/>
    </xf>
    <xf numFmtId="165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0" fontId="10" fillId="0" borderId="9" xfId="0" applyFont="1" applyBorder="1" applyAlignment="1">
      <alignment shrinkToFit="1"/>
    </xf>
    <xf numFmtId="1" fontId="72" fillId="0" borderId="0" xfId="0" applyNumberFormat="1" applyFont="1" applyAlignment="1">
      <alignment horizontal="center"/>
    </xf>
    <xf numFmtId="49" fontId="72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72" fillId="0" borderId="9" xfId="0" applyNumberFormat="1" applyFont="1" applyBorder="1"/>
    <xf numFmtId="49" fontId="44" fillId="0" borderId="9" xfId="0" applyNumberFormat="1" applyFont="1" applyBorder="1" applyAlignment="1">
      <alignment horizontal="center" vertical="center"/>
    </xf>
    <xf numFmtId="1" fontId="72" fillId="0" borderId="9" xfId="0" applyNumberFormat="1" applyFont="1" applyBorder="1" applyAlignment="1">
      <alignment horizontal="center"/>
    </xf>
    <xf numFmtId="0" fontId="37" fillId="0" borderId="9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69" fillId="0" borderId="9" xfId="0" applyFont="1" applyBorder="1" applyAlignment="1">
      <alignment vertical="center" shrinkToFit="1"/>
    </xf>
    <xf numFmtId="0" fontId="73" fillId="0" borderId="9" xfId="0" applyFont="1" applyBorder="1" applyAlignment="1">
      <alignment vertical="center" shrinkToFit="1"/>
    </xf>
    <xf numFmtId="166" fontId="69" fillId="0" borderId="9" xfId="0" applyNumberFormat="1" applyFont="1" applyBorder="1" applyAlignment="1">
      <alignment vertical="center" shrinkToFit="1"/>
    </xf>
    <xf numFmtId="166" fontId="69" fillId="0" borderId="9" xfId="0" applyNumberFormat="1" applyFont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left" vertical="center" shrinkToFit="1"/>
    </xf>
    <xf numFmtId="3" fontId="69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0" fontId="37" fillId="0" borderId="9" xfId="0" applyFont="1" applyBorder="1" applyAlignment="1">
      <alignment horizontal="left" vertical="top"/>
    </xf>
    <xf numFmtId="16" fontId="75" fillId="0" borderId="0" xfId="0" applyNumberFormat="1" applyFont="1" applyAlignment="1">
      <alignment vertical="center"/>
    </xf>
    <xf numFmtId="0" fontId="75" fillId="0" borderId="0" xfId="0" applyFont="1" applyAlignment="1">
      <alignment vertical="center"/>
    </xf>
    <xf numFmtId="165" fontId="10" fillId="0" borderId="18" xfId="0" applyNumberFormat="1" applyFont="1" applyBorder="1" applyAlignment="1">
      <alignment horizontal="center" vertical="center" shrinkToFit="1"/>
    </xf>
    <xf numFmtId="0" fontId="68" fillId="0" borderId="15" xfId="0" applyFont="1" applyBorder="1" applyAlignment="1">
      <alignment horizontal="center" vertical="center"/>
    </xf>
    <xf numFmtId="3" fontId="68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68" fillId="0" borderId="17" xfId="0" applyFont="1" applyBorder="1" applyAlignment="1">
      <alignment horizontal="center" vertical="center"/>
    </xf>
    <xf numFmtId="1" fontId="10" fillId="0" borderId="9" xfId="64" applyNumberFormat="1" applyFont="1" applyBorder="1" applyAlignment="1">
      <alignment horizontal="center" vertical="center"/>
    </xf>
    <xf numFmtId="49" fontId="76" fillId="0" borderId="0" xfId="0" applyNumberFormat="1" applyFont="1" applyAlignment="1">
      <alignment horizontal="center" vertical="center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1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6" fontId="4" fillId="27" borderId="9" xfId="28" applyFont="1" applyFill="1" applyBorder="1" applyAlignment="1">
      <alignment horizontal="center" vertical="center"/>
    </xf>
    <xf numFmtId="1" fontId="71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6" fontId="4" fillId="28" borderId="9" xfId="28" applyFont="1" applyFill="1" applyBorder="1" applyAlignment="1">
      <alignment horizontal="center" vertical="center"/>
    </xf>
    <xf numFmtId="1" fontId="71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44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0" fontId="74" fillId="0" borderId="9" xfId="71" applyFont="1" applyBorder="1" applyAlignment="1">
      <alignment horizontal="center" vertical="center"/>
    </xf>
    <xf numFmtId="3" fontId="74" fillId="0" borderId="9" xfId="71" applyNumberFormat="1" applyFont="1" applyBorder="1" applyAlignment="1">
      <alignment horizontal="center" vertical="center" shrinkToFit="1"/>
    </xf>
    <xf numFmtId="0" fontId="45" fillId="0" borderId="9" xfId="0" applyFont="1" applyBorder="1" applyAlignment="1">
      <alignment horizontal="center" vertical="center" wrapText="1" shrinkToFit="1"/>
    </xf>
    <xf numFmtId="0" fontId="68" fillId="0" borderId="9" xfId="0" applyFont="1" applyBorder="1" applyAlignment="1">
      <alignment horizontal="left" vertical="top"/>
    </xf>
    <xf numFmtId="3" fontId="10" fillId="0" borderId="0" xfId="28" applyNumberFormat="1" applyFont="1" applyFill="1" applyAlignment="1">
      <alignment horizontal="center" vertical="center" wrapText="1"/>
    </xf>
    <xf numFmtId="49" fontId="77" fillId="0" borderId="9" xfId="0" applyNumberFormat="1" applyFont="1" applyBorder="1" applyAlignment="1">
      <alignment horizontal="center" vertical="center"/>
    </xf>
    <xf numFmtId="0" fontId="77" fillId="0" borderId="9" xfId="0" applyFont="1" applyBorder="1" applyAlignment="1">
      <alignment vertical="center"/>
    </xf>
    <xf numFmtId="0" fontId="77" fillId="0" borderId="9" xfId="0" applyFont="1" applyBorder="1" applyAlignment="1">
      <alignment horizontal="center" vertical="center"/>
    </xf>
    <xf numFmtId="3" fontId="77" fillId="0" borderId="9" xfId="0" applyNumberFormat="1" applyFont="1" applyBorder="1" applyAlignment="1">
      <alignment vertical="center"/>
    </xf>
    <xf numFmtId="3" fontId="49" fillId="0" borderId="9" xfId="71" applyNumberFormat="1" applyFont="1" applyBorder="1" applyAlignment="1">
      <alignment horizontal="center" vertical="center" shrinkToFit="1"/>
    </xf>
    <xf numFmtId="0" fontId="78" fillId="0" borderId="9" xfId="0" applyFont="1" applyBorder="1" applyAlignment="1">
      <alignment horizontal="left" vertical="top" wrapText="1"/>
    </xf>
    <xf numFmtId="0" fontId="78" fillId="0" borderId="9" xfId="0" applyFont="1" applyBorder="1" applyAlignment="1">
      <alignment horizontal="center" vertical="top" wrapText="1"/>
    </xf>
    <xf numFmtId="173" fontId="78" fillId="0" borderId="9" xfId="28" applyNumberFormat="1" applyFont="1" applyFill="1" applyBorder="1" applyAlignment="1">
      <alignment horizontal="left" vertical="top" wrapText="1"/>
    </xf>
    <xf numFmtId="0" fontId="78" fillId="0" borderId="9" xfId="0" applyFont="1" applyBorder="1" applyAlignment="1">
      <alignment horizontal="left" vertical="top"/>
    </xf>
    <xf numFmtId="174" fontId="78" fillId="0" borderId="9" xfId="28" applyNumberFormat="1" applyFont="1" applyBorder="1" applyAlignment="1">
      <alignment horizontal="left" vertical="top"/>
    </xf>
    <xf numFmtId="0" fontId="79" fillId="0" borderId="9" xfId="0" applyFont="1" applyBorder="1" applyAlignment="1">
      <alignment horizontal="left" vertical="top" wrapText="1"/>
    </xf>
    <xf numFmtId="0" fontId="79" fillId="0" borderId="9" xfId="0" applyFont="1" applyBorder="1" applyAlignment="1">
      <alignment horizontal="center" vertical="top" wrapText="1"/>
    </xf>
    <xf numFmtId="173" fontId="79" fillId="0" borderId="9" xfId="28" applyNumberFormat="1" applyFont="1" applyFill="1" applyBorder="1" applyAlignment="1">
      <alignment horizontal="left" vertical="top" wrapText="1"/>
    </xf>
    <xf numFmtId="166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49" fontId="44" fillId="0" borderId="9" xfId="0" applyNumberFormat="1" applyFont="1" applyBorder="1" applyAlignment="1">
      <alignment horizontal="center" vertical="center" wrapText="1"/>
    </xf>
    <xf numFmtId="49" fontId="44" fillId="0" borderId="9" xfId="62" applyNumberFormat="1" applyFont="1" applyFill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center"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174" fontId="37" fillId="0" borderId="9" xfId="28" applyNumberFormat="1" applyFont="1" applyBorder="1" applyAlignment="1">
      <alignment horizontal="left" vertical="top"/>
    </xf>
    <xf numFmtId="173" fontId="49" fillId="0" borderId="9" xfId="28" applyNumberFormat="1" applyFont="1" applyFill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73" fontId="37" fillId="0" borderId="9" xfId="28" applyNumberFormat="1" applyFont="1" applyFill="1" applyBorder="1" applyAlignment="1">
      <alignment horizontal="left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81" fillId="0" borderId="0" xfId="0" applyNumberFormat="1" applyFont="1" applyAlignment="1">
      <alignment horizontal="center" vertical="center" wrapText="1"/>
    </xf>
    <xf numFmtId="49" fontId="81" fillId="0" borderId="0" xfId="0" applyNumberFormat="1" applyFont="1" applyAlignment="1">
      <alignment horizontal="left" vertical="center" wrapText="1"/>
    </xf>
    <xf numFmtId="2" fontId="81" fillId="0" borderId="0" xfId="0" applyNumberFormat="1" applyFont="1" applyAlignment="1">
      <alignment horizontal="left" vertical="center" wrapText="1"/>
    </xf>
    <xf numFmtId="3" fontId="81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0" fontId="10" fillId="0" borderId="9" xfId="0" applyFont="1" applyBorder="1" applyAlignment="1">
      <alignment horizontal="left" vertical="top"/>
    </xf>
    <xf numFmtId="0" fontId="54" fillId="0" borderId="0" xfId="0" applyFont="1" applyAlignment="1">
      <alignment vertical="center"/>
    </xf>
    <xf numFmtId="1" fontId="82" fillId="0" borderId="0" xfId="0" applyNumberFormat="1" applyFont="1" applyAlignment="1">
      <alignment horizontal="center"/>
    </xf>
    <xf numFmtId="1" fontId="82" fillId="0" borderId="9" xfId="0" applyNumberFormat="1" applyFont="1" applyBorder="1" applyAlignment="1">
      <alignment horizontal="center"/>
    </xf>
    <xf numFmtId="1" fontId="72" fillId="0" borderId="9" xfId="0" applyNumberFormat="1" applyFont="1" applyBorder="1" applyAlignment="1">
      <alignment horizontal="center" vertical="center"/>
    </xf>
    <xf numFmtId="49" fontId="74" fillId="0" borderId="9" xfId="0" applyNumberFormat="1" applyFont="1" applyBorder="1" applyAlignment="1">
      <alignment horizontal="center" vertical="center"/>
    </xf>
    <xf numFmtId="0" fontId="74" fillId="0" borderId="9" xfId="0" applyFont="1" applyBorder="1" applyAlignment="1">
      <alignment vertical="center"/>
    </xf>
    <xf numFmtId="0" fontId="74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left" vertical="center" wrapText="1"/>
    </xf>
    <xf numFmtId="165" fontId="10" fillId="0" borderId="19" xfId="0" applyNumberFormat="1" applyFont="1" applyBorder="1" applyAlignment="1">
      <alignment vertical="center" shrinkToFit="1"/>
    </xf>
    <xf numFmtId="0" fontId="10" fillId="29" borderId="9" xfId="0" applyFont="1" applyFill="1" applyBorder="1" applyAlignment="1">
      <alignment horizontal="center" vertical="center" wrapText="1"/>
    </xf>
    <xf numFmtId="0" fontId="4" fillId="29" borderId="9" xfId="0" applyFont="1" applyFill="1" applyBorder="1" applyAlignment="1">
      <alignment vertical="center" wrapText="1"/>
    </xf>
    <xf numFmtId="166" fontId="4" fillId="29" borderId="9" xfId="28" applyFont="1" applyFill="1" applyBorder="1" applyAlignment="1">
      <alignment horizontal="center" vertical="center"/>
    </xf>
    <xf numFmtId="1" fontId="71" fillId="29" borderId="9" xfId="0" applyNumberFormat="1" applyFont="1" applyFill="1" applyBorder="1" applyAlignment="1">
      <alignment horizontal="center"/>
    </xf>
    <xf numFmtId="165" fontId="10" fillId="29" borderId="9" xfId="28" applyNumberFormat="1" applyFont="1" applyFill="1" applyBorder="1" applyAlignment="1">
      <alignment vertical="center"/>
    </xf>
    <xf numFmtId="3" fontId="10" fillId="29" borderId="9" xfId="28" applyNumberFormat="1" applyFont="1" applyFill="1" applyBorder="1" applyAlignment="1">
      <alignment horizontal="center" vertical="center"/>
    </xf>
    <xf numFmtId="165" fontId="10" fillId="29" borderId="9" xfId="0" applyNumberFormat="1" applyFont="1" applyFill="1" applyBorder="1"/>
    <xf numFmtId="165" fontId="37" fillId="29" borderId="0" xfId="0" applyNumberFormat="1" applyFont="1" applyFill="1" applyAlignment="1">
      <alignment horizontal="left" vertical="center"/>
    </xf>
    <xf numFmtId="165" fontId="37" fillId="29" borderId="0" xfId="0" applyNumberFormat="1" applyFont="1" applyFill="1" applyAlignment="1">
      <alignment vertical="center"/>
    </xf>
    <xf numFmtId="0" fontId="37" fillId="29" borderId="0" xfId="0" applyFont="1" applyFill="1"/>
    <xf numFmtId="0" fontId="77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/>
    </xf>
    <xf numFmtId="166" fontId="37" fillId="24" borderId="0" xfId="28" applyFont="1" applyFill="1" applyAlignment="1">
      <alignment horizontal="left" shrinkToFit="1"/>
    </xf>
    <xf numFmtId="3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6" fontId="62" fillId="0" borderId="0" xfId="28" applyFont="1" applyAlignment="1">
      <alignment horizontal="center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42" fillId="0" borderId="0" xfId="0" applyFont="1" applyAlignment="1">
      <alignment horizontal="center"/>
    </xf>
    <xf numFmtId="3" fontId="44" fillId="0" borderId="0" xfId="0" applyNumberFormat="1" applyFont="1" applyAlignment="1">
      <alignment horizontal="center" vertical="center"/>
    </xf>
    <xf numFmtId="166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6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5" fontId="10" fillId="0" borderId="19" xfId="0" applyNumberFormat="1" applyFont="1" applyBorder="1" applyAlignment="1">
      <alignment horizontal="center" vertical="center" shrinkToFit="1"/>
    </xf>
    <xf numFmtId="165" fontId="10" fillId="0" borderId="20" xfId="0" applyNumberFormat="1" applyFont="1" applyBorder="1" applyAlignment="1">
      <alignment horizontal="center" vertical="center" shrinkToFit="1"/>
    </xf>
    <xf numFmtId="165" fontId="10" fillId="0" borderId="18" xfId="0" applyNumberFormat="1" applyFont="1" applyBorder="1" applyAlignment="1">
      <alignment horizontal="center"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81"/>
  <sheetViews>
    <sheetView zoomScaleNormal="100" zoomScaleSheetLayoutView="100" workbookViewId="0">
      <pane xSplit="7" ySplit="6" topLeftCell="H166" activePane="bottomRight" state="frozen"/>
      <selection pane="topRight" activeCell="H1" sqref="H1"/>
      <selection pane="bottomLeft" activeCell="A7" sqref="A7"/>
      <selection pane="bottomRight" activeCell="N169" sqref="N169:R169"/>
    </sheetView>
  </sheetViews>
  <sheetFormatPr defaultColWidth="3.42578125" defaultRowHeight="12.75"/>
  <cols>
    <col min="1" max="1" width="4.5703125" style="37" customWidth="1"/>
    <col min="2" max="2" width="11" style="149" customWidth="1"/>
    <col min="3" max="3" width="20.5703125" style="145" customWidth="1"/>
    <col min="4" max="4" width="5.140625" style="146" customWidth="1"/>
    <col min="5" max="5" width="4.7109375" style="146" customWidth="1"/>
    <col min="6" max="6" width="24.42578125" style="145" customWidth="1"/>
    <col min="7" max="7" width="6.7109375" style="152" customWidth="1"/>
    <col min="8" max="8" width="11.85546875" style="308" customWidth="1"/>
    <col min="9" max="9" width="10.42578125" style="37" bestFit="1" customWidth="1"/>
    <col min="10" max="10" width="10.5703125" style="85" customWidth="1"/>
    <col min="11" max="11" width="9.7109375" style="243" customWidth="1"/>
    <col min="12" max="12" width="10.42578125" style="85" customWidth="1"/>
    <col min="13" max="13" width="9.7109375" style="152" customWidth="1"/>
    <col min="14" max="14" width="10.140625" style="85" customWidth="1"/>
    <col min="15" max="15" width="9.7109375" style="241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80" t="s">
        <v>0</v>
      </c>
      <c r="B1" s="480"/>
      <c r="C1" s="480"/>
      <c r="D1" s="480"/>
      <c r="E1" s="480"/>
      <c r="F1" s="150"/>
      <c r="G1" s="150"/>
      <c r="H1" s="303"/>
      <c r="I1" s="89"/>
      <c r="J1" s="89"/>
      <c r="K1" s="151"/>
      <c r="L1" s="89"/>
      <c r="M1" s="143"/>
      <c r="N1" s="89"/>
      <c r="O1" s="143"/>
      <c r="P1" s="89"/>
      <c r="Q1" s="89"/>
      <c r="R1" s="89"/>
      <c r="S1" s="89"/>
      <c r="T1" s="89"/>
      <c r="U1" s="89"/>
      <c r="V1" s="89"/>
    </row>
    <row r="2" spans="1:22" ht="16.5">
      <c r="A2" s="481" t="s">
        <v>97</v>
      </c>
      <c r="B2" s="481"/>
      <c r="C2" s="481"/>
      <c r="D2" s="481"/>
      <c r="E2" s="481"/>
      <c r="F2" s="175"/>
      <c r="G2" s="143"/>
      <c r="H2" s="304"/>
      <c r="I2" s="89"/>
      <c r="J2" s="89"/>
      <c r="K2" s="151"/>
      <c r="L2" s="189"/>
      <c r="M2" s="143"/>
      <c r="N2" s="89"/>
      <c r="O2" s="143"/>
      <c r="P2" s="89"/>
      <c r="Q2" s="89"/>
      <c r="R2" s="89"/>
      <c r="S2" s="89"/>
      <c r="T2" s="89"/>
      <c r="U2" s="89"/>
      <c r="V2" s="89"/>
    </row>
    <row r="3" spans="1:22" ht="22.5">
      <c r="A3" s="482" t="s">
        <v>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89"/>
      <c r="T3" s="89"/>
      <c r="U3" s="89"/>
      <c r="V3" s="89"/>
    </row>
    <row r="4" spans="1:22" ht="20.25">
      <c r="A4" s="483" t="s">
        <v>177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89"/>
      <c r="T4" s="89"/>
      <c r="U4" s="89"/>
      <c r="V4" s="89"/>
    </row>
    <row r="5" spans="1:22" ht="20.25">
      <c r="A5" s="158"/>
      <c r="B5" s="158"/>
      <c r="C5" s="285"/>
      <c r="D5" s="158"/>
      <c r="E5" s="158"/>
      <c r="F5" s="195"/>
      <c r="G5" s="191"/>
      <c r="H5" s="158"/>
      <c r="I5" s="342"/>
      <c r="J5" s="158"/>
      <c r="K5" s="161"/>
      <c r="L5" s="159"/>
      <c r="M5" s="239"/>
      <c r="N5" s="158"/>
      <c r="O5" s="239"/>
      <c r="P5" s="158"/>
      <c r="Q5" s="158"/>
      <c r="R5" s="159"/>
      <c r="S5" s="89"/>
      <c r="T5" s="89"/>
      <c r="U5" s="89"/>
      <c r="V5" s="89"/>
    </row>
    <row r="6" spans="1:22" s="248" customFormat="1" ht="38.25">
      <c r="A6" s="120" t="s">
        <v>2</v>
      </c>
      <c r="B6" s="120" t="s">
        <v>12</v>
      </c>
      <c r="C6" s="120" t="s">
        <v>106</v>
      </c>
      <c r="D6" s="120" t="s">
        <v>42</v>
      </c>
      <c r="E6" s="120" t="s">
        <v>43</v>
      </c>
      <c r="F6" s="120" t="s">
        <v>5</v>
      </c>
      <c r="G6" s="120" t="s">
        <v>104</v>
      </c>
      <c r="H6" s="171" t="s">
        <v>36</v>
      </c>
      <c r="I6" s="120" t="s">
        <v>6</v>
      </c>
      <c r="J6" s="294" t="s">
        <v>7</v>
      </c>
      <c r="K6" s="120" t="s">
        <v>8</v>
      </c>
      <c r="L6" s="294" t="s">
        <v>7</v>
      </c>
      <c r="M6" s="120" t="s">
        <v>9</v>
      </c>
      <c r="N6" s="294" t="s">
        <v>7</v>
      </c>
      <c r="O6" s="294" t="s">
        <v>95</v>
      </c>
      <c r="P6" s="294" t="s">
        <v>7</v>
      </c>
      <c r="Q6" s="294" t="s">
        <v>10</v>
      </c>
      <c r="R6" s="295" t="s">
        <v>105</v>
      </c>
      <c r="S6" s="296"/>
      <c r="T6" s="296"/>
      <c r="U6" s="296"/>
      <c r="V6" s="296"/>
    </row>
    <row r="7" spans="1:22" s="174" customFormat="1" ht="45.75" customHeight="1">
      <c r="A7" s="168">
        <v>1</v>
      </c>
      <c r="B7" s="412" t="s">
        <v>179</v>
      </c>
      <c r="C7" s="413" t="s">
        <v>180</v>
      </c>
      <c r="D7" s="414">
        <v>86</v>
      </c>
      <c r="E7" s="414"/>
      <c r="F7" s="473" t="s">
        <v>181</v>
      </c>
      <c r="G7" s="414" t="s">
        <v>182</v>
      </c>
      <c r="H7" s="415">
        <v>1947600</v>
      </c>
      <c r="I7" s="407" t="s">
        <v>183</v>
      </c>
      <c r="J7" s="169">
        <f>R7-L7-N7-P7-Q7</f>
        <v>223974</v>
      </c>
      <c r="K7" s="416" t="s">
        <v>428</v>
      </c>
      <c r="L7" s="169">
        <f>IF(K7="-",0,H7*0.03)</f>
        <v>58428</v>
      </c>
      <c r="M7" s="416" t="s">
        <v>436</v>
      </c>
      <c r="N7" s="169">
        <f>IF(M7="-",0,H7*0.02)</f>
        <v>38952</v>
      </c>
      <c r="O7" s="416" t="s">
        <v>56</v>
      </c>
      <c r="P7" s="169">
        <f>IF(O7="-",0,H7*0.01)</f>
        <v>0</v>
      </c>
      <c r="Q7" s="170">
        <f>H7*0.005</f>
        <v>9738</v>
      </c>
      <c r="R7" s="170">
        <f>IF(I7="V.Tân",H7*0.1375,IF(I7="nguyện",H7*0.1375,IF(I7="TOẢN",H7*0.1375,H7*0.17)))</f>
        <v>331092</v>
      </c>
      <c r="S7" s="173"/>
      <c r="T7" s="173"/>
      <c r="U7" s="173"/>
      <c r="V7" s="173"/>
    </row>
    <row r="8" spans="1:22" s="174" customFormat="1" ht="45.75" customHeight="1">
      <c r="A8" s="168">
        <v>2</v>
      </c>
      <c r="B8" s="412" t="s">
        <v>179</v>
      </c>
      <c r="C8" s="413" t="s">
        <v>184</v>
      </c>
      <c r="D8" s="414"/>
      <c r="E8" s="414">
        <v>62</v>
      </c>
      <c r="F8" s="473" t="s">
        <v>185</v>
      </c>
      <c r="G8" s="414" t="s">
        <v>186</v>
      </c>
      <c r="H8" s="415">
        <v>4201900</v>
      </c>
      <c r="I8" s="407" t="s">
        <v>159</v>
      </c>
      <c r="J8" s="169">
        <f t="shared" ref="J8:J71" si="0">R8-L8-N8-P8-Q8</f>
        <v>441199.5</v>
      </c>
      <c r="K8" s="416" t="s">
        <v>183</v>
      </c>
      <c r="L8" s="169">
        <f t="shared" ref="L8:L71" si="1">IF(K8="-",0,H8*0.03)</f>
        <v>126057</v>
      </c>
      <c r="M8" s="416" t="s">
        <v>436</v>
      </c>
      <c r="N8" s="169">
        <f t="shared" ref="N8:N71" si="2">IF(M8="-",0,H8*0.02)</f>
        <v>84038</v>
      </c>
      <c r="O8" s="416" t="s">
        <v>434</v>
      </c>
      <c r="P8" s="169">
        <f t="shared" ref="P8:P71" si="3">IF(O8="-",0,H8*0.01)</f>
        <v>42019</v>
      </c>
      <c r="Q8" s="170">
        <f t="shared" ref="Q8:Q71" si="4">H8*0.005</f>
        <v>21009.5</v>
      </c>
      <c r="R8" s="170">
        <f t="shared" ref="R8:R71" si="5">IF(I8="V.Tân",H8*0.1375,IF(I8="nguyện",H8*0.1375,IF(I8="TOẢN",H8*0.1375,H8*0.17)))</f>
        <v>714323</v>
      </c>
      <c r="S8" s="173"/>
      <c r="T8" s="173"/>
      <c r="U8" s="173"/>
      <c r="V8" s="173"/>
    </row>
    <row r="9" spans="1:22" s="174" customFormat="1" ht="45.75" customHeight="1">
      <c r="A9" s="168">
        <v>3</v>
      </c>
      <c r="B9" s="412" t="s">
        <v>187</v>
      </c>
      <c r="C9" s="413" t="s">
        <v>188</v>
      </c>
      <c r="D9" s="414">
        <v>61</v>
      </c>
      <c r="E9" s="414"/>
      <c r="F9" s="473" t="s">
        <v>189</v>
      </c>
      <c r="G9" s="414" t="s">
        <v>182</v>
      </c>
      <c r="H9" s="415">
        <v>2934400</v>
      </c>
      <c r="I9" s="407" t="s">
        <v>190</v>
      </c>
      <c r="J9" s="169">
        <f t="shared" si="0"/>
        <v>388808.00000000006</v>
      </c>
      <c r="K9" s="416" t="s">
        <v>56</v>
      </c>
      <c r="L9" s="169">
        <f t="shared" si="1"/>
        <v>0</v>
      </c>
      <c r="M9" s="416" t="s">
        <v>56</v>
      </c>
      <c r="N9" s="169">
        <f t="shared" si="2"/>
        <v>0</v>
      </c>
      <c r="O9" s="416" t="s">
        <v>56</v>
      </c>
      <c r="P9" s="169">
        <f t="shared" si="3"/>
        <v>0</v>
      </c>
      <c r="Q9" s="170">
        <f t="shared" si="4"/>
        <v>14672</v>
      </c>
      <c r="R9" s="170">
        <f t="shared" si="5"/>
        <v>403480.00000000006</v>
      </c>
      <c r="S9" s="190"/>
      <c r="T9" s="173"/>
      <c r="U9" s="173"/>
      <c r="V9" s="173"/>
    </row>
    <row r="10" spans="1:22" s="174" customFormat="1" ht="45.75" customHeight="1">
      <c r="A10" s="168">
        <v>4</v>
      </c>
      <c r="B10" s="412" t="s">
        <v>187</v>
      </c>
      <c r="C10" s="413" t="s">
        <v>191</v>
      </c>
      <c r="D10" s="414">
        <v>55</v>
      </c>
      <c r="E10" s="414"/>
      <c r="F10" s="473" t="s">
        <v>192</v>
      </c>
      <c r="G10" s="414" t="s">
        <v>182</v>
      </c>
      <c r="H10" s="415">
        <v>1773300</v>
      </c>
      <c r="I10" s="407" t="s">
        <v>190</v>
      </c>
      <c r="J10" s="169">
        <f t="shared" si="0"/>
        <v>128564.25000000003</v>
      </c>
      <c r="K10" s="416" t="s">
        <v>134</v>
      </c>
      <c r="L10" s="169">
        <f t="shared" si="1"/>
        <v>53199</v>
      </c>
      <c r="M10" s="416" t="s">
        <v>436</v>
      </c>
      <c r="N10" s="169">
        <f t="shared" si="2"/>
        <v>35466</v>
      </c>
      <c r="O10" s="416" t="s">
        <v>435</v>
      </c>
      <c r="P10" s="169">
        <f t="shared" si="3"/>
        <v>17733</v>
      </c>
      <c r="Q10" s="170">
        <f t="shared" si="4"/>
        <v>8866.5</v>
      </c>
      <c r="R10" s="170">
        <f t="shared" si="5"/>
        <v>243828.75000000003</v>
      </c>
      <c r="S10" s="173"/>
      <c r="T10" s="173"/>
      <c r="U10" s="173"/>
      <c r="V10" s="173"/>
    </row>
    <row r="11" spans="1:22" s="174" customFormat="1" ht="45.75" customHeight="1">
      <c r="A11" s="168">
        <v>5</v>
      </c>
      <c r="B11" s="412" t="s">
        <v>193</v>
      </c>
      <c r="C11" s="413" t="s">
        <v>194</v>
      </c>
      <c r="D11" s="414"/>
      <c r="E11" s="414">
        <v>76</v>
      </c>
      <c r="F11" s="473" t="s">
        <v>195</v>
      </c>
      <c r="G11" s="414" t="s">
        <v>182</v>
      </c>
      <c r="H11" s="415">
        <v>2128200</v>
      </c>
      <c r="I11" s="407" t="s">
        <v>190</v>
      </c>
      <c r="J11" s="169">
        <f t="shared" si="0"/>
        <v>281986.5</v>
      </c>
      <c r="K11" s="416" t="s">
        <v>56</v>
      </c>
      <c r="L11" s="169">
        <f t="shared" si="1"/>
        <v>0</v>
      </c>
      <c r="M11" s="416" t="s">
        <v>56</v>
      </c>
      <c r="N11" s="169">
        <f t="shared" si="2"/>
        <v>0</v>
      </c>
      <c r="O11" s="416" t="s">
        <v>56</v>
      </c>
      <c r="P11" s="169">
        <f t="shared" si="3"/>
        <v>0</v>
      </c>
      <c r="Q11" s="170">
        <f t="shared" si="4"/>
        <v>10641</v>
      </c>
      <c r="R11" s="170">
        <f t="shared" si="5"/>
        <v>292627.5</v>
      </c>
      <c r="S11" s="173"/>
      <c r="T11" s="173"/>
      <c r="U11" s="173"/>
      <c r="V11" s="173"/>
    </row>
    <row r="12" spans="1:22" s="174" customFormat="1" ht="45.75" customHeight="1">
      <c r="A12" s="168">
        <v>6</v>
      </c>
      <c r="B12" s="412" t="s">
        <v>196</v>
      </c>
      <c r="C12" s="413" t="s">
        <v>197</v>
      </c>
      <c r="D12" s="414"/>
      <c r="E12" s="414">
        <v>70</v>
      </c>
      <c r="F12" s="473" t="s">
        <v>198</v>
      </c>
      <c r="G12" s="414" t="s">
        <v>186</v>
      </c>
      <c r="H12" s="415">
        <v>4578000</v>
      </c>
      <c r="I12" s="407" t="s">
        <v>159</v>
      </c>
      <c r="J12" s="169">
        <f t="shared" si="0"/>
        <v>480690</v>
      </c>
      <c r="K12" s="416" t="s">
        <v>429</v>
      </c>
      <c r="L12" s="169">
        <f t="shared" si="1"/>
        <v>137340</v>
      </c>
      <c r="M12" s="416" t="s">
        <v>436</v>
      </c>
      <c r="N12" s="169">
        <f t="shared" si="2"/>
        <v>91560</v>
      </c>
      <c r="O12" s="416" t="s">
        <v>430</v>
      </c>
      <c r="P12" s="169">
        <f t="shared" si="3"/>
        <v>45780</v>
      </c>
      <c r="Q12" s="170">
        <f t="shared" si="4"/>
        <v>22890</v>
      </c>
      <c r="R12" s="170">
        <f t="shared" si="5"/>
        <v>778260</v>
      </c>
      <c r="S12" s="173"/>
      <c r="T12" s="173"/>
      <c r="U12" s="173"/>
      <c r="V12" s="173"/>
    </row>
    <row r="13" spans="1:22" s="174" customFormat="1" ht="45.75" customHeight="1">
      <c r="A13" s="168">
        <v>7</v>
      </c>
      <c r="B13" s="412" t="s">
        <v>196</v>
      </c>
      <c r="C13" s="413" t="s">
        <v>199</v>
      </c>
      <c r="D13" s="414">
        <v>77</v>
      </c>
      <c r="E13" s="414"/>
      <c r="F13" s="473" t="s">
        <v>200</v>
      </c>
      <c r="G13" s="414" t="s">
        <v>186</v>
      </c>
      <c r="H13" s="415">
        <v>3525500</v>
      </c>
      <c r="I13" s="407" t="s">
        <v>159</v>
      </c>
      <c r="J13" s="169">
        <f t="shared" si="0"/>
        <v>370177.5</v>
      </c>
      <c r="K13" s="416" t="s">
        <v>190</v>
      </c>
      <c r="L13" s="169">
        <f t="shared" si="1"/>
        <v>105765</v>
      </c>
      <c r="M13" s="416" t="s">
        <v>436</v>
      </c>
      <c r="N13" s="169">
        <f t="shared" si="2"/>
        <v>70510</v>
      </c>
      <c r="O13" s="416" t="s">
        <v>430</v>
      </c>
      <c r="P13" s="169">
        <f t="shared" si="3"/>
        <v>35255</v>
      </c>
      <c r="Q13" s="170">
        <f t="shared" si="4"/>
        <v>17627.5</v>
      </c>
      <c r="R13" s="170">
        <f t="shared" si="5"/>
        <v>599335</v>
      </c>
      <c r="S13" s="173"/>
      <c r="T13" s="173"/>
      <c r="U13" s="173"/>
      <c r="V13" s="173"/>
    </row>
    <row r="14" spans="1:22" s="147" customFormat="1" ht="45.75" customHeight="1">
      <c r="A14" s="168">
        <v>8</v>
      </c>
      <c r="B14" s="412" t="s">
        <v>201</v>
      </c>
      <c r="C14" s="413" t="s">
        <v>202</v>
      </c>
      <c r="D14" s="414">
        <v>35</v>
      </c>
      <c r="E14" s="414"/>
      <c r="F14" s="473" t="s">
        <v>203</v>
      </c>
      <c r="G14" s="414" t="s">
        <v>204</v>
      </c>
      <c r="H14" s="415">
        <v>1859300</v>
      </c>
      <c r="I14" s="407" t="s">
        <v>183</v>
      </c>
      <c r="J14" s="169">
        <f t="shared" si="0"/>
        <v>213819.5</v>
      </c>
      <c r="K14" s="416" t="s">
        <v>429</v>
      </c>
      <c r="L14" s="169">
        <f t="shared" si="1"/>
        <v>55779</v>
      </c>
      <c r="M14" s="416" t="s">
        <v>439</v>
      </c>
      <c r="N14" s="169">
        <f t="shared" si="2"/>
        <v>37186</v>
      </c>
      <c r="O14" s="416" t="s">
        <v>56</v>
      </c>
      <c r="P14" s="169">
        <f t="shared" si="3"/>
        <v>0</v>
      </c>
      <c r="Q14" s="170">
        <f t="shared" si="4"/>
        <v>9296.5</v>
      </c>
      <c r="R14" s="170">
        <f t="shared" si="5"/>
        <v>316081</v>
      </c>
      <c r="S14" s="175"/>
      <c r="T14" s="175"/>
      <c r="U14" s="175"/>
      <c r="V14" s="175"/>
    </row>
    <row r="15" spans="1:22" s="147" customFormat="1" ht="45.75" customHeight="1">
      <c r="A15" s="168">
        <v>9</v>
      </c>
      <c r="B15" s="412" t="s">
        <v>205</v>
      </c>
      <c r="C15" s="413" t="s">
        <v>206</v>
      </c>
      <c r="D15" s="414">
        <v>38</v>
      </c>
      <c r="E15" s="414"/>
      <c r="F15" s="473" t="s">
        <v>207</v>
      </c>
      <c r="G15" s="414" t="s">
        <v>186</v>
      </c>
      <c r="H15" s="415">
        <v>2697300</v>
      </c>
      <c r="I15" s="407" t="s">
        <v>190</v>
      </c>
      <c r="J15" s="169">
        <f t="shared" si="0"/>
        <v>195554.25000000006</v>
      </c>
      <c r="K15" s="416" t="s">
        <v>430</v>
      </c>
      <c r="L15" s="169">
        <f t="shared" si="1"/>
        <v>80919</v>
      </c>
      <c r="M15" s="416" t="s">
        <v>429</v>
      </c>
      <c r="N15" s="169">
        <f t="shared" si="2"/>
        <v>53946</v>
      </c>
      <c r="O15" s="416" t="s">
        <v>435</v>
      </c>
      <c r="P15" s="169">
        <f t="shared" si="3"/>
        <v>26973</v>
      </c>
      <c r="Q15" s="170">
        <f t="shared" si="4"/>
        <v>13486.5</v>
      </c>
      <c r="R15" s="170">
        <f t="shared" si="5"/>
        <v>370878.75000000006</v>
      </c>
      <c r="S15" s="175"/>
      <c r="T15" s="175"/>
      <c r="U15" s="175"/>
      <c r="V15" s="175"/>
    </row>
    <row r="16" spans="1:22" s="147" customFormat="1" ht="45.75" customHeight="1">
      <c r="A16" s="168">
        <v>10</v>
      </c>
      <c r="B16" s="412" t="s">
        <v>205</v>
      </c>
      <c r="C16" s="413" t="s">
        <v>208</v>
      </c>
      <c r="D16" s="414">
        <v>69</v>
      </c>
      <c r="E16" s="414"/>
      <c r="F16" s="473" t="s">
        <v>200</v>
      </c>
      <c r="G16" s="414" t="s">
        <v>186</v>
      </c>
      <c r="H16" s="415">
        <v>3525500</v>
      </c>
      <c r="I16" s="407" t="s">
        <v>135</v>
      </c>
      <c r="J16" s="169">
        <f t="shared" si="0"/>
        <v>370177.5</v>
      </c>
      <c r="K16" s="416" t="s">
        <v>212</v>
      </c>
      <c r="L16" s="169">
        <f t="shared" si="1"/>
        <v>105765</v>
      </c>
      <c r="M16" s="416" t="s">
        <v>134</v>
      </c>
      <c r="N16" s="169">
        <f t="shared" si="2"/>
        <v>70510</v>
      </c>
      <c r="O16" s="416" t="s">
        <v>431</v>
      </c>
      <c r="P16" s="169">
        <f t="shared" si="3"/>
        <v>35255</v>
      </c>
      <c r="Q16" s="170">
        <f t="shared" si="4"/>
        <v>17627.5</v>
      </c>
      <c r="R16" s="170">
        <f t="shared" si="5"/>
        <v>599335</v>
      </c>
      <c r="S16" s="175"/>
      <c r="T16" s="175"/>
      <c r="U16" s="175"/>
      <c r="V16" s="175"/>
    </row>
    <row r="17" spans="1:22" s="147" customFormat="1" ht="45.75" customHeight="1">
      <c r="A17" s="168">
        <v>11</v>
      </c>
      <c r="B17" s="412" t="s">
        <v>205</v>
      </c>
      <c r="C17" s="413" t="s">
        <v>209</v>
      </c>
      <c r="D17" s="414"/>
      <c r="E17" s="414">
        <v>50</v>
      </c>
      <c r="F17" s="473" t="s">
        <v>210</v>
      </c>
      <c r="G17" s="414" t="s">
        <v>186</v>
      </c>
      <c r="H17" s="415">
        <v>4497500</v>
      </c>
      <c r="I17" s="407" t="s">
        <v>135</v>
      </c>
      <c r="J17" s="169">
        <f t="shared" si="0"/>
        <v>472237.5</v>
      </c>
      <c r="K17" s="416" t="s">
        <v>212</v>
      </c>
      <c r="L17" s="169">
        <f t="shared" si="1"/>
        <v>134925</v>
      </c>
      <c r="M17" s="416" t="s">
        <v>134</v>
      </c>
      <c r="N17" s="169">
        <f t="shared" si="2"/>
        <v>89950</v>
      </c>
      <c r="O17" s="416" t="s">
        <v>434</v>
      </c>
      <c r="P17" s="169">
        <f t="shared" si="3"/>
        <v>44975</v>
      </c>
      <c r="Q17" s="170">
        <f t="shared" si="4"/>
        <v>22487.5</v>
      </c>
      <c r="R17" s="170">
        <f t="shared" si="5"/>
        <v>764575</v>
      </c>
      <c r="S17" s="175"/>
      <c r="T17" s="175"/>
      <c r="U17" s="175"/>
      <c r="V17" s="175"/>
    </row>
    <row r="18" spans="1:22" s="147" customFormat="1" ht="45.75" customHeight="1">
      <c r="A18" s="168">
        <v>12</v>
      </c>
      <c r="B18" s="412" t="s">
        <v>205</v>
      </c>
      <c r="C18" s="413" t="s">
        <v>211</v>
      </c>
      <c r="D18" s="414">
        <v>20</v>
      </c>
      <c r="E18" s="414"/>
      <c r="F18" s="473" t="s">
        <v>210</v>
      </c>
      <c r="G18" s="414" t="s">
        <v>186</v>
      </c>
      <c r="H18" s="415">
        <v>4497500</v>
      </c>
      <c r="I18" s="407" t="s">
        <v>212</v>
      </c>
      <c r="J18" s="169">
        <f t="shared" si="0"/>
        <v>326068.75</v>
      </c>
      <c r="K18" s="416" t="s">
        <v>134</v>
      </c>
      <c r="L18" s="169">
        <f t="shared" si="1"/>
        <v>134925</v>
      </c>
      <c r="M18" s="416" t="s">
        <v>436</v>
      </c>
      <c r="N18" s="169">
        <f t="shared" si="2"/>
        <v>89950</v>
      </c>
      <c r="O18" s="416" t="s">
        <v>435</v>
      </c>
      <c r="P18" s="169">
        <f t="shared" si="3"/>
        <v>44975</v>
      </c>
      <c r="Q18" s="170">
        <f t="shared" si="4"/>
        <v>22487.5</v>
      </c>
      <c r="R18" s="170">
        <f t="shared" si="5"/>
        <v>618406.25</v>
      </c>
      <c r="S18" s="175"/>
      <c r="T18" s="175"/>
      <c r="U18" s="175"/>
      <c r="V18" s="175"/>
    </row>
    <row r="19" spans="1:22" s="147" customFormat="1" ht="45.75" customHeight="1">
      <c r="A19" s="168">
        <v>13</v>
      </c>
      <c r="B19" s="412" t="s">
        <v>205</v>
      </c>
      <c r="C19" s="413" t="s">
        <v>213</v>
      </c>
      <c r="D19" s="414"/>
      <c r="E19" s="414">
        <v>67</v>
      </c>
      <c r="F19" s="473" t="s">
        <v>210</v>
      </c>
      <c r="G19" s="414" t="s">
        <v>186</v>
      </c>
      <c r="H19" s="415">
        <v>4497500</v>
      </c>
      <c r="I19" s="407" t="s">
        <v>134</v>
      </c>
      <c r="J19" s="169">
        <f t="shared" si="0"/>
        <v>472237.5</v>
      </c>
      <c r="K19" s="416" t="s">
        <v>431</v>
      </c>
      <c r="L19" s="169">
        <f t="shared" si="1"/>
        <v>134925</v>
      </c>
      <c r="M19" s="416" t="s">
        <v>435</v>
      </c>
      <c r="N19" s="169">
        <f t="shared" si="2"/>
        <v>89950</v>
      </c>
      <c r="O19" s="416" t="s">
        <v>436</v>
      </c>
      <c r="P19" s="169">
        <f t="shared" si="3"/>
        <v>44975</v>
      </c>
      <c r="Q19" s="170">
        <f t="shared" si="4"/>
        <v>22487.5</v>
      </c>
      <c r="R19" s="170">
        <f t="shared" si="5"/>
        <v>764575</v>
      </c>
      <c r="S19" s="175"/>
      <c r="T19" s="175"/>
      <c r="U19" s="175"/>
      <c r="V19" s="175"/>
    </row>
    <row r="20" spans="1:22" s="147" customFormat="1" ht="45.75" customHeight="1">
      <c r="A20" s="168">
        <v>14</v>
      </c>
      <c r="B20" s="412" t="s">
        <v>205</v>
      </c>
      <c r="C20" s="413" t="s">
        <v>214</v>
      </c>
      <c r="D20" s="414"/>
      <c r="E20" s="414">
        <v>31</v>
      </c>
      <c r="F20" s="473" t="s">
        <v>215</v>
      </c>
      <c r="G20" s="414" t="s">
        <v>204</v>
      </c>
      <c r="H20" s="415">
        <v>3796000</v>
      </c>
      <c r="I20" s="407" t="s">
        <v>134</v>
      </c>
      <c r="J20" s="169">
        <f t="shared" si="0"/>
        <v>398580</v>
      </c>
      <c r="K20" s="416" t="s">
        <v>432</v>
      </c>
      <c r="L20" s="169">
        <f t="shared" si="1"/>
        <v>113880</v>
      </c>
      <c r="M20" s="416" t="s">
        <v>434</v>
      </c>
      <c r="N20" s="169">
        <f t="shared" si="2"/>
        <v>75920</v>
      </c>
      <c r="O20" s="416" t="s">
        <v>433</v>
      </c>
      <c r="P20" s="169">
        <f t="shared" si="3"/>
        <v>37960</v>
      </c>
      <c r="Q20" s="170">
        <f t="shared" si="4"/>
        <v>18980</v>
      </c>
      <c r="R20" s="170">
        <f t="shared" si="5"/>
        <v>645320</v>
      </c>
      <c r="S20" s="175"/>
      <c r="T20" s="175"/>
      <c r="U20" s="175"/>
      <c r="V20" s="175"/>
    </row>
    <row r="21" spans="1:22" s="147" customFormat="1" ht="45.75" customHeight="1">
      <c r="A21" s="168">
        <v>15</v>
      </c>
      <c r="B21" s="412" t="s">
        <v>216</v>
      </c>
      <c r="C21" s="413" t="s">
        <v>217</v>
      </c>
      <c r="D21" s="414">
        <v>27</v>
      </c>
      <c r="E21" s="414"/>
      <c r="F21" s="473" t="s">
        <v>218</v>
      </c>
      <c r="G21" s="414" t="s">
        <v>219</v>
      </c>
      <c r="H21" s="415">
        <v>5100000</v>
      </c>
      <c r="I21" s="407" t="s">
        <v>183</v>
      </c>
      <c r="J21" s="169">
        <f t="shared" si="0"/>
        <v>535500.00000000012</v>
      </c>
      <c r="K21" s="416" t="s">
        <v>433</v>
      </c>
      <c r="L21" s="169">
        <f t="shared" si="1"/>
        <v>153000</v>
      </c>
      <c r="M21" s="416" t="s">
        <v>432</v>
      </c>
      <c r="N21" s="169">
        <f t="shared" si="2"/>
        <v>102000</v>
      </c>
      <c r="O21" s="416" t="s">
        <v>436</v>
      </c>
      <c r="P21" s="169">
        <f t="shared" si="3"/>
        <v>51000</v>
      </c>
      <c r="Q21" s="170">
        <f t="shared" si="4"/>
        <v>25500</v>
      </c>
      <c r="R21" s="170">
        <f t="shared" si="5"/>
        <v>867000.00000000012</v>
      </c>
      <c r="S21" s="175"/>
      <c r="T21" s="175"/>
      <c r="U21" s="175"/>
      <c r="V21" s="175"/>
    </row>
    <row r="22" spans="1:22" s="147" customFormat="1" ht="45.75" customHeight="1">
      <c r="A22" s="168">
        <v>16</v>
      </c>
      <c r="B22" s="412" t="s">
        <v>220</v>
      </c>
      <c r="C22" s="413" t="s">
        <v>221</v>
      </c>
      <c r="D22" s="414">
        <v>67</v>
      </c>
      <c r="E22" s="414"/>
      <c r="F22" s="473" t="s">
        <v>222</v>
      </c>
      <c r="G22" s="414" t="s">
        <v>219</v>
      </c>
      <c r="H22" s="415">
        <v>4000000</v>
      </c>
      <c r="I22" s="407" t="s">
        <v>159</v>
      </c>
      <c r="J22" s="169">
        <f t="shared" si="0"/>
        <v>420000</v>
      </c>
      <c r="K22" s="416" t="s">
        <v>428</v>
      </c>
      <c r="L22" s="169">
        <f t="shared" si="1"/>
        <v>120000</v>
      </c>
      <c r="M22" s="416" t="s">
        <v>439</v>
      </c>
      <c r="N22" s="169">
        <f t="shared" si="2"/>
        <v>80000</v>
      </c>
      <c r="O22" s="416" t="s">
        <v>431</v>
      </c>
      <c r="P22" s="169">
        <f t="shared" si="3"/>
        <v>40000</v>
      </c>
      <c r="Q22" s="170">
        <f t="shared" si="4"/>
        <v>20000</v>
      </c>
      <c r="R22" s="170">
        <f t="shared" si="5"/>
        <v>680000</v>
      </c>
      <c r="S22" s="175"/>
      <c r="T22" s="175"/>
      <c r="U22" s="175"/>
      <c r="V22" s="175"/>
    </row>
    <row r="23" spans="1:22" s="147" customFormat="1" ht="45.75" customHeight="1">
      <c r="A23" s="168">
        <v>17</v>
      </c>
      <c r="B23" s="412" t="s">
        <v>220</v>
      </c>
      <c r="C23" s="413" t="s">
        <v>223</v>
      </c>
      <c r="D23" s="414">
        <v>40</v>
      </c>
      <c r="E23" s="414"/>
      <c r="F23" s="473" t="s">
        <v>210</v>
      </c>
      <c r="G23" s="414" t="s">
        <v>186</v>
      </c>
      <c r="H23" s="415">
        <v>4497500</v>
      </c>
      <c r="I23" s="407" t="s">
        <v>212</v>
      </c>
      <c r="J23" s="169">
        <f t="shared" si="0"/>
        <v>326068.75</v>
      </c>
      <c r="K23" s="416" t="s">
        <v>434</v>
      </c>
      <c r="L23" s="169">
        <f t="shared" si="1"/>
        <v>134925</v>
      </c>
      <c r="M23" s="416" t="s">
        <v>435</v>
      </c>
      <c r="N23" s="169">
        <f t="shared" si="2"/>
        <v>89950</v>
      </c>
      <c r="O23" s="416" t="s">
        <v>432</v>
      </c>
      <c r="P23" s="169">
        <f t="shared" si="3"/>
        <v>44975</v>
      </c>
      <c r="Q23" s="170">
        <f t="shared" si="4"/>
        <v>22487.5</v>
      </c>
      <c r="R23" s="170">
        <f t="shared" si="5"/>
        <v>618406.25</v>
      </c>
      <c r="S23" s="175"/>
      <c r="T23" s="175"/>
      <c r="U23" s="175"/>
      <c r="V23" s="175"/>
    </row>
    <row r="24" spans="1:22" s="147" customFormat="1" ht="15">
      <c r="A24" s="168">
        <v>18</v>
      </c>
      <c r="B24" s="412" t="s">
        <v>220</v>
      </c>
      <c r="C24" s="413" t="s">
        <v>224</v>
      </c>
      <c r="D24" s="414"/>
      <c r="E24" s="414">
        <v>52</v>
      </c>
      <c r="F24" s="473" t="s">
        <v>210</v>
      </c>
      <c r="G24" s="414" t="s">
        <v>186</v>
      </c>
      <c r="H24" s="415">
        <v>4497500</v>
      </c>
      <c r="I24" s="407" t="s">
        <v>183</v>
      </c>
      <c r="J24" s="169">
        <f t="shared" si="0"/>
        <v>472237.5</v>
      </c>
      <c r="K24" s="416" t="s">
        <v>430</v>
      </c>
      <c r="L24" s="169">
        <f t="shared" si="1"/>
        <v>134925</v>
      </c>
      <c r="M24" s="416" t="s">
        <v>435</v>
      </c>
      <c r="N24" s="169">
        <f t="shared" si="2"/>
        <v>89950</v>
      </c>
      <c r="O24" s="416" t="s">
        <v>437</v>
      </c>
      <c r="P24" s="169">
        <f t="shared" si="3"/>
        <v>44975</v>
      </c>
      <c r="Q24" s="170">
        <f t="shared" si="4"/>
        <v>22487.5</v>
      </c>
      <c r="R24" s="170">
        <f t="shared" si="5"/>
        <v>764575</v>
      </c>
      <c r="S24" s="175"/>
      <c r="T24" s="175"/>
      <c r="U24" s="175"/>
      <c r="V24" s="175"/>
    </row>
    <row r="25" spans="1:22" s="147" customFormat="1" ht="45.75" customHeight="1">
      <c r="A25" s="168">
        <v>19</v>
      </c>
      <c r="B25" s="412" t="s">
        <v>220</v>
      </c>
      <c r="C25" s="413" t="s">
        <v>225</v>
      </c>
      <c r="D25" s="414">
        <v>72</v>
      </c>
      <c r="E25" s="414"/>
      <c r="F25" s="473" t="s">
        <v>226</v>
      </c>
      <c r="G25" s="414" t="s">
        <v>182</v>
      </c>
      <c r="H25" s="415">
        <v>2128200</v>
      </c>
      <c r="I25" s="407" t="s">
        <v>159</v>
      </c>
      <c r="J25" s="169">
        <f t="shared" si="0"/>
        <v>287307</v>
      </c>
      <c r="K25" s="416" t="s">
        <v>212</v>
      </c>
      <c r="L25" s="169">
        <f t="shared" si="1"/>
        <v>63846</v>
      </c>
      <c r="M25" s="416" t="s">
        <v>56</v>
      </c>
      <c r="N25" s="169">
        <f t="shared" si="2"/>
        <v>0</v>
      </c>
      <c r="O25" s="416" t="s">
        <v>56</v>
      </c>
      <c r="P25" s="169">
        <f t="shared" si="3"/>
        <v>0</v>
      </c>
      <c r="Q25" s="170">
        <f t="shared" si="4"/>
        <v>10641</v>
      </c>
      <c r="R25" s="170">
        <f t="shared" si="5"/>
        <v>361794</v>
      </c>
      <c r="S25" s="175"/>
      <c r="T25" s="175"/>
      <c r="U25" s="175"/>
      <c r="V25" s="175"/>
    </row>
    <row r="26" spans="1:22" s="147" customFormat="1" ht="45.75" customHeight="1">
      <c r="A26" s="168">
        <v>20</v>
      </c>
      <c r="B26" s="412" t="s">
        <v>227</v>
      </c>
      <c r="C26" s="413" t="s">
        <v>228</v>
      </c>
      <c r="D26" s="414">
        <v>58</v>
      </c>
      <c r="E26" s="414"/>
      <c r="F26" s="473" t="s">
        <v>229</v>
      </c>
      <c r="G26" s="414" t="s">
        <v>186</v>
      </c>
      <c r="H26" s="415">
        <v>4497500</v>
      </c>
      <c r="I26" s="407" t="s">
        <v>134</v>
      </c>
      <c r="J26" s="169">
        <f t="shared" si="0"/>
        <v>472237.5</v>
      </c>
      <c r="K26" s="416" t="s">
        <v>432</v>
      </c>
      <c r="L26" s="169">
        <f t="shared" si="1"/>
        <v>134925</v>
      </c>
      <c r="M26" s="416" t="s">
        <v>435</v>
      </c>
      <c r="N26" s="169">
        <f t="shared" si="2"/>
        <v>89950</v>
      </c>
      <c r="O26" s="416" t="s">
        <v>429</v>
      </c>
      <c r="P26" s="169">
        <f t="shared" si="3"/>
        <v>44975</v>
      </c>
      <c r="Q26" s="170">
        <f t="shared" si="4"/>
        <v>22487.5</v>
      </c>
      <c r="R26" s="170">
        <f t="shared" si="5"/>
        <v>764575</v>
      </c>
      <c r="S26" s="175"/>
      <c r="T26" s="175"/>
      <c r="U26" s="175"/>
      <c r="V26" s="175"/>
    </row>
    <row r="27" spans="1:22" s="147" customFormat="1" ht="45.75" customHeight="1">
      <c r="A27" s="168">
        <v>21</v>
      </c>
      <c r="B27" s="412" t="s">
        <v>227</v>
      </c>
      <c r="C27" s="413" t="s">
        <v>230</v>
      </c>
      <c r="D27" s="414"/>
      <c r="E27" s="414">
        <v>44</v>
      </c>
      <c r="F27" s="473" t="s">
        <v>231</v>
      </c>
      <c r="G27" s="414" t="s">
        <v>219</v>
      </c>
      <c r="H27" s="415">
        <v>4417000</v>
      </c>
      <c r="I27" s="407" t="s">
        <v>190</v>
      </c>
      <c r="J27" s="169">
        <f t="shared" si="0"/>
        <v>364402.5</v>
      </c>
      <c r="K27" s="416" t="s">
        <v>429</v>
      </c>
      <c r="L27" s="169">
        <f t="shared" si="1"/>
        <v>132510</v>
      </c>
      <c r="M27" s="416" t="s">
        <v>435</v>
      </c>
      <c r="N27" s="169">
        <f t="shared" si="2"/>
        <v>88340</v>
      </c>
      <c r="O27" s="416" t="s">
        <v>56</v>
      </c>
      <c r="P27" s="169">
        <f t="shared" si="3"/>
        <v>0</v>
      </c>
      <c r="Q27" s="170">
        <f t="shared" si="4"/>
        <v>22085</v>
      </c>
      <c r="R27" s="170">
        <f t="shared" si="5"/>
        <v>607337.5</v>
      </c>
      <c r="S27" s="175"/>
      <c r="T27" s="175"/>
      <c r="U27" s="175"/>
      <c r="V27" s="175"/>
    </row>
    <row r="28" spans="1:22" s="147" customFormat="1" ht="45.75" customHeight="1">
      <c r="A28" s="168">
        <v>22</v>
      </c>
      <c r="B28" s="412" t="s">
        <v>227</v>
      </c>
      <c r="C28" s="413" t="s">
        <v>232</v>
      </c>
      <c r="D28" s="414">
        <v>73</v>
      </c>
      <c r="E28" s="414"/>
      <c r="F28" s="473" t="s">
        <v>229</v>
      </c>
      <c r="G28" s="414" t="s">
        <v>186</v>
      </c>
      <c r="H28" s="415">
        <v>4497500</v>
      </c>
      <c r="I28" s="407" t="s">
        <v>134</v>
      </c>
      <c r="J28" s="169">
        <f t="shared" si="0"/>
        <v>472237.5</v>
      </c>
      <c r="K28" s="416" t="s">
        <v>435</v>
      </c>
      <c r="L28" s="169">
        <f t="shared" si="1"/>
        <v>134925</v>
      </c>
      <c r="M28" s="416" t="s">
        <v>432</v>
      </c>
      <c r="N28" s="169">
        <f t="shared" si="2"/>
        <v>89950</v>
      </c>
      <c r="O28" s="416" t="s">
        <v>433</v>
      </c>
      <c r="P28" s="169">
        <f t="shared" si="3"/>
        <v>44975</v>
      </c>
      <c r="Q28" s="170">
        <f t="shared" si="4"/>
        <v>22487.5</v>
      </c>
      <c r="R28" s="170">
        <f t="shared" si="5"/>
        <v>764575</v>
      </c>
      <c r="S28" s="175"/>
      <c r="T28" s="175"/>
      <c r="U28" s="175"/>
      <c r="V28" s="175"/>
    </row>
    <row r="29" spans="1:22" s="147" customFormat="1" ht="45.75" customHeight="1">
      <c r="A29" s="168">
        <v>23</v>
      </c>
      <c r="B29" s="412" t="s">
        <v>227</v>
      </c>
      <c r="C29" s="413" t="s">
        <v>233</v>
      </c>
      <c r="D29" s="414">
        <v>38</v>
      </c>
      <c r="E29" s="414"/>
      <c r="F29" s="473" t="s">
        <v>234</v>
      </c>
      <c r="G29" s="414" t="s">
        <v>186</v>
      </c>
      <c r="H29" s="415">
        <v>3525500</v>
      </c>
      <c r="I29" s="407" t="s">
        <v>159</v>
      </c>
      <c r="J29" s="169">
        <f t="shared" si="0"/>
        <v>370177.5</v>
      </c>
      <c r="K29" s="416" t="s">
        <v>212</v>
      </c>
      <c r="L29" s="169">
        <f t="shared" si="1"/>
        <v>105765</v>
      </c>
      <c r="M29" s="416" t="s">
        <v>436</v>
      </c>
      <c r="N29" s="169">
        <f t="shared" si="2"/>
        <v>70510</v>
      </c>
      <c r="O29" s="416" t="s">
        <v>430</v>
      </c>
      <c r="P29" s="169">
        <f t="shared" si="3"/>
        <v>35255</v>
      </c>
      <c r="Q29" s="170">
        <f t="shared" si="4"/>
        <v>17627.5</v>
      </c>
      <c r="R29" s="170">
        <f t="shared" si="5"/>
        <v>599335</v>
      </c>
      <c r="S29" s="175"/>
      <c r="T29" s="175"/>
      <c r="U29" s="175"/>
      <c r="V29" s="175"/>
    </row>
    <row r="30" spans="1:22" s="147" customFormat="1" ht="45.75" customHeight="1">
      <c r="A30" s="168">
        <v>24</v>
      </c>
      <c r="B30" s="412" t="s">
        <v>227</v>
      </c>
      <c r="C30" s="413" t="s">
        <v>235</v>
      </c>
      <c r="D30" s="414"/>
      <c r="E30" s="414">
        <v>74</v>
      </c>
      <c r="F30" s="473" t="s">
        <v>236</v>
      </c>
      <c r="G30" s="414" t="s">
        <v>204</v>
      </c>
      <c r="H30" s="415">
        <v>3897500</v>
      </c>
      <c r="I30" s="407" t="s">
        <v>159</v>
      </c>
      <c r="J30" s="169">
        <f t="shared" si="0"/>
        <v>409237.5</v>
      </c>
      <c r="K30" s="416" t="s">
        <v>212</v>
      </c>
      <c r="L30" s="169">
        <f t="shared" si="1"/>
        <v>116925</v>
      </c>
      <c r="M30" s="416" t="s">
        <v>432</v>
      </c>
      <c r="N30" s="169">
        <f t="shared" si="2"/>
        <v>77950</v>
      </c>
      <c r="O30" s="416" t="s">
        <v>435</v>
      </c>
      <c r="P30" s="169">
        <f t="shared" si="3"/>
        <v>38975</v>
      </c>
      <c r="Q30" s="170">
        <f t="shared" si="4"/>
        <v>19487.5</v>
      </c>
      <c r="R30" s="170">
        <f t="shared" si="5"/>
        <v>662575</v>
      </c>
      <c r="S30" s="175"/>
      <c r="T30" s="175"/>
      <c r="U30" s="175"/>
      <c r="V30" s="175"/>
    </row>
    <row r="31" spans="1:22" s="147" customFormat="1" ht="45.75" customHeight="1">
      <c r="A31" s="168">
        <v>25</v>
      </c>
      <c r="B31" s="412" t="s">
        <v>227</v>
      </c>
      <c r="C31" s="413" t="s">
        <v>202</v>
      </c>
      <c r="D31" s="414">
        <v>23</v>
      </c>
      <c r="E31" s="414"/>
      <c r="F31" s="473" t="s">
        <v>231</v>
      </c>
      <c r="G31" s="414" t="s">
        <v>182</v>
      </c>
      <c r="H31" s="415">
        <v>2559100</v>
      </c>
      <c r="I31" s="407" t="s">
        <v>183</v>
      </c>
      <c r="J31" s="169">
        <f t="shared" si="0"/>
        <v>294296.50000000006</v>
      </c>
      <c r="K31" s="416" t="s">
        <v>436</v>
      </c>
      <c r="L31" s="169">
        <f t="shared" si="1"/>
        <v>76773</v>
      </c>
      <c r="M31" s="416" t="s">
        <v>430</v>
      </c>
      <c r="N31" s="169">
        <f t="shared" si="2"/>
        <v>51182</v>
      </c>
      <c r="O31" s="416" t="s">
        <v>56</v>
      </c>
      <c r="P31" s="169">
        <f t="shared" si="3"/>
        <v>0</v>
      </c>
      <c r="Q31" s="170">
        <f t="shared" si="4"/>
        <v>12795.5</v>
      </c>
      <c r="R31" s="170">
        <f t="shared" si="5"/>
        <v>435047.00000000006</v>
      </c>
      <c r="S31" s="175"/>
      <c r="T31" s="175"/>
      <c r="U31" s="175"/>
      <c r="V31" s="175"/>
    </row>
    <row r="32" spans="1:22" s="147" customFormat="1" ht="45.75" customHeight="1">
      <c r="A32" s="168">
        <v>26</v>
      </c>
      <c r="B32" s="412" t="s">
        <v>227</v>
      </c>
      <c r="C32" s="413" t="s">
        <v>237</v>
      </c>
      <c r="D32" s="414">
        <v>82</v>
      </c>
      <c r="E32" s="414"/>
      <c r="F32" s="473" t="s">
        <v>229</v>
      </c>
      <c r="G32" s="414" t="s">
        <v>186</v>
      </c>
      <c r="H32" s="415">
        <v>4497500</v>
      </c>
      <c r="I32" s="407" t="s">
        <v>159</v>
      </c>
      <c r="J32" s="169">
        <f t="shared" si="0"/>
        <v>472237.5</v>
      </c>
      <c r="K32" s="416" t="s">
        <v>436</v>
      </c>
      <c r="L32" s="169">
        <f t="shared" si="1"/>
        <v>134925</v>
      </c>
      <c r="M32" s="416" t="s">
        <v>430</v>
      </c>
      <c r="N32" s="169">
        <f t="shared" si="2"/>
        <v>89950</v>
      </c>
      <c r="O32" s="416" t="s">
        <v>433</v>
      </c>
      <c r="P32" s="169">
        <f t="shared" si="3"/>
        <v>44975</v>
      </c>
      <c r="Q32" s="170">
        <f t="shared" si="4"/>
        <v>22487.5</v>
      </c>
      <c r="R32" s="170">
        <f t="shared" si="5"/>
        <v>764575</v>
      </c>
      <c r="S32" s="175"/>
      <c r="T32" s="175"/>
      <c r="U32" s="175"/>
      <c r="V32" s="175"/>
    </row>
    <row r="33" spans="1:22" s="147" customFormat="1" ht="15">
      <c r="A33" s="168">
        <v>27</v>
      </c>
      <c r="B33" s="412" t="s">
        <v>238</v>
      </c>
      <c r="C33" s="413" t="s">
        <v>239</v>
      </c>
      <c r="D33" s="414"/>
      <c r="E33" s="414">
        <v>57</v>
      </c>
      <c r="F33" s="473" t="s">
        <v>240</v>
      </c>
      <c r="G33" s="414" t="s">
        <v>204</v>
      </c>
      <c r="H33" s="415">
        <v>3397500</v>
      </c>
      <c r="I33" s="407" t="s">
        <v>134</v>
      </c>
      <c r="J33" s="169">
        <f t="shared" si="0"/>
        <v>356737.5</v>
      </c>
      <c r="K33" s="416" t="s">
        <v>432</v>
      </c>
      <c r="L33" s="169">
        <f t="shared" si="1"/>
        <v>101925</v>
      </c>
      <c r="M33" s="416" t="s">
        <v>439</v>
      </c>
      <c r="N33" s="169">
        <f t="shared" si="2"/>
        <v>67950</v>
      </c>
      <c r="O33" s="416" t="s">
        <v>433</v>
      </c>
      <c r="P33" s="169">
        <f t="shared" si="3"/>
        <v>33975</v>
      </c>
      <c r="Q33" s="170">
        <f t="shared" si="4"/>
        <v>16987.5</v>
      </c>
      <c r="R33" s="170">
        <f t="shared" si="5"/>
        <v>577575</v>
      </c>
      <c r="S33" s="175"/>
      <c r="T33" s="175"/>
      <c r="U33" s="175"/>
      <c r="V33" s="175"/>
    </row>
    <row r="34" spans="1:22" s="147" customFormat="1" ht="45.75" customHeight="1">
      <c r="A34" s="168">
        <v>28</v>
      </c>
      <c r="B34" s="412" t="s">
        <v>238</v>
      </c>
      <c r="C34" s="413" t="s">
        <v>241</v>
      </c>
      <c r="D34" s="414"/>
      <c r="E34" s="414">
        <v>64</v>
      </c>
      <c r="F34" s="473" t="s">
        <v>242</v>
      </c>
      <c r="G34" s="414" t="s">
        <v>186</v>
      </c>
      <c r="H34" s="415">
        <v>4201900</v>
      </c>
      <c r="I34" s="407" t="s">
        <v>159</v>
      </c>
      <c r="J34" s="169">
        <f t="shared" si="0"/>
        <v>441199.5</v>
      </c>
      <c r="K34" s="416" t="s">
        <v>432</v>
      </c>
      <c r="L34" s="169">
        <f t="shared" si="1"/>
        <v>126057</v>
      </c>
      <c r="M34" s="416" t="s">
        <v>431</v>
      </c>
      <c r="N34" s="169">
        <f t="shared" si="2"/>
        <v>84038</v>
      </c>
      <c r="O34" s="416" t="s">
        <v>433</v>
      </c>
      <c r="P34" s="169">
        <f t="shared" si="3"/>
        <v>42019</v>
      </c>
      <c r="Q34" s="170">
        <f t="shared" si="4"/>
        <v>21009.5</v>
      </c>
      <c r="R34" s="170">
        <f t="shared" si="5"/>
        <v>714323</v>
      </c>
      <c r="S34" s="175"/>
      <c r="T34" s="175"/>
      <c r="U34" s="175"/>
      <c r="V34" s="175"/>
    </row>
    <row r="35" spans="1:22" s="147" customFormat="1" ht="45.75" customHeight="1">
      <c r="A35" s="168">
        <v>29</v>
      </c>
      <c r="B35" s="412" t="s">
        <v>238</v>
      </c>
      <c r="C35" s="413" t="s">
        <v>243</v>
      </c>
      <c r="D35" s="414"/>
      <c r="E35" s="414">
        <v>71</v>
      </c>
      <c r="F35" s="473" t="s">
        <v>242</v>
      </c>
      <c r="G35" s="414" t="s">
        <v>186</v>
      </c>
      <c r="H35" s="415">
        <v>4201900</v>
      </c>
      <c r="I35" s="407" t="s">
        <v>159</v>
      </c>
      <c r="J35" s="169">
        <f t="shared" si="0"/>
        <v>441199.5</v>
      </c>
      <c r="K35" s="416" t="s">
        <v>134</v>
      </c>
      <c r="L35" s="169">
        <f t="shared" si="1"/>
        <v>126057</v>
      </c>
      <c r="M35" s="416" t="s">
        <v>431</v>
      </c>
      <c r="N35" s="169">
        <f t="shared" si="2"/>
        <v>84038</v>
      </c>
      <c r="O35" s="416" t="s">
        <v>436</v>
      </c>
      <c r="P35" s="169">
        <f t="shared" si="3"/>
        <v>42019</v>
      </c>
      <c r="Q35" s="170">
        <f t="shared" si="4"/>
        <v>21009.5</v>
      </c>
      <c r="R35" s="170">
        <f t="shared" si="5"/>
        <v>714323</v>
      </c>
      <c r="S35" s="175"/>
      <c r="T35" s="175"/>
      <c r="U35" s="175"/>
      <c r="V35" s="175"/>
    </row>
    <row r="36" spans="1:22" s="147" customFormat="1" ht="45.75" customHeight="1">
      <c r="A36" s="168">
        <v>30</v>
      </c>
      <c r="B36" s="412" t="s">
        <v>238</v>
      </c>
      <c r="C36" s="413" t="s">
        <v>243</v>
      </c>
      <c r="D36" s="414"/>
      <c r="E36" s="414">
        <v>71</v>
      </c>
      <c r="F36" s="473" t="s">
        <v>244</v>
      </c>
      <c r="G36" s="414" t="s">
        <v>186</v>
      </c>
      <c r="H36" s="415">
        <v>3662400</v>
      </c>
      <c r="I36" s="407" t="s">
        <v>134</v>
      </c>
      <c r="J36" s="169">
        <f t="shared" si="0"/>
        <v>384552</v>
      </c>
      <c r="K36" s="416" t="s">
        <v>159</v>
      </c>
      <c r="L36" s="169">
        <f t="shared" si="1"/>
        <v>109872</v>
      </c>
      <c r="M36" s="416" t="s">
        <v>433</v>
      </c>
      <c r="N36" s="169">
        <f t="shared" si="2"/>
        <v>73248</v>
      </c>
      <c r="O36" s="416" t="s">
        <v>439</v>
      </c>
      <c r="P36" s="169">
        <f t="shared" si="3"/>
        <v>36624</v>
      </c>
      <c r="Q36" s="170">
        <f t="shared" si="4"/>
        <v>18312</v>
      </c>
      <c r="R36" s="170">
        <f t="shared" si="5"/>
        <v>622608</v>
      </c>
      <c r="S36" s="175"/>
      <c r="T36" s="175"/>
      <c r="U36" s="175"/>
      <c r="V36" s="175"/>
    </row>
    <row r="37" spans="1:22" s="147" customFormat="1" ht="21.75" customHeight="1">
      <c r="A37" s="168">
        <v>31</v>
      </c>
      <c r="B37" s="412" t="s">
        <v>238</v>
      </c>
      <c r="C37" s="413" t="s">
        <v>245</v>
      </c>
      <c r="D37" s="414">
        <v>43</v>
      </c>
      <c r="E37" s="414"/>
      <c r="F37" s="473" t="s">
        <v>246</v>
      </c>
      <c r="G37" s="414" t="s">
        <v>204</v>
      </c>
      <c r="H37" s="415">
        <v>2301200</v>
      </c>
      <c r="I37" s="407" t="s">
        <v>190</v>
      </c>
      <c r="J37" s="169">
        <f t="shared" si="0"/>
        <v>166837</v>
      </c>
      <c r="K37" s="416" t="s">
        <v>428</v>
      </c>
      <c r="L37" s="169">
        <f t="shared" si="1"/>
        <v>69036</v>
      </c>
      <c r="M37" s="416" t="s">
        <v>436</v>
      </c>
      <c r="N37" s="169">
        <f t="shared" si="2"/>
        <v>46024</v>
      </c>
      <c r="O37" s="416" t="s">
        <v>439</v>
      </c>
      <c r="P37" s="169">
        <f t="shared" si="3"/>
        <v>23012</v>
      </c>
      <c r="Q37" s="170">
        <f t="shared" si="4"/>
        <v>11506</v>
      </c>
      <c r="R37" s="170">
        <f t="shared" si="5"/>
        <v>316415</v>
      </c>
      <c r="S37" s="175"/>
      <c r="T37" s="175"/>
      <c r="U37" s="175"/>
      <c r="V37" s="175"/>
    </row>
    <row r="38" spans="1:22" s="147" customFormat="1" ht="15">
      <c r="A38" s="168">
        <v>32</v>
      </c>
      <c r="B38" s="412" t="s">
        <v>238</v>
      </c>
      <c r="C38" s="413" t="s">
        <v>247</v>
      </c>
      <c r="D38" s="414"/>
      <c r="E38" s="414">
        <v>63</v>
      </c>
      <c r="F38" s="473" t="s">
        <v>248</v>
      </c>
      <c r="G38" s="414" t="s">
        <v>182</v>
      </c>
      <c r="H38" s="415">
        <v>2760300</v>
      </c>
      <c r="I38" s="407" t="s">
        <v>134</v>
      </c>
      <c r="J38" s="169">
        <f t="shared" si="0"/>
        <v>289831.50000000006</v>
      </c>
      <c r="K38" s="416" t="s">
        <v>436</v>
      </c>
      <c r="L38" s="169">
        <f t="shared" si="1"/>
        <v>82809</v>
      </c>
      <c r="M38" s="416" t="s">
        <v>439</v>
      </c>
      <c r="N38" s="169">
        <f t="shared" si="2"/>
        <v>55206</v>
      </c>
      <c r="O38" s="416" t="s">
        <v>433</v>
      </c>
      <c r="P38" s="169">
        <f t="shared" si="3"/>
        <v>27603</v>
      </c>
      <c r="Q38" s="170">
        <f t="shared" si="4"/>
        <v>13801.5</v>
      </c>
      <c r="R38" s="170">
        <f t="shared" si="5"/>
        <v>469251.00000000006</v>
      </c>
      <c r="S38" s="175"/>
      <c r="T38" s="175"/>
      <c r="U38" s="175"/>
      <c r="V38" s="175"/>
    </row>
    <row r="39" spans="1:22" s="147" customFormat="1" ht="45.75" customHeight="1">
      <c r="A39" s="168">
        <v>33</v>
      </c>
      <c r="B39" s="412" t="s">
        <v>238</v>
      </c>
      <c r="C39" s="413" t="s">
        <v>184</v>
      </c>
      <c r="D39" s="414"/>
      <c r="E39" s="414">
        <v>62</v>
      </c>
      <c r="F39" s="473" t="s">
        <v>249</v>
      </c>
      <c r="G39" s="414" t="s">
        <v>182</v>
      </c>
      <c r="H39" s="415">
        <v>2127400</v>
      </c>
      <c r="I39" s="407" t="s">
        <v>159</v>
      </c>
      <c r="J39" s="169">
        <f t="shared" si="0"/>
        <v>223377</v>
      </c>
      <c r="K39" s="416" t="s">
        <v>134</v>
      </c>
      <c r="L39" s="169">
        <f t="shared" si="1"/>
        <v>63822</v>
      </c>
      <c r="M39" s="416" t="s">
        <v>431</v>
      </c>
      <c r="N39" s="169">
        <f t="shared" si="2"/>
        <v>42548</v>
      </c>
      <c r="O39" s="416" t="s">
        <v>433</v>
      </c>
      <c r="P39" s="169">
        <f t="shared" si="3"/>
        <v>21274</v>
      </c>
      <c r="Q39" s="170">
        <f t="shared" si="4"/>
        <v>10637</v>
      </c>
      <c r="R39" s="170">
        <f t="shared" si="5"/>
        <v>361658</v>
      </c>
      <c r="S39" s="175"/>
      <c r="T39" s="175"/>
      <c r="U39" s="175"/>
      <c r="V39" s="175"/>
    </row>
    <row r="40" spans="1:22" s="147" customFormat="1" ht="45.75" customHeight="1">
      <c r="A40" s="168">
        <v>34</v>
      </c>
      <c r="B40" s="412" t="s">
        <v>250</v>
      </c>
      <c r="C40" s="413" t="s">
        <v>251</v>
      </c>
      <c r="D40" s="414">
        <v>49</v>
      </c>
      <c r="E40" s="414"/>
      <c r="F40" s="473" t="s">
        <v>249</v>
      </c>
      <c r="G40" s="414" t="s">
        <v>219</v>
      </c>
      <c r="H40" s="415">
        <v>4221000</v>
      </c>
      <c r="I40" s="407" t="s">
        <v>183</v>
      </c>
      <c r="J40" s="169">
        <f t="shared" si="0"/>
        <v>443205</v>
      </c>
      <c r="K40" s="416" t="s">
        <v>436</v>
      </c>
      <c r="L40" s="169">
        <f t="shared" si="1"/>
        <v>126630</v>
      </c>
      <c r="M40" s="416" t="s">
        <v>432</v>
      </c>
      <c r="N40" s="169">
        <f t="shared" si="2"/>
        <v>84420</v>
      </c>
      <c r="O40" s="416" t="s">
        <v>433</v>
      </c>
      <c r="P40" s="169">
        <f t="shared" si="3"/>
        <v>42210</v>
      </c>
      <c r="Q40" s="170">
        <f t="shared" si="4"/>
        <v>21105</v>
      </c>
      <c r="R40" s="170">
        <f t="shared" si="5"/>
        <v>717570</v>
      </c>
      <c r="S40" s="175"/>
      <c r="T40" s="175"/>
      <c r="U40" s="175"/>
      <c r="V40" s="175"/>
    </row>
    <row r="41" spans="1:22" s="147" customFormat="1" ht="45.75" customHeight="1">
      <c r="A41" s="168">
        <v>35</v>
      </c>
      <c r="B41" s="412" t="s">
        <v>250</v>
      </c>
      <c r="C41" s="413" t="s">
        <v>252</v>
      </c>
      <c r="D41" s="414">
        <v>20</v>
      </c>
      <c r="E41" s="414"/>
      <c r="F41" s="473" t="s">
        <v>229</v>
      </c>
      <c r="G41" s="414" t="s">
        <v>219</v>
      </c>
      <c r="H41" s="415">
        <v>9972000</v>
      </c>
      <c r="I41" s="407" t="s">
        <v>183</v>
      </c>
      <c r="J41" s="169">
        <f t="shared" si="0"/>
        <v>1047060.0000000002</v>
      </c>
      <c r="K41" s="416" t="s">
        <v>436</v>
      </c>
      <c r="L41" s="169">
        <f t="shared" si="1"/>
        <v>299160</v>
      </c>
      <c r="M41" s="416" t="s">
        <v>432</v>
      </c>
      <c r="N41" s="169">
        <f t="shared" si="2"/>
        <v>199440</v>
      </c>
      <c r="O41" s="416" t="s">
        <v>433</v>
      </c>
      <c r="P41" s="169">
        <f t="shared" si="3"/>
        <v>99720</v>
      </c>
      <c r="Q41" s="170">
        <f t="shared" si="4"/>
        <v>49860</v>
      </c>
      <c r="R41" s="170">
        <f t="shared" si="5"/>
        <v>1695240.0000000002</v>
      </c>
      <c r="S41" s="175"/>
      <c r="T41" s="175"/>
      <c r="U41" s="175"/>
      <c r="V41" s="175"/>
    </row>
    <row r="42" spans="1:22" s="147" customFormat="1" ht="45.75" customHeight="1">
      <c r="A42" s="168">
        <v>36</v>
      </c>
      <c r="B42" s="412" t="s">
        <v>250</v>
      </c>
      <c r="C42" s="413" t="s">
        <v>253</v>
      </c>
      <c r="D42" s="414">
        <v>34</v>
      </c>
      <c r="E42" s="414"/>
      <c r="F42" s="473" t="s">
        <v>248</v>
      </c>
      <c r="G42" s="414" t="s">
        <v>182</v>
      </c>
      <c r="H42" s="415">
        <v>2760300</v>
      </c>
      <c r="I42" s="407" t="s">
        <v>190</v>
      </c>
      <c r="J42" s="169">
        <f t="shared" si="0"/>
        <v>282930.75000000006</v>
      </c>
      <c r="K42" s="416" t="s">
        <v>183</v>
      </c>
      <c r="L42" s="169">
        <f t="shared" si="1"/>
        <v>82809</v>
      </c>
      <c r="M42" s="416" t="s">
        <v>56</v>
      </c>
      <c r="N42" s="169">
        <f t="shared" si="2"/>
        <v>0</v>
      </c>
      <c r="O42" s="416" t="s">
        <v>56</v>
      </c>
      <c r="P42" s="169">
        <f t="shared" si="3"/>
        <v>0</v>
      </c>
      <c r="Q42" s="170">
        <f t="shared" si="4"/>
        <v>13801.5</v>
      </c>
      <c r="R42" s="170">
        <f t="shared" si="5"/>
        <v>379541.25000000006</v>
      </c>
      <c r="S42" s="175"/>
      <c r="T42" s="175"/>
      <c r="U42" s="175"/>
      <c r="V42" s="175"/>
    </row>
    <row r="43" spans="1:22" s="147" customFormat="1" ht="45.75" customHeight="1">
      <c r="A43" s="168">
        <v>37</v>
      </c>
      <c r="B43" s="412" t="s">
        <v>250</v>
      </c>
      <c r="C43" s="413" t="s">
        <v>254</v>
      </c>
      <c r="D43" s="414"/>
      <c r="E43" s="414">
        <v>73</v>
      </c>
      <c r="F43" s="473" t="s">
        <v>181</v>
      </c>
      <c r="G43" s="414" t="s">
        <v>182</v>
      </c>
      <c r="H43" s="415">
        <v>1947100</v>
      </c>
      <c r="I43" s="407" t="s">
        <v>190</v>
      </c>
      <c r="J43" s="169">
        <f t="shared" si="0"/>
        <v>160635.75</v>
      </c>
      <c r="K43" s="416" t="s">
        <v>430</v>
      </c>
      <c r="L43" s="169">
        <f t="shared" si="1"/>
        <v>58413</v>
      </c>
      <c r="M43" s="416" t="s">
        <v>439</v>
      </c>
      <c r="N43" s="169">
        <f t="shared" si="2"/>
        <v>38942</v>
      </c>
      <c r="O43" s="416" t="s">
        <v>56</v>
      </c>
      <c r="P43" s="169">
        <f t="shared" si="3"/>
        <v>0</v>
      </c>
      <c r="Q43" s="170">
        <f t="shared" si="4"/>
        <v>9735.5</v>
      </c>
      <c r="R43" s="170">
        <f t="shared" si="5"/>
        <v>267726.25</v>
      </c>
      <c r="S43" s="175"/>
      <c r="T43" s="175"/>
      <c r="U43" s="175"/>
      <c r="V43" s="175"/>
    </row>
    <row r="44" spans="1:22" s="147" customFormat="1" ht="45.75" customHeight="1">
      <c r="A44" s="168">
        <v>38</v>
      </c>
      <c r="B44" s="412" t="s">
        <v>250</v>
      </c>
      <c r="C44" s="413" t="s">
        <v>255</v>
      </c>
      <c r="D44" s="414">
        <v>34</v>
      </c>
      <c r="E44" s="414"/>
      <c r="F44" s="473" t="s">
        <v>256</v>
      </c>
      <c r="G44" s="414" t="s">
        <v>182</v>
      </c>
      <c r="H44" s="415">
        <v>2559100</v>
      </c>
      <c r="I44" s="407" t="s">
        <v>183</v>
      </c>
      <c r="J44" s="169">
        <f t="shared" si="0"/>
        <v>345478.50000000006</v>
      </c>
      <c r="K44" s="416" t="s">
        <v>432</v>
      </c>
      <c r="L44" s="169">
        <f t="shared" si="1"/>
        <v>76773</v>
      </c>
      <c r="M44" s="416" t="s">
        <v>56</v>
      </c>
      <c r="N44" s="169">
        <f t="shared" si="2"/>
        <v>0</v>
      </c>
      <c r="O44" s="416" t="s">
        <v>56</v>
      </c>
      <c r="P44" s="169">
        <f t="shared" si="3"/>
        <v>0</v>
      </c>
      <c r="Q44" s="170">
        <f t="shared" si="4"/>
        <v>12795.5</v>
      </c>
      <c r="R44" s="170">
        <f t="shared" si="5"/>
        <v>435047.00000000006</v>
      </c>
      <c r="S44" s="175"/>
      <c r="T44" s="175"/>
      <c r="U44" s="175"/>
      <c r="V44" s="175"/>
    </row>
    <row r="45" spans="1:22" s="147" customFormat="1" ht="45.75" customHeight="1">
      <c r="A45" s="168">
        <v>39</v>
      </c>
      <c r="B45" s="412" t="s">
        <v>250</v>
      </c>
      <c r="C45" s="413" t="s">
        <v>257</v>
      </c>
      <c r="D45" s="414"/>
      <c r="E45" s="414">
        <v>59</v>
      </c>
      <c r="F45" s="473" t="s">
        <v>242</v>
      </c>
      <c r="G45" s="414" t="s">
        <v>186</v>
      </c>
      <c r="H45" s="415">
        <v>4201900</v>
      </c>
      <c r="I45" s="407" t="s">
        <v>159</v>
      </c>
      <c r="J45" s="169">
        <f t="shared" si="0"/>
        <v>441199.5</v>
      </c>
      <c r="K45" s="416" t="s">
        <v>134</v>
      </c>
      <c r="L45" s="169">
        <f t="shared" si="1"/>
        <v>126057</v>
      </c>
      <c r="M45" s="416" t="s">
        <v>434</v>
      </c>
      <c r="N45" s="169">
        <f t="shared" si="2"/>
        <v>84038</v>
      </c>
      <c r="O45" s="416" t="s">
        <v>431</v>
      </c>
      <c r="P45" s="169">
        <f t="shared" si="3"/>
        <v>42019</v>
      </c>
      <c r="Q45" s="170">
        <f t="shared" si="4"/>
        <v>21009.5</v>
      </c>
      <c r="R45" s="170">
        <f t="shared" si="5"/>
        <v>714323</v>
      </c>
      <c r="S45" s="175"/>
      <c r="T45" s="175"/>
      <c r="U45" s="175"/>
      <c r="V45" s="175"/>
    </row>
    <row r="46" spans="1:22" s="147" customFormat="1" ht="45.75" customHeight="1">
      <c r="A46" s="168">
        <v>40</v>
      </c>
      <c r="B46" s="412" t="s">
        <v>250</v>
      </c>
      <c r="C46" s="413" t="s">
        <v>258</v>
      </c>
      <c r="D46" s="414">
        <v>28</v>
      </c>
      <c r="E46" s="414"/>
      <c r="F46" s="473" t="s">
        <v>259</v>
      </c>
      <c r="G46" s="414" t="s">
        <v>186</v>
      </c>
      <c r="H46" s="415">
        <v>3405500</v>
      </c>
      <c r="I46" s="407" t="s">
        <v>212</v>
      </c>
      <c r="J46" s="169">
        <f t="shared" si="0"/>
        <v>246898.75000000006</v>
      </c>
      <c r="K46" s="416" t="s">
        <v>434</v>
      </c>
      <c r="L46" s="169">
        <f t="shared" si="1"/>
        <v>102165</v>
      </c>
      <c r="M46" s="416" t="s">
        <v>437</v>
      </c>
      <c r="N46" s="169">
        <f t="shared" si="2"/>
        <v>68110</v>
      </c>
      <c r="O46" s="416" t="s">
        <v>432</v>
      </c>
      <c r="P46" s="169">
        <f t="shared" si="3"/>
        <v>34055</v>
      </c>
      <c r="Q46" s="170">
        <f t="shared" si="4"/>
        <v>17027.5</v>
      </c>
      <c r="R46" s="170">
        <f t="shared" si="5"/>
        <v>468256.25000000006</v>
      </c>
      <c r="S46" s="175"/>
      <c r="T46" s="175"/>
      <c r="U46" s="175"/>
      <c r="V46" s="175"/>
    </row>
    <row r="47" spans="1:22" s="147" customFormat="1" ht="45.75" customHeight="1">
      <c r="A47" s="168">
        <v>41</v>
      </c>
      <c r="B47" s="412" t="s">
        <v>260</v>
      </c>
      <c r="C47" s="413" t="s">
        <v>261</v>
      </c>
      <c r="D47" s="414"/>
      <c r="E47" s="414">
        <v>62</v>
      </c>
      <c r="F47" s="473" t="s">
        <v>262</v>
      </c>
      <c r="G47" s="414" t="s">
        <v>204</v>
      </c>
      <c r="H47" s="415">
        <v>2301200</v>
      </c>
      <c r="I47" s="407" t="s">
        <v>159</v>
      </c>
      <c r="J47" s="169">
        <f t="shared" si="0"/>
        <v>264638</v>
      </c>
      <c r="K47" s="416" t="s">
        <v>183</v>
      </c>
      <c r="L47" s="169">
        <f t="shared" si="1"/>
        <v>69036</v>
      </c>
      <c r="M47" s="416" t="s">
        <v>435</v>
      </c>
      <c r="N47" s="169">
        <f t="shared" si="2"/>
        <v>46024</v>
      </c>
      <c r="O47" s="416" t="s">
        <v>56</v>
      </c>
      <c r="P47" s="169">
        <f t="shared" si="3"/>
        <v>0</v>
      </c>
      <c r="Q47" s="170">
        <f t="shared" si="4"/>
        <v>11506</v>
      </c>
      <c r="R47" s="170">
        <f t="shared" si="5"/>
        <v>391204</v>
      </c>
      <c r="S47" s="175"/>
      <c r="T47" s="175"/>
      <c r="U47" s="175"/>
      <c r="V47" s="175"/>
    </row>
    <row r="48" spans="1:22" s="147" customFormat="1" ht="45.75" customHeight="1">
      <c r="A48" s="168">
        <v>42</v>
      </c>
      <c r="B48" s="412" t="s">
        <v>260</v>
      </c>
      <c r="C48" s="413" t="s">
        <v>263</v>
      </c>
      <c r="D48" s="414"/>
      <c r="E48" s="414">
        <v>62</v>
      </c>
      <c r="F48" s="473" t="s">
        <v>242</v>
      </c>
      <c r="G48" s="414" t="s">
        <v>186</v>
      </c>
      <c r="H48" s="415">
        <v>4201900</v>
      </c>
      <c r="I48" s="407" t="s">
        <v>159</v>
      </c>
      <c r="J48" s="169">
        <f t="shared" si="0"/>
        <v>441199.5</v>
      </c>
      <c r="K48" s="416" t="s">
        <v>183</v>
      </c>
      <c r="L48" s="169">
        <f t="shared" si="1"/>
        <v>126057</v>
      </c>
      <c r="M48" s="416" t="s">
        <v>430</v>
      </c>
      <c r="N48" s="169">
        <f t="shared" si="2"/>
        <v>84038</v>
      </c>
      <c r="O48" s="416" t="s">
        <v>434</v>
      </c>
      <c r="P48" s="169">
        <f t="shared" si="3"/>
        <v>42019</v>
      </c>
      <c r="Q48" s="170">
        <f t="shared" si="4"/>
        <v>21009.5</v>
      </c>
      <c r="R48" s="170">
        <f t="shared" si="5"/>
        <v>714323</v>
      </c>
      <c r="S48" s="175"/>
      <c r="T48" s="175"/>
      <c r="U48" s="175"/>
      <c r="V48" s="175"/>
    </row>
    <row r="49" spans="1:22" s="147" customFormat="1" ht="45.75" customHeight="1">
      <c r="A49" s="168">
        <v>43</v>
      </c>
      <c r="B49" s="412" t="s">
        <v>260</v>
      </c>
      <c r="C49" s="413" t="s">
        <v>191</v>
      </c>
      <c r="D49" s="414">
        <v>55</v>
      </c>
      <c r="E49" s="414"/>
      <c r="F49" s="473" t="s">
        <v>249</v>
      </c>
      <c r="G49" s="414" t="s">
        <v>219</v>
      </c>
      <c r="H49" s="415">
        <v>5000000</v>
      </c>
      <c r="I49" s="407" t="s">
        <v>190</v>
      </c>
      <c r="J49" s="169">
        <f t="shared" si="0"/>
        <v>412500</v>
      </c>
      <c r="K49" s="416" t="s">
        <v>435</v>
      </c>
      <c r="L49" s="169">
        <f t="shared" si="1"/>
        <v>150000</v>
      </c>
      <c r="M49" s="416" t="s">
        <v>439</v>
      </c>
      <c r="N49" s="169">
        <f t="shared" si="2"/>
        <v>100000</v>
      </c>
      <c r="O49" s="416" t="s">
        <v>56</v>
      </c>
      <c r="P49" s="169">
        <f t="shared" si="3"/>
        <v>0</v>
      </c>
      <c r="Q49" s="170">
        <f t="shared" si="4"/>
        <v>25000</v>
      </c>
      <c r="R49" s="170">
        <f t="shared" si="5"/>
        <v>687500</v>
      </c>
      <c r="S49" s="175"/>
      <c r="T49" s="175"/>
      <c r="U49" s="175"/>
      <c r="V49" s="175"/>
    </row>
    <row r="50" spans="1:22" s="147" customFormat="1" ht="15">
      <c r="A50" s="168">
        <v>44</v>
      </c>
      <c r="B50" s="412" t="s">
        <v>264</v>
      </c>
      <c r="C50" s="413" t="s">
        <v>265</v>
      </c>
      <c r="D50" s="414"/>
      <c r="E50" s="414">
        <v>56</v>
      </c>
      <c r="F50" s="473" t="s">
        <v>256</v>
      </c>
      <c r="G50" s="414" t="s">
        <v>182</v>
      </c>
      <c r="H50" s="415">
        <v>2559100</v>
      </c>
      <c r="I50" s="407" t="s">
        <v>134</v>
      </c>
      <c r="J50" s="169">
        <f t="shared" si="0"/>
        <v>268705.50000000006</v>
      </c>
      <c r="K50" s="416" t="s">
        <v>432</v>
      </c>
      <c r="L50" s="169">
        <f t="shared" si="1"/>
        <v>76773</v>
      </c>
      <c r="M50" s="416" t="s">
        <v>435</v>
      </c>
      <c r="N50" s="169">
        <f t="shared" si="2"/>
        <v>51182</v>
      </c>
      <c r="O50" s="416" t="s">
        <v>433</v>
      </c>
      <c r="P50" s="169">
        <f t="shared" si="3"/>
        <v>25591</v>
      </c>
      <c r="Q50" s="170">
        <f t="shared" si="4"/>
        <v>12795.5</v>
      </c>
      <c r="R50" s="170">
        <f t="shared" si="5"/>
        <v>435047.00000000006</v>
      </c>
      <c r="S50" s="175"/>
      <c r="T50" s="175"/>
      <c r="U50" s="175"/>
      <c r="V50" s="175"/>
    </row>
    <row r="51" spans="1:22" s="147" customFormat="1" ht="45.75" customHeight="1">
      <c r="A51" s="168">
        <v>45</v>
      </c>
      <c r="B51" s="412" t="s">
        <v>264</v>
      </c>
      <c r="C51" s="413" t="s">
        <v>266</v>
      </c>
      <c r="D51" s="414">
        <v>37</v>
      </c>
      <c r="E51" s="414"/>
      <c r="F51" s="473" t="s">
        <v>267</v>
      </c>
      <c r="G51" s="414" t="s">
        <v>204</v>
      </c>
      <c r="H51" s="415">
        <v>3796000</v>
      </c>
      <c r="I51" s="407" t="s">
        <v>134</v>
      </c>
      <c r="J51" s="169">
        <f t="shared" si="0"/>
        <v>398580</v>
      </c>
      <c r="K51" s="416" t="s">
        <v>432</v>
      </c>
      <c r="L51" s="169">
        <f t="shared" si="1"/>
        <v>113880</v>
      </c>
      <c r="M51" s="416" t="s">
        <v>433</v>
      </c>
      <c r="N51" s="169">
        <f t="shared" si="2"/>
        <v>75920</v>
      </c>
      <c r="O51" s="416" t="s">
        <v>439</v>
      </c>
      <c r="P51" s="169">
        <f t="shared" si="3"/>
        <v>37960</v>
      </c>
      <c r="Q51" s="170">
        <f t="shared" si="4"/>
        <v>18980</v>
      </c>
      <c r="R51" s="170">
        <f t="shared" si="5"/>
        <v>645320</v>
      </c>
      <c r="S51" s="175"/>
      <c r="T51" s="175"/>
      <c r="U51" s="175"/>
      <c r="V51" s="175"/>
    </row>
    <row r="52" spans="1:22" s="147" customFormat="1" ht="45.75" customHeight="1">
      <c r="A52" s="168">
        <v>46</v>
      </c>
      <c r="B52" s="412" t="s">
        <v>268</v>
      </c>
      <c r="C52" s="413" t="s">
        <v>184</v>
      </c>
      <c r="D52" s="414"/>
      <c r="E52" s="414">
        <v>62</v>
      </c>
      <c r="F52" s="473" t="s">
        <v>249</v>
      </c>
      <c r="G52" s="414" t="s">
        <v>182</v>
      </c>
      <c r="H52" s="415">
        <v>2127400</v>
      </c>
      <c r="I52" s="407" t="s">
        <v>159</v>
      </c>
      <c r="J52" s="169">
        <f t="shared" si="0"/>
        <v>223377</v>
      </c>
      <c r="K52" s="416" t="s">
        <v>183</v>
      </c>
      <c r="L52" s="169">
        <f t="shared" si="1"/>
        <v>63822</v>
      </c>
      <c r="M52" s="416" t="s">
        <v>190</v>
      </c>
      <c r="N52" s="169">
        <f t="shared" si="2"/>
        <v>42548</v>
      </c>
      <c r="O52" s="416" t="s">
        <v>430</v>
      </c>
      <c r="P52" s="169">
        <f t="shared" si="3"/>
        <v>21274</v>
      </c>
      <c r="Q52" s="170">
        <f t="shared" si="4"/>
        <v>10637</v>
      </c>
      <c r="R52" s="170">
        <f t="shared" si="5"/>
        <v>361658</v>
      </c>
      <c r="S52" s="175"/>
      <c r="T52" s="175"/>
      <c r="U52" s="175"/>
      <c r="V52" s="175"/>
    </row>
    <row r="53" spans="1:22" s="147" customFormat="1" ht="45.75" customHeight="1">
      <c r="A53" s="168">
        <v>47</v>
      </c>
      <c r="B53" s="412" t="s">
        <v>268</v>
      </c>
      <c r="C53" s="413" t="s">
        <v>269</v>
      </c>
      <c r="D53" s="414">
        <v>59</v>
      </c>
      <c r="E53" s="414"/>
      <c r="F53" s="473" t="s">
        <v>229</v>
      </c>
      <c r="G53" s="414" t="s">
        <v>186</v>
      </c>
      <c r="H53" s="415">
        <v>4497500</v>
      </c>
      <c r="I53" s="407" t="s">
        <v>183</v>
      </c>
      <c r="J53" s="169">
        <f t="shared" si="0"/>
        <v>472237.5</v>
      </c>
      <c r="K53" s="416" t="s">
        <v>435</v>
      </c>
      <c r="L53" s="169">
        <f t="shared" si="1"/>
        <v>134925</v>
      </c>
      <c r="M53" s="416" t="s">
        <v>439</v>
      </c>
      <c r="N53" s="169">
        <f t="shared" si="2"/>
        <v>89950</v>
      </c>
      <c r="O53" s="416" t="s">
        <v>430</v>
      </c>
      <c r="P53" s="169">
        <f t="shared" si="3"/>
        <v>44975</v>
      </c>
      <c r="Q53" s="170">
        <f t="shared" si="4"/>
        <v>22487.5</v>
      </c>
      <c r="R53" s="170">
        <f t="shared" si="5"/>
        <v>764575</v>
      </c>
      <c r="S53" s="175"/>
      <c r="T53" s="175"/>
      <c r="U53" s="175"/>
      <c r="V53" s="175"/>
    </row>
    <row r="54" spans="1:22" s="147" customFormat="1" ht="45.75" customHeight="1">
      <c r="A54" s="168">
        <v>48</v>
      </c>
      <c r="B54" s="412" t="s">
        <v>270</v>
      </c>
      <c r="C54" s="413" t="s">
        <v>271</v>
      </c>
      <c r="D54" s="414"/>
      <c r="E54" s="414">
        <v>24</v>
      </c>
      <c r="F54" s="473" t="s">
        <v>229</v>
      </c>
      <c r="G54" s="414" t="s">
        <v>186</v>
      </c>
      <c r="H54" s="415">
        <v>4497500</v>
      </c>
      <c r="I54" s="407" t="s">
        <v>190</v>
      </c>
      <c r="J54" s="169">
        <f t="shared" si="0"/>
        <v>326068.75</v>
      </c>
      <c r="K54" s="416" t="s">
        <v>428</v>
      </c>
      <c r="L54" s="169">
        <f t="shared" si="1"/>
        <v>134925</v>
      </c>
      <c r="M54" s="416" t="s">
        <v>431</v>
      </c>
      <c r="N54" s="169">
        <f t="shared" si="2"/>
        <v>89950</v>
      </c>
      <c r="O54" s="416" t="s">
        <v>429</v>
      </c>
      <c r="P54" s="169">
        <f t="shared" si="3"/>
        <v>44975</v>
      </c>
      <c r="Q54" s="170">
        <f t="shared" si="4"/>
        <v>22487.5</v>
      </c>
      <c r="R54" s="170">
        <f t="shared" si="5"/>
        <v>618406.25</v>
      </c>
      <c r="S54" s="175"/>
      <c r="T54" s="175"/>
      <c r="U54" s="175"/>
      <c r="V54" s="175"/>
    </row>
    <row r="55" spans="1:22" s="147" customFormat="1" ht="45.75" customHeight="1">
      <c r="A55" s="168">
        <v>49</v>
      </c>
      <c r="B55" s="412" t="s">
        <v>270</v>
      </c>
      <c r="C55" s="413" t="s">
        <v>272</v>
      </c>
      <c r="D55" s="414"/>
      <c r="E55" s="414">
        <v>15</v>
      </c>
      <c r="F55" s="473" t="s">
        <v>229</v>
      </c>
      <c r="G55" s="414" t="s">
        <v>186</v>
      </c>
      <c r="H55" s="415">
        <v>4497500</v>
      </c>
      <c r="I55" s="407" t="s">
        <v>159</v>
      </c>
      <c r="J55" s="169">
        <f t="shared" si="0"/>
        <v>472237.5</v>
      </c>
      <c r="K55" s="416" t="s">
        <v>428</v>
      </c>
      <c r="L55" s="169">
        <f t="shared" si="1"/>
        <v>134925</v>
      </c>
      <c r="M55" s="416" t="s">
        <v>435</v>
      </c>
      <c r="N55" s="169">
        <f t="shared" si="2"/>
        <v>89950</v>
      </c>
      <c r="O55" s="416" t="s">
        <v>437</v>
      </c>
      <c r="P55" s="169">
        <f t="shared" si="3"/>
        <v>44975</v>
      </c>
      <c r="Q55" s="170">
        <f t="shared" si="4"/>
        <v>22487.5</v>
      </c>
      <c r="R55" s="170">
        <f t="shared" si="5"/>
        <v>764575</v>
      </c>
      <c r="S55" s="175"/>
      <c r="T55" s="175"/>
      <c r="U55" s="175"/>
      <c r="V55" s="175"/>
    </row>
    <row r="56" spans="1:22" s="147" customFormat="1" ht="45.75" customHeight="1">
      <c r="A56" s="168">
        <v>50</v>
      </c>
      <c r="B56" s="412" t="s">
        <v>273</v>
      </c>
      <c r="C56" s="413" t="s">
        <v>274</v>
      </c>
      <c r="D56" s="414">
        <v>17</v>
      </c>
      <c r="E56" s="414"/>
      <c r="F56" s="473" t="s">
        <v>231</v>
      </c>
      <c r="G56" s="414" t="s">
        <v>182</v>
      </c>
      <c r="H56" s="415">
        <v>2559100</v>
      </c>
      <c r="I56" s="407" t="s">
        <v>183</v>
      </c>
      <c r="J56" s="169">
        <f t="shared" si="0"/>
        <v>268705.50000000006</v>
      </c>
      <c r="K56" s="416" t="s">
        <v>430</v>
      </c>
      <c r="L56" s="169">
        <f t="shared" si="1"/>
        <v>76773</v>
      </c>
      <c r="M56" s="416" t="s">
        <v>436</v>
      </c>
      <c r="N56" s="169">
        <f t="shared" si="2"/>
        <v>51182</v>
      </c>
      <c r="O56" s="416" t="s">
        <v>437</v>
      </c>
      <c r="P56" s="169">
        <f t="shared" si="3"/>
        <v>25591</v>
      </c>
      <c r="Q56" s="170">
        <f t="shared" si="4"/>
        <v>12795.5</v>
      </c>
      <c r="R56" s="170">
        <f t="shared" si="5"/>
        <v>435047.00000000006</v>
      </c>
      <c r="S56" s="175"/>
      <c r="T56" s="175"/>
      <c r="U56" s="175"/>
      <c r="V56" s="175"/>
    </row>
    <row r="57" spans="1:22" s="147" customFormat="1" ht="45.75" customHeight="1">
      <c r="A57" s="168">
        <v>51</v>
      </c>
      <c r="B57" s="412" t="s">
        <v>273</v>
      </c>
      <c r="C57" s="413" t="s">
        <v>275</v>
      </c>
      <c r="D57" s="414">
        <v>65</v>
      </c>
      <c r="E57" s="414"/>
      <c r="F57" s="473" t="s">
        <v>229</v>
      </c>
      <c r="G57" s="414" t="s">
        <v>186</v>
      </c>
      <c r="H57" s="415">
        <v>4497500</v>
      </c>
      <c r="I57" s="407" t="s">
        <v>159</v>
      </c>
      <c r="J57" s="169">
        <f t="shared" si="0"/>
        <v>472237.5</v>
      </c>
      <c r="K57" s="416" t="s">
        <v>294</v>
      </c>
      <c r="L57" s="169">
        <f t="shared" si="1"/>
        <v>134925</v>
      </c>
      <c r="M57" s="416" t="s">
        <v>435</v>
      </c>
      <c r="N57" s="169">
        <f t="shared" si="2"/>
        <v>89950</v>
      </c>
      <c r="O57" s="416" t="s">
        <v>439</v>
      </c>
      <c r="P57" s="169">
        <f t="shared" si="3"/>
        <v>44975</v>
      </c>
      <c r="Q57" s="170">
        <f t="shared" si="4"/>
        <v>22487.5</v>
      </c>
      <c r="R57" s="170">
        <f t="shared" si="5"/>
        <v>764575</v>
      </c>
      <c r="S57" s="175"/>
      <c r="T57" s="175"/>
      <c r="U57" s="175"/>
      <c r="V57" s="175"/>
    </row>
    <row r="58" spans="1:22" s="147" customFormat="1" ht="45.75" customHeight="1">
      <c r="A58" s="168">
        <v>52</v>
      </c>
      <c r="B58" s="412" t="s">
        <v>273</v>
      </c>
      <c r="C58" s="413" t="s">
        <v>276</v>
      </c>
      <c r="D58" s="414"/>
      <c r="E58" s="414">
        <v>37</v>
      </c>
      <c r="F58" s="473" t="s">
        <v>229</v>
      </c>
      <c r="G58" s="414" t="s">
        <v>186</v>
      </c>
      <c r="H58" s="415">
        <v>4497500</v>
      </c>
      <c r="I58" s="407" t="s">
        <v>277</v>
      </c>
      <c r="J58" s="169">
        <f t="shared" si="0"/>
        <v>472237.5</v>
      </c>
      <c r="K58" s="416" t="s">
        <v>212</v>
      </c>
      <c r="L58" s="169">
        <f t="shared" si="1"/>
        <v>134925</v>
      </c>
      <c r="M58" s="416" t="s">
        <v>436</v>
      </c>
      <c r="N58" s="169">
        <f t="shared" si="2"/>
        <v>89950</v>
      </c>
      <c r="O58" s="416" t="s">
        <v>432</v>
      </c>
      <c r="P58" s="169">
        <f t="shared" si="3"/>
        <v>44975</v>
      </c>
      <c r="Q58" s="170">
        <f t="shared" si="4"/>
        <v>22487.5</v>
      </c>
      <c r="R58" s="170">
        <f t="shared" si="5"/>
        <v>764575</v>
      </c>
      <c r="S58" s="175"/>
      <c r="T58" s="175"/>
      <c r="U58" s="175"/>
      <c r="V58" s="175"/>
    </row>
    <row r="59" spans="1:22" s="147" customFormat="1" ht="45.75" customHeight="1">
      <c r="A59" s="168">
        <v>53</v>
      </c>
      <c r="B59" s="412" t="s">
        <v>273</v>
      </c>
      <c r="C59" s="413" t="s">
        <v>278</v>
      </c>
      <c r="D59" s="414">
        <v>28</v>
      </c>
      <c r="E59" s="414"/>
      <c r="F59" s="473" t="s">
        <v>279</v>
      </c>
      <c r="G59" s="414" t="s">
        <v>186</v>
      </c>
      <c r="H59" s="415">
        <v>3405500</v>
      </c>
      <c r="I59" s="407" t="s">
        <v>277</v>
      </c>
      <c r="J59" s="169">
        <f t="shared" si="0"/>
        <v>357577.5</v>
      </c>
      <c r="K59" s="416" t="s">
        <v>212</v>
      </c>
      <c r="L59" s="169">
        <f t="shared" si="1"/>
        <v>102165</v>
      </c>
      <c r="M59" s="416" t="s">
        <v>436</v>
      </c>
      <c r="N59" s="169">
        <f t="shared" si="2"/>
        <v>68110</v>
      </c>
      <c r="O59" s="416" t="s">
        <v>432</v>
      </c>
      <c r="P59" s="169">
        <f t="shared" si="3"/>
        <v>34055</v>
      </c>
      <c r="Q59" s="170">
        <f t="shared" si="4"/>
        <v>17027.5</v>
      </c>
      <c r="R59" s="170">
        <f t="shared" si="5"/>
        <v>578935</v>
      </c>
      <c r="S59" s="175"/>
      <c r="T59" s="175"/>
      <c r="U59" s="175"/>
      <c r="V59" s="175"/>
    </row>
    <row r="60" spans="1:22" s="147" customFormat="1" ht="45.75" customHeight="1">
      <c r="A60" s="168">
        <v>54</v>
      </c>
      <c r="B60" s="412" t="s">
        <v>273</v>
      </c>
      <c r="C60" s="413" t="s">
        <v>280</v>
      </c>
      <c r="D60" s="414"/>
      <c r="E60" s="414">
        <v>16</v>
      </c>
      <c r="F60" s="473" t="s">
        <v>231</v>
      </c>
      <c r="G60" s="414" t="s">
        <v>182</v>
      </c>
      <c r="H60" s="415">
        <v>2559100</v>
      </c>
      <c r="I60" s="407" t="s">
        <v>183</v>
      </c>
      <c r="J60" s="169">
        <f t="shared" si="0"/>
        <v>268705.50000000006</v>
      </c>
      <c r="K60" s="416" t="s">
        <v>431</v>
      </c>
      <c r="L60" s="169">
        <f t="shared" si="1"/>
        <v>76773</v>
      </c>
      <c r="M60" s="416" t="s">
        <v>432</v>
      </c>
      <c r="N60" s="169">
        <f t="shared" si="2"/>
        <v>51182</v>
      </c>
      <c r="O60" s="416" t="s">
        <v>429</v>
      </c>
      <c r="P60" s="169">
        <f t="shared" si="3"/>
        <v>25591</v>
      </c>
      <c r="Q60" s="170">
        <f t="shared" si="4"/>
        <v>12795.5</v>
      </c>
      <c r="R60" s="170">
        <f t="shared" si="5"/>
        <v>435047.00000000006</v>
      </c>
      <c r="S60" s="175"/>
      <c r="T60" s="175"/>
      <c r="U60" s="175"/>
      <c r="V60" s="175"/>
    </row>
    <row r="61" spans="1:22" s="147" customFormat="1" ht="45.75" customHeight="1">
      <c r="A61" s="168">
        <v>55</v>
      </c>
      <c r="B61" s="412" t="s">
        <v>273</v>
      </c>
      <c r="C61" s="413" t="s">
        <v>281</v>
      </c>
      <c r="D61" s="414">
        <v>39</v>
      </c>
      <c r="E61" s="414"/>
      <c r="F61" s="473" t="s">
        <v>279</v>
      </c>
      <c r="G61" s="414" t="s">
        <v>186</v>
      </c>
      <c r="H61" s="415">
        <v>3405500</v>
      </c>
      <c r="I61" s="407" t="s">
        <v>212</v>
      </c>
      <c r="J61" s="169">
        <f t="shared" si="0"/>
        <v>246898.75000000006</v>
      </c>
      <c r="K61" s="416" t="s">
        <v>294</v>
      </c>
      <c r="L61" s="169">
        <f t="shared" si="1"/>
        <v>102165</v>
      </c>
      <c r="M61" s="416" t="s">
        <v>436</v>
      </c>
      <c r="N61" s="169">
        <f t="shared" si="2"/>
        <v>68110</v>
      </c>
      <c r="O61" s="416" t="s">
        <v>432</v>
      </c>
      <c r="P61" s="169">
        <f t="shared" si="3"/>
        <v>34055</v>
      </c>
      <c r="Q61" s="170">
        <f t="shared" si="4"/>
        <v>17027.5</v>
      </c>
      <c r="R61" s="170">
        <f t="shared" si="5"/>
        <v>468256.25000000006</v>
      </c>
      <c r="S61" s="175"/>
      <c r="T61" s="175"/>
      <c r="U61" s="175"/>
      <c r="V61" s="175"/>
    </row>
    <row r="62" spans="1:22" s="147" customFormat="1" ht="45.75" customHeight="1">
      <c r="A62" s="168">
        <v>56</v>
      </c>
      <c r="B62" s="412" t="s">
        <v>273</v>
      </c>
      <c r="C62" s="413" t="s">
        <v>282</v>
      </c>
      <c r="D62" s="414">
        <v>46</v>
      </c>
      <c r="E62" s="414"/>
      <c r="F62" s="473" t="s">
        <v>283</v>
      </c>
      <c r="G62" s="414" t="s">
        <v>219</v>
      </c>
      <c r="H62" s="415">
        <v>3382000</v>
      </c>
      <c r="I62" s="407" t="s">
        <v>183</v>
      </c>
      <c r="J62" s="169">
        <f t="shared" si="0"/>
        <v>355110</v>
      </c>
      <c r="K62" s="416" t="s">
        <v>431</v>
      </c>
      <c r="L62" s="169">
        <f t="shared" si="1"/>
        <v>101460</v>
      </c>
      <c r="M62" s="416" t="s">
        <v>432</v>
      </c>
      <c r="N62" s="169">
        <f t="shared" si="2"/>
        <v>67640</v>
      </c>
      <c r="O62" s="416" t="s">
        <v>429</v>
      </c>
      <c r="P62" s="169">
        <f t="shared" si="3"/>
        <v>33820</v>
      </c>
      <c r="Q62" s="170">
        <f t="shared" si="4"/>
        <v>16910</v>
      </c>
      <c r="R62" s="170">
        <f t="shared" si="5"/>
        <v>574940</v>
      </c>
      <c r="S62" s="175"/>
      <c r="T62" s="175"/>
      <c r="U62" s="175"/>
      <c r="V62" s="175"/>
    </row>
    <row r="63" spans="1:22" s="147" customFormat="1" ht="45.75" customHeight="1">
      <c r="A63" s="168">
        <v>57</v>
      </c>
      <c r="B63" s="412" t="s">
        <v>273</v>
      </c>
      <c r="C63" s="413" t="s">
        <v>284</v>
      </c>
      <c r="D63" s="414"/>
      <c r="E63" s="414">
        <v>72</v>
      </c>
      <c r="F63" s="473" t="s">
        <v>249</v>
      </c>
      <c r="G63" s="414" t="s">
        <v>182</v>
      </c>
      <c r="H63" s="415">
        <v>2127400</v>
      </c>
      <c r="I63" s="407" t="s">
        <v>183</v>
      </c>
      <c r="J63" s="169">
        <f t="shared" si="0"/>
        <v>223377</v>
      </c>
      <c r="K63" s="416" t="s">
        <v>432</v>
      </c>
      <c r="L63" s="169">
        <f t="shared" si="1"/>
        <v>63822</v>
      </c>
      <c r="M63" s="416" t="s">
        <v>431</v>
      </c>
      <c r="N63" s="169">
        <f t="shared" si="2"/>
        <v>42548</v>
      </c>
      <c r="O63" s="416" t="s">
        <v>429</v>
      </c>
      <c r="P63" s="169">
        <f t="shared" si="3"/>
        <v>21274</v>
      </c>
      <c r="Q63" s="170">
        <f t="shared" si="4"/>
        <v>10637</v>
      </c>
      <c r="R63" s="170">
        <f t="shared" si="5"/>
        <v>361658</v>
      </c>
      <c r="S63" s="175"/>
      <c r="T63" s="175"/>
      <c r="U63" s="175"/>
      <c r="V63" s="175"/>
    </row>
    <row r="64" spans="1:22" s="147" customFormat="1" ht="45.75" customHeight="1">
      <c r="A64" s="168">
        <v>58</v>
      </c>
      <c r="B64" s="412" t="s">
        <v>273</v>
      </c>
      <c r="C64" s="413" t="s">
        <v>285</v>
      </c>
      <c r="D64" s="414">
        <v>50</v>
      </c>
      <c r="E64" s="414"/>
      <c r="F64" s="473" t="s">
        <v>279</v>
      </c>
      <c r="G64" s="414" t="s">
        <v>186</v>
      </c>
      <c r="H64" s="415">
        <v>3405500</v>
      </c>
      <c r="I64" s="407" t="s">
        <v>212</v>
      </c>
      <c r="J64" s="169">
        <f t="shared" si="0"/>
        <v>246898.75000000006</v>
      </c>
      <c r="K64" s="416" t="s">
        <v>294</v>
      </c>
      <c r="L64" s="169">
        <f t="shared" si="1"/>
        <v>102165</v>
      </c>
      <c r="M64" s="416" t="s">
        <v>436</v>
      </c>
      <c r="N64" s="169">
        <f t="shared" si="2"/>
        <v>68110</v>
      </c>
      <c r="O64" s="416" t="s">
        <v>439</v>
      </c>
      <c r="P64" s="169">
        <f t="shared" si="3"/>
        <v>34055</v>
      </c>
      <c r="Q64" s="170">
        <f t="shared" si="4"/>
        <v>17027.5</v>
      </c>
      <c r="R64" s="170">
        <f t="shared" si="5"/>
        <v>468256.25000000006</v>
      </c>
      <c r="S64" s="175"/>
      <c r="T64" s="175"/>
      <c r="U64" s="175"/>
      <c r="V64" s="175"/>
    </row>
    <row r="65" spans="1:22" s="147" customFormat="1" ht="45.75" customHeight="1">
      <c r="A65" s="168">
        <v>59</v>
      </c>
      <c r="B65" s="412" t="s">
        <v>273</v>
      </c>
      <c r="C65" s="413" t="s">
        <v>286</v>
      </c>
      <c r="D65" s="414">
        <v>37</v>
      </c>
      <c r="E65" s="414"/>
      <c r="F65" s="473" t="s">
        <v>229</v>
      </c>
      <c r="G65" s="414" t="s">
        <v>186</v>
      </c>
      <c r="H65" s="415">
        <v>4497500</v>
      </c>
      <c r="I65" s="407" t="s">
        <v>183</v>
      </c>
      <c r="J65" s="169">
        <f t="shared" si="0"/>
        <v>472237.5</v>
      </c>
      <c r="K65" s="416" t="s">
        <v>435</v>
      </c>
      <c r="L65" s="169">
        <f t="shared" si="1"/>
        <v>134925</v>
      </c>
      <c r="M65" s="416" t="s">
        <v>430</v>
      </c>
      <c r="N65" s="169">
        <f t="shared" si="2"/>
        <v>89950</v>
      </c>
      <c r="O65" s="416" t="s">
        <v>436</v>
      </c>
      <c r="P65" s="169">
        <f t="shared" si="3"/>
        <v>44975</v>
      </c>
      <c r="Q65" s="170">
        <f t="shared" si="4"/>
        <v>22487.5</v>
      </c>
      <c r="R65" s="170">
        <f t="shared" si="5"/>
        <v>764575</v>
      </c>
      <c r="S65" s="175"/>
      <c r="T65" s="175"/>
      <c r="U65" s="175"/>
      <c r="V65" s="175"/>
    </row>
    <row r="66" spans="1:22" s="147" customFormat="1" ht="45.75" customHeight="1">
      <c r="A66" s="168">
        <v>60</v>
      </c>
      <c r="B66" s="412" t="s">
        <v>273</v>
      </c>
      <c r="C66" s="413" t="s">
        <v>287</v>
      </c>
      <c r="D66" s="414"/>
      <c r="E66" s="414">
        <v>65</v>
      </c>
      <c r="F66" s="473" t="s">
        <v>229</v>
      </c>
      <c r="G66" s="414" t="s">
        <v>219</v>
      </c>
      <c r="H66" s="415">
        <v>9972000</v>
      </c>
      <c r="I66" s="407" t="s">
        <v>134</v>
      </c>
      <c r="J66" s="169">
        <f t="shared" si="0"/>
        <v>1047060.0000000002</v>
      </c>
      <c r="K66" s="416" t="s">
        <v>430</v>
      </c>
      <c r="L66" s="169">
        <f t="shared" si="1"/>
        <v>299160</v>
      </c>
      <c r="M66" s="416" t="s">
        <v>435</v>
      </c>
      <c r="N66" s="169">
        <f t="shared" si="2"/>
        <v>199440</v>
      </c>
      <c r="O66" s="416" t="s">
        <v>439</v>
      </c>
      <c r="P66" s="169">
        <f t="shared" si="3"/>
        <v>99720</v>
      </c>
      <c r="Q66" s="170">
        <f t="shared" si="4"/>
        <v>49860</v>
      </c>
      <c r="R66" s="170">
        <f t="shared" si="5"/>
        <v>1695240.0000000002</v>
      </c>
      <c r="S66" s="175"/>
      <c r="T66" s="175"/>
      <c r="U66" s="175"/>
      <c r="V66" s="175"/>
    </row>
    <row r="67" spans="1:22" s="147" customFormat="1" ht="45.75" customHeight="1">
      <c r="A67" s="168">
        <v>61</v>
      </c>
      <c r="B67" s="412" t="s">
        <v>288</v>
      </c>
      <c r="C67" s="413" t="s">
        <v>289</v>
      </c>
      <c r="D67" s="414"/>
      <c r="E67" s="414">
        <v>62</v>
      </c>
      <c r="F67" s="473" t="s">
        <v>290</v>
      </c>
      <c r="G67" s="414" t="s">
        <v>182</v>
      </c>
      <c r="H67" s="415">
        <v>859300</v>
      </c>
      <c r="I67" s="407" t="s">
        <v>190</v>
      </c>
      <c r="J67" s="169">
        <f t="shared" si="0"/>
        <v>70892.250000000015</v>
      </c>
      <c r="K67" s="416" t="s">
        <v>434</v>
      </c>
      <c r="L67" s="169">
        <f t="shared" si="1"/>
        <v>25779</v>
      </c>
      <c r="M67" s="416" t="s">
        <v>439</v>
      </c>
      <c r="N67" s="169">
        <f t="shared" si="2"/>
        <v>17186</v>
      </c>
      <c r="O67" s="416" t="s">
        <v>56</v>
      </c>
      <c r="P67" s="169">
        <f t="shared" si="3"/>
        <v>0</v>
      </c>
      <c r="Q67" s="170">
        <f t="shared" si="4"/>
        <v>4296.5</v>
      </c>
      <c r="R67" s="170">
        <f t="shared" si="5"/>
        <v>118153.75000000001</v>
      </c>
      <c r="S67" s="175"/>
      <c r="T67" s="175"/>
      <c r="U67" s="175"/>
      <c r="V67" s="175"/>
    </row>
    <row r="68" spans="1:22" s="147" customFormat="1" ht="45.75" customHeight="1">
      <c r="A68" s="168">
        <v>62</v>
      </c>
      <c r="B68" s="412" t="s">
        <v>288</v>
      </c>
      <c r="C68" s="413" t="s">
        <v>291</v>
      </c>
      <c r="D68" s="414">
        <v>60</v>
      </c>
      <c r="E68" s="414"/>
      <c r="F68" s="473" t="s">
        <v>292</v>
      </c>
      <c r="G68" s="414" t="s">
        <v>186</v>
      </c>
      <c r="H68" s="415">
        <v>5397500</v>
      </c>
      <c r="I68" s="407" t="s">
        <v>212</v>
      </c>
      <c r="J68" s="169">
        <f t="shared" si="0"/>
        <v>553243.75000000012</v>
      </c>
      <c r="K68" s="416" t="s">
        <v>294</v>
      </c>
      <c r="L68" s="169">
        <f t="shared" si="1"/>
        <v>161925</v>
      </c>
      <c r="M68" s="416" t="s">
        <v>56</v>
      </c>
      <c r="N68" s="169">
        <f t="shared" si="2"/>
        <v>0</v>
      </c>
      <c r="O68" s="416" t="s">
        <v>56</v>
      </c>
      <c r="P68" s="169">
        <f t="shared" si="3"/>
        <v>0</v>
      </c>
      <c r="Q68" s="170">
        <f t="shared" si="4"/>
        <v>26987.5</v>
      </c>
      <c r="R68" s="170">
        <f t="shared" si="5"/>
        <v>742156.25000000012</v>
      </c>
      <c r="S68" s="175"/>
      <c r="T68" s="175"/>
      <c r="U68" s="175"/>
      <c r="V68" s="175"/>
    </row>
    <row r="69" spans="1:22" s="147" customFormat="1" ht="45.75" customHeight="1">
      <c r="A69" s="168">
        <v>63</v>
      </c>
      <c r="B69" s="412" t="s">
        <v>288</v>
      </c>
      <c r="C69" s="413" t="s">
        <v>293</v>
      </c>
      <c r="D69" s="414">
        <v>39</v>
      </c>
      <c r="E69" s="414"/>
      <c r="F69" s="473" t="s">
        <v>259</v>
      </c>
      <c r="G69" s="414" t="s">
        <v>186</v>
      </c>
      <c r="H69" s="415">
        <v>3405500</v>
      </c>
      <c r="I69" s="407" t="s">
        <v>294</v>
      </c>
      <c r="J69" s="169">
        <f t="shared" si="0"/>
        <v>357577.5</v>
      </c>
      <c r="K69" s="416" t="s">
        <v>212</v>
      </c>
      <c r="L69" s="169">
        <f t="shared" si="1"/>
        <v>102165</v>
      </c>
      <c r="M69" s="416" t="s">
        <v>435</v>
      </c>
      <c r="N69" s="169">
        <f t="shared" si="2"/>
        <v>68110</v>
      </c>
      <c r="O69" s="416" t="s">
        <v>439</v>
      </c>
      <c r="P69" s="169">
        <f t="shared" si="3"/>
        <v>34055</v>
      </c>
      <c r="Q69" s="170">
        <f t="shared" si="4"/>
        <v>17027.5</v>
      </c>
      <c r="R69" s="170">
        <f t="shared" si="5"/>
        <v>578935</v>
      </c>
      <c r="S69" s="175"/>
      <c r="T69" s="175"/>
      <c r="U69" s="175"/>
      <c r="V69" s="175"/>
    </row>
    <row r="70" spans="1:22" s="147" customFormat="1" ht="45.75" customHeight="1">
      <c r="A70" s="168">
        <v>64</v>
      </c>
      <c r="B70" s="412" t="s">
        <v>288</v>
      </c>
      <c r="C70" s="413" t="s">
        <v>295</v>
      </c>
      <c r="D70" s="414"/>
      <c r="E70" s="414">
        <v>71</v>
      </c>
      <c r="F70" s="473" t="s">
        <v>200</v>
      </c>
      <c r="G70" s="414" t="s">
        <v>186</v>
      </c>
      <c r="H70" s="415">
        <v>3525500</v>
      </c>
      <c r="I70" s="407" t="s">
        <v>159</v>
      </c>
      <c r="J70" s="169">
        <f t="shared" si="0"/>
        <v>405432.5</v>
      </c>
      <c r="K70" s="416" t="s">
        <v>183</v>
      </c>
      <c r="L70" s="169">
        <f t="shared" si="1"/>
        <v>105765</v>
      </c>
      <c r="M70" s="416" t="s">
        <v>190</v>
      </c>
      <c r="N70" s="169">
        <f t="shared" si="2"/>
        <v>70510</v>
      </c>
      <c r="O70" s="416" t="s">
        <v>56</v>
      </c>
      <c r="P70" s="169">
        <f t="shared" si="3"/>
        <v>0</v>
      </c>
      <c r="Q70" s="170">
        <f t="shared" si="4"/>
        <v>17627.5</v>
      </c>
      <c r="R70" s="170">
        <f t="shared" si="5"/>
        <v>599335</v>
      </c>
      <c r="S70" s="175"/>
      <c r="T70" s="175"/>
      <c r="U70" s="175"/>
      <c r="V70" s="175"/>
    </row>
    <row r="71" spans="1:22" s="147" customFormat="1" ht="45.75" customHeight="1">
      <c r="A71" s="168">
        <v>65</v>
      </c>
      <c r="B71" s="412" t="s">
        <v>288</v>
      </c>
      <c r="C71" s="413" t="s">
        <v>296</v>
      </c>
      <c r="D71" s="414"/>
      <c r="E71" s="414">
        <v>40</v>
      </c>
      <c r="F71" s="473" t="s">
        <v>249</v>
      </c>
      <c r="G71" s="414" t="s">
        <v>182</v>
      </c>
      <c r="H71" s="415">
        <v>2127400</v>
      </c>
      <c r="I71" s="407" t="s">
        <v>134</v>
      </c>
      <c r="J71" s="169">
        <f t="shared" si="0"/>
        <v>244651</v>
      </c>
      <c r="K71" s="416" t="s">
        <v>431</v>
      </c>
      <c r="L71" s="169">
        <f t="shared" si="1"/>
        <v>63822</v>
      </c>
      <c r="M71" s="416" t="s">
        <v>432</v>
      </c>
      <c r="N71" s="169">
        <f t="shared" si="2"/>
        <v>42548</v>
      </c>
      <c r="O71" s="416" t="s">
        <v>56</v>
      </c>
      <c r="P71" s="169">
        <f t="shared" si="3"/>
        <v>0</v>
      </c>
      <c r="Q71" s="170">
        <f t="shared" si="4"/>
        <v>10637</v>
      </c>
      <c r="R71" s="170">
        <f t="shared" si="5"/>
        <v>361658</v>
      </c>
      <c r="S71" s="175"/>
      <c r="T71" s="175"/>
      <c r="U71" s="175"/>
      <c r="V71" s="175"/>
    </row>
    <row r="72" spans="1:22" s="147" customFormat="1" ht="45.75" customHeight="1">
      <c r="A72" s="168">
        <v>66</v>
      </c>
      <c r="B72" s="412" t="s">
        <v>288</v>
      </c>
      <c r="C72" s="413" t="s">
        <v>297</v>
      </c>
      <c r="D72" s="414">
        <v>57</v>
      </c>
      <c r="E72" s="414"/>
      <c r="F72" s="473" t="s">
        <v>256</v>
      </c>
      <c r="G72" s="414" t="s">
        <v>182</v>
      </c>
      <c r="H72" s="415">
        <v>2559100</v>
      </c>
      <c r="I72" s="407" t="s">
        <v>159</v>
      </c>
      <c r="J72" s="169">
        <f t="shared" ref="J72:J135" si="6">R72-L72-N72-P72-Q72</f>
        <v>294296.50000000006</v>
      </c>
      <c r="K72" s="416" t="s">
        <v>190</v>
      </c>
      <c r="L72" s="169">
        <f t="shared" ref="L72:L163" si="7">IF(K72="-",0,H72*0.03)</f>
        <v>76773</v>
      </c>
      <c r="M72" s="416" t="s">
        <v>434</v>
      </c>
      <c r="N72" s="169">
        <f t="shared" ref="N72:N163" si="8">IF(M72="-",0,H72*0.02)</f>
        <v>51182</v>
      </c>
      <c r="O72" s="416" t="s">
        <v>56</v>
      </c>
      <c r="P72" s="169">
        <f t="shared" ref="P72:P163" si="9">IF(O72="-",0,H72*0.01)</f>
        <v>0</v>
      </c>
      <c r="Q72" s="170">
        <f t="shared" ref="Q72:Q163" si="10">H72*0.005</f>
        <v>12795.5</v>
      </c>
      <c r="R72" s="170">
        <f t="shared" ref="R72:R163" si="11">IF(I72="V.Tân",H72*0.1375,IF(I72="nguyện",H72*0.1375,IF(I72="TOẢN",H72*0.1375,H72*0.17)))</f>
        <v>435047.00000000006</v>
      </c>
      <c r="S72" s="175"/>
      <c r="T72" s="175"/>
      <c r="U72" s="175"/>
      <c r="V72" s="175"/>
    </row>
    <row r="73" spans="1:22" s="147" customFormat="1" ht="45.75" customHeight="1">
      <c r="A73" s="168">
        <v>67</v>
      </c>
      <c r="B73" s="412" t="s">
        <v>288</v>
      </c>
      <c r="C73" s="413" t="s">
        <v>297</v>
      </c>
      <c r="D73" s="414">
        <v>57</v>
      </c>
      <c r="E73" s="414"/>
      <c r="F73" s="473" t="s">
        <v>298</v>
      </c>
      <c r="G73" s="414" t="s">
        <v>182</v>
      </c>
      <c r="H73" s="415">
        <v>1279550</v>
      </c>
      <c r="I73" s="407" t="s">
        <v>190</v>
      </c>
      <c r="J73" s="169">
        <f t="shared" si="6"/>
        <v>92767.375</v>
      </c>
      <c r="K73" s="416" t="s">
        <v>159</v>
      </c>
      <c r="L73" s="169">
        <f t="shared" si="7"/>
        <v>38386.5</v>
      </c>
      <c r="M73" s="416" t="s">
        <v>434</v>
      </c>
      <c r="N73" s="169">
        <f t="shared" si="8"/>
        <v>25591</v>
      </c>
      <c r="O73" s="416" t="s">
        <v>439</v>
      </c>
      <c r="P73" s="169">
        <f t="shared" si="9"/>
        <v>12795.5</v>
      </c>
      <c r="Q73" s="170">
        <f t="shared" si="10"/>
        <v>6397.75</v>
      </c>
      <c r="R73" s="170">
        <f t="shared" si="11"/>
        <v>175938.125</v>
      </c>
      <c r="S73" s="175"/>
      <c r="T73" s="175"/>
      <c r="U73" s="175"/>
      <c r="V73" s="175"/>
    </row>
    <row r="74" spans="1:22" s="147" customFormat="1" ht="45.75" customHeight="1">
      <c r="A74" s="168">
        <v>68</v>
      </c>
      <c r="B74" s="412" t="s">
        <v>299</v>
      </c>
      <c r="C74" s="413" t="s">
        <v>300</v>
      </c>
      <c r="D74" s="414">
        <v>43</v>
      </c>
      <c r="E74" s="414"/>
      <c r="F74" s="473" t="s">
        <v>200</v>
      </c>
      <c r="G74" s="414" t="s">
        <v>186</v>
      </c>
      <c r="H74" s="415">
        <v>3525500</v>
      </c>
      <c r="I74" s="407" t="s">
        <v>159</v>
      </c>
      <c r="J74" s="169">
        <f t="shared" si="6"/>
        <v>370177.5</v>
      </c>
      <c r="K74" s="416" t="s">
        <v>190</v>
      </c>
      <c r="L74" s="169">
        <f t="shared" si="7"/>
        <v>105765</v>
      </c>
      <c r="M74" s="416" t="s">
        <v>432</v>
      </c>
      <c r="N74" s="169">
        <f t="shared" si="8"/>
        <v>70510</v>
      </c>
      <c r="O74" s="416" t="s">
        <v>434</v>
      </c>
      <c r="P74" s="169">
        <f t="shared" si="9"/>
        <v>35255</v>
      </c>
      <c r="Q74" s="170">
        <f t="shared" si="10"/>
        <v>17627.5</v>
      </c>
      <c r="R74" s="170">
        <f t="shared" si="11"/>
        <v>599335</v>
      </c>
      <c r="S74" s="175"/>
      <c r="T74" s="175"/>
      <c r="U74" s="175"/>
      <c r="V74" s="175"/>
    </row>
    <row r="75" spans="1:22" s="147" customFormat="1" ht="45.75" customHeight="1">
      <c r="A75" s="168">
        <v>69</v>
      </c>
      <c r="B75" s="412" t="s">
        <v>299</v>
      </c>
      <c r="C75" s="413" t="s">
        <v>301</v>
      </c>
      <c r="D75" s="414"/>
      <c r="E75" s="414">
        <v>60</v>
      </c>
      <c r="F75" s="473" t="s">
        <v>229</v>
      </c>
      <c r="G75" s="414" t="s">
        <v>186</v>
      </c>
      <c r="H75" s="415">
        <v>4497500</v>
      </c>
      <c r="I75" s="407" t="s">
        <v>190</v>
      </c>
      <c r="J75" s="169">
        <f t="shared" si="6"/>
        <v>326068.75</v>
      </c>
      <c r="K75" s="416" t="s">
        <v>428</v>
      </c>
      <c r="L75" s="169">
        <f t="shared" si="7"/>
        <v>134925</v>
      </c>
      <c r="M75" s="416" t="s">
        <v>430</v>
      </c>
      <c r="N75" s="169">
        <f t="shared" si="8"/>
        <v>89950</v>
      </c>
      <c r="O75" s="416" t="s">
        <v>434</v>
      </c>
      <c r="P75" s="169">
        <f t="shared" si="9"/>
        <v>44975</v>
      </c>
      <c r="Q75" s="170">
        <f t="shared" si="10"/>
        <v>22487.5</v>
      </c>
      <c r="R75" s="170">
        <f t="shared" si="11"/>
        <v>618406.25</v>
      </c>
      <c r="S75" s="175"/>
      <c r="T75" s="175"/>
      <c r="U75" s="175"/>
      <c r="V75" s="175"/>
    </row>
    <row r="76" spans="1:22" s="147" customFormat="1" ht="45.75" customHeight="1">
      <c r="A76" s="168">
        <v>70</v>
      </c>
      <c r="B76" s="412" t="s">
        <v>299</v>
      </c>
      <c r="C76" s="413" t="s">
        <v>302</v>
      </c>
      <c r="D76" s="414">
        <v>51</v>
      </c>
      <c r="E76" s="414"/>
      <c r="F76" s="473" t="s">
        <v>229</v>
      </c>
      <c r="G76" s="414" t="s">
        <v>186</v>
      </c>
      <c r="H76" s="415">
        <v>4497500</v>
      </c>
      <c r="I76" s="407" t="s">
        <v>183</v>
      </c>
      <c r="J76" s="169">
        <f t="shared" si="6"/>
        <v>472237.5</v>
      </c>
      <c r="K76" s="416" t="s">
        <v>428</v>
      </c>
      <c r="L76" s="169">
        <f t="shared" si="7"/>
        <v>134925</v>
      </c>
      <c r="M76" s="416" t="s">
        <v>431</v>
      </c>
      <c r="N76" s="169">
        <f t="shared" si="8"/>
        <v>89950</v>
      </c>
      <c r="O76" s="416" t="s">
        <v>432</v>
      </c>
      <c r="P76" s="169">
        <f t="shared" si="9"/>
        <v>44975</v>
      </c>
      <c r="Q76" s="170">
        <f t="shared" si="10"/>
        <v>22487.5</v>
      </c>
      <c r="R76" s="170">
        <f t="shared" si="11"/>
        <v>764575</v>
      </c>
      <c r="S76" s="175"/>
      <c r="T76" s="175"/>
      <c r="U76" s="175"/>
      <c r="V76" s="175"/>
    </row>
    <row r="77" spans="1:22" s="147" customFormat="1" ht="45.75" customHeight="1">
      <c r="A77" s="168">
        <v>71</v>
      </c>
      <c r="B77" s="412" t="s">
        <v>299</v>
      </c>
      <c r="C77" s="413" t="s">
        <v>303</v>
      </c>
      <c r="D77" s="414">
        <v>53</v>
      </c>
      <c r="E77" s="414"/>
      <c r="F77" s="473" t="s">
        <v>229</v>
      </c>
      <c r="G77" s="414" t="s">
        <v>186</v>
      </c>
      <c r="H77" s="415">
        <v>4497500</v>
      </c>
      <c r="I77" s="407" t="s">
        <v>134</v>
      </c>
      <c r="J77" s="169">
        <f t="shared" si="6"/>
        <v>472237.5</v>
      </c>
      <c r="K77" s="416" t="s">
        <v>432</v>
      </c>
      <c r="L77" s="169">
        <f t="shared" si="7"/>
        <v>134925</v>
      </c>
      <c r="M77" s="416" t="s">
        <v>434</v>
      </c>
      <c r="N77" s="169">
        <f t="shared" si="8"/>
        <v>89950</v>
      </c>
      <c r="O77" s="416" t="s">
        <v>431</v>
      </c>
      <c r="P77" s="169">
        <f t="shared" si="9"/>
        <v>44975</v>
      </c>
      <c r="Q77" s="170">
        <f t="shared" si="10"/>
        <v>22487.5</v>
      </c>
      <c r="R77" s="170">
        <f t="shared" si="11"/>
        <v>764575</v>
      </c>
      <c r="S77" s="175"/>
      <c r="T77" s="175"/>
      <c r="U77" s="175"/>
      <c r="V77" s="175"/>
    </row>
    <row r="78" spans="1:22" s="147" customFormat="1" ht="45.75" customHeight="1">
      <c r="A78" s="168">
        <v>72</v>
      </c>
      <c r="B78" s="412" t="s">
        <v>304</v>
      </c>
      <c r="C78" s="413" t="s">
        <v>305</v>
      </c>
      <c r="D78" s="414">
        <v>49</v>
      </c>
      <c r="E78" s="414"/>
      <c r="F78" s="473" t="s">
        <v>267</v>
      </c>
      <c r="G78" s="414" t="s">
        <v>219</v>
      </c>
      <c r="H78" s="415">
        <v>8993000</v>
      </c>
      <c r="I78" s="407" t="s">
        <v>134</v>
      </c>
      <c r="J78" s="169">
        <f t="shared" si="6"/>
        <v>944265</v>
      </c>
      <c r="K78" s="416" t="s">
        <v>432</v>
      </c>
      <c r="L78" s="169">
        <f t="shared" si="7"/>
        <v>269790</v>
      </c>
      <c r="M78" s="416" t="s">
        <v>437</v>
      </c>
      <c r="N78" s="169">
        <f t="shared" si="8"/>
        <v>179860</v>
      </c>
      <c r="O78" s="416" t="s">
        <v>439</v>
      </c>
      <c r="P78" s="169">
        <f t="shared" si="9"/>
        <v>89930</v>
      </c>
      <c r="Q78" s="170">
        <f t="shared" si="10"/>
        <v>44965</v>
      </c>
      <c r="R78" s="170">
        <f t="shared" si="11"/>
        <v>1528810</v>
      </c>
      <c r="S78" s="175"/>
      <c r="T78" s="175"/>
      <c r="U78" s="175"/>
      <c r="V78" s="175"/>
    </row>
    <row r="79" spans="1:22" s="147" customFormat="1" ht="45.75" customHeight="1">
      <c r="A79" s="168">
        <v>73</v>
      </c>
      <c r="B79" s="412" t="s">
        <v>304</v>
      </c>
      <c r="C79" s="413" t="s">
        <v>306</v>
      </c>
      <c r="D79" s="414">
        <v>15</v>
      </c>
      <c r="E79" s="414"/>
      <c r="F79" s="473" t="s">
        <v>229</v>
      </c>
      <c r="G79" s="414" t="s">
        <v>186</v>
      </c>
      <c r="H79" s="415">
        <v>4497500</v>
      </c>
      <c r="I79" s="407" t="s">
        <v>134</v>
      </c>
      <c r="J79" s="169">
        <f t="shared" si="6"/>
        <v>472237.5</v>
      </c>
      <c r="K79" s="416" t="s">
        <v>434</v>
      </c>
      <c r="L79" s="169">
        <f t="shared" si="7"/>
        <v>134925</v>
      </c>
      <c r="M79" s="416" t="s">
        <v>431</v>
      </c>
      <c r="N79" s="169">
        <f t="shared" si="8"/>
        <v>89950</v>
      </c>
      <c r="O79" s="416" t="s">
        <v>432</v>
      </c>
      <c r="P79" s="169">
        <f t="shared" si="9"/>
        <v>44975</v>
      </c>
      <c r="Q79" s="170">
        <f t="shared" si="10"/>
        <v>22487.5</v>
      </c>
      <c r="R79" s="170">
        <f t="shared" si="11"/>
        <v>764575</v>
      </c>
      <c r="S79" s="175"/>
      <c r="T79" s="175"/>
      <c r="U79" s="175"/>
      <c r="V79" s="175"/>
    </row>
    <row r="80" spans="1:22" s="147" customFormat="1" ht="45.75" customHeight="1">
      <c r="A80" s="168">
        <v>74</v>
      </c>
      <c r="B80" s="412" t="s">
        <v>304</v>
      </c>
      <c r="C80" s="413" t="s">
        <v>307</v>
      </c>
      <c r="D80" s="414"/>
      <c r="E80" s="414">
        <v>68</v>
      </c>
      <c r="F80" s="473" t="s">
        <v>242</v>
      </c>
      <c r="G80" s="414" t="s">
        <v>186</v>
      </c>
      <c r="H80" s="415">
        <v>4201900</v>
      </c>
      <c r="I80" s="407" t="s">
        <v>159</v>
      </c>
      <c r="J80" s="169">
        <f t="shared" si="6"/>
        <v>441199.5</v>
      </c>
      <c r="K80" s="416" t="s">
        <v>431</v>
      </c>
      <c r="L80" s="169">
        <f t="shared" si="7"/>
        <v>126057</v>
      </c>
      <c r="M80" s="416" t="s">
        <v>432</v>
      </c>
      <c r="N80" s="169">
        <f t="shared" si="8"/>
        <v>84038</v>
      </c>
      <c r="O80" s="416" t="s">
        <v>437</v>
      </c>
      <c r="P80" s="169">
        <f t="shared" si="9"/>
        <v>42019</v>
      </c>
      <c r="Q80" s="170">
        <f t="shared" si="10"/>
        <v>21009.5</v>
      </c>
      <c r="R80" s="170">
        <f t="shared" si="11"/>
        <v>714323</v>
      </c>
      <c r="S80" s="175"/>
      <c r="T80" s="175"/>
      <c r="U80" s="175"/>
      <c r="V80" s="175"/>
    </row>
    <row r="81" spans="1:22" s="147" customFormat="1" ht="45.75" customHeight="1">
      <c r="A81" s="168">
        <v>75</v>
      </c>
      <c r="B81" s="412" t="s">
        <v>308</v>
      </c>
      <c r="C81" s="413" t="s">
        <v>309</v>
      </c>
      <c r="D81" s="414">
        <v>21</v>
      </c>
      <c r="E81" s="414"/>
      <c r="F81" s="473" t="s">
        <v>229</v>
      </c>
      <c r="G81" s="414" t="s">
        <v>186</v>
      </c>
      <c r="H81" s="415">
        <v>4497500</v>
      </c>
      <c r="I81" s="407" t="s">
        <v>190</v>
      </c>
      <c r="J81" s="169">
        <f t="shared" si="6"/>
        <v>326068.75</v>
      </c>
      <c r="K81" s="416" t="s">
        <v>428</v>
      </c>
      <c r="L81" s="169">
        <f t="shared" si="7"/>
        <v>134925</v>
      </c>
      <c r="M81" s="416" t="s">
        <v>434</v>
      </c>
      <c r="N81" s="169">
        <f t="shared" si="8"/>
        <v>89950</v>
      </c>
      <c r="O81" s="416" t="s">
        <v>429</v>
      </c>
      <c r="P81" s="169">
        <f t="shared" si="9"/>
        <v>44975</v>
      </c>
      <c r="Q81" s="170">
        <f t="shared" si="10"/>
        <v>22487.5</v>
      </c>
      <c r="R81" s="170">
        <f t="shared" si="11"/>
        <v>618406.25</v>
      </c>
      <c r="S81" s="175"/>
      <c r="T81" s="175"/>
      <c r="U81" s="175"/>
      <c r="V81" s="175"/>
    </row>
    <row r="82" spans="1:22" s="147" customFormat="1" ht="45.75" customHeight="1">
      <c r="A82" s="168">
        <v>76</v>
      </c>
      <c r="B82" s="412" t="s">
        <v>308</v>
      </c>
      <c r="C82" s="413" t="s">
        <v>310</v>
      </c>
      <c r="D82" s="414">
        <v>76</v>
      </c>
      <c r="E82" s="414"/>
      <c r="F82" s="473" t="s">
        <v>229</v>
      </c>
      <c r="G82" s="414" t="s">
        <v>186</v>
      </c>
      <c r="H82" s="415">
        <v>4497500</v>
      </c>
      <c r="I82" s="407" t="s">
        <v>134</v>
      </c>
      <c r="J82" s="169">
        <f t="shared" si="6"/>
        <v>472237.5</v>
      </c>
      <c r="K82" s="416" t="s">
        <v>294</v>
      </c>
      <c r="L82" s="169">
        <f t="shared" si="7"/>
        <v>134925</v>
      </c>
      <c r="M82" s="416" t="s">
        <v>432</v>
      </c>
      <c r="N82" s="169">
        <f t="shared" si="8"/>
        <v>89950</v>
      </c>
      <c r="O82" s="416" t="s">
        <v>439</v>
      </c>
      <c r="P82" s="169">
        <f t="shared" si="9"/>
        <v>44975</v>
      </c>
      <c r="Q82" s="170">
        <f t="shared" si="10"/>
        <v>22487.5</v>
      </c>
      <c r="R82" s="170">
        <f t="shared" si="11"/>
        <v>764575</v>
      </c>
      <c r="S82" s="175"/>
      <c r="T82" s="175"/>
      <c r="U82" s="175"/>
      <c r="V82" s="175"/>
    </row>
    <row r="83" spans="1:22" s="147" customFormat="1" ht="45.75" customHeight="1">
      <c r="A83" s="168">
        <v>77</v>
      </c>
      <c r="B83" s="412" t="s">
        <v>308</v>
      </c>
      <c r="C83" s="413" t="s">
        <v>311</v>
      </c>
      <c r="D83" s="414">
        <v>48</v>
      </c>
      <c r="E83" s="414"/>
      <c r="F83" s="473" t="s">
        <v>249</v>
      </c>
      <c r="G83" s="414" t="s">
        <v>182</v>
      </c>
      <c r="H83" s="415">
        <v>2128200</v>
      </c>
      <c r="I83" s="407" t="s">
        <v>190</v>
      </c>
      <c r="J83" s="169">
        <f t="shared" si="6"/>
        <v>281986.5</v>
      </c>
      <c r="K83" s="416" t="s">
        <v>56</v>
      </c>
      <c r="L83" s="169">
        <f t="shared" si="7"/>
        <v>0</v>
      </c>
      <c r="M83" s="416" t="s">
        <v>56</v>
      </c>
      <c r="N83" s="169">
        <f t="shared" si="8"/>
        <v>0</v>
      </c>
      <c r="O83" s="416" t="s">
        <v>56</v>
      </c>
      <c r="P83" s="169">
        <f t="shared" si="9"/>
        <v>0</v>
      </c>
      <c r="Q83" s="170">
        <f t="shared" si="10"/>
        <v>10641</v>
      </c>
      <c r="R83" s="170">
        <f t="shared" si="11"/>
        <v>292627.5</v>
      </c>
      <c r="S83" s="175"/>
      <c r="T83" s="175"/>
      <c r="U83" s="175"/>
      <c r="V83" s="175"/>
    </row>
    <row r="84" spans="1:22" s="147" customFormat="1" ht="45.75" customHeight="1">
      <c r="A84" s="168">
        <v>78</v>
      </c>
      <c r="B84" s="412" t="s">
        <v>308</v>
      </c>
      <c r="C84" s="413" t="s">
        <v>312</v>
      </c>
      <c r="D84" s="414"/>
      <c r="E84" s="414">
        <v>58</v>
      </c>
      <c r="F84" s="473" t="s">
        <v>249</v>
      </c>
      <c r="G84" s="414" t="s">
        <v>182</v>
      </c>
      <c r="H84" s="415">
        <v>2128200</v>
      </c>
      <c r="I84" s="407" t="s">
        <v>190</v>
      </c>
      <c r="J84" s="169">
        <f t="shared" si="6"/>
        <v>154294.5</v>
      </c>
      <c r="K84" s="416" t="s">
        <v>428</v>
      </c>
      <c r="L84" s="169">
        <f t="shared" si="7"/>
        <v>63846</v>
      </c>
      <c r="M84" s="416" t="s">
        <v>434</v>
      </c>
      <c r="N84" s="169">
        <f t="shared" si="8"/>
        <v>42564</v>
      </c>
      <c r="O84" s="416" t="s">
        <v>429</v>
      </c>
      <c r="P84" s="169">
        <f t="shared" si="9"/>
        <v>21282</v>
      </c>
      <c r="Q84" s="170">
        <f t="shared" si="10"/>
        <v>10641</v>
      </c>
      <c r="R84" s="170">
        <f t="shared" si="11"/>
        <v>292627.5</v>
      </c>
      <c r="S84" s="175"/>
      <c r="T84" s="175"/>
      <c r="U84" s="175"/>
      <c r="V84" s="175"/>
    </row>
    <row r="85" spans="1:22" s="147" customFormat="1" ht="45.75" customHeight="1">
      <c r="A85" s="168">
        <v>79</v>
      </c>
      <c r="B85" s="412" t="s">
        <v>313</v>
      </c>
      <c r="C85" s="413" t="s">
        <v>314</v>
      </c>
      <c r="D85" s="414"/>
      <c r="E85" s="414">
        <v>59</v>
      </c>
      <c r="F85" s="473" t="s">
        <v>249</v>
      </c>
      <c r="G85" s="414" t="s">
        <v>182</v>
      </c>
      <c r="H85" s="415">
        <v>2128200</v>
      </c>
      <c r="I85" s="407" t="s">
        <v>134</v>
      </c>
      <c r="J85" s="169">
        <f t="shared" si="6"/>
        <v>244743</v>
      </c>
      <c r="K85" s="416" t="s">
        <v>432</v>
      </c>
      <c r="L85" s="169">
        <f t="shared" si="7"/>
        <v>63846</v>
      </c>
      <c r="M85" s="416" t="s">
        <v>437</v>
      </c>
      <c r="N85" s="169">
        <f t="shared" si="8"/>
        <v>42564</v>
      </c>
      <c r="O85" s="416" t="s">
        <v>56</v>
      </c>
      <c r="P85" s="169">
        <f t="shared" si="9"/>
        <v>0</v>
      </c>
      <c r="Q85" s="170">
        <f t="shared" si="10"/>
        <v>10641</v>
      </c>
      <c r="R85" s="170">
        <f t="shared" si="11"/>
        <v>361794</v>
      </c>
      <c r="S85" s="175"/>
      <c r="T85" s="175"/>
      <c r="U85" s="175"/>
      <c r="V85" s="175"/>
    </row>
    <row r="86" spans="1:22" s="147" customFormat="1" ht="45.75" customHeight="1">
      <c r="A86" s="168">
        <v>80</v>
      </c>
      <c r="B86" s="412" t="s">
        <v>315</v>
      </c>
      <c r="C86" s="413" t="s">
        <v>316</v>
      </c>
      <c r="D86" s="414">
        <v>54</v>
      </c>
      <c r="E86" s="414"/>
      <c r="F86" s="473" t="s">
        <v>229</v>
      </c>
      <c r="G86" s="414" t="s">
        <v>186</v>
      </c>
      <c r="H86" s="415">
        <v>4497500</v>
      </c>
      <c r="I86" s="407" t="s">
        <v>134</v>
      </c>
      <c r="J86" s="169">
        <f t="shared" si="6"/>
        <v>472237.5</v>
      </c>
      <c r="K86" s="416" t="s">
        <v>431</v>
      </c>
      <c r="L86" s="169">
        <f t="shared" si="7"/>
        <v>134925</v>
      </c>
      <c r="M86" s="416" t="s">
        <v>432</v>
      </c>
      <c r="N86" s="169">
        <f t="shared" si="8"/>
        <v>89950</v>
      </c>
      <c r="O86" s="416" t="s">
        <v>437</v>
      </c>
      <c r="P86" s="169">
        <f t="shared" si="9"/>
        <v>44975</v>
      </c>
      <c r="Q86" s="170">
        <f t="shared" si="10"/>
        <v>22487.5</v>
      </c>
      <c r="R86" s="170">
        <f t="shared" si="11"/>
        <v>764575</v>
      </c>
      <c r="S86" s="175"/>
      <c r="T86" s="175"/>
      <c r="U86" s="175"/>
      <c r="V86" s="175"/>
    </row>
    <row r="87" spans="1:22" s="147" customFormat="1" ht="45.75" customHeight="1">
      <c r="A87" s="168">
        <v>81</v>
      </c>
      <c r="B87" s="412" t="s">
        <v>315</v>
      </c>
      <c r="C87" s="413" t="s">
        <v>317</v>
      </c>
      <c r="D87" s="414">
        <v>52</v>
      </c>
      <c r="E87" s="414"/>
      <c r="F87" s="473" t="s">
        <v>229</v>
      </c>
      <c r="G87" s="414" t="s">
        <v>186</v>
      </c>
      <c r="H87" s="415">
        <v>4497500</v>
      </c>
      <c r="I87" s="407" t="s">
        <v>134</v>
      </c>
      <c r="J87" s="169">
        <f t="shared" si="6"/>
        <v>472237.5</v>
      </c>
      <c r="K87" s="416" t="s">
        <v>432</v>
      </c>
      <c r="L87" s="169">
        <f t="shared" si="7"/>
        <v>134925</v>
      </c>
      <c r="M87" s="416" t="s">
        <v>431</v>
      </c>
      <c r="N87" s="169">
        <f t="shared" si="8"/>
        <v>89950</v>
      </c>
      <c r="O87" s="416" t="s">
        <v>437</v>
      </c>
      <c r="P87" s="169">
        <f t="shared" si="9"/>
        <v>44975</v>
      </c>
      <c r="Q87" s="170">
        <f t="shared" si="10"/>
        <v>22487.5</v>
      </c>
      <c r="R87" s="170">
        <f t="shared" si="11"/>
        <v>764575</v>
      </c>
      <c r="S87" s="175"/>
      <c r="T87" s="175"/>
      <c r="U87" s="175"/>
      <c r="V87" s="175"/>
    </row>
    <row r="88" spans="1:22" s="147" customFormat="1" ht="45.75" customHeight="1">
      <c r="A88" s="168">
        <v>82</v>
      </c>
      <c r="B88" s="412" t="s">
        <v>315</v>
      </c>
      <c r="C88" s="413" t="s">
        <v>251</v>
      </c>
      <c r="D88" s="414">
        <v>49</v>
      </c>
      <c r="E88" s="414"/>
      <c r="F88" s="473" t="s">
        <v>181</v>
      </c>
      <c r="G88" s="414" t="s">
        <v>219</v>
      </c>
      <c r="H88" s="415">
        <v>5942000</v>
      </c>
      <c r="I88" s="407" t="s">
        <v>183</v>
      </c>
      <c r="J88" s="169">
        <f t="shared" si="6"/>
        <v>623910.00000000012</v>
      </c>
      <c r="K88" s="416" t="s">
        <v>437</v>
      </c>
      <c r="L88" s="169">
        <f t="shared" si="7"/>
        <v>178260</v>
      </c>
      <c r="M88" s="416" t="s">
        <v>432</v>
      </c>
      <c r="N88" s="169">
        <f t="shared" si="8"/>
        <v>118840</v>
      </c>
      <c r="O88" s="416" t="s">
        <v>431</v>
      </c>
      <c r="P88" s="169">
        <f t="shared" si="9"/>
        <v>59420</v>
      </c>
      <c r="Q88" s="170">
        <f t="shared" si="10"/>
        <v>29710</v>
      </c>
      <c r="R88" s="170">
        <f t="shared" si="11"/>
        <v>1010140.0000000001</v>
      </c>
      <c r="S88" s="175"/>
      <c r="T88" s="175"/>
      <c r="U88" s="175"/>
      <c r="V88" s="175"/>
    </row>
    <row r="89" spans="1:22" s="147" customFormat="1" ht="45.75" customHeight="1">
      <c r="A89" s="168">
        <v>83</v>
      </c>
      <c r="B89" s="412" t="s">
        <v>318</v>
      </c>
      <c r="C89" s="413" t="s">
        <v>319</v>
      </c>
      <c r="D89" s="414">
        <v>79</v>
      </c>
      <c r="E89" s="414"/>
      <c r="F89" s="473" t="s">
        <v>242</v>
      </c>
      <c r="G89" s="414" t="s">
        <v>186</v>
      </c>
      <c r="H89" s="415">
        <v>4201900</v>
      </c>
      <c r="I89" s="407" t="s">
        <v>159</v>
      </c>
      <c r="J89" s="169">
        <f t="shared" si="6"/>
        <v>441199.5</v>
      </c>
      <c r="K89" s="416" t="s">
        <v>183</v>
      </c>
      <c r="L89" s="169">
        <f t="shared" si="7"/>
        <v>126057</v>
      </c>
      <c r="M89" s="416" t="s">
        <v>436</v>
      </c>
      <c r="N89" s="169">
        <f t="shared" si="8"/>
        <v>84038</v>
      </c>
      <c r="O89" s="416" t="s">
        <v>434</v>
      </c>
      <c r="P89" s="169">
        <f t="shared" si="9"/>
        <v>42019</v>
      </c>
      <c r="Q89" s="170">
        <f t="shared" si="10"/>
        <v>21009.5</v>
      </c>
      <c r="R89" s="170">
        <f t="shared" si="11"/>
        <v>714323</v>
      </c>
      <c r="S89" s="175"/>
      <c r="T89" s="175"/>
      <c r="U89" s="175"/>
      <c r="V89" s="175"/>
    </row>
    <row r="90" spans="1:22" s="147" customFormat="1" ht="45.75" customHeight="1">
      <c r="A90" s="168">
        <v>84</v>
      </c>
      <c r="B90" s="412" t="s">
        <v>318</v>
      </c>
      <c r="C90" s="413" t="s">
        <v>320</v>
      </c>
      <c r="D90" s="414"/>
      <c r="E90" s="414">
        <v>40</v>
      </c>
      <c r="F90" s="473" t="s">
        <v>229</v>
      </c>
      <c r="G90" s="414" t="s">
        <v>186</v>
      </c>
      <c r="H90" s="415">
        <v>4497500</v>
      </c>
      <c r="I90" s="407" t="s">
        <v>190</v>
      </c>
      <c r="J90" s="169">
        <f t="shared" si="6"/>
        <v>326068.75</v>
      </c>
      <c r="K90" s="416" t="s">
        <v>428</v>
      </c>
      <c r="L90" s="169">
        <f t="shared" si="7"/>
        <v>134925</v>
      </c>
      <c r="M90" s="416" t="s">
        <v>436</v>
      </c>
      <c r="N90" s="169">
        <f t="shared" si="8"/>
        <v>89950</v>
      </c>
      <c r="O90" s="416" t="s">
        <v>442</v>
      </c>
      <c r="P90" s="169">
        <f t="shared" si="9"/>
        <v>44975</v>
      </c>
      <c r="Q90" s="170">
        <f t="shared" si="10"/>
        <v>22487.5</v>
      </c>
      <c r="R90" s="170">
        <f t="shared" si="11"/>
        <v>618406.25</v>
      </c>
      <c r="S90" s="175"/>
      <c r="T90" s="175"/>
      <c r="U90" s="175"/>
      <c r="V90" s="175"/>
    </row>
    <row r="91" spans="1:22" s="147" customFormat="1" ht="45.75" customHeight="1">
      <c r="A91" s="168">
        <v>85</v>
      </c>
      <c r="B91" s="412" t="s">
        <v>318</v>
      </c>
      <c r="C91" s="413" t="s">
        <v>321</v>
      </c>
      <c r="D91" s="414"/>
      <c r="E91" s="414">
        <v>38</v>
      </c>
      <c r="F91" s="473" t="s">
        <v>242</v>
      </c>
      <c r="G91" s="414" t="s">
        <v>186</v>
      </c>
      <c r="H91" s="415">
        <v>4201900</v>
      </c>
      <c r="I91" s="407" t="s">
        <v>159</v>
      </c>
      <c r="J91" s="169">
        <f t="shared" si="6"/>
        <v>441199.5</v>
      </c>
      <c r="K91" s="416" t="s">
        <v>134</v>
      </c>
      <c r="L91" s="169">
        <f t="shared" si="7"/>
        <v>126057</v>
      </c>
      <c r="M91" s="416" t="s">
        <v>436</v>
      </c>
      <c r="N91" s="169">
        <f t="shared" si="8"/>
        <v>84038</v>
      </c>
      <c r="O91" s="416" t="s">
        <v>434</v>
      </c>
      <c r="P91" s="169">
        <f t="shared" si="9"/>
        <v>42019</v>
      </c>
      <c r="Q91" s="170">
        <f t="shared" si="10"/>
        <v>21009.5</v>
      </c>
      <c r="R91" s="170">
        <f t="shared" si="11"/>
        <v>714323</v>
      </c>
      <c r="S91" s="175"/>
      <c r="T91" s="175"/>
      <c r="U91" s="175"/>
      <c r="V91" s="175"/>
    </row>
    <row r="92" spans="1:22" s="147" customFormat="1" ht="45.75" customHeight="1">
      <c r="A92" s="168">
        <v>86</v>
      </c>
      <c r="B92" s="412" t="s">
        <v>322</v>
      </c>
      <c r="C92" s="413" t="s">
        <v>323</v>
      </c>
      <c r="D92" s="414">
        <v>34</v>
      </c>
      <c r="E92" s="414"/>
      <c r="F92" s="473" t="s">
        <v>246</v>
      </c>
      <c r="G92" s="414" t="s">
        <v>182</v>
      </c>
      <c r="H92" s="415">
        <v>2559100</v>
      </c>
      <c r="I92" s="407" t="s">
        <v>159</v>
      </c>
      <c r="J92" s="169">
        <f t="shared" si="6"/>
        <v>345478.50000000006</v>
      </c>
      <c r="K92" s="416" t="s">
        <v>190</v>
      </c>
      <c r="L92" s="169">
        <f t="shared" si="7"/>
        <v>76773</v>
      </c>
      <c r="M92" s="416" t="s">
        <v>56</v>
      </c>
      <c r="N92" s="169">
        <f t="shared" si="8"/>
        <v>0</v>
      </c>
      <c r="O92" s="416" t="s">
        <v>56</v>
      </c>
      <c r="P92" s="169">
        <f t="shared" si="9"/>
        <v>0</v>
      </c>
      <c r="Q92" s="170">
        <f t="shared" si="10"/>
        <v>12795.5</v>
      </c>
      <c r="R92" s="170">
        <f t="shared" si="11"/>
        <v>435047.00000000006</v>
      </c>
      <c r="S92" s="175"/>
      <c r="T92" s="175"/>
      <c r="U92" s="175"/>
      <c r="V92" s="175"/>
    </row>
    <row r="93" spans="1:22" s="147" customFormat="1" ht="45.75" customHeight="1">
      <c r="A93" s="168">
        <v>87</v>
      </c>
      <c r="B93" s="412" t="s">
        <v>322</v>
      </c>
      <c r="C93" s="413" t="s">
        <v>324</v>
      </c>
      <c r="D93" s="414">
        <v>35</v>
      </c>
      <c r="E93" s="414"/>
      <c r="F93" s="473" t="s">
        <v>229</v>
      </c>
      <c r="G93" s="414" t="s">
        <v>186</v>
      </c>
      <c r="H93" s="415">
        <v>4497500</v>
      </c>
      <c r="I93" s="407" t="s">
        <v>134</v>
      </c>
      <c r="J93" s="169">
        <f t="shared" si="6"/>
        <v>472237.5</v>
      </c>
      <c r="K93" s="416" t="s">
        <v>431</v>
      </c>
      <c r="L93" s="169">
        <f t="shared" si="7"/>
        <v>134925</v>
      </c>
      <c r="M93" s="416" t="s">
        <v>434</v>
      </c>
      <c r="N93" s="169">
        <f t="shared" si="8"/>
        <v>89950</v>
      </c>
      <c r="O93" s="416" t="s">
        <v>441</v>
      </c>
      <c r="P93" s="169">
        <f t="shared" si="9"/>
        <v>44975</v>
      </c>
      <c r="Q93" s="170">
        <f t="shared" si="10"/>
        <v>22487.5</v>
      </c>
      <c r="R93" s="170">
        <f t="shared" si="11"/>
        <v>764575</v>
      </c>
      <c r="S93" s="175"/>
      <c r="T93" s="175"/>
      <c r="U93" s="175"/>
      <c r="V93" s="175"/>
    </row>
    <row r="94" spans="1:22" s="147" customFormat="1" ht="45.75" customHeight="1">
      <c r="A94" s="168">
        <v>88</v>
      </c>
      <c r="B94" s="412" t="s">
        <v>322</v>
      </c>
      <c r="C94" s="413" t="s">
        <v>296</v>
      </c>
      <c r="D94" s="414"/>
      <c r="E94" s="414">
        <v>40</v>
      </c>
      <c r="F94" s="473" t="s">
        <v>325</v>
      </c>
      <c r="G94" s="414" t="s">
        <v>182</v>
      </c>
      <c r="H94" s="415">
        <v>1233000</v>
      </c>
      <c r="I94" s="407" t="s">
        <v>134</v>
      </c>
      <c r="J94" s="169">
        <f t="shared" si="6"/>
        <v>141795.00000000003</v>
      </c>
      <c r="K94" s="416" t="s">
        <v>432</v>
      </c>
      <c r="L94" s="169">
        <f t="shared" si="7"/>
        <v>36990</v>
      </c>
      <c r="M94" s="416" t="s">
        <v>440</v>
      </c>
      <c r="N94" s="169">
        <f t="shared" si="8"/>
        <v>24660</v>
      </c>
      <c r="O94" s="416" t="s">
        <v>56</v>
      </c>
      <c r="P94" s="169">
        <f t="shared" si="9"/>
        <v>0</v>
      </c>
      <c r="Q94" s="170">
        <f t="shared" si="10"/>
        <v>6165</v>
      </c>
      <c r="R94" s="170">
        <f t="shared" si="11"/>
        <v>209610.00000000003</v>
      </c>
      <c r="S94" s="175"/>
      <c r="T94" s="175"/>
      <c r="U94" s="175"/>
      <c r="V94" s="175"/>
    </row>
    <row r="95" spans="1:22" s="147" customFormat="1" ht="45.75" customHeight="1">
      <c r="A95" s="168">
        <v>89</v>
      </c>
      <c r="B95" s="412" t="s">
        <v>322</v>
      </c>
      <c r="C95" s="413" t="s">
        <v>326</v>
      </c>
      <c r="D95" s="414">
        <v>61</v>
      </c>
      <c r="E95" s="414"/>
      <c r="F95" s="473" t="s">
        <v>327</v>
      </c>
      <c r="G95" s="414" t="s">
        <v>186</v>
      </c>
      <c r="H95" s="415">
        <v>3525500</v>
      </c>
      <c r="I95" s="407" t="s">
        <v>159</v>
      </c>
      <c r="J95" s="169">
        <f t="shared" si="6"/>
        <v>370177.5</v>
      </c>
      <c r="K95" s="416" t="s">
        <v>378</v>
      </c>
      <c r="L95" s="169">
        <f t="shared" si="7"/>
        <v>105765</v>
      </c>
      <c r="M95" s="416" t="s">
        <v>428</v>
      </c>
      <c r="N95" s="169">
        <f t="shared" si="8"/>
        <v>70510</v>
      </c>
      <c r="O95" s="416" t="s">
        <v>431</v>
      </c>
      <c r="P95" s="169">
        <f t="shared" si="9"/>
        <v>35255</v>
      </c>
      <c r="Q95" s="170">
        <f t="shared" si="10"/>
        <v>17627.5</v>
      </c>
      <c r="R95" s="170">
        <f t="shared" si="11"/>
        <v>599335</v>
      </c>
      <c r="S95" s="175"/>
      <c r="T95" s="175"/>
      <c r="U95" s="175"/>
      <c r="V95" s="175"/>
    </row>
    <row r="96" spans="1:22" s="147" customFormat="1" ht="45.75" customHeight="1">
      <c r="A96" s="168">
        <v>90</v>
      </c>
      <c r="B96" s="412" t="s">
        <v>322</v>
      </c>
      <c r="C96" s="413" t="s">
        <v>328</v>
      </c>
      <c r="D96" s="414">
        <v>60</v>
      </c>
      <c r="E96" s="414"/>
      <c r="F96" s="473" t="s">
        <v>242</v>
      </c>
      <c r="G96" s="414" t="s">
        <v>186</v>
      </c>
      <c r="H96" s="415">
        <v>4201900</v>
      </c>
      <c r="I96" s="407" t="s">
        <v>159</v>
      </c>
      <c r="J96" s="169">
        <f t="shared" si="6"/>
        <v>441199.5</v>
      </c>
      <c r="K96" s="416" t="s">
        <v>183</v>
      </c>
      <c r="L96" s="169">
        <f t="shared" si="7"/>
        <v>126057</v>
      </c>
      <c r="M96" s="416" t="s">
        <v>434</v>
      </c>
      <c r="N96" s="169">
        <f t="shared" si="8"/>
        <v>84038</v>
      </c>
      <c r="O96" s="416" t="s">
        <v>431</v>
      </c>
      <c r="P96" s="169">
        <f t="shared" si="9"/>
        <v>42019</v>
      </c>
      <c r="Q96" s="170">
        <f t="shared" si="10"/>
        <v>21009.5</v>
      </c>
      <c r="R96" s="170">
        <f t="shared" si="11"/>
        <v>714323</v>
      </c>
      <c r="S96" s="175"/>
      <c r="T96" s="175"/>
      <c r="U96" s="175"/>
      <c r="V96" s="175"/>
    </row>
    <row r="97" spans="1:22" s="147" customFormat="1" ht="45.75" customHeight="1">
      <c r="A97" s="168">
        <v>91</v>
      </c>
      <c r="B97" s="412" t="s">
        <v>322</v>
      </c>
      <c r="C97" s="413" t="s">
        <v>329</v>
      </c>
      <c r="D97" s="414"/>
      <c r="E97" s="414">
        <v>33</v>
      </c>
      <c r="F97" s="473" t="s">
        <v>246</v>
      </c>
      <c r="G97" s="414" t="s">
        <v>182</v>
      </c>
      <c r="H97" s="415">
        <v>2559100</v>
      </c>
      <c r="I97" s="407" t="s">
        <v>134</v>
      </c>
      <c r="J97" s="169">
        <f t="shared" si="6"/>
        <v>294296.50000000006</v>
      </c>
      <c r="K97" s="416" t="s">
        <v>434</v>
      </c>
      <c r="L97" s="169">
        <f t="shared" si="7"/>
        <v>76773</v>
      </c>
      <c r="M97" s="416" t="s">
        <v>440</v>
      </c>
      <c r="N97" s="169">
        <f t="shared" si="8"/>
        <v>51182</v>
      </c>
      <c r="O97" s="416" t="s">
        <v>56</v>
      </c>
      <c r="P97" s="169">
        <f t="shared" si="9"/>
        <v>0</v>
      </c>
      <c r="Q97" s="170">
        <f t="shared" si="10"/>
        <v>12795.5</v>
      </c>
      <c r="R97" s="170">
        <f t="shared" si="11"/>
        <v>435047.00000000006</v>
      </c>
      <c r="S97" s="175"/>
      <c r="T97" s="175"/>
      <c r="U97" s="175"/>
      <c r="V97" s="175"/>
    </row>
    <row r="98" spans="1:22" s="147" customFormat="1" ht="45.75" customHeight="1">
      <c r="A98" s="168">
        <v>92</v>
      </c>
      <c r="B98" s="412" t="s">
        <v>330</v>
      </c>
      <c r="C98" s="413" t="s">
        <v>331</v>
      </c>
      <c r="D98" s="414"/>
      <c r="E98" s="414">
        <v>50</v>
      </c>
      <c r="F98" s="473" t="s">
        <v>332</v>
      </c>
      <c r="G98" s="414" t="s">
        <v>186</v>
      </c>
      <c r="H98" s="415">
        <v>4201900</v>
      </c>
      <c r="I98" s="407" t="s">
        <v>159</v>
      </c>
      <c r="J98" s="169">
        <f t="shared" si="6"/>
        <v>441199.5</v>
      </c>
      <c r="K98" s="416" t="s">
        <v>134</v>
      </c>
      <c r="L98" s="169">
        <f t="shared" si="7"/>
        <v>126057</v>
      </c>
      <c r="M98" s="416" t="s">
        <v>435</v>
      </c>
      <c r="N98" s="169">
        <f t="shared" si="8"/>
        <v>84038</v>
      </c>
      <c r="O98" s="416" t="s">
        <v>438</v>
      </c>
      <c r="P98" s="169">
        <f t="shared" si="9"/>
        <v>42019</v>
      </c>
      <c r="Q98" s="170">
        <f t="shared" si="10"/>
        <v>21009.5</v>
      </c>
      <c r="R98" s="170">
        <f t="shared" si="11"/>
        <v>714323</v>
      </c>
      <c r="S98" s="175"/>
      <c r="T98" s="175"/>
      <c r="U98" s="175"/>
      <c r="V98" s="175"/>
    </row>
    <row r="99" spans="1:22" s="147" customFormat="1" ht="45.75" customHeight="1">
      <c r="A99" s="168">
        <v>93</v>
      </c>
      <c r="B99" s="412" t="s">
        <v>330</v>
      </c>
      <c r="C99" s="413" t="s">
        <v>251</v>
      </c>
      <c r="D99" s="414">
        <v>49</v>
      </c>
      <c r="E99" s="414"/>
      <c r="F99" s="473" t="s">
        <v>333</v>
      </c>
      <c r="G99" s="414" t="s">
        <v>219</v>
      </c>
      <c r="H99" s="415">
        <v>6000000</v>
      </c>
      <c r="I99" s="407" t="s">
        <v>183</v>
      </c>
      <c r="J99" s="169">
        <f t="shared" si="6"/>
        <v>690000.00000000012</v>
      </c>
      <c r="K99" s="416" t="s">
        <v>432</v>
      </c>
      <c r="L99" s="169">
        <f t="shared" si="7"/>
        <v>180000</v>
      </c>
      <c r="M99" s="416" t="s">
        <v>436</v>
      </c>
      <c r="N99" s="169">
        <f t="shared" si="8"/>
        <v>120000</v>
      </c>
      <c r="O99" s="416" t="s">
        <v>56</v>
      </c>
      <c r="P99" s="169">
        <f t="shared" si="9"/>
        <v>0</v>
      </c>
      <c r="Q99" s="170">
        <f t="shared" si="10"/>
        <v>30000</v>
      </c>
      <c r="R99" s="170">
        <f t="shared" si="11"/>
        <v>1020000.0000000001</v>
      </c>
      <c r="S99" s="175"/>
      <c r="T99" s="175"/>
      <c r="U99" s="175"/>
      <c r="V99" s="175"/>
    </row>
    <row r="100" spans="1:22" s="147" customFormat="1" ht="45.75" customHeight="1">
      <c r="A100" s="168">
        <v>94</v>
      </c>
      <c r="B100" s="412" t="s">
        <v>330</v>
      </c>
      <c r="C100" s="413" t="s">
        <v>334</v>
      </c>
      <c r="D100" s="414">
        <v>21</v>
      </c>
      <c r="E100" s="414"/>
      <c r="F100" s="473" t="s">
        <v>246</v>
      </c>
      <c r="G100" s="414" t="s">
        <v>182</v>
      </c>
      <c r="H100" s="415">
        <v>2559100</v>
      </c>
      <c r="I100" s="407" t="s">
        <v>212</v>
      </c>
      <c r="J100" s="169">
        <f t="shared" si="6"/>
        <v>211125.75</v>
      </c>
      <c r="K100" s="416" t="s">
        <v>430</v>
      </c>
      <c r="L100" s="169">
        <f t="shared" si="7"/>
        <v>76773</v>
      </c>
      <c r="M100" s="416" t="s">
        <v>436</v>
      </c>
      <c r="N100" s="169">
        <f t="shared" si="8"/>
        <v>51182</v>
      </c>
      <c r="O100" s="416" t="s">
        <v>56</v>
      </c>
      <c r="P100" s="169">
        <f t="shared" si="9"/>
        <v>0</v>
      </c>
      <c r="Q100" s="170">
        <f t="shared" si="10"/>
        <v>12795.5</v>
      </c>
      <c r="R100" s="170">
        <f t="shared" si="11"/>
        <v>351876.25</v>
      </c>
      <c r="S100" s="175"/>
      <c r="T100" s="175"/>
      <c r="U100" s="175"/>
      <c r="V100" s="175"/>
    </row>
    <row r="101" spans="1:22" s="147" customFormat="1" ht="45.75" customHeight="1">
      <c r="A101" s="168">
        <v>95</v>
      </c>
      <c r="B101" s="412" t="s">
        <v>330</v>
      </c>
      <c r="C101" s="413" t="s">
        <v>335</v>
      </c>
      <c r="D101" s="414">
        <v>51</v>
      </c>
      <c r="E101" s="414"/>
      <c r="F101" s="473" t="s">
        <v>336</v>
      </c>
      <c r="G101" s="414" t="s">
        <v>186</v>
      </c>
      <c r="H101" s="415">
        <v>4201900</v>
      </c>
      <c r="I101" s="407" t="s">
        <v>159</v>
      </c>
      <c r="J101" s="169">
        <f t="shared" si="6"/>
        <v>441199.5</v>
      </c>
      <c r="K101" s="416" t="s">
        <v>134</v>
      </c>
      <c r="L101" s="169">
        <f t="shared" si="7"/>
        <v>126057</v>
      </c>
      <c r="M101" s="416" t="s">
        <v>435</v>
      </c>
      <c r="N101" s="169">
        <f t="shared" si="8"/>
        <v>84038</v>
      </c>
      <c r="O101" s="416" t="s">
        <v>432</v>
      </c>
      <c r="P101" s="169">
        <f t="shared" si="9"/>
        <v>42019</v>
      </c>
      <c r="Q101" s="170">
        <f t="shared" si="10"/>
        <v>21009.5</v>
      </c>
      <c r="R101" s="170">
        <f t="shared" si="11"/>
        <v>714323</v>
      </c>
      <c r="S101" s="175"/>
      <c r="T101" s="175"/>
      <c r="U101" s="175"/>
      <c r="V101" s="175"/>
    </row>
    <row r="102" spans="1:22" s="147" customFormat="1" ht="45.75" customHeight="1">
      <c r="A102" s="168">
        <v>96</v>
      </c>
      <c r="B102" s="412" t="s">
        <v>330</v>
      </c>
      <c r="C102" s="413" t="s">
        <v>335</v>
      </c>
      <c r="D102" s="414">
        <v>51</v>
      </c>
      <c r="E102" s="414"/>
      <c r="F102" s="473" t="s">
        <v>337</v>
      </c>
      <c r="G102" s="414" t="s">
        <v>186</v>
      </c>
      <c r="H102" s="415">
        <v>3598000</v>
      </c>
      <c r="I102" s="407" t="s">
        <v>134</v>
      </c>
      <c r="J102" s="169">
        <f t="shared" si="6"/>
        <v>377790</v>
      </c>
      <c r="K102" s="416" t="s">
        <v>438</v>
      </c>
      <c r="L102" s="169">
        <f t="shared" si="7"/>
        <v>107940</v>
      </c>
      <c r="M102" s="416" t="s">
        <v>440</v>
      </c>
      <c r="N102" s="169">
        <f t="shared" si="8"/>
        <v>71960</v>
      </c>
      <c r="O102" s="416" t="s">
        <v>435</v>
      </c>
      <c r="P102" s="169">
        <f t="shared" si="9"/>
        <v>35980</v>
      </c>
      <c r="Q102" s="170">
        <f t="shared" si="10"/>
        <v>17990</v>
      </c>
      <c r="R102" s="170">
        <f t="shared" si="11"/>
        <v>611660</v>
      </c>
      <c r="S102" s="175"/>
      <c r="T102" s="175"/>
      <c r="U102" s="175"/>
      <c r="V102" s="175"/>
    </row>
    <row r="103" spans="1:22" s="147" customFormat="1" ht="45.75" customHeight="1">
      <c r="A103" s="168">
        <v>97</v>
      </c>
      <c r="B103" s="412" t="s">
        <v>330</v>
      </c>
      <c r="C103" s="413" t="s">
        <v>338</v>
      </c>
      <c r="D103" s="414"/>
      <c r="E103" s="414">
        <v>60</v>
      </c>
      <c r="F103" s="473" t="s">
        <v>339</v>
      </c>
      <c r="G103" s="414" t="s">
        <v>219</v>
      </c>
      <c r="H103" s="415">
        <v>9972000</v>
      </c>
      <c r="I103" s="407" t="s">
        <v>134</v>
      </c>
      <c r="J103" s="169">
        <f t="shared" si="6"/>
        <v>1047060.0000000002</v>
      </c>
      <c r="K103" s="416" t="s">
        <v>435</v>
      </c>
      <c r="L103" s="169">
        <f t="shared" si="7"/>
        <v>299160</v>
      </c>
      <c r="M103" s="416" t="s">
        <v>432</v>
      </c>
      <c r="N103" s="169">
        <f t="shared" si="8"/>
        <v>199440</v>
      </c>
      <c r="O103" s="416" t="s">
        <v>438</v>
      </c>
      <c r="P103" s="169">
        <f t="shared" si="9"/>
        <v>99720</v>
      </c>
      <c r="Q103" s="170">
        <f t="shared" si="10"/>
        <v>49860</v>
      </c>
      <c r="R103" s="170">
        <f t="shared" si="11"/>
        <v>1695240.0000000002</v>
      </c>
      <c r="S103" s="175"/>
      <c r="T103" s="175"/>
      <c r="U103" s="175"/>
      <c r="V103" s="175"/>
    </row>
    <row r="104" spans="1:22" s="147" customFormat="1" ht="45.75" customHeight="1">
      <c r="A104" s="168">
        <v>98</v>
      </c>
      <c r="B104" s="412" t="s">
        <v>330</v>
      </c>
      <c r="C104" s="413" t="s">
        <v>340</v>
      </c>
      <c r="D104" s="414">
        <v>30</v>
      </c>
      <c r="E104" s="414"/>
      <c r="F104" s="473" t="s">
        <v>246</v>
      </c>
      <c r="G104" s="414" t="s">
        <v>182</v>
      </c>
      <c r="H104" s="415">
        <v>2559100</v>
      </c>
      <c r="I104" s="407" t="s">
        <v>294</v>
      </c>
      <c r="J104" s="169">
        <f t="shared" si="6"/>
        <v>294296.50000000006</v>
      </c>
      <c r="K104" s="416" t="s">
        <v>430</v>
      </c>
      <c r="L104" s="169">
        <f t="shared" si="7"/>
        <v>76773</v>
      </c>
      <c r="M104" s="416" t="s">
        <v>441</v>
      </c>
      <c r="N104" s="169">
        <f t="shared" si="8"/>
        <v>51182</v>
      </c>
      <c r="O104" s="416" t="s">
        <v>56</v>
      </c>
      <c r="P104" s="169">
        <f t="shared" si="9"/>
        <v>0</v>
      </c>
      <c r="Q104" s="170">
        <f t="shared" si="10"/>
        <v>12795.5</v>
      </c>
      <c r="R104" s="170">
        <f t="shared" si="11"/>
        <v>435047.00000000006</v>
      </c>
      <c r="S104" s="175"/>
      <c r="T104" s="175"/>
      <c r="U104" s="175"/>
      <c r="V104" s="175"/>
    </row>
    <row r="105" spans="1:22" s="147" customFormat="1" ht="45.75" customHeight="1">
      <c r="A105" s="168">
        <v>99</v>
      </c>
      <c r="B105" s="412" t="s">
        <v>330</v>
      </c>
      <c r="C105" s="413" t="s">
        <v>341</v>
      </c>
      <c r="D105" s="414">
        <v>17</v>
      </c>
      <c r="E105" s="414"/>
      <c r="F105" s="473" t="s">
        <v>246</v>
      </c>
      <c r="G105" s="414" t="s">
        <v>182</v>
      </c>
      <c r="H105" s="415">
        <v>2559100</v>
      </c>
      <c r="I105" s="407" t="s">
        <v>212</v>
      </c>
      <c r="J105" s="169">
        <f t="shared" si="6"/>
        <v>211125.75</v>
      </c>
      <c r="K105" s="416" t="s">
        <v>428</v>
      </c>
      <c r="L105" s="169">
        <f t="shared" si="7"/>
        <v>76773</v>
      </c>
      <c r="M105" s="416" t="s">
        <v>436</v>
      </c>
      <c r="N105" s="169">
        <f t="shared" si="8"/>
        <v>51182</v>
      </c>
      <c r="O105" s="416" t="s">
        <v>56</v>
      </c>
      <c r="P105" s="169">
        <f t="shared" si="9"/>
        <v>0</v>
      </c>
      <c r="Q105" s="170">
        <f t="shared" si="10"/>
        <v>12795.5</v>
      </c>
      <c r="R105" s="170">
        <f t="shared" si="11"/>
        <v>351876.25</v>
      </c>
      <c r="S105" s="175"/>
      <c r="T105" s="175"/>
      <c r="U105" s="175"/>
      <c r="V105" s="175"/>
    </row>
    <row r="106" spans="1:22" s="147" customFormat="1" ht="45.75" customHeight="1">
      <c r="A106" s="168">
        <v>100</v>
      </c>
      <c r="B106" s="412" t="s">
        <v>330</v>
      </c>
      <c r="C106" s="413" t="s">
        <v>342</v>
      </c>
      <c r="D106" s="414"/>
      <c r="E106" s="414">
        <v>45</v>
      </c>
      <c r="F106" s="473" t="s">
        <v>246</v>
      </c>
      <c r="G106" s="414" t="s">
        <v>182</v>
      </c>
      <c r="H106" s="415">
        <v>2559100</v>
      </c>
      <c r="I106" s="407" t="s">
        <v>159</v>
      </c>
      <c r="J106" s="169">
        <f t="shared" si="6"/>
        <v>268705.50000000006</v>
      </c>
      <c r="K106" s="416" t="s">
        <v>212</v>
      </c>
      <c r="L106" s="169">
        <f t="shared" si="7"/>
        <v>76773</v>
      </c>
      <c r="M106" s="416" t="s">
        <v>436</v>
      </c>
      <c r="N106" s="169">
        <f t="shared" si="8"/>
        <v>51182</v>
      </c>
      <c r="O106" s="416" t="s">
        <v>430</v>
      </c>
      <c r="P106" s="169">
        <f t="shared" si="9"/>
        <v>25591</v>
      </c>
      <c r="Q106" s="170">
        <f t="shared" si="10"/>
        <v>12795.5</v>
      </c>
      <c r="R106" s="170">
        <f t="shared" si="11"/>
        <v>435047.00000000006</v>
      </c>
      <c r="S106" s="175"/>
      <c r="T106" s="175"/>
      <c r="U106" s="175"/>
      <c r="V106" s="175"/>
    </row>
    <row r="107" spans="1:22" s="147" customFormat="1" ht="45.75" customHeight="1">
      <c r="A107" s="168">
        <v>101</v>
      </c>
      <c r="B107" s="412" t="s">
        <v>343</v>
      </c>
      <c r="C107" s="413" t="s">
        <v>344</v>
      </c>
      <c r="D107" s="414">
        <v>53</v>
      </c>
      <c r="E107" s="414"/>
      <c r="F107" s="473" t="s">
        <v>279</v>
      </c>
      <c r="G107" s="414" t="s">
        <v>186</v>
      </c>
      <c r="H107" s="415">
        <v>3405500</v>
      </c>
      <c r="I107" s="407" t="s">
        <v>277</v>
      </c>
      <c r="J107" s="169">
        <f t="shared" si="6"/>
        <v>357577.5</v>
      </c>
      <c r="K107" s="416" t="s">
        <v>294</v>
      </c>
      <c r="L107" s="169">
        <f t="shared" si="7"/>
        <v>102165</v>
      </c>
      <c r="M107" s="416" t="s">
        <v>212</v>
      </c>
      <c r="N107" s="169">
        <f t="shared" si="8"/>
        <v>68110</v>
      </c>
      <c r="O107" s="416" t="s">
        <v>436</v>
      </c>
      <c r="P107" s="169">
        <f t="shared" si="9"/>
        <v>34055</v>
      </c>
      <c r="Q107" s="170">
        <f t="shared" si="10"/>
        <v>17027.5</v>
      </c>
      <c r="R107" s="170">
        <f t="shared" si="11"/>
        <v>578935</v>
      </c>
      <c r="S107" s="175"/>
      <c r="T107" s="175"/>
      <c r="U107" s="175"/>
      <c r="V107" s="175"/>
    </row>
    <row r="108" spans="1:22" s="147" customFormat="1" ht="45.75" customHeight="1">
      <c r="A108" s="168">
        <v>102</v>
      </c>
      <c r="B108" s="412" t="s">
        <v>343</v>
      </c>
      <c r="C108" s="413" t="s">
        <v>345</v>
      </c>
      <c r="D108" s="414"/>
      <c r="E108" s="414">
        <v>38</v>
      </c>
      <c r="F108" s="473" t="s">
        <v>279</v>
      </c>
      <c r="G108" s="414" t="s">
        <v>186</v>
      </c>
      <c r="H108" s="415">
        <v>3405500</v>
      </c>
      <c r="I108" s="407" t="s">
        <v>277</v>
      </c>
      <c r="J108" s="169">
        <f t="shared" si="6"/>
        <v>357577.5</v>
      </c>
      <c r="K108" s="416" t="s">
        <v>294</v>
      </c>
      <c r="L108" s="169">
        <f t="shared" si="7"/>
        <v>102165</v>
      </c>
      <c r="M108" s="416" t="s">
        <v>212</v>
      </c>
      <c r="N108" s="169">
        <f t="shared" si="8"/>
        <v>68110</v>
      </c>
      <c r="O108" s="416" t="s">
        <v>432</v>
      </c>
      <c r="P108" s="169">
        <f t="shared" si="9"/>
        <v>34055</v>
      </c>
      <c r="Q108" s="170">
        <f t="shared" si="10"/>
        <v>17027.5</v>
      </c>
      <c r="R108" s="170">
        <f t="shared" si="11"/>
        <v>578935</v>
      </c>
      <c r="S108" s="175"/>
      <c r="T108" s="175"/>
      <c r="U108" s="175"/>
      <c r="V108" s="175"/>
    </row>
    <row r="109" spans="1:22" s="147" customFormat="1" ht="45.75" customHeight="1">
      <c r="A109" s="168">
        <v>103</v>
      </c>
      <c r="B109" s="412" t="s">
        <v>343</v>
      </c>
      <c r="C109" s="413" t="s">
        <v>346</v>
      </c>
      <c r="D109" s="414">
        <v>36</v>
      </c>
      <c r="E109" s="414"/>
      <c r="F109" s="473" t="s">
        <v>279</v>
      </c>
      <c r="G109" s="414" t="s">
        <v>186</v>
      </c>
      <c r="H109" s="415">
        <v>3405500</v>
      </c>
      <c r="I109" s="407" t="s">
        <v>294</v>
      </c>
      <c r="J109" s="169">
        <f t="shared" si="6"/>
        <v>357577.5</v>
      </c>
      <c r="K109" s="416" t="s">
        <v>430</v>
      </c>
      <c r="L109" s="169">
        <f t="shared" si="7"/>
        <v>102165</v>
      </c>
      <c r="M109" s="416" t="s">
        <v>432</v>
      </c>
      <c r="N109" s="169">
        <f t="shared" si="8"/>
        <v>68110</v>
      </c>
      <c r="O109" s="416" t="s">
        <v>441</v>
      </c>
      <c r="P109" s="169">
        <f t="shared" si="9"/>
        <v>34055</v>
      </c>
      <c r="Q109" s="170">
        <f t="shared" si="10"/>
        <v>17027.5</v>
      </c>
      <c r="R109" s="170">
        <f t="shared" si="11"/>
        <v>578935</v>
      </c>
      <c r="S109" s="175"/>
      <c r="T109" s="175"/>
      <c r="U109" s="175"/>
      <c r="V109" s="175"/>
    </row>
    <row r="110" spans="1:22" s="147" customFormat="1" ht="45.75" customHeight="1">
      <c r="A110" s="168">
        <v>104</v>
      </c>
      <c r="B110" s="412" t="s">
        <v>343</v>
      </c>
      <c r="C110" s="413" t="s">
        <v>347</v>
      </c>
      <c r="D110" s="414">
        <v>47</v>
      </c>
      <c r="E110" s="414"/>
      <c r="F110" s="473" t="s">
        <v>229</v>
      </c>
      <c r="G110" s="414" t="s">
        <v>186</v>
      </c>
      <c r="H110" s="415">
        <v>4497500</v>
      </c>
      <c r="I110" s="407" t="s">
        <v>190</v>
      </c>
      <c r="J110" s="169">
        <f t="shared" si="6"/>
        <v>326068.75</v>
      </c>
      <c r="K110" s="416" t="s">
        <v>436</v>
      </c>
      <c r="L110" s="169">
        <f t="shared" si="7"/>
        <v>134925</v>
      </c>
      <c r="M110" s="416" t="s">
        <v>432</v>
      </c>
      <c r="N110" s="169">
        <f t="shared" si="8"/>
        <v>89950</v>
      </c>
      <c r="O110" s="416" t="s">
        <v>438</v>
      </c>
      <c r="P110" s="169">
        <f t="shared" si="9"/>
        <v>44975</v>
      </c>
      <c r="Q110" s="170">
        <f t="shared" si="10"/>
        <v>22487.5</v>
      </c>
      <c r="R110" s="170">
        <f t="shared" si="11"/>
        <v>618406.25</v>
      </c>
      <c r="S110" s="175"/>
      <c r="T110" s="175"/>
      <c r="U110" s="175"/>
      <c r="V110" s="175"/>
    </row>
    <row r="111" spans="1:22" s="147" customFormat="1" ht="45.75" customHeight="1">
      <c r="A111" s="168">
        <v>105</v>
      </c>
      <c r="B111" s="412" t="s">
        <v>343</v>
      </c>
      <c r="C111" s="413" t="s">
        <v>348</v>
      </c>
      <c r="D111" s="414">
        <v>37</v>
      </c>
      <c r="E111" s="414"/>
      <c r="F111" s="473" t="s">
        <v>249</v>
      </c>
      <c r="G111" s="414" t="s">
        <v>182</v>
      </c>
      <c r="H111" s="415">
        <v>2127400</v>
      </c>
      <c r="I111" s="407" t="s">
        <v>190</v>
      </c>
      <c r="J111" s="169">
        <f t="shared" si="6"/>
        <v>175510.5</v>
      </c>
      <c r="K111" s="416" t="s">
        <v>430</v>
      </c>
      <c r="L111" s="169">
        <f t="shared" si="7"/>
        <v>63822</v>
      </c>
      <c r="M111" s="416" t="s">
        <v>438</v>
      </c>
      <c r="N111" s="169">
        <f t="shared" si="8"/>
        <v>42548</v>
      </c>
      <c r="O111" s="416" t="s">
        <v>56</v>
      </c>
      <c r="P111" s="169">
        <f t="shared" si="9"/>
        <v>0</v>
      </c>
      <c r="Q111" s="170">
        <f t="shared" si="10"/>
        <v>10637</v>
      </c>
      <c r="R111" s="170">
        <f t="shared" si="11"/>
        <v>292517.5</v>
      </c>
      <c r="S111" s="175"/>
      <c r="T111" s="175"/>
      <c r="U111" s="175"/>
      <c r="V111" s="175"/>
    </row>
    <row r="112" spans="1:22" s="147" customFormat="1" ht="45.75" customHeight="1">
      <c r="A112" s="168">
        <v>106</v>
      </c>
      <c r="B112" s="412" t="s">
        <v>343</v>
      </c>
      <c r="C112" s="413" t="s">
        <v>349</v>
      </c>
      <c r="D112" s="414">
        <v>54</v>
      </c>
      <c r="E112" s="414"/>
      <c r="F112" s="473" t="s">
        <v>249</v>
      </c>
      <c r="G112" s="414" t="s">
        <v>182</v>
      </c>
      <c r="H112" s="415">
        <v>2128200</v>
      </c>
      <c r="I112" s="407" t="s">
        <v>190</v>
      </c>
      <c r="J112" s="169">
        <f t="shared" si="6"/>
        <v>175576.5</v>
      </c>
      <c r="K112" s="416" t="s">
        <v>430</v>
      </c>
      <c r="L112" s="169">
        <f t="shared" si="7"/>
        <v>63846</v>
      </c>
      <c r="M112" s="416" t="s">
        <v>438</v>
      </c>
      <c r="N112" s="169">
        <f t="shared" si="8"/>
        <v>42564</v>
      </c>
      <c r="O112" s="416" t="s">
        <v>56</v>
      </c>
      <c r="P112" s="169">
        <f t="shared" si="9"/>
        <v>0</v>
      </c>
      <c r="Q112" s="170">
        <f t="shared" si="10"/>
        <v>10641</v>
      </c>
      <c r="R112" s="170">
        <f t="shared" si="11"/>
        <v>292627.5</v>
      </c>
      <c r="S112" s="175"/>
      <c r="T112" s="175"/>
      <c r="U112" s="175"/>
      <c r="V112" s="175"/>
    </row>
    <row r="113" spans="1:22" s="147" customFormat="1" ht="45.75" customHeight="1">
      <c r="A113" s="168">
        <v>107</v>
      </c>
      <c r="B113" s="412" t="s">
        <v>343</v>
      </c>
      <c r="C113" s="413" t="s">
        <v>350</v>
      </c>
      <c r="D113" s="414">
        <v>58</v>
      </c>
      <c r="E113" s="414"/>
      <c r="F113" s="473" t="s">
        <v>351</v>
      </c>
      <c r="G113" s="414" t="s">
        <v>204</v>
      </c>
      <c r="H113" s="415">
        <v>796000</v>
      </c>
      <c r="I113" s="407" t="s">
        <v>159</v>
      </c>
      <c r="J113" s="169">
        <f t="shared" si="6"/>
        <v>107460</v>
      </c>
      <c r="K113" s="416" t="s">
        <v>428</v>
      </c>
      <c r="L113" s="169">
        <f t="shared" si="7"/>
        <v>23880</v>
      </c>
      <c r="M113" s="416" t="s">
        <v>56</v>
      </c>
      <c r="N113" s="169">
        <f t="shared" si="8"/>
        <v>0</v>
      </c>
      <c r="O113" s="416" t="s">
        <v>56</v>
      </c>
      <c r="P113" s="169">
        <f t="shared" si="9"/>
        <v>0</v>
      </c>
      <c r="Q113" s="170">
        <f t="shared" si="10"/>
        <v>3980</v>
      </c>
      <c r="R113" s="170">
        <f t="shared" si="11"/>
        <v>135320</v>
      </c>
      <c r="S113" s="175"/>
      <c r="T113" s="175"/>
      <c r="U113" s="175"/>
      <c r="V113" s="175"/>
    </row>
    <row r="114" spans="1:22" s="147" customFormat="1" ht="45.75" customHeight="1">
      <c r="A114" s="168">
        <v>108</v>
      </c>
      <c r="B114" s="412" t="s">
        <v>343</v>
      </c>
      <c r="C114" s="413" t="s">
        <v>352</v>
      </c>
      <c r="D114" s="414"/>
      <c r="E114" s="414">
        <v>63</v>
      </c>
      <c r="F114" s="473" t="s">
        <v>353</v>
      </c>
      <c r="G114" s="414" t="s">
        <v>219</v>
      </c>
      <c r="H114" s="415">
        <v>6253000</v>
      </c>
      <c r="I114" s="407" t="s">
        <v>159</v>
      </c>
      <c r="J114" s="169">
        <f t="shared" si="6"/>
        <v>656565</v>
      </c>
      <c r="K114" s="416" t="s">
        <v>294</v>
      </c>
      <c r="L114" s="169">
        <f t="shared" si="7"/>
        <v>187590</v>
      </c>
      <c r="M114" s="416" t="s">
        <v>428</v>
      </c>
      <c r="N114" s="169">
        <f t="shared" si="8"/>
        <v>125060</v>
      </c>
      <c r="O114" s="416" t="s">
        <v>435</v>
      </c>
      <c r="P114" s="169">
        <f t="shared" si="9"/>
        <v>62530</v>
      </c>
      <c r="Q114" s="170">
        <f t="shared" si="10"/>
        <v>31265</v>
      </c>
      <c r="R114" s="170">
        <f t="shared" si="11"/>
        <v>1063010</v>
      </c>
      <c r="S114" s="175"/>
      <c r="T114" s="175"/>
      <c r="U114" s="175"/>
      <c r="V114" s="175"/>
    </row>
    <row r="115" spans="1:22" s="147" customFormat="1" ht="45.75" customHeight="1">
      <c r="A115" s="168">
        <v>109</v>
      </c>
      <c r="B115" s="412" t="s">
        <v>354</v>
      </c>
      <c r="C115" s="413" t="s">
        <v>355</v>
      </c>
      <c r="D115" s="414">
        <v>72</v>
      </c>
      <c r="E115" s="414"/>
      <c r="F115" s="473" t="s">
        <v>249</v>
      </c>
      <c r="G115" s="414" t="s">
        <v>182</v>
      </c>
      <c r="H115" s="415">
        <v>2128200</v>
      </c>
      <c r="I115" s="407" t="s">
        <v>183</v>
      </c>
      <c r="J115" s="169">
        <f t="shared" si="6"/>
        <v>244743</v>
      </c>
      <c r="K115" s="416" t="s">
        <v>212</v>
      </c>
      <c r="L115" s="169">
        <f t="shared" si="7"/>
        <v>63846</v>
      </c>
      <c r="M115" s="416" t="s">
        <v>432</v>
      </c>
      <c r="N115" s="169">
        <f t="shared" si="8"/>
        <v>42564</v>
      </c>
      <c r="O115" s="416" t="s">
        <v>56</v>
      </c>
      <c r="P115" s="169">
        <f t="shared" si="9"/>
        <v>0</v>
      </c>
      <c r="Q115" s="170">
        <f t="shared" si="10"/>
        <v>10641</v>
      </c>
      <c r="R115" s="170">
        <f t="shared" si="11"/>
        <v>361794</v>
      </c>
      <c r="S115" s="175"/>
      <c r="T115" s="175"/>
      <c r="U115" s="175"/>
      <c r="V115" s="175"/>
    </row>
    <row r="116" spans="1:22" s="147" customFormat="1" ht="45.75" customHeight="1">
      <c r="A116" s="168">
        <v>110</v>
      </c>
      <c r="B116" s="412" t="s">
        <v>354</v>
      </c>
      <c r="C116" s="413" t="s">
        <v>356</v>
      </c>
      <c r="D116" s="414"/>
      <c r="E116" s="414">
        <v>64</v>
      </c>
      <c r="F116" s="473" t="s">
        <v>229</v>
      </c>
      <c r="G116" s="414" t="s">
        <v>186</v>
      </c>
      <c r="H116" s="415">
        <v>4497500</v>
      </c>
      <c r="I116" s="407" t="s">
        <v>134</v>
      </c>
      <c r="J116" s="169">
        <f t="shared" si="6"/>
        <v>472237.5</v>
      </c>
      <c r="K116" s="416" t="s">
        <v>432</v>
      </c>
      <c r="L116" s="169">
        <f t="shared" si="7"/>
        <v>134925</v>
      </c>
      <c r="M116" s="416" t="s">
        <v>434</v>
      </c>
      <c r="N116" s="169">
        <f t="shared" si="8"/>
        <v>89950</v>
      </c>
      <c r="O116" s="416" t="s">
        <v>442</v>
      </c>
      <c r="P116" s="169">
        <f t="shared" si="9"/>
        <v>44975</v>
      </c>
      <c r="Q116" s="170">
        <f t="shared" si="10"/>
        <v>22487.5</v>
      </c>
      <c r="R116" s="170">
        <f t="shared" si="11"/>
        <v>764575</v>
      </c>
      <c r="S116" s="175"/>
      <c r="T116" s="175"/>
      <c r="U116" s="175"/>
      <c r="V116" s="175"/>
    </row>
    <row r="117" spans="1:22" s="147" customFormat="1" ht="45.75" customHeight="1">
      <c r="A117" s="168">
        <v>111</v>
      </c>
      <c r="B117" s="412" t="s">
        <v>354</v>
      </c>
      <c r="C117" s="413" t="s">
        <v>357</v>
      </c>
      <c r="D117" s="414"/>
      <c r="E117" s="414">
        <v>63</v>
      </c>
      <c r="F117" s="473" t="s">
        <v>200</v>
      </c>
      <c r="G117" s="414" t="s">
        <v>186</v>
      </c>
      <c r="H117" s="415">
        <v>3525500</v>
      </c>
      <c r="I117" s="407" t="s">
        <v>159</v>
      </c>
      <c r="J117" s="169">
        <f t="shared" si="6"/>
        <v>370177.5</v>
      </c>
      <c r="K117" s="416" t="s">
        <v>378</v>
      </c>
      <c r="L117" s="169">
        <f t="shared" si="7"/>
        <v>105765</v>
      </c>
      <c r="M117" s="416" t="s">
        <v>434</v>
      </c>
      <c r="N117" s="169">
        <f t="shared" si="8"/>
        <v>70510</v>
      </c>
      <c r="O117" s="416" t="s">
        <v>431</v>
      </c>
      <c r="P117" s="169">
        <f t="shared" si="9"/>
        <v>35255</v>
      </c>
      <c r="Q117" s="170">
        <f t="shared" si="10"/>
        <v>17627.5</v>
      </c>
      <c r="R117" s="170">
        <f t="shared" si="11"/>
        <v>599335</v>
      </c>
      <c r="S117" s="175"/>
      <c r="T117" s="175"/>
      <c r="U117" s="175"/>
      <c r="V117" s="175"/>
    </row>
    <row r="118" spans="1:22" s="147" customFormat="1" ht="45.75" customHeight="1">
      <c r="A118" s="168">
        <v>112</v>
      </c>
      <c r="B118" s="412" t="s">
        <v>354</v>
      </c>
      <c r="C118" s="413" t="s">
        <v>358</v>
      </c>
      <c r="D118" s="414">
        <v>41</v>
      </c>
      <c r="E118" s="414"/>
      <c r="F118" s="473" t="s">
        <v>259</v>
      </c>
      <c r="G118" s="414" t="s">
        <v>186</v>
      </c>
      <c r="H118" s="415">
        <v>3405500</v>
      </c>
      <c r="I118" s="407" t="s">
        <v>294</v>
      </c>
      <c r="J118" s="169">
        <f t="shared" si="6"/>
        <v>357577.5</v>
      </c>
      <c r="K118" s="416" t="s">
        <v>212</v>
      </c>
      <c r="L118" s="169">
        <f t="shared" si="7"/>
        <v>102165</v>
      </c>
      <c r="M118" s="416" t="s">
        <v>432</v>
      </c>
      <c r="N118" s="169">
        <f t="shared" si="8"/>
        <v>68110</v>
      </c>
      <c r="O118" s="416" t="s">
        <v>438</v>
      </c>
      <c r="P118" s="169">
        <f t="shared" si="9"/>
        <v>34055</v>
      </c>
      <c r="Q118" s="170">
        <f t="shared" si="10"/>
        <v>17027.5</v>
      </c>
      <c r="R118" s="170">
        <f t="shared" si="11"/>
        <v>578935</v>
      </c>
      <c r="S118" s="175"/>
      <c r="T118" s="175"/>
      <c r="U118" s="175"/>
      <c r="V118" s="175"/>
    </row>
    <row r="119" spans="1:22" s="147" customFormat="1" ht="45.75" customHeight="1">
      <c r="A119" s="168">
        <v>113</v>
      </c>
      <c r="B119" s="412" t="s">
        <v>354</v>
      </c>
      <c r="C119" s="413" t="s">
        <v>359</v>
      </c>
      <c r="D119" s="414"/>
      <c r="E119" s="414">
        <v>42</v>
      </c>
      <c r="F119" s="473" t="s">
        <v>246</v>
      </c>
      <c r="G119" s="414" t="s">
        <v>182</v>
      </c>
      <c r="H119" s="415">
        <v>2559100</v>
      </c>
      <c r="I119" s="407" t="s">
        <v>190</v>
      </c>
      <c r="J119" s="169">
        <f t="shared" si="6"/>
        <v>211125.75</v>
      </c>
      <c r="K119" s="416" t="s">
        <v>436</v>
      </c>
      <c r="L119" s="169">
        <f t="shared" si="7"/>
        <v>76773</v>
      </c>
      <c r="M119" s="416" t="s">
        <v>432</v>
      </c>
      <c r="N119" s="169">
        <f t="shared" si="8"/>
        <v>51182</v>
      </c>
      <c r="O119" s="416" t="s">
        <v>56</v>
      </c>
      <c r="P119" s="169">
        <f t="shared" si="9"/>
        <v>0</v>
      </c>
      <c r="Q119" s="170">
        <f t="shared" si="10"/>
        <v>12795.5</v>
      </c>
      <c r="R119" s="170">
        <f t="shared" si="11"/>
        <v>351876.25</v>
      </c>
      <c r="S119" s="175"/>
      <c r="T119" s="175"/>
      <c r="U119" s="175"/>
      <c r="V119" s="175"/>
    </row>
    <row r="120" spans="1:22" s="147" customFormat="1" ht="45.75" customHeight="1">
      <c r="A120" s="168">
        <v>114</v>
      </c>
      <c r="B120" s="412" t="s">
        <v>360</v>
      </c>
      <c r="C120" s="413" t="s">
        <v>361</v>
      </c>
      <c r="D120" s="414"/>
      <c r="E120" s="414">
        <v>57</v>
      </c>
      <c r="F120" s="473" t="s">
        <v>229</v>
      </c>
      <c r="G120" s="414" t="s">
        <v>186</v>
      </c>
      <c r="H120" s="415">
        <v>4497500</v>
      </c>
      <c r="I120" s="407" t="s">
        <v>134</v>
      </c>
      <c r="J120" s="169">
        <f t="shared" si="6"/>
        <v>472237.5</v>
      </c>
      <c r="K120" s="416" t="s">
        <v>434</v>
      </c>
      <c r="L120" s="169">
        <f t="shared" si="7"/>
        <v>134925</v>
      </c>
      <c r="M120" s="416" t="s">
        <v>432</v>
      </c>
      <c r="N120" s="169">
        <f t="shared" si="8"/>
        <v>89950</v>
      </c>
      <c r="O120" s="416" t="s">
        <v>442</v>
      </c>
      <c r="P120" s="169">
        <f t="shared" si="9"/>
        <v>44975</v>
      </c>
      <c r="Q120" s="170">
        <f t="shared" si="10"/>
        <v>22487.5</v>
      </c>
      <c r="R120" s="170">
        <f t="shared" si="11"/>
        <v>764575</v>
      </c>
      <c r="S120" s="175"/>
      <c r="T120" s="175"/>
      <c r="U120" s="175"/>
      <c r="V120" s="175"/>
    </row>
    <row r="121" spans="1:22" s="147" customFormat="1" ht="45.75" customHeight="1">
      <c r="A121" s="168">
        <v>115</v>
      </c>
      <c r="B121" s="412" t="s">
        <v>360</v>
      </c>
      <c r="C121" s="413" t="s">
        <v>362</v>
      </c>
      <c r="D121" s="414">
        <v>54</v>
      </c>
      <c r="E121" s="414"/>
      <c r="F121" s="473" t="s">
        <v>327</v>
      </c>
      <c r="G121" s="414" t="s">
        <v>186</v>
      </c>
      <c r="H121" s="415">
        <v>3525500</v>
      </c>
      <c r="I121" s="407" t="s">
        <v>135</v>
      </c>
      <c r="J121" s="169">
        <f t="shared" si="6"/>
        <v>370177.5</v>
      </c>
      <c r="K121" s="416" t="s">
        <v>134</v>
      </c>
      <c r="L121" s="169">
        <f t="shared" si="7"/>
        <v>105765</v>
      </c>
      <c r="M121" s="416" t="s">
        <v>428</v>
      </c>
      <c r="N121" s="169">
        <f t="shared" si="8"/>
        <v>70510</v>
      </c>
      <c r="O121" s="416" t="s">
        <v>434</v>
      </c>
      <c r="P121" s="169">
        <f t="shared" si="9"/>
        <v>35255</v>
      </c>
      <c r="Q121" s="170">
        <f t="shared" si="10"/>
        <v>17627.5</v>
      </c>
      <c r="R121" s="170">
        <f t="shared" si="11"/>
        <v>599335</v>
      </c>
      <c r="S121" s="175"/>
      <c r="T121" s="175"/>
      <c r="U121" s="175"/>
      <c r="V121" s="175"/>
    </row>
    <row r="122" spans="1:22" s="147" customFormat="1" ht="45.75" customHeight="1">
      <c r="A122" s="168">
        <v>116</v>
      </c>
      <c r="B122" s="412" t="s">
        <v>360</v>
      </c>
      <c r="C122" s="413" t="s">
        <v>363</v>
      </c>
      <c r="D122" s="414"/>
      <c r="E122" s="414">
        <v>57</v>
      </c>
      <c r="F122" s="473" t="s">
        <v>200</v>
      </c>
      <c r="G122" s="414" t="s">
        <v>186</v>
      </c>
      <c r="H122" s="415">
        <v>3525500</v>
      </c>
      <c r="I122" s="407" t="s">
        <v>135</v>
      </c>
      <c r="J122" s="169">
        <f t="shared" si="6"/>
        <v>475942.5</v>
      </c>
      <c r="K122" s="416" t="s">
        <v>134</v>
      </c>
      <c r="L122" s="169">
        <f t="shared" si="7"/>
        <v>105765</v>
      </c>
      <c r="M122" s="416" t="s">
        <v>56</v>
      </c>
      <c r="N122" s="169">
        <f t="shared" si="8"/>
        <v>0</v>
      </c>
      <c r="O122" s="416" t="s">
        <v>56</v>
      </c>
      <c r="P122" s="169">
        <f t="shared" si="9"/>
        <v>0</v>
      </c>
      <c r="Q122" s="170">
        <f t="shared" si="10"/>
        <v>17627.5</v>
      </c>
      <c r="R122" s="170">
        <f t="shared" si="11"/>
        <v>599335</v>
      </c>
      <c r="S122" s="175"/>
      <c r="T122" s="175"/>
      <c r="U122" s="175"/>
      <c r="V122" s="175"/>
    </row>
    <row r="123" spans="1:22" s="147" customFormat="1" ht="45.75" customHeight="1">
      <c r="A123" s="168">
        <v>117</v>
      </c>
      <c r="B123" s="412" t="s">
        <v>360</v>
      </c>
      <c r="C123" s="413" t="s">
        <v>364</v>
      </c>
      <c r="D123" s="414">
        <v>20</v>
      </c>
      <c r="E123" s="414"/>
      <c r="F123" s="473" t="s">
        <v>365</v>
      </c>
      <c r="G123" s="414" t="s">
        <v>204</v>
      </c>
      <c r="H123" s="415">
        <v>5397500</v>
      </c>
      <c r="I123" s="407" t="s">
        <v>212</v>
      </c>
      <c r="J123" s="169">
        <f t="shared" si="6"/>
        <v>391318.75000000012</v>
      </c>
      <c r="K123" s="416" t="s">
        <v>294</v>
      </c>
      <c r="L123" s="169">
        <f t="shared" si="7"/>
        <v>161925</v>
      </c>
      <c r="M123" s="416" t="s">
        <v>432</v>
      </c>
      <c r="N123" s="169">
        <f t="shared" si="8"/>
        <v>107950</v>
      </c>
      <c r="O123" s="416" t="s">
        <v>436</v>
      </c>
      <c r="P123" s="169">
        <f t="shared" si="9"/>
        <v>53975</v>
      </c>
      <c r="Q123" s="170">
        <f t="shared" si="10"/>
        <v>26987.5</v>
      </c>
      <c r="R123" s="170">
        <f t="shared" si="11"/>
        <v>742156.25000000012</v>
      </c>
      <c r="S123" s="175"/>
      <c r="T123" s="175"/>
      <c r="U123" s="175"/>
      <c r="V123" s="175"/>
    </row>
    <row r="124" spans="1:22" s="147" customFormat="1" ht="45.75" customHeight="1">
      <c r="A124" s="168">
        <v>118</v>
      </c>
      <c r="B124" s="412" t="s">
        <v>366</v>
      </c>
      <c r="C124" s="413" t="s">
        <v>367</v>
      </c>
      <c r="D124" s="414">
        <v>21</v>
      </c>
      <c r="E124" s="414"/>
      <c r="F124" s="473" t="s">
        <v>229</v>
      </c>
      <c r="G124" s="414" t="s">
        <v>186</v>
      </c>
      <c r="H124" s="415">
        <v>4497500</v>
      </c>
      <c r="I124" s="407" t="s">
        <v>183</v>
      </c>
      <c r="J124" s="169">
        <f t="shared" si="6"/>
        <v>472237.5</v>
      </c>
      <c r="K124" s="416" t="s">
        <v>434</v>
      </c>
      <c r="L124" s="169">
        <f t="shared" si="7"/>
        <v>134925</v>
      </c>
      <c r="M124" s="416" t="s">
        <v>431</v>
      </c>
      <c r="N124" s="169">
        <f t="shared" si="8"/>
        <v>89950</v>
      </c>
      <c r="O124" s="416" t="s">
        <v>442</v>
      </c>
      <c r="P124" s="169">
        <f t="shared" si="9"/>
        <v>44975</v>
      </c>
      <c r="Q124" s="170">
        <f t="shared" si="10"/>
        <v>22487.5</v>
      </c>
      <c r="R124" s="170">
        <f t="shared" si="11"/>
        <v>764575</v>
      </c>
      <c r="S124" s="175"/>
      <c r="T124" s="175"/>
      <c r="U124" s="175"/>
      <c r="V124" s="175"/>
    </row>
    <row r="125" spans="1:22" s="147" customFormat="1" ht="45.75" customHeight="1">
      <c r="A125" s="168">
        <v>119</v>
      </c>
      <c r="B125" s="412" t="s">
        <v>368</v>
      </c>
      <c r="C125" s="413" t="s">
        <v>369</v>
      </c>
      <c r="D125" s="414">
        <v>18</v>
      </c>
      <c r="E125" s="414"/>
      <c r="F125" s="473" t="s">
        <v>246</v>
      </c>
      <c r="G125" s="414" t="s">
        <v>182</v>
      </c>
      <c r="H125" s="415">
        <v>2559100</v>
      </c>
      <c r="I125" s="407" t="s">
        <v>190</v>
      </c>
      <c r="J125" s="169">
        <f t="shared" si="6"/>
        <v>211125.75</v>
      </c>
      <c r="K125" s="416" t="s">
        <v>430</v>
      </c>
      <c r="L125" s="169">
        <f t="shared" si="7"/>
        <v>76773</v>
      </c>
      <c r="M125" s="416" t="s">
        <v>435</v>
      </c>
      <c r="N125" s="169">
        <f t="shared" si="8"/>
        <v>51182</v>
      </c>
      <c r="O125" s="416" t="s">
        <v>56</v>
      </c>
      <c r="P125" s="169">
        <f t="shared" si="9"/>
        <v>0</v>
      </c>
      <c r="Q125" s="170">
        <f t="shared" si="10"/>
        <v>12795.5</v>
      </c>
      <c r="R125" s="170">
        <f t="shared" si="11"/>
        <v>351876.25</v>
      </c>
      <c r="S125" s="175"/>
      <c r="T125" s="175"/>
      <c r="U125" s="175"/>
      <c r="V125" s="175"/>
    </row>
    <row r="126" spans="1:22" s="147" customFormat="1" ht="45.75" customHeight="1">
      <c r="A126" s="168">
        <v>120</v>
      </c>
      <c r="B126" s="412" t="s">
        <v>368</v>
      </c>
      <c r="C126" s="413" t="s">
        <v>370</v>
      </c>
      <c r="D126" s="414">
        <v>63</v>
      </c>
      <c r="E126" s="414"/>
      <c r="F126" s="473" t="s">
        <v>248</v>
      </c>
      <c r="G126" s="414" t="s">
        <v>182</v>
      </c>
      <c r="H126" s="415">
        <v>2760300</v>
      </c>
      <c r="I126" s="407" t="s">
        <v>134</v>
      </c>
      <c r="J126" s="169">
        <f t="shared" si="6"/>
        <v>317434.50000000006</v>
      </c>
      <c r="K126" s="416" t="s">
        <v>432</v>
      </c>
      <c r="L126" s="169">
        <f t="shared" si="7"/>
        <v>82809</v>
      </c>
      <c r="M126" s="416" t="s">
        <v>441</v>
      </c>
      <c r="N126" s="169">
        <f t="shared" si="8"/>
        <v>55206</v>
      </c>
      <c r="O126" s="416" t="s">
        <v>56</v>
      </c>
      <c r="P126" s="169">
        <f t="shared" si="9"/>
        <v>0</v>
      </c>
      <c r="Q126" s="170">
        <f t="shared" si="10"/>
        <v>13801.5</v>
      </c>
      <c r="R126" s="170">
        <f t="shared" si="11"/>
        <v>469251.00000000006</v>
      </c>
      <c r="S126" s="175"/>
      <c r="T126" s="175"/>
      <c r="U126" s="175"/>
      <c r="V126" s="175"/>
    </row>
    <row r="127" spans="1:22" s="147" customFormat="1" ht="45.75" customHeight="1">
      <c r="A127" s="168">
        <v>121</v>
      </c>
      <c r="B127" s="412" t="s">
        <v>368</v>
      </c>
      <c r="C127" s="413" t="s">
        <v>371</v>
      </c>
      <c r="D127" s="414"/>
      <c r="E127" s="414">
        <v>47</v>
      </c>
      <c r="F127" s="473" t="s">
        <v>229</v>
      </c>
      <c r="G127" s="414" t="s">
        <v>186</v>
      </c>
      <c r="H127" s="415">
        <v>4497500</v>
      </c>
      <c r="I127" s="407" t="s">
        <v>134</v>
      </c>
      <c r="J127" s="169">
        <f t="shared" si="6"/>
        <v>472237.5</v>
      </c>
      <c r="K127" s="416" t="s">
        <v>436</v>
      </c>
      <c r="L127" s="169">
        <f t="shared" si="7"/>
        <v>134925</v>
      </c>
      <c r="M127" s="416" t="s">
        <v>441</v>
      </c>
      <c r="N127" s="169">
        <f t="shared" si="8"/>
        <v>89950</v>
      </c>
      <c r="O127" s="416" t="s">
        <v>432</v>
      </c>
      <c r="P127" s="169">
        <f t="shared" si="9"/>
        <v>44975</v>
      </c>
      <c r="Q127" s="170">
        <f t="shared" si="10"/>
        <v>22487.5</v>
      </c>
      <c r="R127" s="170">
        <f t="shared" si="11"/>
        <v>764575</v>
      </c>
      <c r="S127" s="175"/>
      <c r="T127" s="175"/>
      <c r="U127" s="175"/>
      <c r="V127" s="175"/>
    </row>
    <row r="128" spans="1:22" s="147" customFormat="1" ht="45.75" customHeight="1">
      <c r="A128" s="168">
        <v>122</v>
      </c>
      <c r="B128" s="412" t="s">
        <v>368</v>
      </c>
      <c r="C128" s="413" t="s">
        <v>371</v>
      </c>
      <c r="D128" s="414"/>
      <c r="E128" s="414">
        <v>47</v>
      </c>
      <c r="F128" s="473" t="s">
        <v>372</v>
      </c>
      <c r="G128" s="414" t="s">
        <v>186</v>
      </c>
      <c r="H128" s="415">
        <v>2248750</v>
      </c>
      <c r="I128" s="407" t="s">
        <v>134</v>
      </c>
      <c r="J128" s="169">
        <f t="shared" si="6"/>
        <v>236118.75</v>
      </c>
      <c r="K128" s="416" t="s">
        <v>432</v>
      </c>
      <c r="L128" s="169">
        <f t="shared" si="7"/>
        <v>67462.5</v>
      </c>
      <c r="M128" s="416" t="s">
        <v>438</v>
      </c>
      <c r="N128" s="169">
        <f t="shared" si="8"/>
        <v>44975</v>
      </c>
      <c r="O128" s="416" t="s">
        <v>436</v>
      </c>
      <c r="P128" s="169">
        <f t="shared" si="9"/>
        <v>22487.5</v>
      </c>
      <c r="Q128" s="170">
        <f t="shared" si="10"/>
        <v>11243.75</v>
      </c>
      <c r="R128" s="170">
        <f t="shared" si="11"/>
        <v>382287.5</v>
      </c>
      <c r="S128" s="175"/>
      <c r="T128" s="175"/>
      <c r="U128" s="175"/>
      <c r="V128" s="175"/>
    </row>
    <row r="129" spans="1:22" s="147" customFormat="1" ht="45.75" customHeight="1">
      <c r="A129" s="168">
        <v>123</v>
      </c>
      <c r="B129" s="412" t="s">
        <v>368</v>
      </c>
      <c r="C129" s="413" t="s">
        <v>373</v>
      </c>
      <c r="D129" s="414">
        <v>58</v>
      </c>
      <c r="E129" s="414"/>
      <c r="F129" s="473" t="s">
        <v>229</v>
      </c>
      <c r="G129" s="414" t="s">
        <v>186</v>
      </c>
      <c r="H129" s="415">
        <v>4497500</v>
      </c>
      <c r="I129" s="407" t="s">
        <v>134</v>
      </c>
      <c r="J129" s="169">
        <f t="shared" si="6"/>
        <v>472237.5</v>
      </c>
      <c r="K129" s="416" t="s">
        <v>432</v>
      </c>
      <c r="L129" s="169">
        <f t="shared" si="7"/>
        <v>134925</v>
      </c>
      <c r="M129" s="416" t="s">
        <v>436</v>
      </c>
      <c r="N129" s="169">
        <f t="shared" si="8"/>
        <v>89950</v>
      </c>
      <c r="O129" s="416" t="s">
        <v>441</v>
      </c>
      <c r="P129" s="169">
        <f t="shared" si="9"/>
        <v>44975</v>
      </c>
      <c r="Q129" s="170">
        <f t="shared" si="10"/>
        <v>22487.5</v>
      </c>
      <c r="R129" s="170">
        <f t="shared" si="11"/>
        <v>764575</v>
      </c>
      <c r="S129" s="175"/>
      <c r="T129" s="175"/>
      <c r="U129" s="175"/>
      <c r="V129" s="175"/>
    </row>
    <row r="130" spans="1:22" s="147" customFormat="1" ht="45.75" customHeight="1">
      <c r="A130" s="168">
        <v>124</v>
      </c>
      <c r="B130" s="412" t="s">
        <v>374</v>
      </c>
      <c r="C130" s="413" t="s">
        <v>375</v>
      </c>
      <c r="D130" s="414">
        <v>53</v>
      </c>
      <c r="E130" s="414"/>
      <c r="F130" s="473" t="s">
        <v>246</v>
      </c>
      <c r="G130" s="414" t="s">
        <v>182</v>
      </c>
      <c r="H130" s="415">
        <v>2559100</v>
      </c>
      <c r="I130" s="407" t="s">
        <v>159</v>
      </c>
      <c r="J130" s="169">
        <f t="shared" si="6"/>
        <v>268705.50000000006</v>
      </c>
      <c r="K130" s="416" t="s">
        <v>431</v>
      </c>
      <c r="L130" s="169">
        <f t="shared" si="7"/>
        <v>76773</v>
      </c>
      <c r="M130" s="416" t="s">
        <v>438</v>
      </c>
      <c r="N130" s="169">
        <f t="shared" si="8"/>
        <v>51182</v>
      </c>
      <c r="O130" s="416" t="s">
        <v>442</v>
      </c>
      <c r="P130" s="169">
        <f t="shared" si="9"/>
        <v>25591</v>
      </c>
      <c r="Q130" s="170">
        <f t="shared" si="10"/>
        <v>12795.5</v>
      </c>
      <c r="R130" s="170">
        <f t="shared" si="11"/>
        <v>435047.00000000006</v>
      </c>
      <c r="S130" s="175"/>
      <c r="T130" s="175"/>
      <c r="U130" s="175"/>
      <c r="V130" s="175"/>
    </row>
    <row r="131" spans="1:22" s="147" customFormat="1" ht="45.75" customHeight="1">
      <c r="A131" s="168">
        <v>125</v>
      </c>
      <c r="B131" s="412" t="s">
        <v>374</v>
      </c>
      <c r="C131" s="413" t="s">
        <v>376</v>
      </c>
      <c r="D131" s="414"/>
      <c r="E131" s="414">
        <v>39</v>
      </c>
      <c r="F131" s="473" t="s">
        <v>339</v>
      </c>
      <c r="G131" s="414" t="s">
        <v>219</v>
      </c>
      <c r="H131" s="415">
        <v>9972000</v>
      </c>
      <c r="I131" s="407" t="s">
        <v>294</v>
      </c>
      <c r="J131" s="169">
        <f t="shared" si="6"/>
        <v>1047060.0000000002</v>
      </c>
      <c r="K131" s="416" t="s">
        <v>434</v>
      </c>
      <c r="L131" s="169">
        <f t="shared" si="7"/>
        <v>299160</v>
      </c>
      <c r="M131" s="416" t="s">
        <v>432</v>
      </c>
      <c r="N131" s="169">
        <f t="shared" si="8"/>
        <v>199440</v>
      </c>
      <c r="O131" s="416" t="s">
        <v>438</v>
      </c>
      <c r="P131" s="169">
        <f t="shared" si="9"/>
        <v>99720</v>
      </c>
      <c r="Q131" s="170">
        <f t="shared" si="10"/>
        <v>49860</v>
      </c>
      <c r="R131" s="170">
        <f t="shared" si="11"/>
        <v>1695240.0000000002</v>
      </c>
      <c r="S131" s="175"/>
      <c r="T131" s="175"/>
      <c r="U131" s="175"/>
      <c r="V131" s="175"/>
    </row>
    <row r="132" spans="1:22" s="147" customFormat="1" ht="45.75" customHeight="1">
      <c r="A132" s="168">
        <v>126</v>
      </c>
      <c r="B132" s="412" t="s">
        <v>374</v>
      </c>
      <c r="C132" s="413" t="s">
        <v>377</v>
      </c>
      <c r="D132" s="414"/>
      <c r="E132" s="414">
        <v>66</v>
      </c>
      <c r="F132" s="473" t="s">
        <v>292</v>
      </c>
      <c r="G132" s="414" t="s">
        <v>186</v>
      </c>
      <c r="H132" s="415">
        <v>5397500</v>
      </c>
      <c r="I132" s="407" t="s">
        <v>378</v>
      </c>
      <c r="J132" s="169">
        <f t="shared" si="6"/>
        <v>566737.50000000012</v>
      </c>
      <c r="K132" s="416" t="s">
        <v>294</v>
      </c>
      <c r="L132" s="169">
        <f t="shared" si="7"/>
        <v>161925</v>
      </c>
      <c r="M132" s="416" t="s">
        <v>212</v>
      </c>
      <c r="N132" s="169">
        <f t="shared" si="8"/>
        <v>107950</v>
      </c>
      <c r="O132" s="416" t="s">
        <v>434</v>
      </c>
      <c r="P132" s="169">
        <f t="shared" si="9"/>
        <v>53975</v>
      </c>
      <c r="Q132" s="170">
        <f t="shared" si="10"/>
        <v>26987.5</v>
      </c>
      <c r="R132" s="170">
        <f t="shared" si="11"/>
        <v>917575.00000000012</v>
      </c>
      <c r="S132" s="175"/>
      <c r="T132" s="175"/>
      <c r="U132" s="175"/>
      <c r="V132" s="175"/>
    </row>
    <row r="133" spans="1:22" s="147" customFormat="1" ht="45.75" customHeight="1">
      <c r="A133" s="168">
        <v>127</v>
      </c>
      <c r="B133" s="412" t="s">
        <v>374</v>
      </c>
      <c r="C133" s="413" t="s">
        <v>379</v>
      </c>
      <c r="D133" s="414">
        <v>58</v>
      </c>
      <c r="E133" s="414"/>
      <c r="F133" s="473" t="s">
        <v>380</v>
      </c>
      <c r="G133" s="414" t="s">
        <v>186</v>
      </c>
      <c r="H133" s="415">
        <v>3525500</v>
      </c>
      <c r="I133" s="407" t="s">
        <v>135</v>
      </c>
      <c r="J133" s="169">
        <f t="shared" si="6"/>
        <v>370177.5</v>
      </c>
      <c r="K133" s="416" t="s">
        <v>134</v>
      </c>
      <c r="L133" s="169">
        <f t="shared" si="7"/>
        <v>105765</v>
      </c>
      <c r="M133" s="416" t="s">
        <v>432</v>
      </c>
      <c r="N133" s="169">
        <f t="shared" si="8"/>
        <v>70510</v>
      </c>
      <c r="O133" s="416" t="s">
        <v>431</v>
      </c>
      <c r="P133" s="169">
        <f t="shared" si="9"/>
        <v>35255</v>
      </c>
      <c r="Q133" s="170">
        <f t="shared" si="10"/>
        <v>17627.5</v>
      </c>
      <c r="R133" s="170">
        <f t="shared" si="11"/>
        <v>599335</v>
      </c>
      <c r="S133" s="175"/>
      <c r="T133" s="175"/>
      <c r="U133" s="175"/>
      <c r="V133" s="175"/>
    </row>
    <row r="134" spans="1:22" s="147" customFormat="1" ht="45.75" customHeight="1">
      <c r="A134" s="168">
        <v>128</v>
      </c>
      <c r="B134" s="412" t="s">
        <v>374</v>
      </c>
      <c r="C134" s="413" t="s">
        <v>381</v>
      </c>
      <c r="D134" s="414"/>
      <c r="E134" s="414">
        <v>23</v>
      </c>
      <c r="F134" s="473" t="s">
        <v>382</v>
      </c>
      <c r="G134" s="414" t="s">
        <v>219</v>
      </c>
      <c r="H134" s="415">
        <v>5302000</v>
      </c>
      <c r="I134" s="407" t="s">
        <v>212</v>
      </c>
      <c r="J134" s="169">
        <f t="shared" si="6"/>
        <v>384395.00000000012</v>
      </c>
      <c r="K134" s="416" t="s">
        <v>428</v>
      </c>
      <c r="L134" s="169">
        <f t="shared" si="7"/>
        <v>159060</v>
      </c>
      <c r="M134" s="416" t="s">
        <v>431</v>
      </c>
      <c r="N134" s="169">
        <f t="shared" si="8"/>
        <v>106040</v>
      </c>
      <c r="O134" s="416" t="s">
        <v>442</v>
      </c>
      <c r="P134" s="169">
        <f t="shared" si="9"/>
        <v>53020</v>
      </c>
      <c r="Q134" s="170">
        <f t="shared" si="10"/>
        <v>26510</v>
      </c>
      <c r="R134" s="170">
        <f t="shared" si="11"/>
        <v>729025.00000000012</v>
      </c>
      <c r="S134" s="175"/>
      <c r="T134" s="175"/>
      <c r="U134" s="175"/>
      <c r="V134" s="175"/>
    </row>
    <row r="135" spans="1:22" s="147" customFormat="1" ht="45.75" customHeight="1">
      <c r="A135" s="168">
        <v>129</v>
      </c>
      <c r="B135" s="412" t="s">
        <v>383</v>
      </c>
      <c r="C135" s="413" t="s">
        <v>384</v>
      </c>
      <c r="D135" s="414">
        <v>25</v>
      </c>
      <c r="E135" s="414"/>
      <c r="F135" s="473" t="s">
        <v>267</v>
      </c>
      <c r="G135" s="414" t="s">
        <v>204</v>
      </c>
      <c r="H135" s="415">
        <v>3796000</v>
      </c>
      <c r="I135" s="407" t="s">
        <v>134</v>
      </c>
      <c r="J135" s="169">
        <f t="shared" si="6"/>
        <v>398580</v>
      </c>
      <c r="K135" s="416" t="s">
        <v>430</v>
      </c>
      <c r="L135" s="169">
        <f t="shared" si="7"/>
        <v>113880</v>
      </c>
      <c r="M135" s="416" t="s">
        <v>435</v>
      </c>
      <c r="N135" s="169">
        <f t="shared" si="8"/>
        <v>75920</v>
      </c>
      <c r="O135" s="416" t="s">
        <v>442</v>
      </c>
      <c r="P135" s="169">
        <f t="shared" si="9"/>
        <v>37960</v>
      </c>
      <c r="Q135" s="170">
        <f t="shared" si="10"/>
        <v>18980</v>
      </c>
      <c r="R135" s="170">
        <f t="shared" si="11"/>
        <v>645320</v>
      </c>
      <c r="S135" s="175"/>
      <c r="T135" s="175"/>
      <c r="U135" s="175"/>
      <c r="V135" s="175"/>
    </row>
    <row r="136" spans="1:22" s="147" customFormat="1" ht="45.75" customHeight="1">
      <c r="A136" s="168">
        <v>130</v>
      </c>
      <c r="B136" s="412" t="s">
        <v>383</v>
      </c>
      <c r="C136" s="413" t="s">
        <v>385</v>
      </c>
      <c r="D136" s="414"/>
      <c r="E136" s="414">
        <v>58</v>
      </c>
      <c r="F136" s="473" t="s">
        <v>386</v>
      </c>
      <c r="G136" s="414" t="s">
        <v>186</v>
      </c>
      <c r="H136" s="415">
        <v>3525500</v>
      </c>
      <c r="I136" s="407" t="s">
        <v>159</v>
      </c>
      <c r="J136" s="169">
        <f t="shared" ref="J136:J166" si="12">R136-L136-N136-P136-Q136</f>
        <v>370177.5</v>
      </c>
      <c r="K136" s="416" t="s">
        <v>378</v>
      </c>
      <c r="L136" s="169">
        <f t="shared" si="7"/>
        <v>105765</v>
      </c>
      <c r="M136" s="416" t="s">
        <v>428</v>
      </c>
      <c r="N136" s="169">
        <f t="shared" si="8"/>
        <v>70510</v>
      </c>
      <c r="O136" s="416" t="s">
        <v>434</v>
      </c>
      <c r="P136" s="169">
        <f t="shared" si="9"/>
        <v>35255</v>
      </c>
      <c r="Q136" s="170">
        <f t="shared" si="10"/>
        <v>17627.5</v>
      </c>
      <c r="R136" s="170">
        <f t="shared" si="11"/>
        <v>599335</v>
      </c>
      <c r="S136" s="175"/>
      <c r="T136" s="175"/>
      <c r="U136" s="175"/>
      <c r="V136" s="175"/>
    </row>
    <row r="137" spans="1:22" s="147" customFormat="1" ht="45.75" customHeight="1">
      <c r="A137" s="168">
        <v>131</v>
      </c>
      <c r="B137" s="412" t="s">
        <v>383</v>
      </c>
      <c r="C137" s="413" t="s">
        <v>387</v>
      </c>
      <c r="D137" s="414">
        <v>75</v>
      </c>
      <c r="E137" s="414"/>
      <c r="F137" s="473" t="s">
        <v>388</v>
      </c>
      <c r="G137" s="414" t="s">
        <v>204</v>
      </c>
      <c r="H137" s="415">
        <v>3897500</v>
      </c>
      <c r="I137" s="407" t="s">
        <v>159</v>
      </c>
      <c r="J137" s="169">
        <f t="shared" si="12"/>
        <v>409237.5</v>
      </c>
      <c r="K137" s="416" t="s">
        <v>190</v>
      </c>
      <c r="L137" s="169">
        <f t="shared" si="7"/>
        <v>116925</v>
      </c>
      <c r="M137" s="416" t="s">
        <v>428</v>
      </c>
      <c r="N137" s="169">
        <f t="shared" si="8"/>
        <v>77950</v>
      </c>
      <c r="O137" s="416" t="s">
        <v>430</v>
      </c>
      <c r="P137" s="169">
        <f t="shared" si="9"/>
        <v>38975</v>
      </c>
      <c r="Q137" s="170">
        <f t="shared" si="10"/>
        <v>19487.5</v>
      </c>
      <c r="R137" s="170">
        <f t="shared" si="11"/>
        <v>662575</v>
      </c>
      <c r="S137" s="175"/>
      <c r="T137" s="175"/>
      <c r="U137" s="175"/>
      <c r="V137" s="175"/>
    </row>
    <row r="138" spans="1:22" s="147" customFormat="1" ht="45.75" customHeight="1">
      <c r="A138" s="168">
        <v>132</v>
      </c>
      <c r="B138" s="412" t="s">
        <v>389</v>
      </c>
      <c r="C138" s="413" t="s">
        <v>390</v>
      </c>
      <c r="D138" s="414">
        <v>60</v>
      </c>
      <c r="E138" s="414"/>
      <c r="F138" s="473" t="s">
        <v>391</v>
      </c>
      <c r="G138" s="414" t="s">
        <v>204</v>
      </c>
      <c r="H138" s="415">
        <v>2697300</v>
      </c>
      <c r="I138" s="407" t="s">
        <v>294</v>
      </c>
      <c r="J138" s="169">
        <f t="shared" si="12"/>
        <v>283216.50000000006</v>
      </c>
      <c r="K138" s="416" t="s">
        <v>436</v>
      </c>
      <c r="L138" s="169">
        <f t="shared" si="7"/>
        <v>80919</v>
      </c>
      <c r="M138" s="416" t="s">
        <v>438</v>
      </c>
      <c r="N138" s="169">
        <f t="shared" si="8"/>
        <v>53946</v>
      </c>
      <c r="O138" s="416" t="s">
        <v>440</v>
      </c>
      <c r="P138" s="169">
        <f t="shared" si="9"/>
        <v>26973</v>
      </c>
      <c r="Q138" s="170">
        <f t="shared" si="10"/>
        <v>13486.5</v>
      </c>
      <c r="R138" s="170">
        <f t="shared" si="11"/>
        <v>458541.00000000006</v>
      </c>
      <c r="S138" s="175"/>
      <c r="T138" s="175"/>
      <c r="U138" s="175"/>
      <c r="V138" s="175"/>
    </row>
    <row r="139" spans="1:22" s="147" customFormat="1" ht="45.75" customHeight="1">
      <c r="A139" s="168">
        <v>133</v>
      </c>
      <c r="B139" s="412" t="s">
        <v>389</v>
      </c>
      <c r="C139" s="413" t="s">
        <v>392</v>
      </c>
      <c r="D139" s="414">
        <v>58</v>
      </c>
      <c r="E139" s="414"/>
      <c r="F139" s="473" t="s">
        <v>181</v>
      </c>
      <c r="G139" s="414" t="s">
        <v>182</v>
      </c>
      <c r="H139" s="415">
        <v>1947100</v>
      </c>
      <c r="I139" s="407" t="s">
        <v>183</v>
      </c>
      <c r="J139" s="169">
        <f t="shared" si="12"/>
        <v>204445.5</v>
      </c>
      <c r="K139" s="416" t="s">
        <v>430</v>
      </c>
      <c r="L139" s="169">
        <f t="shared" si="7"/>
        <v>58413</v>
      </c>
      <c r="M139" s="416" t="s">
        <v>438</v>
      </c>
      <c r="N139" s="169">
        <f t="shared" si="8"/>
        <v>38942</v>
      </c>
      <c r="O139" s="416" t="s">
        <v>441</v>
      </c>
      <c r="P139" s="169">
        <f t="shared" si="9"/>
        <v>19471</v>
      </c>
      <c r="Q139" s="170">
        <f t="shared" si="10"/>
        <v>9735.5</v>
      </c>
      <c r="R139" s="170">
        <f t="shared" si="11"/>
        <v>331007</v>
      </c>
      <c r="S139" s="175"/>
      <c r="T139" s="175"/>
      <c r="U139" s="175"/>
      <c r="V139" s="175"/>
    </row>
    <row r="140" spans="1:22" s="147" customFormat="1" ht="45.75" customHeight="1">
      <c r="A140" s="168">
        <v>134</v>
      </c>
      <c r="B140" s="412" t="s">
        <v>389</v>
      </c>
      <c r="C140" s="413" t="s">
        <v>393</v>
      </c>
      <c r="D140" s="414">
        <v>28</v>
      </c>
      <c r="E140" s="414"/>
      <c r="F140" s="473" t="s">
        <v>215</v>
      </c>
      <c r="G140" s="414" t="s">
        <v>204</v>
      </c>
      <c r="H140" s="415">
        <v>3796000</v>
      </c>
      <c r="I140" s="407" t="s">
        <v>134</v>
      </c>
      <c r="J140" s="169">
        <f t="shared" si="12"/>
        <v>398580</v>
      </c>
      <c r="K140" s="416" t="s">
        <v>432</v>
      </c>
      <c r="L140" s="169">
        <f t="shared" si="7"/>
        <v>113880</v>
      </c>
      <c r="M140" s="416" t="s">
        <v>440</v>
      </c>
      <c r="N140" s="169">
        <f t="shared" si="8"/>
        <v>75920</v>
      </c>
      <c r="O140" s="416" t="s">
        <v>441</v>
      </c>
      <c r="P140" s="169">
        <f t="shared" si="9"/>
        <v>37960</v>
      </c>
      <c r="Q140" s="170">
        <f t="shared" si="10"/>
        <v>18980</v>
      </c>
      <c r="R140" s="170">
        <f t="shared" si="11"/>
        <v>645320</v>
      </c>
      <c r="S140" s="175"/>
      <c r="T140" s="175"/>
      <c r="U140" s="175"/>
      <c r="V140" s="175"/>
    </row>
    <row r="141" spans="1:22" s="147" customFormat="1" ht="45.75" customHeight="1">
      <c r="A141" s="168">
        <v>135</v>
      </c>
      <c r="B141" s="412" t="s">
        <v>389</v>
      </c>
      <c r="C141" s="413" t="s">
        <v>394</v>
      </c>
      <c r="D141" s="414">
        <v>67</v>
      </c>
      <c r="E141" s="414"/>
      <c r="F141" s="473" t="s">
        <v>395</v>
      </c>
      <c r="G141" s="414" t="s">
        <v>182</v>
      </c>
      <c r="H141" s="415">
        <v>2559100</v>
      </c>
      <c r="I141" s="407" t="s">
        <v>134</v>
      </c>
      <c r="J141" s="169">
        <f t="shared" si="12"/>
        <v>294296.50000000006</v>
      </c>
      <c r="K141" s="416" t="s">
        <v>430</v>
      </c>
      <c r="L141" s="169">
        <f t="shared" si="7"/>
        <v>76773</v>
      </c>
      <c r="M141" s="416" t="s">
        <v>432</v>
      </c>
      <c r="N141" s="169">
        <f t="shared" si="8"/>
        <v>51182</v>
      </c>
      <c r="O141" s="416" t="s">
        <v>56</v>
      </c>
      <c r="P141" s="169">
        <f t="shared" si="9"/>
        <v>0</v>
      </c>
      <c r="Q141" s="170">
        <f t="shared" si="10"/>
        <v>12795.5</v>
      </c>
      <c r="R141" s="170">
        <f t="shared" si="11"/>
        <v>435047.00000000006</v>
      </c>
      <c r="S141" s="175"/>
      <c r="T141" s="175"/>
      <c r="U141" s="175"/>
      <c r="V141" s="175"/>
    </row>
    <row r="142" spans="1:22" s="147" customFormat="1" ht="45.75" customHeight="1">
      <c r="A142" s="168">
        <v>136</v>
      </c>
      <c r="B142" s="412" t="s">
        <v>389</v>
      </c>
      <c r="C142" s="413" t="s">
        <v>394</v>
      </c>
      <c r="D142" s="414">
        <v>67</v>
      </c>
      <c r="E142" s="414"/>
      <c r="F142" s="473" t="s">
        <v>396</v>
      </c>
      <c r="G142" s="414" t="s">
        <v>182</v>
      </c>
      <c r="H142" s="415">
        <v>2047280</v>
      </c>
      <c r="I142" s="407" t="s">
        <v>190</v>
      </c>
      <c r="J142" s="169">
        <f t="shared" si="12"/>
        <v>148427.80000000002</v>
      </c>
      <c r="K142" s="416" t="s">
        <v>134</v>
      </c>
      <c r="L142" s="169">
        <f t="shared" si="7"/>
        <v>61418.399999999994</v>
      </c>
      <c r="M142" s="416" t="s">
        <v>432</v>
      </c>
      <c r="N142" s="169">
        <f t="shared" si="8"/>
        <v>40945.599999999999</v>
      </c>
      <c r="O142" s="416" t="s">
        <v>430</v>
      </c>
      <c r="P142" s="169">
        <f t="shared" si="9"/>
        <v>20472.8</v>
      </c>
      <c r="Q142" s="170">
        <f t="shared" si="10"/>
        <v>10236.4</v>
      </c>
      <c r="R142" s="170">
        <f t="shared" si="11"/>
        <v>281501</v>
      </c>
      <c r="S142" s="175"/>
      <c r="T142" s="175"/>
      <c r="U142" s="175"/>
      <c r="V142" s="175"/>
    </row>
    <row r="143" spans="1:22" s="147" customFormat="1" ht="45.75" customHeight="1">
      <c r="A143" s="168">
        <v>137</v>
      </c>
      <c r="B143" s="412" t="s">
        <v>389</v>
      </c>
      <c r="C143" s="413" t="s">
        <v>397</v>
      </c>
      <c r="D143" s="414"/>
      <c r="E143" s="414">
        <v>45</v>
      </c>
      <c r="F143" s="473" t="s">
        <v>398</v>
      </c>
      <c r="G143" s="414" t="s">
        <v>186</v>
      </c>
      <c r="H143" s="415">
        <v>3405500</v>
      </c>
      <c r="I143" s="407" t="s">
        <v>294</v>
      </c>
      <c r="J143" s="169">
        <f t="shared" si="12"/>
        <v>357577.5</v>
      </c>
      <c r="K143" s="416" t="s">
        <v>435</v>
      </c>
      <c r="L143" s="169">
        <f t="shared" si="7"/>
        <v>102165</v>
      </c>
      <c r="M143" s="416" t="s">
        <v>441</v>
      </c>
      <c r="N143" s="169">
        <f t="shared" si="8"/>
        <v>68110</v>
      </c>
      <c r="O143" s="416" t="s">
        <v>440</v>
      </c>
      <c r="P143" s="169">
        <f t="shared" si="9"/>
        <v>34055</v>
      </c>
      <c r="Q143" s="170">
        <f t="shared" si="10"/>
        <v>17027.5</v>
      </c>
      <c r="R143" s="170">
        <f t="shared" si="11"/>
        <v>578935</v>
      </c>
      <c r="S143" s="175"/>
      <c r="T143" s="175"/>
      <c r="U143" s="175"/>
      <c r="V143" s="175"/>
    </row>
    <row r="144" spans="1:22" s="147" customFormat="1" ht="45.75" customHeight="1">
      <c r="A144" s="168">
        <v>138</v>
      </c>
      <c r="B144" s="412" t="s">
        <v>389</v>
      </c>
      <c r="C144" s="413" t="s">
        <v>399</v>
      </c>
      <c r="D144" s="414">
        <v>20</v>
      </c>
      <c r="E144" s="414"/>
      <c r="F144" s="473" t="s">
        <v>210</v>
      </c>
      <c r="G144" s="414" t="s">
        <v>186</v>
      </c>
      <c r="H144" s="415">
        <v>4497500</v>
      </c>
      <c r="I144" s="407" t="s">
        <v>159</v>
      </c>
      <c r="J144" s="169">
        <f t="shared" si="12"/>
        <v>472237.5</v>
      </c>
      <c r="K144" s="416" t="s">
        <v>190</v>
      </c>
      <c r="L144" s="169">
        <f t="shared" si="7"/>
        <v>134925</v>
      </c>
      <c r="M144" s="416" t="s">
        <v>435</v>
      </c>
      <c r="N144" s="169">
        <f t="shared" si="8"/>
        <v>89950</v>
      </c>
      <c r="O144" s="416" t="s">
        <v>440</v>
      </c>
      <c r="P144" s="169">
        <f t="shared" si="9"/>
        <v>44975</v>
      </c>
      <c r="Q144" s="170">
        <f t="shared" si="10"/>
        <v>22487.5</v>
      </c>
      <c r="R144" s="170">
        <f t="shared" si="11"/>
        <v>764575</v>
      </c>
      <c r="S144" s="175"/>
      <c r="T144" s="175"/>
      <c r="U144" s="175"/>
      <c r="V144" s="175"/>
    </row>
    <row r="145" spans="1:22" s="147" customFormat="1" ht="45.75" customHeight="1">
      <c r="A145" s="168">
        <v>139</v>
      </c>
      <c r="B145" s="412" t="s">
        <v>389</v>
      </c>
      <c r="C145" s="413" t="s">
        <v>400</v>
      </c>
      <c r="D145" s="414"/>
      <c r="E145" s="414">
        <v>47</v>
      </c>
      <c r="F145" s="473" t="s">
        <v>332</v>
      </c>
      <c r="G145" s="414" t="s">
        <v>186</v>
      </c>
      <c r="H145" s="415">
        <v>4201900</v>
      </c>
      <c r="I145" s="407" t="s">
        <v>159</v>
      </c>
      <c r="J145" s="169">
        <f t="shared" si="12"/>
        <v>441199.5</v>
      </c>
      <c r="K145" s="416" t="s">
        <v>134</v>
      </c>
      <c r="L145" s="169">
        <f t="shared" si="7"/>
        <v>126057</v>
      </c>
      <c r="M145" s="416" t="s">
        <v>435</v>
      </c>
      <c r="N145" s="169">
        <f t="shared" si="8"/>
        <v>84038</v>
      </c>
      <c r="O145" s="416" t="s">
        <v>440</v>
      </c>
      <c r="P145" s="169">
        <f t="shared" si="9"/>
        <v>42019</v>
      </c>
      <c r="Q145" s="170">
        <f t="shared" si="10"/>
        <v>21009.5</v>
      </c>
      <c r="R145" s="170">
        <f t="shared" si="11"/>
        <v>714323</v>
      </c>
      <c r="S145" s="175"/>
      <c r="T145" s="175"/>
      <c r="U145" s="175"/>
      <c r="V145" s="175"/>
    </row>
    <row r="146" spans="1:22" s="147" customFormat="1" ht="45.75" customHeight="1">
      <c r="A146" s="168">
        <v>140</v>
      </c>
      <c r="B146" s="412" t="s">
        <v>389</v>
      </c>
      <c r="C146" s="413" t="s">
        <v>401</v>
      </c>
      <c r="D146" s="414">
        <v>36</v>
      </c>
      <c r="E146" s="414"/>
      <c r="F146" s="473" t="s">
        <v>402</v>
      </c>
      <c r="G146" s="414" t="s">
        <v>182</v>
      </c>
      <c r="H146" s="415">
        <v>795400</v>
      </c>
      <c r="I146" s="407" t="s">
        <v>294</v>
      </c>
      <c r="J146" s="169">
        <f t="shared" si="12"/>
        <v>83517</v>
      </c>
      <c r="K146" s="416" t="s">
        <v>434</v>
      </c>
      <c r="L146" s="169">
        <f t="shared" si="7"/>
        <v>23862</v>
      </c>
      <c r="M146" s="416" t="s">
        <v>431</v>
      </c>
      <c r="N146" s="169">
        <f t="shared" si="8"/>
        <v>15908</v>
      </c>
      <c r="O146" s="416" t="s">
        <v>442</v>
      </c>
      <c r="P146" s="169">
        <f t="shared" si="9"/>
        <v>7954</v>
      </c>
      <c r="Q146" s="170">
        <f t="shared" si="10"/>
        <v>3977</v>
      </c>
      <c r="R146" s="170">
        <f t="shared" si="11"/>
        <v>135218</v>
      </c>
      <c r="S146" s="175"/>
      <c r="T146" s="175"/>
      <c r="U146" s="175"/>
      <c r="V146" s="175"/>
    </row>
    <row r="147" spans="1:22" s="147" customFormat="1" ht="45.75" customHeight="1">
      <c r="A147" s="168">
        <v>141</v>
      </c>
      <c r="B147" s="412" t="s">
        <v>403</v>
      </c>
      <c r="C147" s="413" t="s">
        <v>404</v>
      </c>
      <c r="D147" s="414">
        <v>61</v>
      </c>
      <c r="E147" s="414"/>
      <c r="F147" s="473" t="s">
        <v>327</v>
      </c>
      <c r="G147" s="414" t="s">
        <v>186</v>
      </c>
      <c r="H147" s="415">
        <v>3525500</v>
      </c>
      <c r="I147" s="407" t="s">
        <v>159</v>
      </c>
      <c r="J147" s="169">
        <f t="shared" si="12"/>
        <v>370177.5</v>
      </c>
      <c r="K147" s="416" t="s">
        <v>183</v>
      </c>
      <c r="L147" s="169">
        <f t="shared" si="7"/>
        <v>105765</v>
      </c>
      <c r="M147" s="416" t="s">
        <v>436</v>
      </c>
      <c r="N147" s="169">
        <f t="shared" si="8"/>
        <v>70510</v>
      </c>
      <c r="O147" s="416" t="s">
        <v>432</v>
      </c>
      <c r="P147" s="169">
        <f t="shared" si="9"/>
        <v>35255</v>
      </c>
      <c r="Q147" s="170">
        <f t="shared" si="10"/>
        <v>17627.5</v>
      </c>
      <c r="R147" s="170">
        <f t="shared" si="11"/>
        <v>599335</v>
      </c>
      <c r="S147" s="175"/>
      <c r="T147" s="175"/>
      <c r="U147" s="175"/>
      <c r="V147" s="175"/>
    </row>
    <row r="148" spans="1:22" s="147" customFormat="1" ht="45.75" customHeight="1">
      <c r="A148" s="168">
        <v>142</v>
      </c>
      <c r="B148" s="412" t="s">
        <v>403</v>
      </c>
      <c r="C148" s="413" t="s">
        <v>405</v>
      </c>
      <c r="D148" s="414">
        <v>44</v>
      </c>
      <c r="E148" s="414"/>
      <c r="F148" s="473" t="s">
        <v>259</v>
      </c>
      <c r="G148" s="414" t="s">
        <v>186</v>
      </c>
      <c r="H148" s="415">
        <v>3405500</v>
      </c>
      <c r="I148" s="407" t="s">
        <v>212</v>
      </c>
      <c r="J148" s="169">
        <f t="shared" si="12"/>
        <v>246898.75000000006</v>
      </c>
      <c r="K148" s="416" t="s">
        <v>294</v>
      </c>
      <c r="L148" s="169">
        <f t="shared" si="7"/>
        <v>102165</v>
      </c>
      <c r="M148" s="416" t="s">
        <v>432</v>
      </c>
      <c r="N148" s="169">
        <f t="shared" si="8"/>
        <v>68110</v>
      </c>
      <c r="O148" s="416" t="s">
        <v>436</v>
      </c>
      <c r="P148" s="169">
        <f t="shared" si="9"/>
        <v>34055</v>
      </c>
      <c r="Q148" s="170">
        <f t="shared" si="10"/>
        <v>17027.5</v>
      </c>
      <c r="R148" s="170">
        <f t="shared" si="11"/>
        <v>468256.25000000006</v>
      </c>
      <c r="S148" s="175"/>
      <c r="T148" s="175"/>
      <c r="U148" s="175"/>
      <c r="V148" s="175"/>
    </row>
    <row r="149" spans="1:22" s="147" customFormat="1" ht="45.75" customHeight="1">
      <c r="A149" s="168">
        <v>143</v>
      </c>
      <c r="B149" s="412" t="s">
        <v>403</v>
      </c>
      <c r="C149" s="413" t="s">
        <v>406</v>
      </c>
      <c r="D149" s="414">
        <v>59</v>
      </c>
      <c r="E149" s="414"/>
      <c r="F149" s="473" t="s">
        <v>327</v>
      </c>
      <c r="G149" s="414" t="s">
        <v>186</v>
      </c>
      <c r="H149" s="415">
        <v>3525500</v>
      </c>
      <c r="I149" s="407" t="s">
        <v>277</v>
      </c>
      <c r="J149" s="169">
        <f t="shared" si="12"/>
        <v>370177.5</v>
      </c>
      <c r="K149" s="416" t="s">
        <v>432</v>
      </c>
      <c r="L149" s="169">
        <f t="shared" si="7"/>
        <v>105765</v>
      </c>
      <c r="M149" s="416" t="s">
        <v>436</v>
      </c>
      <c r="N149" s="169">
        <f t="shared" si="8"/>
        <v>70510</v>
      </c>
      <c r="O149" s="416" t="s">
        <v>441</v>
      </c>
      <c r="P149" s="169">
        <f t="shared" si="9"/>
        <v>35255</v>
      </c>
      <c r="Q149" s="170">
        <f t="shared" si="10"/>
        <v>17627.5</v>
      </c>
      <c r="R149" s="170">
        <f t="shared" si="11"/>
        <v>599335</v>
      </c>
      <c r="S149" s="175"/>
      <c r="T149" s="175"/>
      <c r="U149" s="175"/>
      <c r="V149" s="175"/>
    </row>
    <row r="150" spans="1:22" s="147" customFormat="1" ht="45.75" customHeight="1">
      <c r="A150" s="168">
        <v>144</v>
      </c>
      <c r="B150" s="412" t="s">
        <v>403</v>
      </c>
      <c r="C150" s="413" t="s">
        <v>407</v>
      </c>
      <c r="D150" s="414"/>
      <c r="E150" s="414">
        <v>69</v>
      </c>
      <c r="F150" s="473" t="s">
        <v>408</v>
      </c>
      <c r="G150" s="414" t="s">
        <v>186</v>
      </c>
      <c r="H150" s="415">
        <v>4578000</v>
      </c>
      <c r="I150" s="407" t="s">
        <v>159</v>
      </c>
      <c r="J150" s="169">
        <f t="shared" si="12"/>
        <v>480690</v>
      </c>
      <c r="K150" s="416" t="s">
        <v>183</v>
      </c>
      <c r="L150" s="169">
        <f t="shared" si="7"/>
        <v>137340</v>
      </c>
      <c r="M150" s="416" t="s">
        <v>436</v>
      </c>
      <c r="N150" s="169">
        <f t="shared" si="8"/>
        <v>91560</v>
      </c>
      <c r="O150" s="416" t="s">
        <v>438</v>
      </c>
      <c r="P150" s="169">
        <f t="shared" si="9"/>
        <v>45780</v>
      </c>
      <c r="Q150" s="170">
        <f t="shared" si="10"/>
        <v>22890</v>
      </c>
      <c r="R150" s="170">
        <f t="shared" si="11"/>
        <v>778260</v>
      </c>
      <c r="S150" s="175"/>
      <c r="T150" s="175"/>
      <c r="U150" s="175"/>
      <c r="V150" s="175"/>
    </row>
    <row r="151" spans="1:22" s="147" customFormat="1" ht="45.75" customHeight="1">
      <c r="A151" s="168">
        <v>145</v>
      </c>
      <c r="B151" s="412" t="s">
        <v>403</v>
      </c>
      <c r="C151" s="413" t="s">
        <v>409</v>
      </c>
      <c r="D151" s="414"/>
      <c r="E151" s="414">
        <v>75</v>
      </c>
      <c r="F151" s="473" t="s">
        <v>339</v>
      </c>
      <c r="G151" s="414" t="s">
        <v>186</v>
      </c>
      <c r="H151" s="415">
        <v>4497500</v>
      </c>
      <c r="I151" s="407" t="s">
        <v>294</v>
      </c>
      <c r="J151" s="169">
        <f t="shared" si="12"/>
        <v>472237.5</v>
      </c>
      <c r="K151" s="416" t="s">
        <v>432</v>
      </c>
      <c r="L151" s="169">
        <f t="shared" si="7"/>
        <v>134925</v>
      </c>
      <c r="M151" s="416" t="s">
        <v>441</v>
      </c>
      <c r="N151" s="169">
        <f t="shared" si="8"/>
        <v>89950</v>
      </c>
      <c r="O151" s="416" t="s">
        <v>438</v>
      </c>
      <c r="P151" s="169">
        <f t="shared" si="9"/>
        <v>44975</v>
      </c>
      <c r="Q151" s="170">
        <f t="shared" si="10"/>
        <v>22487.5</v>
      </c>
      <c r="R151" s="170">
        <f t="shared" si="11"/>
        <v>764575</v>
      </c>
      <c r="S151" s="175"/>
      <c r="T151" s="175"/>
      <c r="U151" s="175"/>
      <c r="V151" s="175"/>
    </row>
    <row r="152" spans="1:22" s="147" customFormat="1" ht="45.75" customHeight="1">
      <c r="A152" s="168">
        <v>146</v>
      </c>
      <c r="B152" s="412" t="s">
        <v>410</v>
      </c>
      <c r="C152" s="413" t="s">
        <v>411</v>
      </c>
      <c r="D152" s="414"/>
      <c r="E152" s="414">
        <v>76</v>
      </c>
      <c r="F152" s="473" t="s">
        <v>412</v>
      </c>
      <c r="G152" s="414" t="s">
        <v>186</v>
      </c>
      <c r="H152" s="415">
        <v>4578000</v>
      </c>
      <c r="I152" s="407" t="s">
        <v>159</v>
      </c>
      <c r="J152" s="169">
        <f t="shared" si="12"/>
        <v>480690</v>
      </c>
      <c r="K152" s="416" t="s">
        <v>134</v>
      </c>
      <c r="L152" s="169">
        <f t="shared" si="7"/>
        <v>137340</v>
      </c>
      <c r="M152" s="416" t="s">
        <v>431</v>
      </c>
      <c r="N152" s="169">
        <f t="shared" si="8"/>
        <v>91560</v>
      </c>
      <c r="O152" s="416" t="s">
        <v>434</v>
      </c>
      <c r="P152" s="169">
        <f t="shared" si="9"/>
        <v>45780</v>
      </c>
      <c r="Q152" s="170">
        <f t="shared" si="10"/>
        <v>22890</v>
      </c>
      <c r="R152" s="170">
        <f t="shared" si="11"/>
        <v>778260</v>
      </c>
      <c r="S152" s="175"/>
      <c r="T152" s="175"/>
      <c r="U152" s="175"/>
      <c r="V152" s="175"/>
    </row>
    <row r="153" spans="1:22" s="147" customFormat="1" ht="45.75" customHeight="1">
      <c r="A153" s="168">
        <v>147</v>
      </c>
      <c r="B153" s="412" t="s">
        <v>410</v>
      </c>
      <c r="C153" s="413" t="s">
        <v>413</v>
      </c>
      <c r="D153" s="414"/>
      <c r="E153" s="414">
        <v>56</v>
      </c>
      <c r="F153" s="473" t="s">
        <v>414</v>
      </c>
      <c r="G153" s="414" t="s">
        <v>182</v>
      </c>
      <c r="H153" s="415">
        <v>2859300</v>
      </c>
      <c r="I153" s="407" t="s">
        <v>134</v>
      </c>
      <c r="J153" s="169">
        <f t="shared" si="12"/>
        <v>300226.50000000006</v>
      </c>
      <c r="K153" s="416" t="s">
        <v>434</v>
      </c>
      <c r="L153" s="169">
        <f t="shared" si="7"/>
        <v>85779</v>
      </c>
      <c r="M153" s="416" t="s">
        <v>432</v>
      </c>
      <c r="N153" s="169">
        <f t="shared" si="8"/>
        <v>57186</v>
      </c>
      <c r="O153" s="416" t="s">
        <v>442</v>
      </c>
      <c r="P153" s="169">
        <f t="shared" si="9"/>
        <v>28593</v>
      </c>
      <c r="Q153" s="170">
        <f t="shared" si="10"/>
        <v>14296.5</v>
      </c>
      <c r="R153" s="170">
        <f t="shared" si="11"/>
        <v>486081.00000000006</v>
      </c>
      <c r="S153" s="175"/>
      <c r="T153" s="175"/>
      <c r="U153" s="175"/>
      <c r="V153" s="175"/>
    </row>
    <row r="154" spans="1:22" s="147" customFormat="1" ht="45.75" customHeight="1">
      <c r="A154" s="168">
        <v>148</v>
      </c>
      <c r="B154" s="412" t="s">
        <v>415</v>
      </c>
      <c r="C154" s="413" t="s">
        <v>416</v>
      </c>
      <c r="D154" s="414"/>
      <c r="E154" s="414">
        <v>18</v>
      </c>
      <c r="F154" s="473" t="s">
        <v>339</v>
      </c>
      <c r="G154" s="414" t="s">
        <v>186</v>
      </c>
      <c r="H154" s="415">
        <v>4497500</v>
      </c>
      <c r="I154" s="407" t="s">
        <v>134</v>
      </c>
      <c r="J154" s="169">
        <f t="shared" si="12"/>
        <v>472237.5</v>
      </c>
      <c r="K154" s="416" t="s">
        <v>430</v>
      </c>
      <c r="L154" s="169">
        <f t="shared" si="7"/>
        <v>134925</v>
      </c>
      <c r="M154" s="416" t="s">
        <v>435</v>
      </c>
      <c r="N154" s="169">
        <f t="shared" si="8"/>
        <v>89950</v>
      </c>
      <c r="O154" s="416" t="s">
        <v>432</v>
      </c>
      <c r="P154" s="169">
        <f t="shared" si="9"/>
        <v>44975</v>
      </c>
      <c r="Q154" s="170">
        <f t="shared" si="10"/>
        <v>22487.5</v>
      </c>
      <c r="R154" s="170">
        <f t="shared" si="11"/>
        <v>764575</v>
      </c>
      <c r="S154" s="175"/>
      <c r="T154" s="175"/>
      <c r="U154" s="175"/>
      <c r="V154" s="175"/>
    </row>
    <row r="155" spans="1:22" s="147" customFormat="1" ht="45.75" customHeight="1">
      <c r="A155" s="168">
        <v>149</v>
      </c>
      <c r="B155" s="412" t="s">
        <v>415</v>
      </c>
      <c r="C155" s="413" t="s">
        <v>417</v>
      </c>
      <c r="D155" s="414">
        <v>12</v>
      </c>
      <c r="E155" s="414"/>
      <c r="F155" s="473" t="s">
        <v>246</v>
      </c>
      <c r="G155" s="414" t="s">
        <v>219</v>
      </c>
      <c r="H155" s="415">
        <v>4417000</v>
      </c>
      <c r="I155" s="407" t="s">
        <v>134</v>
      </c>
      <c r="J155" s="169">
        <f t="shared" si="12"/>
        <v>728805</v>
      </c>
      <c r="K155" s="416" t="s">
        <v>56</v>
      </c>
      <c r="L155" s="169">
        <f t="shared" si="7"/>
        <v>0</v>
      </c>
      <c r="M155" s="416" t="s">
        <v>56</v>
      </c>
      <c r="N155" s="169">
        <f t="shared" si="8"/>
        <v>0</v>
      </c>
      <c r="O155" s="416" t="s">
        <v>56</v>
      </c>
      <c r="P155" s="169">
        <f t="shared" si="9"/>
        <v>0</v>
      </c>
      <c r="Q155" s="170">
        <f t="shared" si="10"/>
        <v>22085</v>
      </c>
      <c r="R155" s="170">
        <f t="shared" si="11"/>
        <v>750890</v>
      </c>
      <c r="S155" s="175"/>
      <c r="T155" s="175"/>
      <c r="U155" s="175"/>
      <c r="V155" s="175"/>
    </row>
    <row r="156" spans="1:22" s="147" customFormat="1" ht="45.75" customHeight="1">
      <c r="A156" s="168">
        <v>150</v>
      </c>
      <c r="B156" s="412" t="s">
        <v>415</v>
      </c>
      <c r="C156" s="413" t="s">
        <v>418</v>
      </c>
      <c r="D156" s="414">
        <v>75</v>
      </c>
      <c r="E156" s="414"/>
      <c r="F156" s="473" t="s">
        <v>267</v>
      </c>
      <c r="G156" s="414" t="s">
        <v>204</v>
      </c>
      <c r="H156" s="415">
        <v>3796000</v>
      </c>
      <c r="I156" s="407" t="s">
        <v>134</v>
      </c>
      <c r="J156" s="169">
        <f t="shared" si="12"/>
        <v>436540</v>
      </c>
      <c r="K156" s="416" t="s">
        <v>432</v>
      </c>
      <c r="L156" s="169">
        <f t="shared" si="7"/>
        <v>113880</v>
      </c>
      <c r="M156" s="416" t="s">
        <v>440</v>
      </c>
      <c r="N156" s="169">
        <f t="shared" si="8"/>
        <v>75920</v>
      </c>
      <c r="O156" s="416" t="s">
        <v>56</v>
      </c>
      <c r="P156" s="169">
        <f t="shared" si="9"/>
        <v>0</v>
      </c>
      <c r="Q156" s="170">
        <f t="shared" si="10"/>
        <v>18980</v>
      </c>
      <c r="R156" s="170">
        <f t="shared" si="11"/>
        <v>645320</v>
      </c>
      <c r="S156" s="175"/>
      <c r="T156" s="175"/>
      <c r="U156" s="175"/>
      <c r="V156" s="175"/>
    </row>
    <row r="157" spans="1:22" s="147" customFormat="1" ht="45.75" customHeight="1">
      <c r="A157" s="168">
        <v>151</v>
      </c>
      <c r="B157" s="412" t="s">
        <v>419</v>
      </c>
      <c r="C157" s="413" t="s">
        <v>420</v>
      </c>
      <c r="D157" s="414">
        <v>36</v>
      </c>
      <c r="E157" s="414"/>
      <c r="F157" s="473" t="s">
        <v>256</v>
      </c>
      <c r="G157" s="414" t="s">
        <v>182</v>
      </c>
      <c r="H157" s="415">
        <v>2559100</v>
      </c>
      <c r="I157" s="407" t="s">
        <v>190</v>
      </c>
      <c r="J157" s="169">
        <f t="shared" si="12"/>
        <v>185534.75</v>
      </c>
      <c r="K157" s="416" t="s">
        <v>435</v>
      </c>
      <c r="L157" s="169">
        <f t="shared" si="7"/>
        <v>76773</v>
      </c>
      <c r="M157" s="416" t="s">
        <v>438</v>
      </c>
      <c r="N157" s="169">
        <f t="shared" si="8"/>
        <v>51182</v>
      </c>
      <c r="O157" s="416" t="s">
        <v>430</v>
      </c>
      <c r="P157" s="169">
        <f t="shared" si="9"/>
        <v>25591</v>
      </c>
      <c r="Q157" s="170">
        <f t="shared" si="10"/>
        <v>12795.5</v>
      </c>
      <c r="R157" s="170">
        <f t="shared" si="11"/>
        <v>351876.25</v>
      </c>
      <c r="S157" s="175"/>
      <c r="T157" s="175"/>
      <c r="U157" s="175"/>
      <c r="V157" s="175"/>
    </row>
    <row r="158" spans="1:22" s="147" customFormat="1" ht="45.75" customHeight="1">
      <c r="A158" s="168">
        <v>152</v>
      </c>
      <c r="B158" s="412" t="s">
        <v>419</v>
      </c>
      <c r="C158" s="413" t="s">
        <v>421</v>
      </c>
      <c r="D158" s="414">
        <v>21</v>
      </c>
      <c r="E158" s="414"/>
      <c r="F158" s="473" t="s">
        <v>422</v>
      </c>
      <c r="G158" s="414" t="s">
        <v>182</v>
      </c>
      <c r="H158" s="415">
        <v>859300</v>
      </c>
      <c r="I158" s="407" t="s">
        <v>183</v>
      </c>
      <c r="J158" s="169">
        <f t="shared" si="12"/>
        <v>98819.5</v>
      </c>
      <c r="K158" s="416" t="s">
        <v>430</v>
      </c>
      <c r="L158" s="169">
        <f t="shared" si="7"/>
        <v>25779</v>
      </c>
      <c r="M158" s="416" t="s">
        <v>438</v>
      </c>
      <c r="N158" s="169">
        <f t="shared" si="8"/>
        <v>17186</v>
      </c>
      <c r="O158" s="416" t="s">
        <v>56</v>
      </c>
      <c r="P158" s="169">
        <f t="shared" si="9"/>
        <v>0</v>
      </c>
      <c r="Q158" s="170">
        <f t="shared" si="10"/>
        <v>4296.5</v>
      </c>
      <c r="R158" s="170">
        <f t="shared" si="11"/>
        <v>146081</v>
      </c>
      <c r="S158" s="175"/>
      <c r="T158" s="175"/>
      <c r="U158" s="175"/>
      <c r="V158" s="175"/>
    </row>
    <row r="159" spans="1:22" s="147" customFormat="1" ht="45.75" customHeight="1">
      <c r="A159" s="168">
        <v>153</v>
      </c>
      <c r="B159" s="412" t="s">
        <v>419</v>
      </c>
      <c r="C159" s="413" t="s">
        <v>423</v>
      </c>
      <c r="D159" s="414">
        <v>50</v>
      </c>
      <c r="E159" s="414"/>
      <c r="F159" s="473" t="s">
        <v>256</v>
      </c>
      <c r="G159" s="414" t="s">
        <v>182</v>
      </c>
      <c r="H159" s="415">
        <v>2559100</v>
      </c>
      <c r="I159" s="407" t="s">
        <v>190</v>
      </c>
      <c r="J159" s="169">
        <f t="shared" si="12"/>
        <v>185534.75</v>
      </c>
      <c r="K159" s="416" t="s">
        <v>430</v>
      </c>
      <c r="L159" s="169">
        <f t="shared" si="7"/>
        <v>76773</v>
      </c>
      <c r="M159" s="416" t="s">
        <v>438</v>
      </c>
      <c r="N159" s="169">
        <f t="shared" si="8"/>
        <v>51182</v>
      </c>
      <c r="O159" s="416" t="s">
        <v>435</v>
      </c>
      <c r="P159" s="169">
        <f t="shared" si="9"/>
        <v>25591</v>
      </c>
      <c r="Q159" s="170">
        <f t="shared" si="10"/>
        <v>12795.5</v>
      </c>
      <c r="R159" s="170">
        <f t="shared" si="11"/>
        <v>351876.25</v>
      </c>
      <c r="S159" s="175"/>
      <c r="T159" s="175"/>
      <c r="U159" s="175"/>
      <c r="V159" s="175"/>
    </row>
    <row r="160" spans="1:22" s="147" customFormat="1" ht="45.75" customHeight="1">
      <c r="A160" s="168">
        <v>154</v>
      </c>
      <c r="B160" s="412" t="s">
        <v>419</v>
      </c>
      <c r="C160" s="413" t="s">
        <v>424</v>
      </c>
      <c r="D160" s="414">
        <v>25</v>
      </c>
      <c r="E160" s="414"/>
      <c r="F160" s="473" t="s">
        <v>249</v>
      </c>
      <c r="G160" s="414" t="s">
        <v>182</v>
      </c>
      <c r="H160" s="415">
        <v>2128200</v>
      </c>
      <c r="I160" s="407" t="s">
        <v>190</v>
      </c>
      <c r="J160" s="169">
        <f t="shared" si="12"/>
        <v>175576.5</v>
      </c>
      <c r="K160" s="416" t="s">
        <v>436</v>
      </c>
      <c r="L160" s="169">
        <f t="shared" si="7"/>
        <v>63846</v>
      </c>
      <c r="M160" s="416" t="s">
        <v>440</v>
      </c>
      <c r="N160" s="169">
        <f t="shared" si="8"/>
        <v>42564</v>
      </c>
      <c r="O160" s="416" t="s">
        <v>56</v>
      </c>
      <c r="P160" s="169">
        <f t="shared" si="9"/>
        <v>0</v>
      </c>
      <c r="Q160" s="170">
        <f t="shared" si="10"/>
        <v>10641</v>
      </c>
      <c r="R160" s="170">
        <f t="shared" si="11"/>
        <v>292627.5</v>
      </c>
      <c r="S160" s="175"/>
      <c r="T160" s="175"/>
      <c r="U160" s="175"/>
      <c r="V160" s="175"/>
    </row>
    <row r="161" spans="1:22" s="147" customFormat="1" ht="45.75" customHeight="1">
      <c r="A161" s="168">
        <v>155</v>
      </c>
      <c r="B161" s="412" t="s">
        <v>425</v>
      </c>
      <c r="C161" s="413" t="s">
        <v>426</v>
      </c>
      <c r="D161" s="414">
        <v>49</v>
      </c>
      <c r="E161" s="414"/>
      <c r="F161" s="473" t="s">
        <v>246</v>
      </c>
      <c r="G161" s="414" t="s">
        <v>182</v>
      </c>
      <c r="H161" s="415">
        <v>2559100</v>
      </c>
      <c r="I161" s="407" t="s">
        <v>190</v>
      </c>
      <c r="J161" s="169">
        <f t="shared" si="12"/>
        <v>211125.75</v>
      </c>
      <c r="K161" s="416" t="s">
        <v>432</v>
      </c>
      <c r="L161" s="169">
        <f t="shared" si="7"/>
        <v>76773</v>
      </c>
      <c r="M161" s="416" t="s">
        <v>442</v>
      </c>
      <c r="N161" s="169">
        <f t="shared" si="8"/>
        <v>51182</v>
      </c>
      <c r="O161" s="416" t="s">
        <v>56</v>
      </c>
      <c r="P161" s="169">
        <f t="shared" si="9"/>
        <v>0</v>
      </c>
      <c r="Q161" s="170">
        <f t="shared" si="10"/>
        <v>12795.5</v>
      </c>
      <c r="R161" s="170">
        <f t="shared" si="11"/>
        <v>351876.25</v>
      </c>
      <c r="S161" s="175"/>
      <c r="T161" s="175"/>
      <c r="U161" s="175"/>
      <c r="V161" s="175"/>
    </row>
    <row r="162" spans="1:22" s="147" customFormat="1" ht="45.75" customHeight="1">
      <c r="A162" s="168">
        <v>156</v>
      </c>
      <c r="B162" s="412" t="s">
        <v>425</v>
      </c>
      <c r="C162" s="413" t="s">
        <v>427</v>
      </c>
      <c r="D162" s="414"/>
      <c r="E162" s="414">
        <v>43</v>
      </c>
      <c r="F162" s="473" t="s">
        <v>246</v>
      </c>
      <c r="G162" s="414" t="s">
        <v>182</v>
      </c>
      <c r="H162" s="415">
        <v>2559100</v>
      </c>
      <c r="I162" s="407" t="s">
        <v>190</v>
      </c>
      <c r="J162" s="169">
        <f t="shared" si="12"/>
        <v>211125.75</v>
      </c>
      <c r="K162" s="416" t="s">
        <v>431</v>
      </c>
      <c r="L162" s="169">
        <f t="shared" si="7"/>
        <v>76773</v>
      </c>
      <c r="M162" s="416" t="s">
        <v>442</v>
      </c>
      <c r="N162" s="169">
        <f t="shared" si="8"/>
        <v>51182</v>
      </c>
      <c r="O162" s="416" t="s">
        <v>56</v>
      </c>
      <c r="P162" s="169">
        <f t="shared" si="9"/>
        <v>0</v>
      </c>
      <c r="Q162" s="170">
        <f t="shared" si="10"/>
        <v>12795.5</v>
      </c>
      <c r="R162" s="170">
        <f t="shared" si="11"/>
        <v>351876.25</v>
      </c>
      <c r="S162" s="175"/>
      <c r="T162" s="175"/>
      <c r="U162" s="175"/>
      <c r="V162" s="175"/>
    </row>
    <row r="163" spans="1:22" s="147" customFormat="1" ht="45.75" customHeight="1">
      <c r="A163" s="168">
        <v>157</v>
      </c>
      <c r="B163" s="412" t="s">
        <v>227</v>
      </c>
      <c r="C163" s="413" t="s">
        <v>463</v>
      </c>
      <c r="D163" s="414">
        <v>16</v>
      </c>
      <c r="E163" s="414"/>
      <c r="F163" s="473" t="s">
        <v>231</v>
      </c>
      <c r="G163" s="414" t="s">
        <v>182</v>
      </c>
      <c r="H163" s="415">
        <v>2559100</v>
      </c>
      <c r="I163" s="407" t="s">
        <v>190</v>
      </c>
      <c r="J163" s="169">
        <f t="shared" si="12"/>
        <v>211125.75</v>
      </c>
      <c r="K163" s="416" t="s">
        <v>434</v>
      </c>
      <c r="L163" s="169">
        <f t="shared" si="7"/>
        <v>76773</v>
      </c>
      <c r="M163" s="416" t="s">
        <v>437</v>
      </c>
      <c r="N163" s="169">
        <f t="shared" si="8"/>
        <v>51182</v>
      </c>
      <c r="O163" s="416" t="s">
        <v>56</v>
      </c>
      <c r="P163" s="169">
        <f t="shared" si="9"/>
        <v>0</v>
      </c>
      <c r="Q163" s="170">
        <f t="shared" si="10"/>
        <v>12795.5</v>
      </c>
      <c r="R163" s="170">
        <f t="shared" si="11"/>
        <v>351876.25</v>
      </c>
      <c r="S163" s="175"/>
      <c r="T163" s="175"/>
      <c r="U163" s="175"/>
      <c r="V163" s="175"/>
    </row>
    <row r="164" spans="1:22" s="147" customFormat="1" ht="45.75" customHeight="1">
      <c r="A164" s="168">
        <v>158</v>
      </c>
      <c r="B164" s="412" t="s">
        <v>264</v>
      </c>
      <c r="C164" s="413" t="s">
        <v>450</v>
      </c>
      <c r="D164" s="414"/>
      <c r="E164" s="414">
        <v>77</v>
      </c>
      <c r="F164" s="473" t="s">
        <v>229</v>
      </c>
      <c r="G164" s="414" t="s">
        <v>186</v>
      </c>
      <c r="H164" s="415">
        <v>4497500</v>
      </c>
      <c r="I164" s="407" t="s">
        <v>134</v>
      </c>
      <c r="J164" s="169">
        <f t="shared" si="12"/>
        <v>472237.5</v>
      </c>
      <c r="K164" s="416" t="s">
        <v>435</v>
      </c>
      <c r="L164" s="169">
        <f t="shared" ref="L164:L167" si="13">IF(K164="-",0,H164*0.03)</f>
        <v>134925</v>
      </c>
      <c r="M164" s="416" t="s">
        <v>432</v>
      </c>
      <c r="N164" s="169">
        <f t="shared" ref="N164:N167" si="14">IF(M164="-",0,H164*0.02)</f>
        <v>89950</v>
      </c>
      <c r="O164" s="416" t="s">
        <v>433</v>
      </c>
      <c r="P164" s="169">
        <f t="shared" ref="P164:P167" si="15">IF(O164="-",0,H164*0.01)</f>
        <v>44975</v>
      </c>
      <c r="Q164" s="170">
        <f t="shared" ref="Q164:Q167" si="16">H164*0.005</f>
        <v>22487.5</v>
      </c>
      <c r="R164" s="170">
        <f t="shared" ref="R164:R167" si="17">IF(I164="V.Tân",H164*0.1375,IF(I164="nguyện",H164*0.1375,IF(I164="TOẢN",H164*0.1375,H164*0.17)))</f>
        <v>764575</v>
      </c>
      <c r="S164" s="175"/>
      <c r="T164" s="175"/>
      <c r="U164" s="175"/>
      <c r="V164" s="175"/>
    </row>
    <row r="165" spans="1:22" s="147" customFormat="1" ht="45.75" customHeight="1">
      <c r="A165" s="168">
        <v>159</v>
      </c>
      <c r="B165" s="412" t="s">
        <v>264</v>
      </c>
      <c r="C165" s="413" t="s">
        <v>451</v>
      </c>
      <c r="D165" s="414"/>
      <c r="E165" s="414">
        <v>63</v>
      </c>
      <c r="F165" s="473" t="s">
        <v>229</v>
      </c>
      <c r="G165" s="414" t="s">
        <v>186</v>
      </c>
      <c r="H165" s="415">
        <v>4497500</v>
      </c>
      <c r="I165" s="407" t="s">
        <v>134</v>
      </c>
      <c r="J165" s="169">
        <f t="shared" si="12"/>
        <v>472237.5</v>
      </c>
      <c r="K165" s="416" t="s">
        <v>432</v>
      </c>
      <c r="L165" s="169">
        <f t="shared" si="13"/>
        <v>134925</v>
      </c>
      <c r="M165" s="416" t="s">
        <v>435</v>
      </c>
      <c r="N165" s="169">
        <f t="shared" si="14"/>
        <v>89950</v>
      </c>
      <c r="O165" s="416" t="s">
        <v>439</v>
      </c>
      <c r="P165" s="169">
        <f t="shared" si="15"/>
        <v>44975</v>
      </c>
      <c r="Q165" s="170">
        <f t="shared" si="16"/>
        <v>22487.5</v>
      </c>
      <c r="R165" s="170">
        <f t="shared" si="17"/>
        <v>764575</v>
      </c>
      <c r="S165" s="175"/>
      <c r="T165" s="175"/>
      <c r="U165" s="175"/>
      <c r="V165" s="175"/>
    </row>
    <row r="166" spans="1:22" s="147" customFormat="1" ht="45.75" customHeight="1">
      <c r="A166" s="168">
        <v>160</v>
      </c>
      <c r="B166" s="412" t="s">
        <v>264</v>
      </c>
      <c r="C166" s="413" t="s">
        <v>452</v>
      </c>
      <c r="D166" s="414"/>
      <c r="E166" s="414">
        <v>67</v>
      </c>
      <c r="F166" s="473" t="s">
        <v>242</v>
      </c>
      <c r="G166" s="414" t="s">
        <v>186</v>
      </c>
      <c r="H166" s="415">
        <v>4201900</v>
      </c>
      <c r="I166" s="407" t="s">
        <v>159</v>
      </c>
      <c r="J166" s="169">
        <f t="shared" si="12"/>
        <v>441199.5</v>
      </c>
      <c r="K166" s="416" t="s">
        <v>134</v>
      </c>
      <c r="L166" s="169">
        <f t="shared" si="13"/>
        <v>126057</v>
      </c>
      <c r="M166" s="416" t="s">
        <v>183</v>
      </c>
      <c r="N166" s="169">
        <f t="shared" si="14"/>
        <v>84038</v>
      </c>
      <c r="O166" s="416" t="s">
        <v>432</v>
      </c>
      <c r="P166" s="169">
        <f t="shared" si="15"/>
        <v>42019</v>
      </c>
      <c r="Q166" s="170">
        <f t="shared" si="16"/>
        <v>21009.5</v>
      </c>
      <c r="R166" s="170">
        <f t="shared" si="17"/>
        <v>714323</v>
      </c>
      <c r="S166" s="175"/>
      <c r="T166" s="175"/>
      <c r="U166" s="175"/>
      <c r="V166" s="175"/>
    </row>
    <row r="167" spans="1:22" s="147" customFormat="1" ht="45.75" customHeight="1">
      <c r="A167" s="168">
        <v>161</v>
      </c>
      <c r="B167" s="412" t="s">
        <v>374</v>
      </c>
      <c r="C167" s="413" t="s">
        <v>459</v>
      </c>
      <c r="D167" s="414"/>
      <c r="E167" s="414">
        <v>58</v>
      </c>
      <c r="F167" s="473" t="s">
        <v>242</v>
      </c>
      <c r="G167" s="414" t="s">
        <v>186</v>
      </c>
      <c r="H167" s="415">
        <v>4201900</v>
      </c>
      <c r="I167" s="407" t="s">
        <v>134</v>
      </c>
      <c r="J167" s="169">
        <f>R167-L167-N167-P167-Q167</f>
        <v>441199.5</v>
      </c>
      <c r="K167" s="416" t="s">
        <v>432</v>
      </c>
      <c r="L167" s="169">
        <f t="shared" si="13"/>
        <v>126057</v>
      </c>
      <c r="M167" s="416" t="s">
        <v>434</v>
      </c>
      <c r="N167" s="169">
        <f t="shared" si="14"/>
        <v>84038</v>
      </c>
      <c r="O167" s="416" t="s">
        <v>442</v>
      </c>
      <c r="P167" s="169">
        <f t="shared" si="15"/>
        <v>42019</v>
      </c>
      <c r="Q167" s="170">
        <f t="shared" si="16"/>
        <v>21009.5</v>
      </c>
      <c r="R167" s="170">
        <f t="shared" si="17"/>
        <v>714323</v>
      </c>
      <c r="S167" s="175"/>
      <c r="T167" s="175"/>
      <c r="U167" s="175"/>
      <c r="V167" s="175"/>
    </row>
    <row r="168" spans="1:22" s="167" customFormat="1" ht="24" customHeight="1">
      <c r="A168" s="192"/>
      <c r="B168" s="193"/>
      <c r="C168" s="486" t="s">
        <v>28</v>
      </c>
      <c r="D168" s="486"/>
      <c r="E168" s="486"/>
      <c r="F168" s="486"/>
      <c r="G168" s="194"/>
      <c r="H168" s="305">
        <f>SUBTOTAL(9,H7:H167)</f>
        <v>594873780</v>
      </c>
      <c r="I168" s="305"/>
      <c r="J168" s="305">
        <f t="shared" ref="J168:R168" si="18">SUBTOTAL(9,J7:J167)</f>
        <v>60486707.674999997</v>
      </c>
      <c r="K168" s="305"/>
      <c r="L168" s="305">
        <f t="shared" si="18"/>
        <v>17497979.399999999</v>
      </c>
      <c r="M168" s="305"/>
      <c r="N168" s="305">
        <f t="shared" si="18"/>
        <v>11270805.6</v>
      </c>
      <c r="O168" s="305"/>
      <c r="P168" s="305">
        <f t="shared" si="18"/>
        <v>4835578.8</v>
      </c>
      <c r="Q168" s="305">
        <f t="shared" si="18"/>
        <v>2974368.9</v>
      </c>
      <c r="R168" s="305">
        <f t="shared" si="18"/>
        <v>97065440.375</v>
      </c>
    </row>
    <row r="169" spans="1:22" ht="20.25" customHeight="1">
      <c r="B169" s="147"/>
      <c r="C169" s="146"/>
      <c r="F169" s="146"/>
      <c r="G169" s="147"/>
      <c r="H169" s="306"/>
      <c r="J169" s="83"/>
      <c r="M169" s="147"/>
      <c r="N169" s="484" t="s">
        <v>989</v>
      </c>
      <c r="O169" s="484"/>
      <c r="P169" s="484"/>
      <c r="Q169" s="484"/>
      <c r="R169" s="484"/>
    </row>
    <row r="170" spans="1:22" ht="18.75">
      <c r="B170" s="479" t="s">
        <v>35</v>
      </c>
      <c r="C170" s="479"/>
      <c r="D170" s="144"/>
      <c r="E170" s="144"/>
      <c r="F170" s="144"/>
      <c r="G170" s="148"/>
      <c r="H170" s="307"/>
      <c r="J170" s="127"/>
      <c r="K170" s="155"/>
      <c r="L170" s="39"/>
      <c r="M170" s="242"/>
      <c r="N170" s="485" t="s">
        <v>21</v>
      </c>
      <c r="O170" s="485"/>
      <c r="P170" s="485"/>
      <c r="Q170" s="485"/>
      <c r="R170" s="485"/>
      <c r="S170" s="124"/>
    </row>
    <row r="171" spans="1:22" ht="18.75">
      <c r="B171" s="148"/>
      <c r="C171" s="144"/>
      <c r="D171" s="144"/>
      <c r="E171" s="144"/>
      <c r="F171" s="144"/>
      <c r="G171" s="148"/>
      <c r="H171" s="307"/>
      <c r="J171" s="127"/>
      <c r="K171" s="155"/>
      <c r="L171" s="127"/>
      <c r="M171" s="148"/>
      <c r="N171" s="128"/>
      <c r="O171" s="242"/>
      <c r="P171" s="128"/>
      <c r="Q171" s="128"/>
    </row>
    <row r="172" spans="1:22" ht="18.75">
      <c r="B172" s="148"/>
      <c r="C172" s="144"/>
      <c r="D172" s="144"/>
      <c r="E172" s="144"/>
      <c r="F172" s="144"/>
      <c r="G172" s="148"/>
      <c r="H172" s="307"/>
      <c r="J172" s="127"/>
      <c r="K172" s="155"/>
      <c r="L172" s="127"/>
      <c r="M172" s="148"/>
      <c r="N172" s="127"/>
      <c r="O172" s="240"/>
      <c r="P172" s="127"/>
      <c r="Q172" s="127"/>
      <c r="R172" s="129"/>
    </row>
    <row r="173" spans="1:22" ht="18.75">
      <c r="B173" s="148"/>
      <c r="C173" s="144"/>
      <c r="D173" s="144"/>
      <c r="E173" s="144"/>
      <c r="F173" s="144"/>
      <c r="G173" s="148"/>
      <c r="H173" s="307"/>
      <c r="J173" s="127"/>
      <c r="K173" s="155"/>
      <c r="L173" s="127"/>
      <c r="M173" s="148"/>
      <c r="N173" s="127"/>
      <c r="O173" s="240"/>
      <c r="P173" s="127"/>
      <c r="Q173" s="127"/>
      <c r="R173" s="129"/>
    </row>
    <row r="174" spans="1:22" ht="18.75">
      <c r="B174" s="478" t="s">
        <v>96</v>
      </c>
      <c r="C174" s="478"/>
      <c r="D174" s="144"/>
      <c r="E174" s="144"/>
      <c r="F174" s="144"/>
      <c r="G174" s="148"/>
      <c r="H174" s="307"/>
      <c r="J174" s="127"/>
      <c r="K174" s="155"/>
      <c r="L174" s="127"/>
      <c r="M174" s="148"/>
      <c r="N174" s="485" t="s">
        <v>160</v>
      </c>
      <c r="O174" s="485"/>
      <c r="P174" s="485"/>
      <c r="Q174" s="485"/>
      <c r="R174" s="485"/>
    </row>
    <row r="175" spans="1:22" ht="18.75">
      <c r="B175" s="148"/>
      <c r="C175" s="144"/>
      <c r="D175" s="144"/>
      <c r="E175" s="144"/>
      <c r="F175" s="144"/>
      <c r="G175" s="148"/>
      <c r="H175" s="307"/>
      <c r="J175" s="127"/>
      <c r="K175" s="155"/>
      <c r="L175" s="127"/>
      <c r="M175" s="148"/>
      <c r="N175" s="127"/>
      <c r="O175" s="240"/>
      <c r="P175" s="127"/>
      <c r="Q175" s="127"/>
      <c r="R175" s="129"/>
    </row>
    <row r="176" spans="1:22" ht="15">
      <c r="C176" s="234"/>
      <c r="D176" s="234"/>
      <c r="E176" s="234"/>
      <c r="F176" s="234"/>
    </row>
    <row r="177" spans="3:18" ht="15">
      <c r="C177" s="234"/>
      <c r="D177" s="234"/>
      <c r="E177" s="234"/>
      <c r="F177" s="234"/>
      <c r="R177" s="97" t="s">
        <v>988</v>
      </c>
    </row>
    <row r="178" spans="3:18" ht="15">
      <c r="C178" s="234"/>
      <c r="D178" s="234"/>
      <c r="E178" s="234"/>
      <c r="F178" s="234"/>
    </row>
    <row r="181" spans="3:18">
      <c r="I181" s="343"/>
    </row>
  </sheetData>
  <autoFilter ref="A6:WWO170" xr:uid="{00000000-0009-0000-0000-000000000000}"/>
  <sortState xmlns:xlrd2="http://schemas.microsoft.com/office/spreadsheetml/2017/richdata2" ref="A7:U42">
    <sortCondition ref="G7:G42"/>
  </sortState>
  <mergeCells count="10">
    <mergeCell ref="B174:C174"/>
    <mergeCell ref="B170:C170"/>
    <mergeCell ref="A1:E1"/>
    <mergeCell ref="A2:E2"/>
    <mergeCell ref="A3:R3"/>
    <mergeCell ref="A4:R4"/>
    <mergeCell ref="N169:R169"/>
    <mergeCell ref="N170:R170"/>
    <mergeCell ref="N174:R174"/>
    <mergeCell ref="C168:F168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view="pageLayout" zoomScaleNormal="100" workbookViewId="0">
      <selection activeCell="D7" sqref="D7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88" t="s">
        <v>0</v>
      </c>
      <c r="B1" s="488"/>
    </row>
    <row r="2" spans="1:7" ht="16.5">
      <c r="A2" s="487" t="s">
        <v>44</v>
      </c>
      <c r="B2" s="487"/>
    </row>
    <row r="3" spans="1:7" ht="20.25">
      <c r="B3" s="478" t="s">
        <v>178</v>
      </c>
      <c r="C3" s="478"/>
      <c r="D3" s="478"/>
      <c r="G3" s="2"/>
    </row>
    <row r="4" spans="1:7" ht="20.25">
      <c r="B4" s="39"/>
      <c r="C4" s="122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23</v>
      </c>
      <c r="C7" s="55" t="s">
        <v>26</v>
      </c>
      <c r="D7" s="86">
        <f>SUM(SUMIF(phauthuat!$I$7:$I$170,"TRIỀU",phauthuat!$J$7:$J$170),SUMIF(phauthuat!$K$7:$K$170,"TRIỀU",phauthuat!$L$7:$L$170),SUMIF(phauthuat!$M$7:$M$170,"TRIỀU",phauthuat!$N$7:$N$170),SUMIF(phauthuat!$O$7:$O$170,"TRIỀU",phauthuat!$P$7:$P$170))+1</f>
        <v>1915148.5</v>
      </c>
      <c r="E7" s="53"/>
      <c r="G7" s="41"/>
    </row>
    <row r="8" spans="1:7" ht="16.5">
      <c r="A8" s="110">
        <v>2</v>
      </c>
      <c r="B8" s="62" t="s">
        <v>18</v>
      </c>
      <c r="C8" s="55" t="s">
        <v>26</v>
      </c>
      <c r="D8" s="86">
        <f>SUM(SUMIF(phauthuat!$I$7:$I$170,"TẤN",phauthuat!$J$7:$J$170),SUMIF(phauthuat!$K$7:$K$170,"TẤN",phauthuat!$L$7:$L$170),SUMIF(phauthuat!$M$7:$M$170,"TẤN",phauthuat!$N$7:$N$170),SUMIF(phauthuat!$O$7:$O$170,"TẤN",phauthuat!$P$7:$P$170))</f>
        <v>2058712.5</v>
      </c>
      <c r="E8" s="53"/>
      <c r="G8" s="41"/>
    </row>
    <row r="9" spans="1:7" ht="16.5">
      <c r="A9" s="110">
        <v>3</v>
      </c>
      <c r="B9" s="62" t="s">
        <v>17</v>
      </c>
      <c r="C9" s="184" t="s">
        <v>26</v>
      </c>
      <c r="D9" s="204">
        <f>SUM(SUMIF(phauthuat!$I$7:$I$170,"HOAN",phauthuat!$J$7:$J$170),SUMIF(phauthuat!$K$7:$K$170,"HOAN",phauthuat!$L$7:$L$170),SUMIF(phauthuat!$M$7:$M$170,"HOAN",phauthuat!$N$7:$N$170),SUMIF(phauthuat!$O$7:$O$170,"Hoan",phauthuat!$P$7:$P$170))</f>
        <v>16389932</v>
      </c>
      <c r="E9" s="185"/>
      <c r="G9" s="41"/>
    </row>
    <row r="10" spans="1:7" ht="16.5">
      <c r="A10" s="110">
        <v>4</v>
      </c>
      <c r="B10" s="62" t="s">
        <v>74</v>
      </c>
      <c r="C10" s="55" t="s">
        <v>26</v>
      </c>
      <c r="D10" s="86">
        <f>SUM(SUMIF(phauthuat!$I$7:$I$170,"NGUYỆN",phauthuat!$J$7:$J$170),SUMIF(phauthuat!$K$7:$K$170,"NGUYỆN",phauthuat!$L$7:$L$170),SUMIF(phauthuat!$M$7:$M$170,"NGUYỆN",phauthuat!$N$7:$N$170),SUMIF(phauthuat!$O$7:$O$170,"NGUYỆN",phauthuat!$P$7:$P$170))</f>
        <v>0</v>
      </c>
      <c r="E10" s="53"/>
      <c r="F10" s="41"/>
      <c r="G10" s="41"/>
    </row>
    <row r="11" spans="1:7" ht="16.5">
      <c r="A11" s="110">
        <v>5</v>
      </c>
      <c r="B11" s="62" t="s">
        <v>94</v>
      </c>
      <c r="C11" s="55" t="s">
        <v>66</v>
      </c>
      <c r="D11" s="86">
        <f>SUM(SUMIF(phauthuat!$I$7:$I$170,"GIÀU",phauthuat!$J$7:$J$170),SUMIF(phauthuat!$K$7:$K$170,"GIÀU",phauthuat!$L$7:$L$170),SUMIF(phauthuat!$M$7:$M$170,"GIÀU",phauthuat!$N$7:$N$170),SUMIF(phauthuat!$O$7:$O$170,"GIÀU",phauthuat!$P$7:$P$170))</f>
        <v>19357086.149999999</v>
      </c>
      <c r="E11" s="53"/>
      <c r="F11" s="41"/>
      <c r="G11" s="41"/>
    </row>
    <row r="12" spans="1:7" ht="16.5">
      <c r="A12" s="110">
        <v>6</v>
      </c>
      <c r="B12" s="62" t="s">
        <v>72</v>
      </c>
      <c r="C12" s="55" t="s">
        <v>77</v>
      </c>
      <c r="D12" s="86">
        <f>SUM(SUMIF(phauthuat!$I$7:$I$170,"ĐIỀN",phauthuat!$J$7:$J$170),SUMIF(phauthuat!$K$7:$K$170,"ĐIỀN",phauthuat!$L$7:$L$170),SUMIF(phauthuat!$M$7:$M$170,"ĐIỀN",phauthuat!$N$7:$N$170),SUMIF(phauthuat!$O$7:$O$170,"ĐIỀN",phauthuat!$P$7:$P$170))</f>
        <v>9595140</v>
      </c>
      <c r="E12" s="53"/>
      <c r="F12" s="41"/>
      <c r="G12" s="41"/>
    </row>
    <row r="13" spans="1:7" ht="16.5">
      <c r="A13" s="110">
        <v>7</v>
      </c>
      <c r="B13" s="62" t="s">
        <v>111</v>
      </c>
      <c r="C13" s="55" t="s">
        <v>77</v>
      </c>
      <c r="D13" s="86">
        <f>SUM(SUMIF(phauthuat!$I$7:$I$170,"TOẢN",phauthuat!$J$7:$J$170),SUMIF(phauthuat!$K$7:$K$170,"TOẢN",phauthuat!$L$7:$L$170),SUMIF(phauthuat!$M$7:$M$170,"TOẢN",phauthuat!$N$7:$N$170),SUMIF(phauthuat!$O$7:$O$170,"TOẢN",phauthuat!$P$7:$P$170))</f>
        <v>4744376.5</v>
      </c>
      <c r="E13" s="53"/>
      <c r="F13" s="41"/>
      <c r="G13" s="41"/>
    </row>
    <row r="14" spans="1:7" ht="16.5">
      <c r="A14" s="110">
        <v>8</v>
      </c>
      <c r="B14" s="62" t="s">
        <v>84</v>
      </c>
      <c r="C14" s="55" t="s">
        <v>77</v>
      </c>
      <c r="D14" s="86">
        <f>SUM(SUMIF(phauthuat!$I$7:$I$170,"V.TÂN",phauthuat!$J$7:$J$170),SUMIF(phauthuat!$K$7:$K$170,"V.TÂN",phauthuat!$L$7:$L$170),SUMIF(phauthuat!$M$7:$M$170,"V.TÂN",phauthuat!$N$7:$N$170),SUMIF(phauthuat!$O$7:$O$170,"V.TÂN",phauthuat!$P$7:$P$170))</f>
        <v>7444276.9249999998</v>
      </c>
      <c r="E14" s="53"/>
      <c r="F14" s="41"/>
      <c r="G14" s="41"/>
    </row>
    <row r="15" spans="1:7" ht="16.5">
      <c r="A15" s="110">
        <v>9</v>
      </c>
      <c r="B15" s="62" t="s">
        <v>68</v>
      </c>
      <c r="C15" s="55" t="s">
        <v>77</v>
      </c>
      <c r="D15" s="86">
        <f>SUM(SUMIF(phauthuat!$I$7:$I$170,"MINH",phauthuat!$J$7:$J$170),SUMIF(phauthuat!$K$7:$K$170,"MINH",phauthuat!$L$7:$L$170),SUMIF(phauthuat!$M$7:$M$170,"MINH",phauthuat!$N$7:$N$170),SUMIF(phauthuat!$O$7:$O$170,"MINH",phauthuat!$P$7:$P$170))</f>
        <v>5064677.5</v>
      </c>
      <c r="E15" s="53"/>
      <c r="F15" s="41"/>
      <c r="G15" s="41"/>
    </row>
    <row r="16" spans="1:7" ht="16.5">
      <c r="A16" s="110">
        <v>10</v>
      </c>
      <c r="B16" s="62" t="s">
        <v>124</v>
      </c>
      <c r="C16" s="55" t="s">
        <v>77</v>
      </c>
      <c r="D16" s="86">
        <f>SUM(SUMIF(phauthuat!$I$7:$I$170,"TUẤN",phauthuat!$J$7:$J$170),SUMIF(phauthuat!$K$7:$K$170,"TUẤN",phauthuat!$L$7:$L$170),SUMIF(phauthuat!$M$7:$M$170,"TUẤN",phauthuat!$N$7:$N$170),SUMIF(phauthuat!$O$7:$O$170,"TUẤN",phauthuat!$P$7:$P$170))</f>
        <v>0</v>
      </c>
      <c r="E16" s="53"/>
      <c r="F16" s="41"/>
      <c r="G16" s="41"/>
    </row>
    <row r="17" spans="1:7" ht="16.5">
      <c r="A17" s="110">
        <v>11</v>
      </c>
      <c r="B17" s="62" t="s">
        <v>125</v>
      </c>
      <c r="C17" s="55" t="s">
        <v>77</v>
      </c>
      <c r="D17" s="86">
        <f>SUM(SUMIF(phauthuat!$I$7:$I$170,"Đạt",phauthuat!$J$7:$J$170),SUMIF(phauthuat!$K$7:$K$170,"Đạt",phauthuat!$L$7:$L$170),SUMIF(phauthuat!$M$7:$M$170,"Đạt",phauthuat!$N$7:$N$170),SUMIF(phauthuat!$O$7:$O$170,"Đạt",phauthuat!$P$7:$P$170))</f>
        <v>1795113</v>
      </c>
      <c r="E17" s="53"/>
      <c r="F17" s="41"/>
      <c r="G17" s="41"/>
    </row>
    <row r="18" spans="1:7" ht="16.5">
      <c r="A18" s="110">
        <v>12</v>
      </c>
      <c r="B18" s="62" t="s">
        <v>59</v>
      </c>
      <c r="C18" s="55" t="s">
        <v>77</v>
      </c>
      <c r="D18" s="86">
        <f>SUM(SUMIF(phauthuat!$I$7:$I$170,"sơn",phauthuat!$J$7:$J$170),SUMIF(phauthuat!$K$7:$K$170,"sơn",phauthuat!$L$7:$L$170),SUMIF(phauthuat!$M$7:$M$170,"sơn",phauthuat!$N$7:$N$170),SUMIF(phauthuat!$O$7:$O$170,"sơn",phauthuat!$P$7:$P$170))</f>
        <v>884032.50000000012</v>
      </c>
      <c r="E18" s="53"/>
      <c r="F18" s="41"/>
      <c r="G18" s="41"/>
    </row>
    <row r="19" spans="1:7" ht="16.5">
      <c r="A19" s="110">
        <v>13</v>
      </c>
      <c r="B19" s="106" t="s">
        <v>980</v>
      </c>
      <c r="C19" s="230" t="s">
        <v>60</v>
      </c>
      <c r="D19" s="86">
        <f>SUM(SUMIF(phauthuat!$I$7:$I$170,"kiệt",phauthuat!$J$7:$J$170),SUMIF(phauthuat!$K$7:$K$170,"kiệt",phauthuat!$L$7:$L$170),SUMIF(phauthuat!$M$7:$M$170,"kiệt",phauthuat!$N$7:$N$170),SUMIF(phauthuat!$O$7:$O$170,"kiệt",phauthuat!$P$7:$P$170))</f>
        <v>912891</v>
      </c>
      <c r="E19" s="53"/>
      <c r="F19" s="41"/>
      <c r="G19" s="41"/>
    </row>
    <row r="20" spans="1:7" ht="16.5">
      <c r="A20" s="110">
        <v>14</v>
      </c>
      <c r="B20" s="106" t="s">
        <v>981</v>
      </c>
      <c r="C20" s="230" t="s">
        <v>60</v>
      </c>
      <c r="D20" s="86">
        <f>SUM(SUMIF(phauthuat!$I$7:$I$170,"phong",phauthuat!$J$7:$J$170),SUMIF(phauthuat!$K$7:$K$170,"phong",phauthuat!$L$7:$L$170),SUMIF(phauthuat!$M$7:$M$170,"phong",phauthuat!$N$7:$N$170),SUMIF(phauthuat!$O$7:$O$170,"phong",phauthuat!$P$7:$P$170))</f>
        <v>571089</v>
      </c>
      <c r="E20" s="53"/>
      <c r="F20" s="41"/>
      <c r="G20" s="41"/>
    </row>
    <row r="21" spans="1:7" ht="16.5">
      <c r="A21" s="110">
        <v>15</v>
      </c>
      <c r="B21" s="106" t="s">
        <v>982</v>
      </c>
      <c r="C21" s="230" t="s">
        <v>60</v>
      </c>
      <c r="D21" s="86">
        <f>SUM(SUMIF(phauthuat!$I$7:$I$170,"lợi",phauthuat!$J$7:$J$170),SUMIF(phauthuat!$K$7:$K$170,"lợi",phauthuat!$L$7:$L$170),SUMIF(phauthuat!$M$7:$M$170,"lợi",phauthuat!$N$7:$N$170),SUMIF(phauthuat!$O$7:$O$170,"lợi",phauthuat!$P$7:$P$170))</f>
        <v>477401</v>
      </c>
      <c r="E21" s="53"/>
      <c r="F21" s="41"/>
      <c r="G21" s="41"/>
    </row>
    <row r="22" spans="1:7" ht="16.5">
      <c r="A22" s="110">
        <v>16</v>
      </c>
      <c r="B22" s="106" t="s">
        <v>983</v>
      </c>
      <c r="C22" s="230" t="s">
        <v>60</v>
      </c>
      <c r="D22" s="86">
        <f>SUM(SUMIF(phauthuat!$I$7:$I$170,"thanh",phauthuat!$J$7:$J$170),SUMIF(phauthuat!$K$7:$K$170,"thanh",phauthuat!$L$7:$L$170),SUMIF(phauthuat!$M$7:$M$170,"thanh",phauthuat!$N$7:$N$170),SUMIF(phauthuat!$O$7:$O$170,"thanh",phauthuat!$P$7:$P$170))</f>
        <v>490228</v>
      </c>
      <c r="E22" s="53"/>
      <c r="F22" s="41"/>
      <c r="G22" s="41"/>
    </row>
    <row r="23" spans="1:7" ht="16.5">
      <c r="A23" s="110">
        <v>17</v>
      </c>
      <c r="B23" s="106" t="s">
        <v>152</v>
      </c>
      <c r="C23" s="230" t="s">
        <v>60</v>
      </c>
      <c r="D23" s="86">
        <f>SUM(SUMIF(phauthuat!$I$7:$I$170,"nhị",phauthuat!$J$7:$J$170),SUMIF(phauthuat!$K$7:$K$170,"nhị",phauthuat!$L$7:$L$170),SUMIF(phauthuat!$M$7:$M$170,"nhị",phauthuat!$N$7:$N$170),SUMIF(phauthuat!$O$7:$O$170,"nhị",phauthuat!$P$7:$P$170))</f>
        <v>989496.5</v>
      </c>
      <c r="E23" s="53"/>
      <c r="F23" s="41"/>
      <c r="G23" s="41"/>
    </row>
    <row r="24" spans="1:7" ht="16.5">
      <c r="A24" s="110">
        <v>18</v>
      </c>
      <c r="B24" s="106" t="s">
        <v>153</v>
      </c>
      <c r="C24" s="230" t="s">
        <v>60</v>
      </c>
      <c r="D24" s="86">
        <f>SUM(SUMIF(phauthuat!$I$7:$I$170,"nghĩa",phauthuat!$J$7:$J$170),SUMIF(phauthuat!$K$7:$K$170,"nghĩa",phauthuat!$L$7:$L$170),SUMIF(phauthuat!$M$7:$M$170,"nghĩa",phauthuat!$N$7:$N$170),SUMIF(phauthuat!$O$7:$O$170,"nghĩa",phauthuat!$P$7:$P$170))</f>
        <v>616467</v>
      </c>
      <c r="E24" s="53"/>
      <c r="F24" s="41"/>
      <c r="G24" s="41"/>
    </row>
    <row r="25" spans="1:7" ht="16.5">
      <c r="A25" s="110">
        <v>19</v>
      </c>
      <c r="B25" s="106" t="s">
        <v>154</v>
      </c>
      <c r="C25" s="230" t="s">
        <v>60</v>
      </c>
      <c r="D25" s="86">
        <f>SUM(SUMIF(phauthuat!$I$7:$I$170,"n.khang",phauthuat!$J$7:$J$170),SUMIF(phauthuat!$K$7:$K$170,"n.khang",phauthuat!$L$7:$L$170),SUMIF(phauthuat!$M$7:$M$170,"n.khang",phauthuat!$N$7:$N$170),SUMIF(phauthuat!$O$7:$O$170,"n.khang",phauthuat!$P$7:$P$170))</f>
        <v>767486</v>
      </c>
      <c r="E25" s="53"/>
      <c r="F25" s="41"/>
      <c r="G25" s="41"/>
    </row>
    <row r="26" spans="1:7" ht="16.5">
      <c r="A26" s="110">
        <v>20</v>
      </c>
      <c r="B26" s="106" t="s">
        <v>155</v>
      </c>
      <c r="C26" s="230" t="s">
        <v>60</v>
      </c>
      <c r="D26" s="86">
        <f>SUM(SUMIF(phauthuat!$I$7:$I$170,"v.hưởng",phauthuat!$J$7:$J$170),SUMIF(phauthuat!$K$7:$K$170,"v.hưởng",phauthuat!$L$7:$L$170),SUMIF(phauthuat!$M$7:$M$170,"v.hưởng",phauthuat!$N$7:$N$170),SUMIF(phauthuat!$O$7:$O$170,"v.hưởng",phauthuat!$P$7:$P$170))</f>
        <v>767445</v>
      </c>
      <c r="E26" s="53"/>
      <c r="F26" s="41"/>
      <c r="G26" s="41"/>
    </row>
    <row r="27" spans="1:7" ht="16.5">
      <c r="A27" s="110">
        <v>21</v>
      </c>
      <c r="B27" s="106" t="s">
        <v>163</v>
      </c>
      <c r="C27" s="230" t="s">
        <v>60</v>
      </c>
      <c r="D27" s="86">
        <f>SUM(SUMIF(phauthuat!$I$7:$I$170,"ĐAN",phauthuat!$J$7:$J$170),SUMIF(phauthuat!$K$7:$K$170,"ĐAN",phauthuat!$L$7:$L$170),SUMIF(phauthuat!$M$7:$M$170,"ĐAN",phauthuat!$N$7:$N$170),SUMIF(phauthuat!$O$7:$O$170,"ĐAN",phauthuat!$P$7:$P$170))</f>
        <v>3265800.5</v>
      </c>
      <c r="E27" s="53"/>
      <c r="F27" s="41"/>
      <c r="G27" s="41"/>
    </row>
    <row r="28" spans="1:7" ht="16.5">
      <c r="A28" s="110">
        <v>22</v>
      </c>
      <c r="B28" s="106" t="s">
        <v>164</v>
      </c>
      <c r="C28" s="230" t="s">
        <v>60</v>
      </c>
      <c r="D28" s="86">
        <f>SUM(SUMIF(phauthuat!$I$7:$I$170,"HẬU",phauthuat!$J$7:$J$170),SUMIF(phauthuat!$K$7:$K$170,"HẬU",phauthuat!$L$7:$L$170),SUMIF(phauthuat!$M$7:$M$170,"HẬU",phauthuat!$N$7:$N$170),SUMIF(phauthuat!$O$7:$O$170,"HẬU",phauthuat!$P$7:$P$170))</f>
        <v>3062417</v>
      </c>
      <c r="E28" s="53"/>
      <c r="F28" s="41"/>
      <c r="G28" s="41"/>
    </row>
    <row r="29" spans="1:7" ht="16.5">
      <c r="A29" s="110">
        <v>23</v>
      </c>
      <c r="B29" s="106" t="s">
        <v>165</v>
      </c>
      <c r="C29" s="230" t="s">
        <v>60</v>
      </c>
      <c r="D29" s="86">
        <f>SUM(SUMIF(phauthuat!$I$7:$I$170,"VINH",phauthuat!$J$7:$J$170),SUMIF(phauthuat!$K$7:$K$170,"VINH",phauthuat!$L$7:$L$170),SUMIF(phauthuat!$M$7:$M$170,"VINH",phauthuat!$N$7:$N$170),SUMIF(phauthuat!$O$7:$O$170,"VINH",phauthuat!$P$7:$P$170))</f>
        <v>2571218</v>
      </c>
      <c r="E29" s="53"/>
      <c r="F29" s="41"/>
      <c r="G29" s="41"/>
    </row>
    <row r="30" spans="1:7" ht="16.5">
      <c r="A30" s="110">
        <v>24</v>
      </c>
      <c r="B30" s="106" t="s">
        <v>166</v>
      </c>
      <c r="C30" s="230" t="s">
        <v>60</v>
      </c>
      <c r="D30" s="86">
        <f>SUM(SUMIF(phauthuat!$I$7:$I$170,"Q.TẤN",phauthuat!$J$7:$J$170),SUMIF(phauthuat!$K$7:$K$170,"Q.TẤN",phauthuat!$L$7:$L$170),SUMIF(phauthuat!$M$7:$M$170,"Q.TẤN",phauthuat!$N$7:$N$170),SUMIF(phauthuat!$O$7:$O$170,"Q.TẤN",phauthuat!$P$7:$P$170))</f>
        <v>5843198.0999999996</v>
      </c>
      <c r="E30" s="53"/>
      <c r="F30" s="41"/>
      <c r="G30" s="41"/>
    </row>
    <row r="31" spans="1:7" ht="16.5">
      <c r="A31" s="110">
        <v>25</v>
      </c>
      <c r="B31" s="106" t="s">
        <v>167</v>
      </c>
      <c r="C31" s="230" t="s">
        <v>60</v>
      </c>
      <c r="D31" s="86">
        <f>SUM(SUMIF(phauthuat!$I$7:$I$170,"HÀO",phauthuat!$J$7:$J$170),SUMIF(phauthuat!$K$7:$K$170,"HÀO",phauthuat!$L$7:$L$170),SUMIF(phauthuat!$M$7:$M$170,"HÀO",phauthuat!$N$7:$N$170),SUMIF(phauthuat!$O$7:$O$170,"HÀO",phauthuat!$P$7:$P$170))</f>
        <v>2212316</v>
      </c>
      <c r="E31" s="53"/>
      <c r="F31" s="41"/>
      <c r="G31" s="41"/>
    </row>
    <row r="32" spans="1:7" ht="16.5">
      <c r="A32" s="110">
        <v>26</v>
      </c>
      <c r="B32" s="106" t="s">
        <v>168</v>
      </c>
      <c r="C32" s="230" t="s">
        <v>60</v>
      </c>
      <c r="D32" s="86">
        <f>SUM(SUMIF(phauthuat!$I$7:$I$170,"NGUYÊN",phauthuat!$J$7:$J$170),SUMIF(phauthuat!$K$7:$K$170,"NGUYÊN",phauthuat!$L$7:$L$170),SUMIF(phauthuat!$M$7:$M$170,"NGUYÊN",phauthuat!$N$7:$N$170),SUMIF(phauthuat!$O$7:$O$170,"NGUYÊN",phauthuat!$P$7:$P$170))</f>
        <v>2295123.7999999998</v>
      </c>
      <c r="E32" s="53"/>
      <c r="F32" s="41"/>
      <c r="G32" s="41"/>
    </row>
    <row r="33" spans="1:8" ht="16.5">
      <c r="A33" s="110">
        <v>27</v>
      </c>
      <c r="B33" s="62" t="s">
        <v>45</v>
      </c>
      <c r="C33" s="55" t="s">
        <v>27</v>
      </c>
      <c r="D33" s="86">
        <f>phauthuat!Q168/9</f>
        <v>330485.43333333335</v>
      </c>
      <c r="E33" s="54"/>
      <c r="F33" s="48"/>
      <c r="G33" s="41"/>
      <c r="H33" s="41"/>
    </row>
    <row r="34" spans="1:8" ht="16.5">
      <c r="A34" s="110">
        <v>28</v>
      </c>
      <c r="B34" s="62" t="s">
        <v>65</v>
      </c>
      <c r="C34" s="55" t="s">
        <v>27</v>
      </c>
      <c r="D34" s="86">
        <f>D33</f>
        <v>330485.43333333335</v>
      </c>
      <c r="E34" s="54"/>
      <c r="F34" s="48"/>
    </row>
    <row r="35" spans="1:8" ht="16.5">
      <c r="A35" s="110">
        <v>29</v>
      </c>
      <c r="B35" s="62" t="s">
        <v>82</v>
      </c>
      <c r="C35" s="55" t="s">
        <v>27</v>
      </c>
      <c r="D35" s="86">
        <f t="shared" ref="D35:D38" si="0">D34</f>
        <v>330485.43333333335</v>
      </c>
      <c r="E35" s="54"/>
      <c r="F35" s="48"/>
    </row>
    <row r="36" spans="1:8" ht="16.5">
      <c r="A36" s="110">
        <v>30</v>
      </c>
      <c r="B36" s="62" t="s">
        <v>70</v>
      </c>
      <c r="C36" s="55" t="s">
        <v>27</v>
      </c>
      <c r="D36" s="86">
        <f t="shared" si="0"/>
        <v>330485.43333333335</v>
      </c>
      <c r="E36" s="54"/>
      <c r="F36" s="48"/>
    </row>
    <row r="37" spans="1:8" ht="16.5">
      <c r="A37" s="110">
        <v>31</v>
      </c>
      <c r="B37" s="62" t="s">
        <v>46</v>
      </c>
      <c r="C37" s="55" t="s">
        <v>27</v>
      </c>
      <c r="D37" s="86">
        <f t="shared" si="0"/>
        <v>330485.43333333335</v>
      </c>
      <c r="E37" s="54"/>
      <c r="F37" s="48"/>
    </row>
    <row r="38" spans="1:8" ht="16.5">
      <c r="A38" s="110">
        <v>32</v>
      </c>
      <c r="B38" s="62" t="s">
        <v>112</v>
      </c>
      <c r="C38" s="55" t="s">
        <v>27</v>
      </c>
      <c r="D38" s="86">
        <f t="shared" si="0"/>
        <v>330485.43333333335</v>
      </c>
      <c r="E38" s="54"/>
      <c r="F38" s="48"/>
    </row>
    <row r="39" spans="1:8" ht="16.5">
      <c r="A39" s="110">
        <v>33</v>
      </c>
      <c r="B39" s="62" t="s">
        <v>93</v>
      </c>
      <c r="C39" s="55" t="s">
        <v>27</v>
      </c>
      <c r="D39" s="86" t="s">
        <v>56</v>
      </c>
      <c r="E39" s="54"/>
      <c r="F39" s="48"/>
    </row>
    <row r="40" spans="1:8" ht="16.5">
      <c r="A40" s="110">
        <v>34</v>
      </c>
      <c r="B40" s="62" t="s">
        <v>73</v>
      </c>
      <c r="C40" s="55" t="s">
        <v>27</v>
      </c>
      <c r="D40" s="86">
        <f>D38</f>
        <v>330485.43333333335</v>
      </c>
      <c r="E40" s="54"/>
      <c r="F40" s="48"/>
    </row>
    <row r="41" spans="1:8" ht="16.5">
      <c r="A41" s="110">
        <v>35</v>
      </c>
      <c r="B41" s="62" t="s">
        <v>149</v>
      </c>
      <c r="C41" s="55" t="s">
        <v>27</v>
      </c>
      <c r="D41" s="86">
        <f>D40</f>
        <v>330485.43333333335</v>
      </c>
      <c r="E41" s="54"/>
      <c r="F41" s="48"/>
    </row>
    <row r="42" spans="1:8" ht="16.5">
      <c r="A42" s="110">
        <v>36</v>
      </c>
      <c r="B42" s="62" t="s">
        <v>148</v>
      </c>
      <c r="C42" s="55" t="s">
        <v>27</v>
      </c>
      <c r="D42" s="86">
        <f>D41</f>
        <v>330485.43333333335</v>
      </c>
      <c r="E42" s="54"/>
      <c r="F42" s="48"/>
    </row>
    <row r="43" spans="1:8" ht="16.5">
      <c r="A43" s="66"/>
      <c r="B43" s="67" t="s">
        <v>28</v>
      </c>
      <c r="C43" s="68"/>
      <c r="D43" s="69">
        <f>SUM(D7:D42)</f>
        <v>97065441.375000015</v>
      </c>
      <c r="E43" s="64"/>
      <c r="F43" s="49"/>
      <c r="G43" s="43"/>
    </row>
    <row r="44" spans="1:8">
      <c r="B44" s="43"/>
      <c r="E44" s="43"/>
    </row>
    <row r="45" spans="1:8">
      <c r="D45" s="491" t="s">
        <v>979</v>
      </c>
      <c r="E45" s="491"/>
    </row>
    <row r="46" spans="1:8" ht="15.75">
      <c r="A46" s="490" t="s">
        <v>20</v>
      </c>
      <c r="B46" s="490"/>
      <c r="D46" s="489" t="s">
        <v>21</v>
      </c>
      <c r="E46" s="489"/>
    </row>
    <row r="49" spans="3:5">
      <c r="E49" s="41"/>
    </row>
    <row r="50" spans="3:5">
      <c r="C50" s="46"/>
    </row>
  </sheetData>
  <mergeCells count="6">
    <mergeCell ref="A2:B2"/>
    <mergeCell ref="B3:D3"/>
    <mergeCell ref="A1:B1"/>
    <mergeCell ref="D46:E46"/>
    <mergeCell ref="A46:B46"/>
    <mergeCell ref="D45:E45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91"/>
  <sheetViews>
    <sheetView zoomScaleNormal="100" zoomScaleSheetLayoutView="100" workbookViewId="0">
      <pane xSplit="7" ySplit="7" topLeftCell="H176" activePane="bottomRight" state="frozen"/>
      <selection pane="topRight" activeCell="H1" sqref="H1"/>
      <selection pane="bottomLeft" activeCell="A8" sqref="A8"/>
      <selection pane="bottomRight" activeCell="K181" sqref="K181:N181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5" customWidth="1"/>
    <col min="4" max="4" width="5.5703125" style="82" customWidth="1"/>
    <col min="5" max="5" width="4.5703125" style="82" customWidth="1"/>
    <col min="6" max="6" width="40.5703125" style="178" customWidth="1"/>
    <col min="7" max="7" width="7.42578125" style="84" customWidth="1"/>
    <col min="8" max="8" width="10.140625" style="366" customWidth="1"/>
    <col min="9" max="9" width="12.5703125" style="93" customWidth="1"/>
    <col min="10" max="10" width="10.140625" style="374" customWidth="1"/>
    <col min="11" max="11" width="12.28515625" style="93" customWidth="1"/>
    <col min="12" max="12" width="10.140625" style="142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92" t="s">
        <v>0</v>
      </c>
      <c r="B1" s="492"/>
      <c r="C1" s="492"/>
      <c r="D1" s="492"/>
      <c r="E1" s="492"/>
      <c r="F1" s="88"/>
      <c r="G1" s="88"/>
      <c r="H1" s="151"/>
      <c r="I1" s="89"/>
      <c r="J1" s="370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493" t="s">
        <v>86</v>
      </c>
      <c r="B2" s="493"/>
      <c r="C2" s="493"/>
      <c r="D2" s="493"/>
      <c r="E2" s="493"/>
      <c r="F2" s="92"/>
      <c r="G2" s="89"/>
      <c r="H2" s="151"/>
      <c r="I2" s="89"/>
      <c r="J2" s="370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494" t="s">
        <v>63</v>
      </c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495" t="s">
        <v>177</v>
      </c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5"/>
      <c r="D5" s="91"/>
      <c r="E5" s="91"/>
      <c r="F5" s="177"/>
      <c r="G5" s="91"/>
      <c r="H5" s="151"/>
      <c r="I5" s="91"/>
      <c r="J5" s="371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5"/>
      <c r="D6" s="89"/>
      <c r="E6" s="89"/>
      <c r="F6" s="92"/>
      <c r="G6" s="89"/>
      <c r="H6" s="151"/>
      <c r="I6" s="89"/>
      <c r="J6" s="370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1" t="s">
        <v>2</v>
      </c>
      <c r="B7" s="121" t="s">
        <v>12</v>
      </c>
      <c r="C7" s="121" t="s">
        <v>3</v>
      </c>
      <c r="D7" s="121" t="s">
        <v>42</v>
      </c>
      <c r="E7" s="121" t="s">
        <v>43</v>
      </c>
      <c r="F7" s="121" t="s">
        <v>5</v>
      </c>
      <c r="G7" s="196" t="s">
        <v>38</v>
      </c>
      <c r="H7" s="367" t="s">
        <v>6</v>
      </c>
      <c r="I7" s="197" t="s">
        <v>7</v>
      </c>
      <c r="J7" s="246" t="s">
        <v>8</v>
      </c>
      <c r="K7" s="197" t="s">
        <v>7</v>
      </c>
      <c r="L7" s="368" t="s">
        <v>9</v>
      </c>
      <c r="M7" s="197" t="s">
        <v>7</v>
      </c>
      <c r="N7" s="19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6" customFormat="1" ht="21.75" customHeight="1">
      <c r="A8" s="179">
        <v>1</v>
      </c>
      <c r="B8" s="458" t="s">
        <v>179</v>
      </c>
      <c r="C8" s="459" t="s">
        <v>184</v>
      </c>
      <c r="D8" s="460"/>
      <c r="E8" s="460">
        <v>62</v>
      </c>
      <c r="F8" s="459" t="s">
        <v>185</v>
      </c>
      <c r="G8" s="460" t="s">
        <v>186</v>
      </c>
      <c r="H8" s="407" t="s">
        <v>159</v>
      </c>
      <c r="I8" s="180">
        <f t="shared" ref="I8:I39" si="0">IF(G8="DTDB",420000,IF(G8="TTDB",420000,IF(G8="DT1",187500,IF(G8="TT1",187500,IF(G8="DT2",97500,IF(G8="TT2",97500,IF(G8="DT3",75000,75000)))))))</f>
        <v>420000</v>
      </c>
      <c r="J8" s="408" t="s">
        <v>183</v>
      </c>
      <c r="K8" s="183">
        <f t="shared" ref="K8:K39" si="1">IF(G8="DTDB",300000,IF(G8="TTDB",300000,IF(G8="DT1",135000,IF(G8="TT1",135000,IF(G8="DT2",75000,IF(G8="TT2",75000,IF(G8="DT3",45000,45000)))))))</f>
        <v>300000</v>
      </c>
      <c r="L8" s="408" t="s">
        <v>436</v>
      </c>
      <c r="M8" s="181">
        <f t="shared" ref="M8:M39" si="2">IF(L8="-",0,IF(G8="DTDB",300000,IF(G8="TTDB",300000,IF(G8="DT1",135000,IF(G8="TT1",135000,IF(G8="DT2",75000,IF(G8="TT2",75000,IF(G8="DT3",45000,45000))))))))</f>
        <v>300000</v>
      </c>
      <c r="N8" s="181">
        <f t="shared" ref="N8:N39" si="3">I8+K8+M8</f>
        <v>1020000</v>
      </c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  <c r="HN8" s="175"/>
      <c r="HO8" s="175"/>
      <c r="HP8" s="175"/>
      <c r="HQ8" s="175"/>
      <c r="HR8" s="175"/>
      <c r="HS8" s="175"/>
      <c r="HT8" s="175"/>
      <c r="HU8" s="175"/>
      <c r="HV8" s="175"/>
      <c r="HW8" s="175"/>
      <c r="HX8" s="175"/>
      <c r="HY8" s="175"/>
      <c r="HZ8" s="175"/>
      <c r="IA8" s="175"/>
      <c r="IB8" s="175"/>
      <c r="IC8" s="175"/>
      <c r="ID8" s="175"/>
      <c r="IE8" s="175"/>
      <c r="IF8" s="175"/>
      <c r="IG8" s="175"/>
      <c r="IH8" s="175"/>
      <c r="II8" s="175"/>
      <c r="IJ8" s="175"/>
      <c r="IK8" s="175"/>
      <c r="IL8" s="175"/>
      <c r="IM8" s="175"/>
      <c r="IN8" s="175"/>
      <c r="IO8" s="175"/>
      <c r="IP8" s="175"/>
      <c r="IQ8" s="175"/>
    </row>
    <row r="9" spans="1:251" s="146" customFormat="1" ht="21.75" customHeight="1">
      <c r="A9" s="179">
        <v>2</v>
      </c>
      <c r="B9" s="458" t="s">
        <v>187</v>
      </c>
      <c r="C9" s="459" t="s">
        <v>443</v>
      </c>
      <c r="D9" s="460">
        <v>56</v>
      </c>
      <c r="E9" s="460"/>
      <c r="F9" s="459" t="s">
        <v>444</v>
      </c>
      <c r="G9" s="460" t="s">
        <v>445</v>
      </c>
      <c r="H9" s="407" t="s">
        <v>212</v>
      </c>
      <c r="I9" s="180">
        <f t="shared" si="0"/>
        <v>187500</v>
      </c>
      <c r="J9" s="408" t="s">
        <v>190</v>
      </c>
      <c r="K9" s="183">
        <f t="shared" si="1"/>
        <v>135000</v>
      </c>
      <c r="L9" s="408" t="s">
        <v>56</v>
      </c>
      <c r="M9" s="181">
        <f t="shared" si="2"/>
        <v>0</v>
      </c>
      <c r="N9" s="181">
        <f t="shared" si="3"/>
        <v>322500</v>
      </c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5"/>
      <c r="HP9" s="175"/>
      <c r="HQ9" s="175"/>
      <c r="HR9" s="175"/>
      <c r="HS9" s="175"/>
      <c r="HT9" s="175"/>
      <c r="HU9" s="175"/>
      <c r="HV9" s="175"/>
      <c r="HW9" s="175"/>
      <c r="HX9" s="175"/>
      <c r="HY9" s="175"/>
      <c r="HZ9" s="175"/>
      <c r="IA9" s="175"/>
      <c r="IB9" s="175"/>
      <c r="IC9" s="175"/>
      <c r="ID9" s="175"/>
      <c r="IE9" s="175"/>
      <c r="IF9" s="175"/>
      <c r="IG9" s="175"/>
      <c r="IH9" s="175"/>
      <c r="II9" s="175"/>
      <c r="IJ9" s="175"/>
      <c r="IK9" s="175"/>
      <c r="IL9" s="175"/>
      <c r="IM9" s="175"/>
      <c r="IN9" s="175"/>
      <c r="IO9" s="175"/>
      <c r="IP9" s="175"/>
      <c r="IQ9" s="175"/>
    </row>
    <row r="10" spans="1:251" s="146" customFormat="1" ht="21.75" customHeight="1">
      <c r="A10" s="179">
        <v>3</v>
      </c>
      <c r="B10" s="458" t="s">
        <v>196</v>
      </c>
      <c r="C10" s="459" t="s">
        <v>197</v>
      </c>
      <c r="D10" s="460"/>
      <c r="E10" s="460">
        <v>70</v>
      </c>
      <c r="F10" s="459" t="s">
        <v>198</v>
      </c>
      <c r="G10" s="460" t="s">
        <v>186</v>
      </c>
      <c r="H10" s="407" t="s">
        <v>159</v>
      </c>
      <c r="I10" s="180">
        <f t="shared" si="0"/>
        <v>420000</v>
      </c>
      <c r="J10" s="408" t="s">
        <v>429</v>
      </c>
      <c r="K10" s="183">
        <f t="shared" si="1"/>
        <v>300000</v>
      </c>
      <c r="L10" s="408" t="s">
        <v>436</v>
      </c>
      <c r="M10" s="181">
        <f t="shared" si="2"/>
        <v>300000</v>
      </c>
      <c r="N10" s="181">
        <f t="shared" si="3"/>
        <v>1020000</v>
      </c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5"/>
      <c r="HP10" s="175"/>
      <c r="HQ10" s="175"/>
      <c r="HR10" s="175"/>
      <c r="HS10" s="175"/>
      <c r="HT10" s="175"/>
      <c r="HU10" s="175"/>
      <c r="HV10" s="175"/>
      <c r="HW10" s="175"/>
      <c r="HX10" s="175"/>
      <c r="HY10" s="175"/>
      <c r="HZ10" s="175"/>
      <c r="IA10" s="175"/>
      <c r="IB10" s="175"/>
      <c r="IC10" s="175"/>
      <c r="ID10" s="175"/>
      <c r="IE10" s="175"/>
      <c r="IF10" s="175"/>
      <c r="IG10" s="175"/>
      <c r="IH10" s="175"/>
      <c r="II10" s="175"/>
      <c r="IJ10" s="175"/>
      <c r="IK10" s="175"/>
      <c r="IL10" s="175"/>
      <c r="IM10" s="175"/>
      <c r="IN10" s="175"/>
      <c r="IO10" s="175"/>
      <c r="IP10" s="175"/>
      <c r="IQ10" s="175"/>
    </row>
    <row r="11" spans="1:251" s="146" customFormat="1" ht="21.75" customHeight="1">
      <c r="A11" s="179">
        <v>4</v>
      </c>
      <c r="B11" s="458" t="s">
        <v>196</v>
      </c>
      <c r="C11" s="459" t="s">
        <v>446</v>
      </c>
      <c r="D11" s="460">
        <v>55</v>
      </c>
      <c r="E11" s="460"/>
      <c r="F11" s="459" t="s">
        <v>292</v>
      </c>
      <c r="G11" s="460" t="s">
        <v>447</v>
      </c>
      <c r="H11" s="407" t="s">
        <v>212</v>
      </c>
      <c r="I11" s="180">
        <f t="shared" si="0"/>
        <v>420000</v>
      </c>
      <c r="J11" s="408" t="s">
        <v>430</v>
      </c>
      <c r="K11" s="183">
        <f t="shared" si="1"/>
        <v>300000</v>
      </c>
      <c r="L11" s="408" t="s">
        <v>439</v>
      </c>
      <c r="M11" s="181">
        <f t="shared" si="2"/>
        <v>300000</v>
      </c>
      <c r="N11" s="181">
        <f t="shared" si="3"/>
        <v>1020000</v>
      </c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5"/>
      <c r="BM11" s="175"/>
      <c r="BN11" s="175"/>
      <c r="BO11" s="175"/>
      <c r="BP11" s="175"/>
      <c r="BQ11" s="175"/>
      <c r="BR11" s="175"/>
      <c r="BS11" s="175"/>
      <c r="BT11" s="175"/>
      <c r="BU11" s="175"/>
      <c r="BV11" s="175"/>
      <c r="BW11" s="175"/>
      <c r="BX11" s="175"/>
      <c r="BY11" s="175"/>
      <c r="BZ11" s="175"/>
      <c r="CA11" s="175"/>
      <c r="CB11" s="175"/>
      <c r="CC11" s="175"/>
      <c r="CD11" s="175"/>
      <c r="CE11" s="175"/>
      <c r="CF11" s="175"/>
      <c r="CG11" s="175"/>
      <c r="CH11" s="175"/>
      <c r="CI11" s="175"/>
      <c r="CJ11" s="175"/>
      <c r="CK11" s="175"/>
      <c r="CL11" s="175"/>
      <c r="CM11" s="175"/>
      <c r="CN11" s="175"/>
      <c r="CO11" s="175"/>
      <c r="CP11" s="175"/>
      <c r="CQ11" s="175"/>
      <c r="CR11" s="175"/>
      <c r="CS11" s="175"/>
      <c r="CT11" s="175"/>
      <c r="CU11" s="175"/>
      <c r="CV11" s="175"/>
      <c r="CW11" s="175"/>
      <c r="CX11" s="175"/>
      <c r="CY11" s="175"/>
      <c r="CZ11" s="175"/>
      <c r="DA11" s="175"/>
      <c r="DB11" s="175"/>
      <c r="DC11" s="175"/>
      <c r="DD11" s="175"/>
      <c r="DE11" s="175"/>
      <c r="DF11" s="175"/>
      <c r="DG11" s="175"/>
      <c r="DH11" s="175"/>
      <c r="DI11" s="175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75"/>
      <c r="EC11" s="175"/>
      <c r="ED11" s="175"/>
      <c r="EE11" s="175"/>
      <c r="EF11" s="175"/>
      <c r="EG11" s="175"/>
      <c r="EH11" s="175"/>
      <c r="EI11" s="175"/>
      <c r="EJ11" s="175"/>
      <c r="EK11" s="175"/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175"/>
      <c r="EW11" s="175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175"/>
      <c r="FQ11" s="175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  <c r="HN11" s="175"/>
      <c r="HO11" s="175"/>
      <c r="HP11" s="175"/>
      <c r="HQ11" s="175"/>
      <c r="HR11" s="175"/>
      <c r="HS11" s="175"/>
      <c r="HT11" s="175"/>
      <c r="HU11" s="175"/>
      <c r="HV11" s="175"/>
      <c r="HW11" s="175"/>
      <c r="HX11" s="175"/>
      <c r="HY11" s="175"/>
      <c r="HZ11" s="175"/>
      <c r="IA11" s="175"/>
      <c r="IB11" s="175"/>
      <c r="IC11" s="175"/>
      <c r="ID11" s="175"/>
      <c r="IE11" s="175"/>
      <c r="IF11" s="175"/>
      <c r="IG11" s="175"/>
      <c r="IH11" s="175"/>
      <c r="II11" s="175"/>
      <c r="IJ11" s="175"/>
      <c r="IK11" s="175"/>
      <c r="IL11" s="175"/>
      <c r="IM11" s="175"/>
      <c r="IN11" s="175"/>
      <c r="IO11" s="175"/>
      <c r="IP11" s="175"/>
      <c r="IQ11" s="175"/>
    </row>
    <row r="12" spans="1:251" s="146" customFormat="1" ht="21.75" customHeight="1">
      <c r="A12" s="179">
        <v>5</v>
      </c>
      <c r="B12" s="458" t="s">
        <v>196</v>
      </c>
      <c r="C12" s="459" t="s">
        <v>199</v>
      </c>
      <c r="D12" s="460">
        <v>77</v>
      </c>
      <c r="E12" s="460"/>
      <c r="F12" s="459" t="s">
        <v>200</v>
      </c>
      <c r="G12" s="460" t="s">
        <v>186</v>
      </c>
      <c r="H12" s="407" t="s">
        <v>159</v>
      </c>
      <c r="I12" s="180">
        <f t="shared" si="0"/>
        <v>420000</v>
      </c>
      <c r="J12" s="408" t="s">
        <v>190</v>
      </c>
      <c r="K12" s="183">
        <f t="shared" si="1"/>
        <v>300000</v>
      </c>
      <c r="L12" s="408" t="s">
        <v>436</v>
      </c>
      <c r="M12" s="181">
        <f t="shared" si="2"/>
        <v>300000</v>
      </c>
      <c r="N12" s="181">
        <f t="shared" si="3"/>
        <v>1020000</v>
      </c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5"/>
      <c r="BM12" s="175"/>
      <c r="BN12" s="175"/>
      <c r="BO12" s="175"/>
      <c r="BP12" s="175"/>
      <c r="BQ12" s="175"/>
      <c r="BR12" s="175"/>
      <c r="BS12" s="175"/>
      <c r="BT12" s="175"/>
      <c r="BU12" s="175"/>
      <c r="BV12" s="175"/>
      <c r="BW12" s="175"/>
      <c r="BX12" s="175"/>
      <c r="BY12" s="175"/>
      <c r="BZ12" s="175"/>
      <c r="CA12" s="175"/>
      <c r="CB12" s="175"/>
      <c r="CC12" s="175"/>
      <c r="CD12" s="175"/>
      <c r="CE12" s="175"/>
      <c r="CF12" s="175"/>
      <c r="CG12" s="175"/>
      <c r="CH12" s="175"/>
      <c r="CI12" s="175"/>
      <c r="CJ12" s="175"/>
      <c r="CK12" s="175"/>
      <c r="CL12" s="175"/>
      <c r="CM12" s="175"/>
      <c r="CN12" s="175"/>
      <c r="CO12" s="175"/>
      <c r="CP12" s="175"/>
      <c r="CQ12" s="175"/>
      <c r="CR12" s="175"/>
      <c r="CS12" s="175"/>
      <c r="CT12" s="175"/>
      <c r="CU12" s="175"/>
      <c r="CV12" s="175"/>
      <c r="CW12" s="175"/>
      <c r="CX12" s="175"/>
      <c r="CY12" s="175"/>
      <c r="CZ12" s="175"/>
      <c r="DA12" s="175"/>
      <c r="DB12" s="175"/>
      <c r="DC12" s="175"/>
      <c r="DD12" s="175"/>
      <c r="DE12" s="175"/>
      <c r="DF12" s="175"/>
      <c r="DG12" s="175"/>
      <c r="DH12" s="175"/>
      <c r="DI12" s="175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75"/>
      <c r="EC12" s="175"/>
      <c r="ED12" s="175"/>
      <c r="EE12" s="175"/>
      <c r="EF12" s="175"/>
      <c r="EG12" s="175"/>
      <c r="EH12" s="175"/>
      <c r="EI12" s="175"/>
      <c r="EJ12" s="175"/>
      <c r="EK12" s="175"/>
      <c r="EL12" s="175"/>
      <c r="EM12" s="175"/>
      <c r="EN12" s="175"/>
      <c r="EO12" s="175"/>
      <c r="EP12" s="175"/>
      <c r="EQ12" s="175"/>
      <c r="ER12" s="175"/>
      <c r="ES12" s="175"/>
      <c r="ET12" s="175"/>
      <c r="EU12" s="175"/>
      <c r="EV12" s="175"/>
      <c r="EW12" s="175"/>
      <c r="EX12" s="175"/>
      <c r="EY12" s="175"/>
      <c r="EZ12" s="175"/>
      <c r="FA12" s="175"/>
      <c r="FB12" s="175"/>
      <c r="FC12" s="175"/>
      <c r="FD12" s="175"/>
      <c r="FE12" s="175"/>
      <c r="FF12" s="175"/>
      <c r="FG12" s="175"/>
      <c r="FH12" s="175"/>
      <c r="FI12" s="175"/>
      <c r="FJ12" s="175"/>
      <c r="FK12" s="175"/>
      <c r="FL12" s="175"/>
      <c r="FM12" s="175"/>
      <c r="FN12" s="175"/>
      <c r="FO12" s="175"/>
      <c r="FP12" s="175"/>
      <c r="FQ12" s="175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  <c r="HN12" s="175"/>
      <c r="HO12" s="175"/>
      <c r="HP12" s="175"/>
      <c r="HQ12" s="175"/>
      <c r="HR12" s="175"/>
      <c r="HS12" s="175"/>
      <c r="HT12" s="175"/>
      <c r="HU12" s="175"/>
      <c r="HV12" s="175"/>
      <c r="HW12" s="175"/>
      <c r="HX12" s="175"/>
      <c r="HY12" s="175"/>
      <c r="HZ12" s="175"/>
      <c r="IA12" s="175"/>
      <c r="IB12" s="175"/>
      <c r="IC12" s="175"/>
      <c r="ID12" s="175"/>
      <c r="IE12" s="175"/>
      <c r="IF12" s="175"/>
      <c r="IG12" s="175"/>
      <c r="IH12" s="175"/>
      <c r="II12" s="175"/>
      <c r="IJ12" s="175"/>
      <c r="IK12" s="175"/>
      <c r="IL12" s="175"/>
      <c r="IM12" s="175"/>
      <c r="IN12" s="175"/>
      <c r="IO12" s="175"/>
      <c r="IP12" s="175"/>
      <c r="IQ12" s="175"/>
    </row>
    <row r="13" spans="1:251" s="146" customFormat="1" ht="21.75" customHeight="1">
      <c r="A13" s="179">
        <v>6</v>
      </c>
      <c r="B13" s="458" t="s">
        <v>201</v>
      </c>
      <c r="C13" s="459" t="s">
        <v>202</v>
      </c>
      <c r="D13" s="460">
        <v>35</v>
      </c>
      <c r="E13" s="460"/>
      <c r="F13" s="459" t="s">
        <v>203</v>
      </c>
      <c r="G13" s="460" t="s">
        <v>204</v>
      </c>
      <c r="H13" s="407" t="s">
        <v>183</v>
      </c>
      <c r="I13" s="180">
        <f t="shared" si="0"/>
        <v>187500</v>
      </c>
      <c r="J13" s="408" t="s">
        <v>429</v>
      </c>
      <c r="K13" s="183">
        <f t="shared" si="1"/>
        <v>135000</v>
      </c>
      <c r="L13" s="408" t="s">
        <v>439</v>
      </c>
      <c r="M13" s="181">
        <f t="shared" si="2"/>
        <v>135000</v>
      </c>
      <c r="N13" s="181">
        <f t="shared" si="3"/>
        <v>457500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5"/>
      <c r="BM13" s="175"/>
      <c r="BN13" s="175"/>
      <c r="BO13" s="175"/>
      <c r="BP13" s="175"/>
      <c r="BQ13" s="175"/>
      <c r="BR13" s="175"/>
      <c r="BS13" s="175"/>
      <c r="BT13" s="175"/>
      <c r="BU13" s="175"/>
      <c r="BV13" s="175"/>
      <c r="BW13" s="175"/>
      <c r="BX13" s="175"/>
      <c r="BY13" s="175"/>
      <c r="BZ13" s="175"/>
      <c r="CA13" s="175"/>
      <c r="CB13" s="175"/>
      <c r="CC13" s="175"/>
      <c r="CD13" s="175"/>
      <c r="CE13" s="175"/>
      <c r="CF13" s="175"/>
      <c r="CG13" s="17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175"/>
      <c r="CS13" s="175"/>
      <c r="CT13" s="175"/>
      <c r="CU13" s="175"/>
      <c r="CV13" s="175"/>
      <c r="CW13" s="175"/>
      <c r="CX13" s="175"/>
      <c r="CY13" s="175"/>
      <c r="CZ13" s="175"/>
      <c r="DA13" s="175"/>
      <c r="DB13" s="175"/>
      <c r="DC13" s="175"/>
      <c r="DD13" s="175"/>
      <c r="DE13" s="175"/>
      <c r="DF13" s="175"/>
      <c r="DG13" s="175"/>
      <c r="DH13" s="175"/>
      <c r="DI13" s="175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75"/>
      <c r="EC13" s="175"/>
      <c r="ED13" s="175"/>
      <c r="EE13" s="175"/>
      <c r="EF13" s="175"/>
      <c r="EG13" s="175"/>
      <c r="EH13" s="175"/>
      <c r="EI13" s="175"/>
      <c r="EJ13" s="175"/>
      <c r="EK13" s="175"/>
      <c r="EL13" s="175"/>
      <c r="EM13" s="175"/>
      <c r="EN13" s="175"/>
      <c r="EO13" s="175"/>
      <c r="EP13" s="175"/>
      <c r="EQ13" s="175"/>
      <c r="ER13" s="175"/>
      <c r="ES13" s="175"/>
      <c r="ET13" s="175"/>
      <c r="EU13" s="175"/>
      <c r="EV13" s="175"/>
      <c r="EW13" s="175"/>
      <c r="EX13" s="175"/>
      <c r="EY13" s="175"/>
      <c r="EZ13" s="175"/>
      <c r="FA13" s="175"/>
      <c r="FB13" s="175"/>
      <c r="FC13" s="175"/>
      <c r="FD13" s="175"/>
      <c r="FE13" s="175"/>
      <c r="FF13" s="175"/>
      <c r="FG13" s="175"/>
      <c r="FH13" s="175"/>
      <c r="FI13" s="175"/>
      <c r="FJ13" s="175"/>
      <c r="FK13" s="175"/>
      <c r="FL13" s="175"/>
      <c r="FM13" s="175"/>
      <c r="FN13" s="175"/>
      <c r="FO13" s="175"/>
      <c r="FP13" s="175"/>
      <c r="FQ13" s="175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175"/>
      <c r="IG13" s="175"/>
      <c r="IH13" s="175"/>
      <c r="II13" s="175"/>
      <c r="IJ13" s="175"/>
      <c r="IK13" s="175"/>
      <c r="IL13" s="175"/>
      <c r="IM13" s="175"/>
      <c r="IN13" s="175"/>
      <c r="IO13" s="175"/>
      <c r="IP13" s="175"/>
      <c r="IQ13" s="175"/>
    </row>
    <row r="14" spans="1:251" s="146" customFormat="1" ht="21.75" customHeight="1">
      <c r="A14" s="179">
        <v>7</v>
      </c>
      <c r="B14" s="458" t="s">
        <v>205</v>
      </c>
      <c r="C14" s="459" t="s">
        <v>206</v>
      </c>
      <c r="D14" s="460">
        <v>38</v>
      </c>
      <c r="E14" s="460"/>
      <c r="F14" s="459" t="s">
        <v>207</v>
      </c>
      <c r="G14" s="460" t="s">
        <v>186</v>
      </c>
      <c r="H14" s="407" t="s">
        <v>190</v>
      </c>
      <c r="I14" s="180">
        <f t="shared" si="0"/>
        <v>420000</v>
      </c>
      <c r="J14" s="408" t="s">
        <v>430</v>
      </c>
      <c r="K14" s="183">
        <f t="shared" si="1"/>
        <v>300000</v>
      </c>
      <c r="L14" s="408" t="s">
        <v>429</v>
      </c>
      <c r="M14" s="181">
        <f t="shared" si="2"/>
        <v>300000</v>
      </c>
      <c r="N14" s="181">
        <f t="shared" si="3"/>
        <v>1020000</v>
      </c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175"/>
      <c r="CS14" s="175"/>
      <c r="CT14" s="175"/>
      <c r="CU14" s="175"/>
      <c r="CV14" s="175"/>
      <c r="CW14" s="175"/>
      <c r="CX14" s="175"/>
      <c r="CY14" s="175"/>
      <c r="CZ14" s="175"/>
      <c r="DA14" s="175"/>
      <c r="DB14" s="175"/>
      <c r="DC14" s="175"/>
      <c r="DD14" s="175"/>
      <c r="DE14" s="175"/>
      <c r="DF14" s="175"/>
      <c r="DG14" s="175"/>
      <c r="DH14" s="175"/>
      <c r="DI14" s="175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75"/>
      <c r="EC14" s="175"/>
      <c r="ED14" s="175"/>
      <c r="EE14" s="175"/>
      <c r="EF14" s="175"/>
      <c r="EG14" s="175"/>
      <c r="EH14" s="175"/>
      <c r="EI14" s="175"/>
      <c r="EJ14" s="175"/>
      <c r="EK14" s="175"/>
      <c r="EL14" s="175"/>
      <c r="EM14" s="175"/>
      <c r="EN14" s="175"/>
      <c r="EO14" s="175"/>
      <c r="EP14" s="175"/>
      <c r="EQ14" s="175"/>
      <c r="ER14" s="175"/>
      <c r="ES14" s="175"/>
      <c r="ET14" s="175"/>
      <c r="EU14" s="175"/>
      <c r="EV14" s="175"/>
      <c r="EW14" s="175"/>
      <c r="EX14" s="175"/>
      <c r="EY14" s="175"/>
      <c r="EZ14" s="175"/>
      <c r="FA14" s="175"/>
      <c r="FB14" s="175"/>
      <c r="FC14" s="175"/>
      <c r="FD14" s="175"/>
      <c r="FE14" s="175"/>
      <c r="FF14" s="175"/>
      <c r="FG14" s="175"/>
      <c r="FH14" s="175"/>
      <c r="FI14" s="175"/>
      <c r="FJ14" s="175"/>
      <c r="FK14" s="175"/>
      <c r="FL14" s="175"/>
      <c r="FM14" s="175"/>
      <c r="FN14" s="175"/>
      <c r="FO14" s="175"/>
      <c r="FP14" s="175"/>
      <c r="FQ14" s="175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  <c r="HN14" s="175"/>
      <c r="HO14" s="175"/>
      <c r="HP14" s="175"/>
      <c r="HQ14" s="175"/>
      <c r="HR14" s="175"/>
      <c r="HS14" s="175"/>
      <c r="HT14" s="175"/>
      <c r="HU14" s="175"/>
      <c r="HV14" s="175"/>
      <c r="HW14" s="175"/>
      <c r="HX14" s="175"/>
      <c r="HY14" s="175"/>
      <c r="HZ14" s="175"/>
      <c r="IA14" s="175"/>
      <c r="IB14" s="175"/>
      <c r="IC14" s="175"/>
      <c r="ID14" s="175"/>
      <c r="IE14" s="175"/>
      <c r="IF14" s="175"/>
      <c r="IG14" s="175"/>
      <c r="IH14" s="175"/>
      <c r="II14" s="175"/>
      <c r="IJ14" s="175"/>
      <c r="IK14" s="175"/>
      <c r="IL14" s="175"/>
      <c r="IM14" s="175"/>
      <c r="IN14" s="175"/>
      <c r="IO14" s="175"/>
      <c r="IP14" s="175"/>
      <c r="IQ14" s="175"/>
    </row>
    <row r="15" spans="1:251" s="146" customFormat="1" ht="21.75" customHeight="1">
      <c r="A15" s="179">
        <v>8</v>
      </c>
      <c r="B15" s="458" t="s">
        <v>205</v>
      </c>
      <c r="C15" s="459" t="s">
        <v>208</v>
      </c>
      <c r="D15" s="460">
        <v>69</v>
      </c>
      <c r="E15" s="460"/>
      <c r="F15" s="459" t="s">
        <v>200</v>
      </c>
      <c r="G15" s="460" t="s">
        <v>186</v>
      </c>
      <c r="H15" s="407" t="s">
        <v>135</v>
      </c>
      <c r="I15" s="180">
        <f t="shared" si="0"/>
        <v>420000</v>
      </c>
      <c r="J15" s="408" t="s">
        <v>212</v>
      </c>
      <c r="K15" s="183">
        <f t="shared" si="1"/>
        <v>300000</v>
      </c>
      <c r="L15" s="408" t="s">
        <v>134</v>
      </c>
      <c r="M15" s="181">
        <f t="shared" si="2"/>
        <v>300000</v>
      </c>
      <c r="N15" s="181">
        <f t="shared" si="3"/>
        <v>1020000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175"/>
      <c r="CS15" s="175"/>
      <c r="CT15" s="175"/>
      <c r="CU15" s="175"/>
      <c r="CV15" s="175"/>
      <c r="CW15" s="175"/>
      <c r="CX15" s="175"/>
      <c r="CY15" s="175"/>
      <c r="CZ15" s="175"/>
      <c r="DA15" s="175"/>
      <c r="DB15" s="175"/>
      <c r="DC15" s="175"/>
      <c r="DD15" s="175"/>
      <c r="DE15" s="175"/>
      <c r="DF15" s="175"/>
      <c r="DG15" s="175"/>
      <c r="DH15" s="175"/>
      <c r="DI15" s="175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75"/>
      <c r="EC15" s="175"/>
      <c r="ED15" s="175"/>
      <c r="EE15" s="175"/>
      <c r="EF15" s="175"/>
      <c r="EG15" s="175"/>
      <c r="EH15" s="175"/>
      <c r="EI15" s="175"/>
      <c r="EJ15" s="175"/>
      <c r="EK15" s="175"/>
      <c r="EL15" s="175"/>
      <c r="EM15" s="175"/>
      <c r="EN15" s="175"/>
      <c r="EO15" s="175"/>
      <c r="EP15" s="175"/>
      <c r="EQ15" s="175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  <c r="GH15" s="175"/>
      <c r="GI15" s="175"/>
      <c r="GJ15" s="175"/>
      <c r="GK15" s="175"/>
      <c r="GL15" s="175"/>
      <c r="GM15" s="175"/>
      <c r="GN15" s="175"/>
      <c r="GO15" s="175"/>
      <c r="GP15" s="175"/>
      <c r="GQ15" s="175"/>
      <c r="GR15" s="175"/>
      <c r="GS15" s="175"/>
      <c r="GT15" s="175"/>
      <c r="GU15" s="175"/>
      <c r="GV15" s="175"/>
      <c r="GW15" s="175"/>
      <c r="GX15" s="175"/>
      <c r="GY15" s="175"/>
      <c r="GZ15" s="175"/>
      <c r="HA15" s="175"/>
      <c r="HB15" s="175"/>
      <c r="HC15" s="175"/>
      <c r="HD15" s="175"/>
      <c r="HE15" s="175"/>
      <c r="HF15" s="175"/>
      <c r="HG15" s="175"/>
      <c r="HH15" s="175"/>
      <c r="HI15" s="175"/>
      <c r="HJ15" s="175"/>
      <c r="HK15" s="175"/>
      <c r="HL15" s="175"/>
      <c r="HM15" s="175"/>
      <c r="HN15" s="175"/>
      <c r="HO15" s="175"/>
      <c r="HP15" s="175"/>
      <c r="HQ15" s="175"/>
      <c r="HR15" s="175"/>
      <c r="HS15" s="175"/>
      <c r="HT15" s="175"/>
      <c r="HU15" s="175"/>
      <c r="HV15" s="175"/>
      <c r="HW15" s="175"/>
      <c r="HX15" s="175"/>
      <c r="HY15" s="175"/>
      <c r="HZ15" s="175"/>
      <c r="IA15" s="175"/>
      <c r="IB15" s="175"/>
      <c r="IC15" s="175"/>
      <c r="ID15" s="175"/>
      <c r="IE15" s="175"/>
      <c r="IF15" s="175"/>
      <c r="IG15" s="175"/>
      <c r="IH15" s="175"/>
      <c r="II15" s="175"/>
      <c r="IJ15" s="175"/>
      <c r="IK15" s="175"/>
      <c r="IL15" s="175"/>
      <c r="IM15" s="175"/>
      <c r="IN15" s="175"/>
      <c r="IO15" s="175"/>
      <c r="IP15" s="175"/>
      <c r="IQ15" s="175"/>
    </row>
    <row r="16" spans="1:251" s="146" customFormat="1" ht="21.75" customHeight="1">
      <c r="A16" s="179">
        <v>9</v>
      </c>
      <c r="B16" s="458" t="s">
        <v>205</v>
      </c>
      <c r="C16" s="459" t="s">
        <v>209</v>
      </c>
      <c r="D16" s="460"/>
      <c r="E16" s="460">
        <v>50</v>
      </c>
      <c r="F16" s="459" t="s">
        <v>210</v>
      </c>
      <c r="G16" s="460" t="s">
        <v>186</v>
      </c>
      <c r="H16" s="407" t="s">
        <v>135</v>
      </c>
      <c r="I16" s="180">
        <f t="shared" si="0"/>
        <v>420000</v>
      </c>
      <c r="J16" s="408" t="s">
        <v>212</v>
      </c>
      <c r="K16" s="183">
        <f t="shared" si="1"/>
        <v>300000</v>
      </c>
      <c r="L16" s="408" t="s">
        <v>134</v>
      </c>
      <c r="M16" s="181">
        <f t="shared" si="2"/>
        <v>300000</v>
      </c>
      <c r="N16" s="181">
        <f t="shared" si="3"/>
        <v>1020000</v>
      </c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/>
      <c r="BQ16" s="175"/>
      <c r="BR16" s="175"/>
      <c r="BS16" s="175"/>
      <c r="BT16" s="175"/>
      <c r="BU16" s="175"/>
      <c r="BV16" s="175"/>
      <c r="BW16" s="175"/>
      <c r="BX16" s="175"/>
      <c r="BY16" s="175"/>
      <c r="BZ16" s="175"/>
      <c r="CA16" s="175"/>
      <c r="CB16" s="175"/>
      <c r="CC16" s="175"/>
      <c r="CD16" s="175"/>
      <c r="CE16" s="175"/>
      <c r="CF16" s="175"/>
      <c r="CG16" s="17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175"/>
      <c r="CS16" s="175"/>
      <c r="CT16" s="175"/>
      <c r="CU16" s="175"/>
      <c r="CV16" s="175"/>
      <c r="CW16" s="175"/>
      <c r="CX16" s="175"/>
      <c r="CY16" s="175"/>
      <c r="CZ16" s="175"/>
      <c r="DA16" s="175"/>
      <c r="DB16" s="175"/>
      <c r="DC16" s="175"/>
      <c r="DD16" s="175"/>
      <c r="DE16" s="175"/>
      <c r="DF16" s="175"/>
      <c r="DG16" s="175"/>
      <c r="DH16" s="175"/>
      <c r="DI16" s="175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75"/>
      <c r="EC16" s="175"/>
      <c r="ED16" s="175"/>
      <c r="EE16" s="175"/>
      <c r="EF16" s="175"/>
      <c r="EG16" s="175"/>
      <c r="EH16" s="175"/>
      <c r="EI16" s="175"/>
      <c r="EJ16" s="175"/>
      <c r="EK16" s="175"/>
      <c r="EL16" s="175"/>
      <c r="EM16" s="175"/>
      <c r="EN16" s="175"/>
      <c r="EO16" s="175"/>
      <c r="EP16" s="175"/>
      <c r="EQ16" s="175"/>
      <c r="ER16" s="175"/>
      <c r="ES16" s="175"/>
      <c r="ET16" s="175"/>
      <c r="EU16" s="175"/>
      <c r="EV16" s="175"/>
      <c r="EW16" s="175"/>
      <c r="EX16" s="175"/>
      <c r="EY16" s="175"/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175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  <c r="HN16" s="175"/>
      <c r="HO16" s="175"/>
      <c r="HP16" s="175"/>
      <c r="HQ16" s="175"/>
      <c r="HR16" s="175"/>
      <c r="HS16" s="175"/>
      <c r="HT16" s="175"/>
      <c r="HU16" s="175"/>
      <c r="HV16" s="175"/>
      <c r="HW16" s="175"/>
      <c r="HX16" s="175"/>
      <c r="HY16" s="175"/>
      <c r="HZ16" s="175"/>
      <c r="IA16" s="175"/>
      <c r="IB16" s="175"/>
      <c r="IC16" s="175"/>
      <c r="ID16" s="175"/>
      <c r="IE16" s="175"/>
      <c r="IF16" s="175"/>
      <c r="IG16" s="175"/>
      <c r="IH16" s="175"/>
      <c r="II16" s="175"/>
      <c r="IJ16" s="175"/>
      <c r="IK16" s="175"/>
      <c r="IL16" s="175"/>
      <c r="IM16" s="175"/>
      <c r="IN16" s="175"/>
      <c r="IO16" s="175"/>
      <c r="IP16" s="175"/>
      <c r="IQ16" s="175"/>
    </row>
    <row r="17" spans="1:251" s="146" customFormat="1" ht="21.75" customHeight="1">
      <c r="A17" s="179">
        <v>10</v>
      </c>
      <c r="B17" s="458" t="s">
        <v>205</v>
      </c>
      <c r="C17" s="459" t="s">
        <v>211</v>
      </c>
      <c r="D17" s="460">
        <v>20</v>
      </c>
      <c r="E17" s="460"/>
      <c r="F17" s="459" t="s">
        <v>210</v>
      </c>
      <c r="G17" s="460" t="s">
        <v>186</v>
      </c>
      <c r="H17" s="407" t="s">
        <v>212</v>
      </c>
      <c r="I17" s="180">
        <f t="shared" si="0"/>
        <v>420000</v>
      </c>
      <c r="J17" s="408" t="s">
        <v>134</v>
      </c>
      <c r="K17" s="183">
        <f t="shared" si="1"/>
        <v>300000</v>
      </c>
      <c r="L17" s="408" t="s">
        <v>436</v>
      </c>
      <c r="M17" s="181">
        <f t="shared" si="2"/>
        <v>300000</v>
      </c>
      <c r="N17" s="181">
        <f t="shared" si="3"/>
        <v>1020000</v>
      </c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5"/>
      <c r="CA17" s="175"/>
      <c r="CB17" s="175"/>
      <c r="CC17" s="175"/>
      <c r="CD17" s="175"/>
      <c r="CE17" s="175"/>
      <c r="CF17" s="175"/>
      <c r="CG17" s="17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175"/>
      <c r="CS17" s="175"/>
      <c r="CT17" s="175"/>
      <c r="CU17" s="175"/>
      <c r="CV17" s="175"/>
      <c r="CW17" s="175"/>
      <c r="CX17" s="175"/>
      <c r="CY17" s="175"/>
      <c r="CZ17" s="175"/>
      <c r="DA17" s="175"/>
      <c r="DB17" s="175"/>
      <c r="DC17" s="175"/>
      <c r="DD17" s="175"/>
      <c r="DE17" s="175"/>
      <c r="DF17" s="175"/>
      <c r="DG17" s="175"/>
      <c r="DH17" s="175"/>
      <c r="DI17" s="175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75"/>
      <c r="EC17" s="175"/>
      <c r="ED17" s="175"/>
      <c r="EE17" s="175"/>
      <c r="EF17" s="175"/>
      <c r="EG17" s="175"/>
      <c r="EH17" s="175"/>
      <c r="EI17" s="175"/>
      <c r="EJ17" s="175"/>
      <c r="EK17" s="175"/>
      <c r="EL17" s="175"/>
      <c r="EM17" s="175"/>
      <c r="EN17" s="175"/>
      <c r="EO17" s="175"/>
      <c r="EP17" s="175"/>
      <c r="EQ17" s="175"/>
      <c r="ER17" s="175"/>
      <c r="ES17" s="175"/>
      <c r="ET17" s="175"/>
      <c r="EU17" s="175"/>
      <c r="EV17" s="175"/>
      <c r="EW17" s="175"/>
      <c r="EX17" s="175"/>
      <c r="EY17" s="175"/>
      <c r="EZ17" s="175"/>
      <c r="FA17" s="175"/>
      <c r="FB17" s="175"/>
      <c r="FC17" s="175"/>
      <c r="FD17" s="175"/>
      <c r="FE17" s="175"/>
      <c r="FF17" s="175"/>
      <c r="FG17" s="175"/>
      <c r="FH17" s="175"/>
      <c r="FI17" s="175"/>
      <c r="FJ17" s="175"/>
      <c r="FK17" s="175"/>
      <c r="FL17" s="175"/>
      <c r="FM17" s="175"/>
      <c r="FN17" s="175"/>
      <c r="FO17" s="175"/>
      <c r="FP17" s="175"/>
      <c r="FQ17" s="175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  <c r="HN17" s="175"/>
      <c r="HO17" s="175"/>
      <c r="HP17" s="175"/>
      <c r="HQ17" s="175"/>
      <c r="HR17" s="175"/>
      <c r="HS17" s="175"/>
      <c r="HT17" s="175"/>
      <c r="HU17" s="175"/>
      <c r="HV17" s="175"/>
      <c r="HW17" s="175"/>
      <c r="HX17" s="175"/>
      <c r="HY17" s="175"/>
      <c r="HZ17" s="175"/>
      <c r="IA17" s="175"/>
      <c r="IB17" s="175"/>
      <c r="IC17" s="175"/>
      <c r="ID17" s="175"/>
      <c r="IE17" s="175"/>
      <c r="IF17" s="175"/>
      <c r="IG17" s="175"/>
      <c r="IH17" s="175"/>
      <c r="II17" s="175"/>
      <c r="IJ17" s="175"/>
      <c r="IK17" s="175"/>
      <c r="IL17" s="175"/>
      <c r="IM17" s="175"/>
      <c r="IN17" s="175"/>
      <c r="IO17" s="175"/>
      <c r="IP17" s="175"/>
      <c r="IQ17" s="175"/>
    </row>
    <row r="18" spans="1:251" s="146" customFormat="1" ht="21.75" customHeight="1">
      <c r="A18" s="179">
        <v>11</v>
      </c>
      <c r="B18" s="458" t="s">
        <v>205</v>
      </c>
      <c r="C18" s="459" t="s">
        <v>213</v>
      </c>
      <c r="D18" s="460"/>
      <c r="E18" s="460">
        <v>67</v>
      </c>
      <c r="F18" s="459" t="s">
        <v>210</v>
      </c>
      <c r="G18" s="460" t="s">
        <v>186</v>
      </c>
      <c r="H18" s="407" t="s">
        <v>134</v>
      </c>
      <c r="I18" s="180">
        <f t="shared" si="0"/>
        <v>420000</v>
      </c>
      <c r="J18" s="408" t="s">
        <v>431</v>
      </c>
      <c r="K18" s="183">
        <f t="shared" si="1"/>
        <v>300000</v>
      </c>
      <c r="L18" s="408" t="s">
        <v>435</v>
      </c>
      <c r="M18" s="181">
        <f t="shared" si="2"/>
        <v>300000</v>
      </c>
      <c r="N18" s="181">
        <f t="shared" si="3"/>
        <v>1020000</v>
      </c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/>
      <c r="BM18" s="175"/>
      <c r="BN18" s="175"/>
      <c r="BO18" s="175"/>
      <c r="BP18" s="175"/>
      <c r="BQ18" s="175"/>
      <c r="BR18" s="175"/>
      <c r="BS18" s="175"/>
      <c r="BT18" s="175"/>
      <c r="BU18" s="175"/>
      <c r="BV18" s="175"/>
      <c r="BW18" s="175"/>
      <c r="BX18" s="175"/>
      <c r="BY18" s="175"/>
      <c r="BZ18" s="175"/>
      <c r="CA18" s="175"/>
      <c r="CB18" s="175"/>
      <c r="CC18" s="175"/>
      <c r="CD18" s="175"/>
      <c r="CE18" s="175"/>
      <c r="CF18" s="175"/>
      <c r="CG18" s="17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175"/>
      <c r="CS18" s="175"/>
      <c r="CT18" s="175"/>
      <c r="CU18" s="175"/>
      <c r="CV18" s="175"/>
      <c r="CW18" s="175"/>
      <c r="CX18" s="175"/>
      <c r="CY18" s="175"/>
      <c r="CZ18" s="175"/>
      <c r="DA18" s="175"/>
      <c r="DB18" s="175"/>
      <c r="DC18" s="175"/>
      <c r="DD18" s="175"/>
      <c r="DE18" s="175"/>
      <c r="DF18" s="175"/>
      <c r="DG18" s="175"/>
      <c r="DH18" s="175"/>
      <c r="DI18" s="175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75"/>
      <c r="EC18" s="175"/>
      <c r="ED18" s="175"/>
      <c r="EE18" s="175"/>
      <c r="EF18" s="175"/>
      <c r="EG18" s="175"/>
      <c r="EH18" s="175"/>
      <c r="EI18" s="175"/>
      <c r="EJ18" s="175"/>
      <c r="EK18" s="175"/>
      <c r="EL18" s="175"/>
      <c r="EM18" s="175"/>
      <c r="EN18" s="175"/>
      <c r="EO18" s="175"/>
      <c r="EP18" s="175"/>
      <c r="EQ18" s="175"/>
      <c r="ER18" s="175"/>
      <c r="ES18" s="175"/>
      <c r="ET18" s="175"/>
      <c r="EU18" s="175"/>
      <c r="EV18" s="175"/>
      <c r="EW18" s="175"/>
      <c r="EX18" s="175"/>
      <c r="EY18" s="175"/>
      <c r="EZ18" s="175"/>
      <c r="FA18" s="175"/>
      <c r="FB18" s="175"/>
      <c r="FC18" s="175"/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175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  <c r="HN18" s="175"/>
      <c r="HO18" s="175"/>
      <c r="HP18" s="175"/>
      <c r="HQ18" s="175"/>
      <c r="HR18" s="175"/>
      <c r="HS18" s="175"/>
      <c r="HT18" s="175"/>
      <c r="HU18" s="175"/>
      <c r="HV18" s="175"/>
      <c r="HW18" s="175"/>
      <c r="HX18" s="175"/>
      <c r="HY18" s="175"/>
      <c r="HZ18" s="175"/>
      <c r="IA18" s="175"/>
      <c r="IB18" s="175"/>
      <c r="IC18" s="175"/>
      <c r="ID18" s="175"/>
      <c r="IE18" s="175"/>
      <c r="IF18" s="175"/>
      <c r="IG18" s="175"/>
      <c r="IH18" s="175"/>
      <c r="II18" s="175"/>
      <c r="IJ18" s="175"/>
      <c r="IK18" s="175"/>
      <c r="IL18" s="175"/>
      <c r="IM18" s="175"/>
      <c r="IN18" s="175"/>
      <c r="IO18" s="175"/>
      <c r="IP18" s="175"/>
      <c r="IQ18" s="175"/>
    </row>
    <row r="19" spans="1:251" s="146" customFormat="1" ht="21.75" customHeight="1">
      <c r="A19" s="179">
        <v>12</v>
      </c>
      <c r="B19" s="458" t="s">
        <v>205</v>
      </c>
      <c r="C19" s="459" t="s">
        <v>214</v>
      </c>
      <c r="D19" s="460"/>
      <c r="E19" s="460">
        <v>31</v>
      </c>
      <c r="F19" s="459" t="s">
        <v>215</v>
      </c>
      <c r="G19" s="460" t="s">
        <v>204</v>
      </c>
      <c r="H19" s="407" t="s">
        <v>134</v>
      </c>
      <c r="I19" s="180">
        <f t="shared" si="0"/>
        <v>187500</v>
      </c>
      <c r="J19" s="408" t="s">
        <v>432</v>
      </c>
      <c r="K19" s="183">
        <f t="shared" si="1"/>
        <v>135000</v>
      </c>
      <c r="L19" s="408" t="s">
        <v>434</v>
      </c>
      <c r="M19" s="181">
        <f t="shared" si="2"/>
        <v>135000</v>
      </c>
      <c r="N19" s="181">
        <f t="shared" si="3"/>
        <v>457500</v>
      </c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5"/>
      <c r="BM19" s="175"/>
      <c r="BN19" s="175"/>
      <c r="BO19" s="175"/>
      <c r="BP19" s="175"/>
      <c r="BQ19" s="175"/>
      <c r="BR19" s="175"/>
      <c r="BS19" s="175"/>
      <c r="BT19" s="175"/>
      <c r="BU19" s="175"/>
      <c r="BV19" s="175"/>
      <c r="BW19" s="175"/>
      <c r="BX19" s="175"/>
      <c r="BY19" s="175"/>
      <c r="BZ19" s="175"/>
      <c r="CA19" s="175"/>
      <c r="CB19" s="175"/>
      <c r="CC19" s="175"/>
      <c r="CD19" s="175"/>
      <c r="CE19" s="175"/>
      <c r="CF19" s="175"/>
      <c r="CG19" s="17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175"/>
      <c r="CS19" s="175"/>
      <c r="CT19" s="175"/>
      <c r="CU19" s="175"/>
      <c r="CV19" s="175"/>
      <c r="CW19" s="175"/>
      <c r="CX19" s="175"/>
      <c r="CY19" s="175"/>
      <c r="CZ19" s="175"/>
      <c r="DA19" s="175"/>
      <c r="DB19" s="175"/>
      <c r="DC19" s="175"/>
      <c r="DD19" s="175"/>
      <c r="DE19" s="175"/>
      <c r="DF19" s="175"/>
      <c r="DG19" s="175"/>
      <c r="DH19" s="175"/>
      <c r="DI19" s="175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75"/>
      <c r="EC19" s="175"/>
      <c r="ED19" s="175"/>
      <c r="EE19" s="175"/>
      <c r="EF19" s="175"/>
      <c r="EG19" s="175"/>
      <c r="EH19" s="175"/>
      <c r="EI19" s="175"/>
      <c r="EJ19" s="175"/>
      <c r="EK19" s="175"/>
      <c r="EL19" s="175"/>
      <c r="EM19" s="175"/>
      <c r="EN19" s="175"/>
      <c r="EO19" s="175"/>
      <c r="EP19" s="175"/>
      <c r="EQ19" s="175"/>
      <c r="ER19" s="175"/>
      <c r="ES19" s="175"/>
      <c r="ET19" s="175"/>
      <c r="EU19" s="175"/>
      <c r="EV19" s="175"/>
      <c r="EW19" s="175"/>
      <c r="EX19" s="175"/>
      <c r="EY19" s="175"/>
      <c r="EZ19" s="175"/>
      <c r="FA19" s="175"/>
      <c r="FB19" s="175"/>
      <c r="FC19" s="175"/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175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  <c r="HN19" s="175"/>
      <c r="HO19" s="175"/>
      <c r="HP19" s="175"/>
      <c r="HQ19" s="175"/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5"/>
      <c r="IC19" s="175"/>
      <c r="ID19" s="175"/>
      <c r="IE19" s="175"/>
      <c r="IF19" s="175"/>
      <c r="IG19" s="175"/>
      <c r="IH19" s="175"/>
      <c r="II19" s="175"/>
      <c r="IJ19" s="175"/>
      <c r="IK19" s="175"/>
      <c r="IL19" s="175"/>
      <c r="IM19" s="175"/>
      <c r="IN19" s="175"/>
      <c r="IO19" s="175"/>
      <c r="IP19" s="175"/>
      <c r="IQ19" s="175"/>
    </row>
    <row r="20" spans="1:251" s="146" customFormat="1" ht="21.75" customHeight="1">
      <c r="A20" s="179">
        <v>13</v>
      </c>
      <c r="B20" s="458" t="s">
        <v>220</v>
      </c>
      <c r="C20" s="459" t="s">
        <v>223</v>
      </c>
      <c r="D20" s="460">
        <v>40</v>
      </c>
      <c r="E20" s="460"/>
      <c r="F20" s="459" t="s">
        <v>210</v>
      </c>
      <c r="G20" s="460" t="s">
        <v>186</v>
      </c>
      <c r="H20" s="407" t="s">
        <v>212</v>
      </c>
      <c r="I20" s="180">
        <f t="shared" si="0"/>
        <v>420000</v>
      </c>
      <c r="J20" s="408" t="s">
        <v>434</v>
      </c>
      <c r="K20" s="183">
        <f t="shared" si="1"/>
        <v>300000</v>
      </c>
      <c r="L20" s="408" t="s">
        <v>435</v>
      </c>
      <c r="M20" s="181">
        <f t="shared" si="2"/>
        <v>300000</v>
      </c>
      <c r="N20" s="181">
        <f t="shared" si="3"/>
        <v>1020000</v>
      </c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/>
      <c r="BM20" s="175"/>
      <c r="BN20" s="175"/>
      <c r="BO20" s="175"/>
      <c r="BP20" s="175"/>
      <c r="BQ20" s="175"/>
      <c r="BR20" s="175"/>
      <c r="BS20" s="175"/>
      <c r="BT20" s="175"/>
      <c r="BU20" s="175"/>
      <c r="BV20" s="175"/>
      <c r="BW20" s="175"/>
      <c r="BX20" s="175"/>
      <c r="BY20" s="175"/>
      <c r="BZ20" s="175"/>
      <c r="CA20" s="175"/>
      <c r="CB20" s="175"/>
      <c r="CC20" s="175"/>
      <c r="CD20" s="175"/>
      <c r="CE20" s="175"/>
      <c r="CF20" s="175"/>
      <c r="CG20" s="17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75"/>
      <c r="EC20" s="175"/>
      <c r="ED20" s="175"/>
      <c r="EE20" s="175"/>
      <c r="EF20" s="175"/>
      <c r="EG20" s="175"/>
      <c r="EH20" s="175"/>
      <c r="EI20" s="175"/>
      <c r="EJ20" s="175"/>
      <c r="EK20" s="175"/>
      <c r="EL20" s="175"/>
      <c r="EM20" s="175"/>
      <c r="EN20" s="175"/>
      <c r="EO20" s="175"/>
      <c r="EP20" s="175"/>
      <c r="EQ20" s="175"/>
      <c r="ER20" s="175"/>
      <c r="ES20" s="175"/>
      <c r="ET20" s="175"/>
      <c r="EU20" s="175"/>
      <c r="EV20" s="175"/>
      <c r="EW20" s="175"/>
      <c r="EX20" s="175"/>
      <c r="EY20" s="175"/>
      <c r="EZ20" s="175"/>
      <c r="FA20" s="175"/>
      <c r="FB20" s="175"/>
      <c r="FC20" s="175"/>
      <c r="FD20" s="175"/>
      <c r="FE20" s="175"/>
      <c r="FF20" s="175"/>
      <c r="FG20" s="175"/>
      <c r="FH20" s="175"/>
      <c r="FI20" s="175"/>
      <c r="FJ20" s="175"/>
      <c r="FK20" s="175"/>
      <c r="FL20" s="175"/>
      <c r="FM20" s="175"/>
      <c r="FN20" s="175"/>
      <c r="FO20" s="175"/>
      <c r="FP20" s="175"/>
      <c r="FQ20" s="175"/>
      <c r="FR20" s="175"/>
      <c r="FS20" s="175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  <c r="HN20" s="175"/>
      <c r="HO20" s="175"/>
      <c r="HP20" s="175"/>
      <c r="HQ20" s="175"/>
      <c r="HR20" s="175"/>
      <c r="HS20" s="175"/>
      <c r="HT20" s="175"/>
      <c r="HU20" s="175"/>
      <c r="HV20" s="175"/>
      <c r="HW20" s="175"/>
      <c r="HX20" s="175"/>
      <c r="HY20" s="175"/>
      <c r="HZ20" s="175"/>
      <c r="IA20" s="175"/>
      <c r="IB20" s="175"/>
      <c r="IC20" s="175"/>
      <c r="ID20" s="175"/>
      <c r="IE20" s="175"/>
      <c r="IF20" s="175"/>
      <c r="IG20" s="175"/>
      <c r="IH20" s="175"/>
      <c r="II20" s="175"/>
      <c r="IJ20" s="175"/>
      <c r="IK20" s="175"/>
      <c r="IL20" s="175"/>
      <c r="IM20" s="175"/>
      <c r="IN20" s="175"/>
      <c r="IO20" s="175"/>
      <c r="IP20" s="175"/>
      <c r="IQ20" s="175"/>
    </row>
    <row r="21" spans="1:251" s="146" customFormat="1" ht="21.75" customHeight="1">
      <c r="A21" s="179">
        <v>14</v>
      </c>
      <c r="B21" s="458" t="s">
        <v>220</v>
      </c>
      <c r="C21" s="459" t="s">
        <v>224</v>
      </c>
      <c r="D21" s="460"/>
      <c r="E21" s="460">
        <v>52</v>
      </c>
      <c r="F21" s="459" t="s">
        <v>210</v>
      </c>
      <c r="G21" s="460" t="s">
        <v>186</v>
      </c>
      <c r="H21" s="407" t="s">
        <v>183</v>
      </c>
      <c r="I21" s="180">
        <f t="shared" si="0"/>
        <v>420000</v>
      </c>
      <c r="J21" s="408" t="s">
        <v>430</v>
      </c>
      <c r="K21" s="183">
        <f t="shared" si="1"/>
        <v>300000</v>
      </c>
      <c r="L21" s="408" t="s">
        <v>435</v>
      </c>
      <c r="M21" s="181">
        <f t="shared" si="2"/>
        <v>300000</v>
      </c>
      <c r="N21" s="181">
        <f t="shared" si="3"/>
        <v>1020000</v>
      </c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  <c r="BT21" s="175"/>
      <c r="BU21" s="175"/>
      <c r="BV21" s="175"/>
      <c r="BW21" s="175"/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175"/>
      <c r="CS21" s="175"/>
      <c r="CT21" s="175"/>
      <c r="CU21" s="175"/>
      <c r="CV21" s="175"/>
      <c r="CW21" s="175"/>
      <c r="CX21" s="175"/>
      <c r="CY21" s="175"/>
      <c r="CZ21" s="175"/>
      <c r="DA21" s="175"/>
      <c r="DB21" s="175"/>
      <c r="DC21" s="175"/>
      <c r="DD21" s="175"/>
      <c r="DE21" s="175"/>
      <c r="DF21" s="175"/>
      <c r="DG21" s="175"/>
      <c r="DH21" s="175"/>
      <c r="DI21" s="175"/>
      <c r="DJ21" s="175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75"/>
      <c r="EC21" s="175"/>
      <c r="ED21" s="175"/>
      <c r="EE21" s="175"/>
      <c r="EF21" s="175"/>
      <c r="EG21" s="175"/>
      <c r="EH21" s="175"/>
      <c r="EI21" s="175"/>
      <c r="EJ21" s="175"/>
      <c r="EK21" s="175"/>
      <c r="EL21" s="175"/>
      <c r="EM21" s="175"/>
      <c r="EN21" s="175"/>
      <c r="EO21" s="175"/>
      <c r="EP21" s="175"/>
      <c r="EQ21" s="175"/>
      <c r="ER21" s="175"/>
      <c r="ES21" s="175"/>
      <c r="ET21" s="175"/>
      <c r="EU21" s="175"/>
      <c r="EV21" s="175"/>
      <c r="EW21" s="175"/>
      <c r="EX21" s="175"/>
      <c r="EY21" s="175"/>
      <c r="EZ21" s="175"/>
      <c r="FA21" s="175"/>
      <c r="FB21" s="175"/>
      <c r="FC21" s="175"/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175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  <c r="HN21" s="175"/>
      <c r="HO21" s="175"/>
      <c r="HP21" s="175"/>
      <c r="HQ21" s="175"/>
      <c r="HR21" s="175"/>
      <c r="HS21" s="175"/>
      <c r="HT21" s="175"/>
      <c r="HU21" s="175"/>
      <c r="HV21" s="175"/>
      <c r="HW21" s="175"/>
      <c r="HX21" s="175"/>
      <c r="HY21" s="175"/>
      <c r="HZ21" s="175"/>
      <c r="IA21" s="175"/>
      <c r="IB21" s="175"/>
      <c r="IC21" s="175"/>
      <c r="ID21" s="175"/>
      <c r="IE21" s="175"/>
      <c r="IF21" s="175"/>
      <c r="IG21" s="175"/>
      <c r="IH21" s="175"/>
      <c r="II21" s="175"/>
      <c r="IJ21" s="175"/>
      <c r="IK21" s="175"/>
      <c r="IL21" s="175"/>
      <c r="IM21" s="175"/>
      <c r="IN21" s="175"/>
      <c r="IO21" s="175"/>
      <c r="IP21" s="175"/>
      <c r="IQ21" s="175"/>
    </row>
    <row r="22" spans="1:251" s="146" customFormat="1" ht="21.75" customHeight="1">
      <c r="A22" s="179">
        <v>15</v>
      </c>
      <c r="B22" s="458" t="s">
        <v>220</v>
      </c>
      <c r="C22" s="459" t="s">
        <v>448</v>
      </c>
      <c r="D22" s="460"/>
      <c r="E22" s="460">
        <v>53</v>
      </c>
      <c r="F22" s="459" t="s">
        <v>210</v>
      </c>
      <c r="G22" s="460" t="s">
        <v>447</v>
      </c>
      <c r="H22" s="407" t="s">
        <v>159</v>
      </c>
      <c r="I22" s="180">
        <f t="shared" si="0"/>
        <v>420000</v>
      </c>
      <c r="J22" s="408" t="s">
        <v>212</v>
      </c>
      <c r="K22" s="183">
        <f t="shared" si="1"/>
        <v>300000</v>
      </c>
      <c r="L22" s="408" t="s">
        <v>434</v>
      </c>
      <c r="M22" s="181">
        <f t="shared" si="2"/>
        <v>300000</v>
      </c>
      <c r="N22" s="181">
        <f t="shared" si="3"/>
        <v>1020000</v>
      </c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/>
      <c r="BQ22" s="175"/>
      <c r="BR22" s="175"/>
      <c r="BS22" s="175"/>
      <c r="BT22" s="175"/>
      <c r="BU22" s="175"/>
      <c r="BV22" s="175"/>
      <c r="BW22" s="175"/>
      <c r="BX22" s="175"/>
      <c r="BY22" s="175"/>
      <c r="BZ22" s="175"/>
      <c r="CA22" s="175"/>
      <c r="CB22" s="175"/>
      <c r="CC22" s="175"/>
      <c r="CD22" s="175"/>
      <c r="CE22" s="175"/>
      <c r="CF22" s="175"/>
      <c r="CG22" s="17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5"/>
      <c r="DI22" s="175"/>
      <c r="DJ22" s="175"/>
      <c r="DK22" s="175"/>
      <c r="DL22" s="175"/>
      <c r="DM22" s="175"/>
      <c r="DN22" s="175"/>
      <c r="DO22" s="175"/>
      <c r="DP22" s="175"/>
      <c r="DQ22" s="175"/>
      <c r="DR22" s="175"/>
      <c r="DS22" s="175"/>
      <c r="DT22" s="175"/>
      <c r="DU22" s="175"/>
      <c r="DV22" s="175"/>
      <c r="DW22" s="175"/>
      <c r="DX22" s="175"/>
      <c r="DY22" s="175"/>
      <c r="DZ22" s="175"/>
      <c r="EA22" s="175"/>
      <c r="EB22" s="175"/>
      <c r="EC22" s="175"/>
      <c r="ED22" s="175"/>
      <c r="EE22" s="175"/>
      <c r="EF22" s="175"/>
      <c r="EG22" s="175"/>
      <c r="EH22" s="175"/>
      <c r="EI22" s="175"/>
      <c r="EJ22" s="175"/>
      <c r="EK22" s="175"/>
      <c r="EL22" s="175"/>
      <c r="EM22" s="175"/>
      <c r="EN22" s="175"/>
      <c r="EO22" s="175"/>
      <c r="EP22" s="175"/>
      <c r="EQ22" s="175"/>
      <c r="ER22" s="175"/>
      <c r="ES22" s="175"/>
      <c r="ET22" s="175"/>
      <c r="EU22" s="175"/>
      <c r="EV22" s="175"/>
      <c r="EW22" s="175"/>
      <c r="EX22" s="175"/>
      <c r="EY22" s="175"/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175"/>
      <c r="IG22" s="175"/>
      <c r="IH22" s="175"/>
      <c r="II22" s="175"/>
      <c r="IJ22" s="175"/>
      <c r="IK22" s="175"/>
      <c r="IL22" s="175"/>
      <c r="IM22" s="175"/>
      <c r="IN22" s="175"/>
      <c r="IO22" s="175"/>
      <c r="IP22" s="175"/>
      <c r="IQ22" s="175"/>
    </row>
    <row r="23" spans="1:251" s="146" customFormat="1" ht="21.75" customHeight="1">
      <c r="A23" s="179">
        <v>16</v>
      </c>
      <c r="B23" s="458" t="s">
        <v>227</v>
      </c>
      <c r="C23" s="459" t="s">
        <v>449</v>
      </c>
      <c r="D23" s="460">
        <v>20</v>
      </c>
      <c r="E23" s="460"/>
      <c r="F23" s="459" t="s">
        <v>382</v>
      </c>
      <c r="G23" s="460" t="s">
        <v>447</v>
      </c>
      <c r="H23" s="407" t="s">
        <v>190</v>
      </c>
      <c r="I23" s="180">
        <f t="shared" si="0"/>
        <v>420000</v>
      </c>
      <c r="J23" s="408" t="s">
        <v>428</v>
      </c>
      <c r="K23" s="183">
        <f t="shared" si="1"/>
        <v>300000</v>
      </c>
      <c r="L23" s="408" t="s">
        <v>429</v>
      </c>
      <c r="M23" s="181">
        <f t="shared" si="2"/>
        <v>300000</v>
      </c>
      <c r="N23" s="181">
        <f t="shared" si="3"/>
        <v>1020000</v>
      </c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5"/>
      <c r="BZ23" s="175"/>
      <c r="CA23" s="175"/>
      <c r="CB23" s="175"/>
      <c r="CC23" s="175"/>
      <c r="CD23" s="175"/>
      <c r="CE23" s="175"/>
      <c r="CF23" s="175"/>
      <c r="CG23" s="17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175"/>
      <c r="CX23" s="175"/>
      <c r="CY23" s="175"/>
      <c r="CZ23" s="175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5"/>
      <c r="DL23" s="175"/>
      <c r="DM23" s="175"/>
      <c r="DN23" s="175"/>
      <c r="DO23" s="175"/>
      <c r="DP23" s="175"/>
      <c r="DQ23" s="175"/>
      <c r="DR23" s="175"/>
      <c r="DS23" s="175"/>
      <c r="DT23" s="175"/>
      <c r="DU23" s="175"/>
      <c r="DV23" s="175"/>
      <c r="DW23" s="175"/>
      <c r="DX23" s="175"/>
      <c r="DY23" s="175"/>
      <c r="DZ23" s="175"/>
      <c r="EA23" s="175"/>
      <c r="EB23" s="175"/>
      <c r="EC23" s="175"/>
      <c r="ED23" s="175"/>
      <c r="EE23" s="175"/>
      <c r="EF23" s="175"/>
      <c r="EG23" s="175"/>
      <c r="EH23" s="175"/>
      <c r="EI23" s="175"/>
      <c r="EJ23" s="175"/>
      <c r="EK23" s="175"/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</row>
    <row r="24" spans="1:251" s="146" customFormat="1" ht="21.75" customHeight="1">
      <c r="A24" s="179">
        <v>17</v>
      </c>
      <c r="B24" s="458" t="s">
        <v>227</v>
      </c>
      <c r="C24" s="459" t="s">
        <v>228</v>
      </c>
      <c r="D24" s="460">
        <v>58</v>
      </c>
      <c r="E24" s="460"/>
      <c r="F24" s="459" t="s">
        <v>229</v>
      </c>
      <c r="G24" s="460" t="s">
        <v>186</v>
      </c>
      <c r="H24" s="407" t="s">
        <v>134</v>
      </c>
      <c r="I24" s="180">
        <f t="shared" si="0"/>
        <v>420000</v>
      </c>
      <c r="J24" s="408" t="s">
        <v>432</v>
      </c>
      <c r="K24" s="183">
        <f t="shared" si="1"/>
        <v>300000</v>
      </c>
      <c r="L24" s="408" t="s">
        <v>435</v>
      </c>
      <c r="M24" s="181">
        <f t="shared" si="2"/>
        <v>300000</v>
      </c>
      <c r="N24" s="181">
        <f t="shared" si="3"/>
        <v>1020000</v>
      </c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</row>
    <row r="25" spans="1:251" s="146" customFormat="1" ht="21.75" customHeight="1">
      <c r="A25" s="179">
        <v>18</v>
      </c>
      <c r="B25" s="458" t="s">
        <v>227</v>
      </c>
      <c r="C25" s="459" t="s">
        <v>232</v>
      </c>
      <c r="D25" s="460">
        <v>73</v>
      </c>
      <c r="E25" s="460"/>
      <c r="F25" s="459" t="s">
        <v>229</v>
      </c>
      <c r="G25" s="460" t="s">
        <v>186</v>
      </c>
      <c r="H25" s="407" t="s">
        <v>134</v>
      </c>
      <c r="I25" s="180">
        <f t="shared" si="0"/>
        <v>420000</v>
      </c>
      <c r="J25" s="408" t="s">
        <v>435</v>
      </c>
      <c r="K25" s="183">
        <f t="shared" si="1"/>
        <v>300000</v>
      </c>
      <c r="L25" s="408" t="s">
        <v>432</v>
      </c>
      <c r="M25" s="181">
        <f t="shared" si="2"/>
        <v>300000</v>
      </c>
      <c r="N25" s="181">
        <f t="shared" si="3"/>
        <v>1020000</v>
      </c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175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5"/>
      <c r="BZ25" s="175"/>
      <c r="CA25" s="175"/>
      <c r="CB25" s="175"/>
      <c r="CC25" s="175"/>
      <c r="CD25" s="175"/>
      <c r="CE25" s="175"/>
      <c r="CF25" s="175"/>
      <c r="CG25" s="17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175"/>
      <c r="CS25" s="175"/>
      <c r="CT25" s="175"/>
      <c r="CU25" s="175"/>
      <c r="CV25" s="175"/>
      <c r="CW25" s="175"/>
      <c r="CX25" s="175"/>
      <c r="CY25" s="175"/>
      <c r="CZ25" s="175"/>
      <c r="DA25" s="175"/>
      <c r="DB25" s="175"/>
      <c r="DC25" s="175"/>
      <c r="DD25" s="175"/>
      <c r="DE25" s="175"/>
      <c r="DF25" s="175"/>
      <c r="DG25" s="175"/>
      <c r="DH25" s="175"/>
      <c r="DI25" s="175"/>
      <c r="DJ25" s="175"/>
      <c r="DK25" s="175"/>
      <c r="DL25" s="175"/>
      <c r="DM25" s="175"/>
      <c r="DN25" s="175"/>
      <c r="DO25" s="175"/>
      <c r="DP25" s="175"/>
      <c r="DQ25" s="175"/>
      <c r="DR25" s="175"/>
      <c r="DS25" s="175"/>
      <c r="DT25" s="175"/>
      <c r="DU25" s="175"/>
      <c r="DV25" s="175"/>
      <c r="DW25" s="175"/>
      <c r="DX25" s="175"/>
      <c r="DY25" s="175"/>
      <c r="DZ25" s="175"/>
      <c r="EA25" s="175"/>
      <c r="EB25" s="175"/>
      <c r="EC25" s="175"/>
      <c r="ED25" s="175"/>
      <c r="EE25" s="175"/>
      <c r="EF25" s="175"/>
      <c r="EG25" s="175"/>
      <c r="EH25" s="175"/>
      <c r="EI25" s="175"/>
      <c r="EJ25" s="175"/>
      <c r="EK25" s="175"/>
      <c r="EL25" s="175"/>
      <c r="EM25" s="175"/>
      <c r="EN25" s="175"/>
      <c r="EO25" s="175"/>
      <c r="EP25" s="175"/>
      <c r="EQ25" s="175"/>
      <c r="ER25" s="175"/>
      <c r="ES25" s="175"/>
      <c r="ET25" s="175"/>
      <c r="EU25" s="175"/>
      <c r="EV25" s="175"/>
      <c r="EW25" s="175"/>
      <c r="EX25" s="175"/>
      <c r="EY25" s="175"/>
      <c r="EZ25" s="175"/>
      <c r="FA25" s="175"/>
      <c r="FB25" s="175"/>
      <c r="FC25" s="175"/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175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  <c r="HN25" s="175"/>
      <c r="HO25" s="175"/>
      <c r="HP25" s="175"/>
      <c r="HQ25" s="175"/>
      <c r="HR25" s="175"/>
      <c r="HS25" s="175"/>
      <c r="HT25" s="175"/>
      <c r="HU25" s="175"/>
      <c r="HV25" s="175"/>
      <c r="HW25" s="175"/>
      <c r="HX25" s="175"/>
      <c r="HY25" s="175"/>
      <c r="HZ25" s="175"/>
      <c r="IA25" s="175"/>
      <c r="IB25" s="175"/>
      <c r="IC25" s="175"/>
      <c r="ID25" s="175"/>
      <c r="IE25" s="175"/>
      <c r="IF25" s="175"/>
      <c r="IG25" s="175"/>
      <c r="IH25" s="175"/>
      <c r="II25" s="175"/>
      <c r="IJ25" s="175"/>
      <c r="IK25" s="175"/>
      <c r="IL25" s="175"/>
      <c r="IM25" s="175"/>
      <c r="IN25" s="175"/>
      <c r="IO25" s="175"/>
      <c r="IP25" s="175"/>
      <c r="IQ25" s="175"/>
    </row>
    <row r="26" spans="1:251" s="146" customFormat="1" ht="21.75" customHeight="1">
      <c r="A26" s="179">
        <v>19</v>
      </c>
      <c r="B26" s="458" t="s">
        <v>227</v>
      </c>
      <c r="C26" s="459" t="s">
        <v>233</v>
      </c>
      <c r="D26" s="460">
        <v>38</v>
      </c>
      <c r="E26" s="460"/>
      <c r="F26" s="459" t="s">
        <v>234</v>
      </c>
      <c r="G26" s="460" t="s">
        <v>186</v>
      </c>
      <c r="H26" s="407" t="s">
        <v>159</v>
      </c>
      <c r="I26" s="180">
        <f t="shared" si="0"/>
        <v>420000</v>
      </c>
      <c r="J26" s="408" t="s">
        <v>212</v>
      </c>
      <c r="K26" s="183">
        <f t="shared" si="1"/>
        <v>300000</v>
      </c>
      <c r="L26" s="408" t="s">
        <v>436</v>
      </c>
      <c r="M26" s="181">
        <f t="shared" si="2"/>
        <v>300000</v>
      </c>
      <c r="N26" s="181">
        <f t="shared" si="3"/>
        <v>1020000</v>
      </c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175"/>
      <c r="BE26" s="175"/>
      <c r="BF26" s="175"/>
      <c r="BG26" s="175"/>
      <c r="BH26" s="175"/>
      <c r="BI26" s="175"/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  <c r="BT26" s="175"/>
      <c r="BU26" s="175"/>
      <c r="BV26" s="175"/>
      <c r="BW26" s="175"/>
      <c r="BX26" s="175"/>
      <c r="BY26" s="175"/>
      <c r="BZ26" s="175"/>
      <c r="CA26" s="175"/>
      <c r="CB26" s="175"/>
      <c r="CC26" s="175"/>
      <c r="CD26" s="175"/>
      <c r="CE26" s="175"/>
      <c r="CF26" s="175"/>
      <c r="CG26" s="175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175"/>
      <c r="CS26" s="175"/>
      <c r="CT26" s="175"/>
      <c r="CU26" s="175"/>
      <c r="CV26" s="175"/>
      <c r="CW26" s="175"/>
      <c r="CX26" s="175"/>
      <c r="CY26" s="175"/>
      <c r="CZ26" s="175"/>
      <c r="DA26" s="175"/>
      <c r="DB26" s="175"/>
      <c r="DC26" s="175"/>
      <c r="DD26" s="175"/>
      <c r="DE26" s="175"/>
      <c r="DF26" s="175"/>
      <c r="DG26" s="175"/>
      <c r="DH26" s="175"/>
      <c r="DI26" s="175"/>
      <c r="DJ26" s="175"/>
      <c r="DK26" s="175"/>
      <c r="DL26" s="175"/>
      <c r="DM26" s="175"/>
      <c r="DN26" s="175"/>
      <c r="DO26" s="175"/>
      <c r="DP26" s="175"/>
      <c r="DQ26" s="175"/>
      <c r="DR26" s="175"/>
      <c r="DS26" s="175"/>
      <c r="DT26" s="175"/>
      <c r="DU26" s="175"/>
      <c r="DV26" s="175"/>
      <c r="DW26" s="175"/>
      <c r="DX26" s="175"/>
      <c r="DY26" s="175"/>
      <c r="DZ26" s="175"/>
      <c r="EA26" s="175"/>
      <c r="EB26" s="175"/>
      <c r="EC26" s="175"/>
      <c r="ED26" s="175"/>
      <c r="EE26" s="175"/>
      <c r="EF26" s="175"/>
      <c r="EG26" s="175"/>
      <c r="EH26" s="175"/>
      <c r="EI26" s="175"/>
      <c r="EJ26" s="175"/>
      <c r="EK26" s="175"/>
      <c r="EL26" s="175"/>
      <c r="EM26" s="175"/>
      <c r="EN26" s="175"/>
      <c r="EO26" s="175"/>
      <c r="EP26" s="175"/>
      <c r="EQ26" s="175"/>
      <c r="ER26" s="175"/>
      <c r="ES26" s="175"/>
      <c r="ET26" s="175"/>
      <c r="EU26" s="175"/>
      <c r="EV26" s="175"/>
      <c r="EW26" s="175"/>
      <c r="EX26" s="175"/>
      <c r="EY26" s="175"/>
      <c r="EZ26" s="175"/>
      <c r="FA26" s="175"/>
      <c r="FB26" s="175"/>
      <c r="FC26" s="175"/>
      <c r="FD26" s="175"/>
      <c r="FE26" s="175"/>
      <c r="FF26" s="175"/>
      <c r="FG26" s="175"/>
      <c r="FH26" s="175"/>
      <c r="FI26" s="175"/>
      <c r="FJ26" s="175"/>
      <c r="FK26" s="175"/>
      <c r="FL26" s="175"/>
      <c r="FM26" s="175"/>
      <c r="FN26" s="175"/>
      <c r="FO26" s="175"/>
      <c r="FP26" s="175"/>
      <c r="FQ26" s="175"/>
      <c r="FR26" s="175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  <c r="HN26" s="175"/>
      <c r="HO26" s="175"/>
      <c r="HP26" s="175"/>
      <c r="HQ26" s="175"/>
      <c r="HR26" s="175"/>
      <c r="HS26" s="175"/>
      <c r="HT26" s="175"/>
      <c r="HU26" s="175"/>
      <c r="HV26" s="175"/>
      <c r="HW26" s="175"/>
      <c r="HX26" s="175"/>
      <c r="HY26" s="175"/>
      <c r="HZ26" s="175"/>
      <c r="IA26" s="175"/>
      <c r="IB26" s="175"/>
      <c r="IC26" s="175"/>
      <c r="ID26" s="175"/>
      <c r="IE26" s="175"/>
      <c r="IF26" s="175"/>
      <c r="IG26" s="175"/>
      <c r="IH26" s="175"/>
      <c r="II26" s="175"/>
      <c r="IJ26" s="175"/>
      <c r="IK26" s="175"/>
      <c r="IL26" s="175"/>
      <c r="IM26" s="175"/>
      <c r="IN26" s="175"/>
      <c r="IO26" s="175"/>
      <c r="IP26" s="175"/>
      <c r="IQ26" s="175"/>
    </row>
    <row r="27" spans="1:251" s="146" customFormat="1" ht="21.75" customHeight="1">
      <c r="A27" s="179">
        <v>20</v>
      </c>
      <c r="B27" s="458" t="s">
        <v>227</v>
      </c>
      <c r="C27" s="459" t="s">
        <v>235</v>
      </c>
      <c r="D27" s="460"/>
      <c r="E27" s="460">
        <v>74</v>
      </c>
      <c r="F27" s="459" t="s">
        <v>236</v>
      </c>
      <c r="G27" s="460" t="s">
        <v>204</v>
      </c>
      <c r="H27" s="407" t="s">
        <v>159</v>
      </c>
      <c r="I27" s="180">
        <f t="shared" si="0"/>
        <v>187500</v>
      </c>
      <c r="J27" s="408" t="s">
        <v>212</v>
      </c>
      <c r="K27" s="183">
        <f t="shared" si="1"/>
        <v>135000</v>
      </c>
      <c r="L27" s="408" t="s">
        <v>432</v>
      </c>
      <c r="M27" s="181">
        <f t="shared" si="2"/>
        <v>135000</v>
      </c>
      <c r="N27" s="181">
        <f t="shared" si="3"/>
        <v>457500</v>
      </c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75"/>
      <c r="BZ27" s="175"/>
      <c r="CA27" s="175"/>
      <c r="CB27" s="175"/>
      <c r="CC27" s="175"/>
      <c r="CD27" s="175"/>
      <c r="CE27" s="175"/>
      <c r="CF27" s="175"/>
      <c r="CG27" s="175"/>
      <c r="CH27" s="175"/>
      <c r="CI27" s="175"/>
      <c r="CJ27" s="175"/>
      <c r="CK27" s="175"/>
      <c r="CL27" s="175"/>
      <c r="CM27" s="175"/>
      <c r="CN27" s="175"/>
      <c r="CO27" s="175"/>
      <c r="CP27" s="175"/>
      <c r="CQ27" s="175"/>
      <c r="CR27" s="175"/>
      <c r="CS27" s="175"/>
      <c r="CT27" s="175"/>
      <c r="CU27" s="175"/>
      <c r="CV27" s="175"/>
      <c r="CW27" s="175"/>
      <c r="CX27" s="175"/>
      <c r="CY27" s="175"/>
      <c r="CZ27" s="175"/>
      <c r="DA27" s="175"/>
      <c r="DB27" s="175"/>
      <c r="DC27" s="175"/>
      <c r="DD27" s="175"/>
      <c r="DE27" s="175"/>
      <c r="DF27" s="175"/>
      <c r="DG27" s="175"/>
      <c r="DH27" s="175"/>
      <c r="DI27" s="175"/>
      <c r="DJ27" s="175"/>
      <c r="DK27" s="175"/>
      <c r="DL27" s="175"/>
      <c r="DM27" s="175"/>
      <c r="DN27" s="175"/>
      <c r="DO27" s="175"/>
      <c r="DP27" s="175"/>
      <c r="DQ27" s="175"/>
      <c r="DR27" s="175"/>
      <c r="DS27" s="175"/>
      <c r="DT27" s="175"/>
      <c r="DU27" s="175"/>
      <c r="DV27" s="175"/>
      <c r="DW27" s="175"/>
      <c r="DX27" s="175"/>
      <c r="DY27" s="175"/>
      <c r="DZ27" s="175"/>
      <c r="EA27" s="175"/>
      <c r="EB27" s="175"/>
      <c r="EC27" s="175"/>
      <c r="ED27" s="175"/>
      <c r="EE27" s="175"/>
      <c r="EF27" s="175"/>
      <c r="EG27" s="175"/>
      <c r="EH27" s="175"/>
      <c r="EI27" s="175"/>
      <c r="EJ27" s="175"/>
      <c r="EK27" s="175"/>
      <c r="EL27" s="175"/>
      <c r="EM27" s="175"/>
      <c r="EN27" s="175"/>
      <c r="EO27" s="175"/>
      <c r="EP27" s="175"/>
      <c r="EQ27" s="175"/>
      <c r="ER27" s="175"/>
      <c r="ES27" s="175"/>
      <c r="ET27" s="175"/>
      <c r="EU27" s="175"/>
      <c r="EV27" s="175"/>
      <c r="EW27" s="175"/>
      <c r="EX27" s="175"/>
      <c r="EY27" s="175"/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175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  <c r="HN27" s="175"/>
      <c r="HO27" s="175"/>
      <c r="HP27" s="175"/>
      <c r="HQ27" s="175"/>
      <c r="HR27" s="175"/>
      <c r="HS27" s="175"/>
      <c r="HT27" s="175"/>
      <c r="HU27" s="175"/>
      <c r="HV27" s="175"/>
      <c r="HW27" s="175"/>
      <c r="HX27" s="175"/>
      <c r="HY27" s="175"/>
      <c r="HZ27" s="175"/>
      <c r="IA27" s="175"/>
      <c r="IB27" s="175"/>
      <c r="IC27" s="175"/>
      <c r="ID27" s="175"/>
      <c r="IE27" s="175"/>
      <c r="IF27" s="175"/>
      <c r="IG27" s="175"/>
      <c r="IH27" s="175"/>
      <c r="II27" s="175"/>
      <c r="IJ27" s="175"/>
      <c r="IK27" s="175"/>
      <c r="IL27" s="175"/>
      <c r="IM27" s="175"/>
      <c r="IN27" s="175"/>
      <c r="IO27" s="175"/>
      <c r="IP27" s="175"/>
      <c r="IQ27" s="175"/>
    </row>
    <row r="28" spans="1:251" s="146" customFormat="1" ht="21.75" customHeight="1">
      <c r="A28" s="179">
        <v>21</v>
      </c>
      <c r="B28" s="458" t="s">
        <v>227</v>
      </c>
      <c r="C28" s="459" t="s">
        <v>237</v>
      </c>
      <c r="D28" s="460">
        <v>82</v>
      </c>
      <c r="E28" s="460"/>
      <c r="F28" s="459" t="s">
        <v>229</v>
      </c>
      <c r="G28" s="460" t="s">
        <v>186</v>
      </c>
      <c r="H28" s="407" t="s">
        <v>159</v>
      </c>
      <c r="I28" s="180">
        <f t="shared" si="0"/>
        <v>420000</v>
      </c>
      <c r="J28" s="408" t="s">
        <v>436</v>
      </c>
      <c r="K28" s="183">
        <f t="shared" si="1"/>
        <v>300000</v>
      </c>
      <c r="L28" s="408" t="s">
        <v>430</v>
      </c>
      <c r="M28" s="181">
        <f t="shared" si="2"/>
        <v>300000</v>
      </c>
      <c r="N28" s="181">
        <f t="shared" si="3"/>
        <v>1020000</v>
      </c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175"/>
      <c r="BI28" s="175"/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  <c r="BT28" s="175"/>
      <c r="BU28" s="175"/>
      <c r="BV28" s="175"/>
      <c r="BW28" s="175"/>
      <c r="BX28" s="175"/>
      <c r="BY28" s="175"/>
      <c r="BZ28" s="175"/>
      <c r="CA28" s="175"/>
      <c r="CB28" s="175"/>
      <c r="CC28" s="175"/>
      <c r="CD28" s="175"/>
      <c r="CE28" s="175"/>
      <c r="CF28" s="175"/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175"/>
      <c r="DA28" s="175"/>
      <c r="DB28" s="175"/>
      <c r="DC28" s="175"/>
      <c r="DD28" s="175"/>
      <c r="DE28" s="175"/>
      <c r="DF28" s="175"/>
      <c r="DG28" s="175"/>
      <c r="DH28" s="175"/>
      <c r="DI28" s="175"/>
      <c r="DJ28" s="175"/>
      <c r="DK28" s="175"/>
      <c r="DL28" s="175"/>
      <c r="DM28" s="175"/>
      <c r="DN28" s="175"/>
      <c r="DO28" s="175"/>
      <c r="DP28" s="175"/>
      <c r="DQ28" s="175"/>
      <c r="DR28" s="175"/>
      <c r="DS28" s="175"/>
      <c r="DT28" s="175"/>
      <c r="DU28" s="175"/>
      <c r="DV28" s="175"/>
      <c r="DW28" s="175"/>
      <c r="DX28" s="175"/>
      <c r="DY28" s="175"/>
      <c r="DZ28" s="175"/>
      <c r="EA28" s="175"/>
      <c r="EB28" s="175"/>
      <c r="EC28" s="175"/>
      <c r="ED28" s="175"/>
      <c r="EE28" s="175"/>
      <c r="EF28" s="175"/>
      <c r="EG28" s="175"/>
      <c r="EH28" s="175"/>
      <c r="EI28" s="175"/>
      <c r="EJ28" s="175"/>
      <c r="EK28" s="175"/>
      <c r="EL28" s="175"/>
      <c r="EM28" s="175"/>
      <c r="EN28" s="175"/>
      <c r="EO28" s="175"/>
      <c r="EP28" s="175"/>
      <c r="EQ28" s="175"/>
      <c r="ER28" s="175"/>
      <c r="ES28" s="175"/>
      <c r="ET28" s="175"/>
      <c r="EU28" s="175"/>
      <c r="EV28" s="175"/>
      <c r="EW28" s="175"/>
      <c r="EX28" s="175"/>
      <c r="EY28" s="175"/>
      <c r="EZ28" s="175"/>
      <c r="FA28" s="175"/>
      <c r="FB28" s="175"/>
      <c r="FC28" s="175"/>
      <c r="FD28" s="175"/>
      <c r="FE28" s="175"/>
      <c r="FF28" s="175"/>
      <c r="FG28" s="175"/>
      <c r="FH28" s="175"/>
      <c r="FI28" s="175"/>
      <c r="FJ28" s="175"/>
      <c r="FK28" s="175"/>
      <c r="FL28" s="175"/>
      <c r="FM28" s="175"/>
      <c r="FN28" s="175"/>
      <c r="FO28" s="175"/>
      <c r="FP28" s="175"/>
      <c r="FQ28" s="175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  <c r="GH28" s="175"/>
      <c r="GI28" s="175"/>
      <c r="GJ28" s="175"/>
      <c r="GK28" s="175"/>
      <c r="GL28" s="175"/>
      <c r="GM28" s="175"/>
      <c r="GN28" s="175"/>
      <c r="GO28" s="175"/>
      <c r="GP28" s="175"/>
      <c r="GQ28" s="175"/>
      <c r="GR28" s="175"/>
      <c r="GS28" s="175"/>
      <c r="GT28" s="175"/>
      <c r="GU28" s="175"/>
      <c r="GV28" s="175"/>
      <c r="GW28" s="175"/>
      <c r="GX28" s="175"/>
      <c r="GY28" s="175"/>
      <c r="GZ28" s="175"/>
      <c r="HA28" s="175"/>
      <c r="HB28" s="175"/>
      <c r="HC28" s="175"/>
      <c r="HD28" s="175"/>
      <c r="HE28" s="175"/>
      <c r="HF28" s="175"/>
      <c r="HG28" s="175"/>
      <c r="HH28" s="175"/>
      <c r="HI28" s="175"/>
      <c r="HJ28" s="175"/>
      <c r="HK28" s="175"/>
      <c r="HL28" s="175"/>
      <c r="HM28" s="175"/>
      <c r="HN28" s="175"/>
      <c r="HO28" s="175"/>
      <c r="HP28" s="175"/>
      <c r="HQ28" s="175"/>
      <c r="HR28" s="175"/>
      <c r="HS28" s="175"/>
      <c r="HT28" s="175"/>
      <c r="HU28" s="175"/>
      <c r="HV28" s="175"/>
      <c r="HW28" s="175"/>
      <c r="HX28" s="175"/>
      <c r="HY28" s="175"/>
      <c r="HZ28" s="175"/>
      <c r="IA28" s="175"/>
      <c r="IB28" s="175"/>
      <c r="IC28" s="175"/>
      <c r="ID28" s="175"/>
      <c r="IE28" s="175"/>
      <c r="IF28" s="175"/>
      <c r="IG28" s="175"/>
      <c r="IH28" s="175"/>
      <c r="II28" s="175"/>
      <c r="IJ28" s="175"/>
      <c r="IK28" s="175"/>
      <c r="IL28" s="175"/>
      <c r="IM28" s="175"/>
      <c r="IN28" s="175"/>
      <c r="IO28" s="175"/>
      <c r="IP28" s="175"/>
      <c r="IQ28" s="175"/>
    </row>
    <row r="29" spans="1:251" s="146" customFormat="1" ht="21.75" customHeight="1">
      <c r="A29" s="179">
        <v>22</v>
      </c>
      <c r="B29" s="458" t="s">
        <v>238</v>
      </c>
      <c r="C29" s="459" t="s">
        <v>239</v>
      </c>
      <c r="D29" s="460"/>
      <c r="E29" s="460">
        <v>57</v>
      </c>
      <c r="F29" s="459" t="s">
        <v>240</v>
      </c>
      <c r="G29" s="460" t="s">
        <v>204</v>
      </c>
      <c r="H29" s="407" t="s">
        <v>134</v>
      </c>
      <c r="I29" s="180">
        <f t="shared" si="0"/>
        <v>187500</v>
      </c>
      <c r="J29" s="408" t="s">
        <v>432</v>
      </c>
      <c r="K29" s="183">
        <f t="shared" si="1"/>
        <v>135000</v>
      </c>
      <c r="L29" s="408" t="s">
        <v>439</v>
      </c>
      <c r="M29" s="181">
        <f t="shared" si="2"/>
        <v>135000</v>
      </c>
      <c r="N29" s="181">
        <f t="shared" si="3"/>
        <v>457500</v>
      </c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5"/>
      <c r="BD29" s="175"/>
      <c r="BE29" s="175"/>
      <c r="BF29" s="175"/>
      <c r="BG29" s="175"/>
      <c r="BH29" s="175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5"/>
      <c r="CD29" s="175"/>
      <c r="CE29" s="175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175"/>
      <c r="DA29" s="175"/>
      <c r="DB29" s="175"/>
      <c r="DC29" s="175"/>
      <c r="DD29" s="175"/>
      <c r="DE29" s="175"/>
      <c r="DF29" s="175"/>
      <c r="DG29" s="175"/>
      <c r="DH29" s="175"/>
      <c r="DI29" s="175"/>
      <c r="DJ29" s="175"/>
      <c r="DK29" s="175"/>
      <c r="DL29" s="175"/>
      <c r="DM29" s="175"/>
      <c r="DN29" s="175"/>
      <c r="DO29" s="175"/>
      <c r="DP29" s="175"/>
      <c r="DQ29" s="175"/>
      <c r="DR29" s="175"/>
      <c r="DS29" s="175"/>
      <c r="DT29" s="175"/>
      <c r="DU29" s="175"/>
      <c r="DV29" s="175"/>
      <c r="DW29" s="175"/>
      <c r="DX29" s="175"/>
      <c r="DY29" s="175"/>
      <c r="DZ29" s="175"/>
      <c r="EA29" s="175"/>
      <c r="EB29" s="175"/>
      <c r="EC29" s="175"/>
      <c r="ED29" s="175"/>
      <c r="EE29" s="175"/>
      <c r="EF29" s="175"/>
      <c r="EG29" s="175"/>
      <c r="EH29" s="175"/>
      <c r="EI29" s="175"/>
      <c r="EJ29" s="175"/>
      <c r="EK29" s="175"/>
      <c r="EL29" s="175"/>
      <c r="EM29" s="175"/>
      <c r="EN29" s="175"/>
      <c r="EO29" s="175"/>
      <c r="EP29" s="175"/>
      <c r="EQ29" s="175"/>
      <c r="ER29" s="175"/>
      <c r="ES29" s="175"/>
      <c r="ET29" s="175"/>
      <c r="EU29" s="175"/>
      <c r="EV29" s="175"/>
      <c r="EW29" s="175"/>
      <c r="EX29" s="175"/>
      <c r="EY29" s="175"/>
      <c r="EZ29" s="175"/>
      <c r="FA29" s="175"/>
      <c r="FB29" s="175"/>
      <c r="FC29" s="175"/>
      <c r="FD29" s="175"/>
      <c r="FE29" s="175"/>
      <c r="FF29" s="175"/>
      <c r="FG29" s="175"/>
      <c r="FH29" s="175"/>
      <c r="FI29" s="175"/>
      <c r="FJ29" s="175"/>
      <c r="FK29" s="175"/>
      <c r="FL29" s="175"/>
      <c r="FM29" s="175"/>
      <c r="FN29" s="175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  <c r="HN29" s="175"/>
      <c r="HO29" s="175"/>
      <c r="HP29" s="175"/>
      <c r="HQ29" s="175"/>
      <c r="HR29" s="175"/>
      <c r="HS29" s="175"/>
      <c r="HT29" s="175"/>
      <c r="HU29" s="175"/>
      <c r="HV29" s="175"/>
      <c r="HW29" s="175"/>
      <c r="HX29" s="175"/>
      <c r="HY29" s="175"/>
      <c r="HZ29" s="175"/>
      <c r="IA29" s="175"/>
      <c r="IB29" s="175"/>
      <c r="IC29" s="175"/>
      <c r="ID29" s="175"/>
      <c r="IE29" s="175"/>
      <c r="IF29" s="175"/>
      <c r="IG29" s="175"/>
      <c r="IH29" s="175"/>
      <c r="II29" s="175"/>
      <c r="IJ29" s="175"/>
      <c r="IK29" s="175"/>
      <c r="IL29" s="175"/>
      <c r="IM29" s="175"/>
      <c r="IN29" s="175"/>
      <c r="IO29" s="175"/>
      <c r="IP29" s="175"/>
      <c r="IQ29" s="175"/>
    </row>
    <row r="30" spans="1:251" s="146" customFormat="1" ht="21.75" customHeight="1">
      <c r="A30" s="179">
        <v>23</v>
      </c>
      <c r="B30" s="458" t="s">
        <v>238</v>
      </c>
      <c r="C30" s="459" t="s">
        <v>241</v>
      </c>
      <c r="D30" s="460"/>
      <c r="E30" s="460">
        <v>64</v>
      </c>
      <c r="F30" s="459" t="s">
        <v>242</v>
      </c>
      <c r="G30" s="460" t="s">
        <v>186</v>
      </c>
      <c r="H30" s="407" t="s">
        <v>159</v>
      </c>
      <c r="I30" s="180">
        <f t="shared" si="0"/>
        <v>420000</v>
      </c>
      <c r="J30" s="408" t="s">
        <v>432</v>
      </c>
      <c r="K30" s="183">
        <f t="shared" si="1"/>
        <v>300000</v>
      </c>
      <c r="L30" s="408" t="s">
        <v>431</v>
      </c>
      <c r="M30" s="181">
        <f t="shared" si="2"/>
        <v>300000</v>
      </c>
      <c r="N30" s="181">
        <f t="shared" si="3"/>
        <v>1020000</v>
      </c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</row>
    <row r="31" spans="1:251" s="146" customFormat="1" ht="21.75" customHeight="1">
      <c r="A31" s="179">
        <v>24</v>
      </c>
      <c r="B31" s="458" t="s">
        <v>238</v>
      </c>
      <c r="C31" s="459" t="s">
        <v>243</v>
      </c>
      <c r="D31" s="460"/>
      <c r="E31" s="460">
        <v>71</v>
      </c>
      <c r="F31" s="459" t="s">
        <v>242</v>
      </c>
      <c r="G31" s="460" t="s">
        <v>186</v>
      </c>
      <c r="H31" s="407" t="s">
        <v>159</v>
      </c>
      <c r="I31" s="180">
        <f t="shared" si="0"/>
        <v>420000</v>
      </c>
      <c r="J31" s="408" t="s">
        <v>134</v>
      </c>
      <c r="K31" s="183">
        <f t="shared" si="1"/>
        <v>300000</v>
      </c>
      <c r="L31" s="408" t="s">
        <v>431</v>
      </c>
      <c r="M31" s="181">
        <f t="shared" si="2"/>
        <v>300000</v>
      </c>
      <c r="N31" s="181">
        <f t="shared" si="3"/>
        <v>1020000</v>
      </c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  <c r="BT31" s="175"/>
      <c r="BU31" s="175"/>
      <c r="BV31" s="175"/>
      <c r="BW31" s="175"/>
      <c r="BX31" s="175"/>
      <c r="BY31" s="175"/>
      <c r="BZ31" s="175"/>
      <c r="CA31" s="175"/>
      <c r="CB31" s="175"/>
      <c r="CC31" s="175"/>
      <c r="CD31" s="175"/>
      <c r="CE31" s="175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175"/>
      <c r="DA31" s="175"/>
      <c r="DB31" s="175"/>
      <c r="DC31" s="175"/>
      <c r="DD31" s="175"/>
      <c r="DE31" s="175"/>
      <c r="DF31" s="175"/>
      <c r="DG31" s="175"/>
      <c r="DH31" s="175"/>
      <c r="DI31" s="175"/>
      <c r="DJ31" s="175"/>
      <c r="DK31" s="175"/>
      <c r="DL31" s="175"/>
      <c r="DM31" s="175"/>
      <c r="DN31" s="175"/>
      <c r="DO31" s="175"/>
      <c r="DP31" s="175"/>
      <c r="DQ31" s="175"/>
      <c r="DR31" s="175"/>
      <c r="DS31" s="175"/>
      <c r="DT31" s="175"/>
      <c r="DU31" s="175"/>
      <c r="DV31" s="175"/>
      <c r="DW31" s="175"/>
      <c r="DX31" s="175"/>
      <c r="DY31" s="175"/>
      <c r="DZ31" s="175"/>
      <c r="EA31" s="175"/>
      <c r="EB31" s="175"/>
      <c r="EC31" s="175"/>
      <c r="ED31" s="175"/>
      <c r="EE31" s="175"/>
      <c r="EF31" s="175"/>
      <c r="EG31" s="175"/>
      <c r="EH31" s="175"/>
      <c r="EI31" s="175"/>
      <c r="EJ31" s="175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/>
      <c r="EU31" s="175"/>
      <c r="EV31" s="175"/>
      <c r="EW31" s="175"/>
      <c r="EX31" s="175"/>
      <c r="EY31" s="175"/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175"/>
      <c r="IG31" s="175"/>
      <c r="IH31" s="175"/>
      <c r="II31" s="175"/>
      <c r="IJ31" s="175"/>
      <c r="IK31" s="175"/>
      <c r="IL31" s="175"/>
      <c r="IM31" s="175"/>
      <c r="IN31" s="175"/>
      <c r="IO31" s="175"/>
      <c r="IP31" s="175"/>
      <c r="IQ31" s="175"/>
    </row>
    <row r="32" spans="1:251" s="146" customFormat="1" ht="21.75" customHeight="1">
      <c r="A32" s="179">
        <v>25</v>
      </c>
      <c r="B32" s="458" t="s">
        <v>238</v>
      </c>
      <c r="C32" s="459" t="s">
        <v>243</v>
      </c>
      <c r="D32" s="460"/>
      <c r="E32" s="460">
        <v>71</v>
      </c>
      <c r="F32" s="459" t="s">
        <v>244</v>
      </c>
      <c r="G32" s="460" t="s">
        <v>186</v>
      </c>
      <c r="H32" s="407" t="s">
        <v>134</v>
      </c>
      <c r="I32" s="180">
        <f t="shared" si="0"/>
        <v>420000</v>
      </c>
      <c r="J32" s="408" t="s">
        <v>159</v>
      </c>
      <c r="K32" s="183">
        <f t="shared" si="1"/>
        <v>300000</v>
      </c>
      <c r="L32" s="408" t="s">
        <v>433</v>
      </c>
      <c r="M32" s="181">
        <f t="shared" si="2"/>
        <v>300000</v>
      </c>
      <c r="N32" s="181">
        <f t="shared" si="3"/>
        <v>1020000</v>
      </c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175"/>
      <c r="BT32" s="175"/>
      <c r="BU32" s="175"/>
      <c r="BV32" s="175"/>
      <c r="BW32" s="175"/>
      <c r="BX32" s="175"/>
      <c r="BY32" s="175"/>
      <c r="BZ32" s="175"/>
      <c r="CA32" s="175"/>
      <c r="CB32" s="175"/>
      <c r="CC32" s="175"/>
      <c r="CD32" s="175"/>
      <c r="CE32" s="175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175"/>
      <c r="DA32" s="175"/>
      <c r="DB32" s="175"/>
      <c r="DC32" s="175"/>
      <c r="DD32" s="175"/>
      <c r="DE32" s="175"/>
      <c r="DF32" s="175"/>
      <c r="DG32" s="175"/>
      <c r="DH32" s="175"/>
      <c r="DI32" s="175"/>
      <c r="DJ32" s="175"/>
      <c r="DK32" s="175"/>
      <c r="DL32" s="175"/>
      <c r="DM32" s="175"/>
      <c r="DN32" s="175"/>
      <c r="DO32" s="175"/>
      <c r="DP32" s="175"/>
      <c r="DQ32" s="175"/>
      <c r="DR32" s="175"/>
      <c r="DS32" s="175"/>
      <c r="DT32" s="175"/>
      <c r="DU32" s="175"/>
      <c r="DV32" s="175"/>
      <c r="DW32" s="175"/>
      <c r="DX32" s="175"/>
      <c r="DY32" s="175"/>
      <c r="DZ32" s="175"/>
      <c r="EA32" s="175"/>
      <c r="EB32" s="175"/>
      <c r="EC32" s="175"/>
      <c r="ED32" s="175"/>
      <c r="EE32" s="175"/>
      <c r="EF32" s="175"/>
      <c r="EG32" s="175"/>
      <c r="EH32" s="175"/>
      <c r="EI32" s="175"/>
      <c r="EJ32" s="175"/>
      <c r="EK32" s="175"/>
      <c r="EL32" s="175"/>
      <c r="EM32" s="175"/>
      <c r="EN32" s="175"/>
      <c r="EO32" s="175"/>
      <c r="EP32" s="175"/>
      <c r="EQ32" s="175"/>
      <c r="ER32" s="175"/>
      <c r="ES32" s="175"/>
      <c r="ET32" s="175"/>
      <c r="EU32" s="175"/>
      <c r="EV32" s="175"/>
      <c r="EW32" s="175"/>
      <c r="EX32" s="175"/>
      <c r="EY32" s="175"/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175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  <c r="HN32" s="175"/>
      <c r="HO32" s="175"/>
      <c r="HP32" s="175"/>
      <c r="HQ32" s="175"/>
      <c r="HR32" s="175"/>
      <c r="HS32" s="175"/>
      <c r="HT32" s="175"/>
      <c r="HU32" s="175"/>
      <c r="HV32" s="175"/>
      <c r="HW32" s="175"/>
      <c r="HX32" s="175"/>
      <c r="HY32" s="175"/>
      <c r="HZ32" s="175"/>
      <c r="IA32" s="175"/>
      <c r="IB32" s="175"/>
      <c r="IC32" s="175"/>
      <c r="ID32" s="175"/>
      <c r="IE32" s="175"/>
      <c r="IF32" s="175"/>
      <c r="IG32" s="175"/>
      <c r="IH32" s="175"/>
      <c r="II32" s="175"/>
      <c r="IJ32" s="175"/>
      <c r="IK32" s="175"/>
      <c r="IL32" s="175"/>
      <c r="IM32" s="175"/>
      <c r="IN32" s="175"/>
      <c r="IO32" s="175"/>
      <c r="IP32" s="175"/>
      <c r="IQ32" s="175"/>
    </row>
    <row r="33" spans="1:251" s="146" customFormat="1" ht="21.75" customHeight="1">
      <c r="A33" s="179">
        <v>26</v>
      </c>
      <c r="B33" s="458" t="s">
        <v>238</v>
      </c>
      <c r="C33" s="459" t="s">
        <v>245</v>
      </c>
      <c r="D33" s="460">
        <v>43</v>
      </c>
      <c r="E33" s="460"/>
      <c r="F33" s="459" t="s">
        <v>246</v>
      </c>
      <c r="G33" s="460" t="s">
        <v>204</v>
      </c>
      <c r="H33" s="407" t="s">
        <v>190</v>
      </c>
      <c r="I33" s="180">
        <f t="shared" si="0"/>
        <v>187500</v>
      </c>
      <c r="J33" s="408" t="s">
        <v>428</v>
      </c>
      <c r="K33" s="183">
        <f t="shared" si="1"/>
        <v>135000</v>
      </c>
      <c r="L33" s="408" t="s">
        <v>436</v>
      </c>
      <c r="M33" s="181">
        <f t="shared" si="2"/>
        <v>135000</v>
      </c>
      <c r="N33" s="181">
        <f t="shared" si="3"/>
        <v>457500</v>
      </c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5"/>
      <c r="CH33" s="175"/>
      <c r="CI33" s="175"/>
      <c r="CJ33" s="175"/>
      <c r="CK33" s="175"/>
      <c r="CL33" s="175"/>
      <c r="CM33" s="175"/>
      <c r="CN33" s="175"/>
      <c r="CO33" s="175"/>
      <c r="CP33" s="175"/>
      <c r="CQ33" s="175"/>
      <c r="CR33" s="175"/>
      <c r="CS33" s="175"/>
      <c r="CT33" s="175"/>
      <c r="CU33" s="175"/>
      <c r="CV33" s="175"/>
      <c r="CW33" s="175"/>
      <c r="CX33" s="175"/>
      <c r="CY33" s="175"/>
      <c r="CZ33" s="175"/>
      <c r="DA33" s="175"/>
      <c r="DB33" s="175"/>
      <c r="DC33" s="175"/>
      <c r="DD33" s="175"/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5"/>
      <c r="DW33" s="175"/>
      <c r="DX33" s="175"/>
      <c r="DY33" s="175"/>
      <c r="DZ33" s="175"/>
      <c r="EA33" s="175"/>
      <c r="EB33" s="175"/>
      <c r="EC33" s="175"/>
      <c r="ED33" s="175"/>
      <c r="EE33" s="175"/>
      <c r="EF33" s="175"/>
      <c r="EG33" s="175"/>
      <c r="EH33" s="175"/>
      <c r="EI33" s="175"/>
      <c r="EJ33" s="175"/>
      <c r="EK33" s="175"/>
      <c r="EL33" s="175"/>
      <c r="EM33" s="175"/>
      <c r="EN33" s="175"/>
      <c r="EO33" s="175"/>
      <c r="EP33" s="175"/>
      <c r="EQ33" s="175"/>
      <c r="ER33" s="175"/>
      <c r="ES33" s="175"/>
      <c r="ET33" s="175"/>
      <c r="EU33" s="175"/>
      <c r="EV33" s="175"/>
      <c r="EW33" s="175"/>
      <c r="EX33" s="175"/>
      <c r="EY33" s="175"/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  <c r="HN33" s="175"/>
      <c r="HO33" s="175"/>
      <c r="HP33" s="175"/>
      <c r="HQ33" s="175"/>
      <c r="HR33" s="175"/>
      <c r="HS33" s="175"/>
      <c r="HT33" s="175"/>
      <c r="HU33" s="175"/>
      <c r="HV33" s="175"/>
      <c r="HW33" s="175"/>
      <c r="HX33" s="175"/>
      <c r="HY33" s="175"/>
      <c r="HZ33" s="175"/>
      <c r="IA33" s="175"/>
      <c r="IB33" s="175"/>
      <c r="IC33" s="175"/>
      <c r="ID33" s="175"/>
      <c r="IE33" s="175"/>
      <c r="IF33" s="175"/>
      <c r="IG33" s="175"/>
      <c r="IH33" s="175"/>
      <c r="II33" s="175"/>
      <c r="IJ33" s="175"/>
      <c r="IK33" s="175"/>
      <c r="IL33" s="175"/>
      <c r="IM33" s="175"/>
      <c r="IN33" s="175"/>
      <c r="IO33" s="175"/>
      <c r="IP33" s="175"/>
      <c r="IQ33" s="175"/>
    </row>
    <row r="34" spans="1:251" s="146" customFormat="1" ht="21.75" customHeight="1">
      <c r="A34" s="179">
        <v>27</v>
      </c>
      <c r="B34" s="458" t="s">
        <v>250</v>
      </c>
      <c r="C34" s="459" t="s">
        <v>257</v>
      </c>
      <c r="D34" s="460"/>
      <c r="E34" s="460">
        <v>59</v>
      </c>
      <c r="F34" s="459" t="s">
        <v>242</v>
      </c>
      <c r="G34" s="460" t="s">
        <v>186</v>
      </c>
      <c r="H34" s="407" t="s">
        <v>159</v>
      </c>
      <c r="I34" s="180">
        <f t="shared" si="0"/>
        <v>420000</v>
      </c>
      <c r="J34" s="408" t="s">
        <v>134</v>
      </c>
      <c r="K34" s="183">
        <f t="shared" si="1"/>
        <v>300000</v>
      </c>
      <c r="L34" s="408" t="s">
        <v>434</v>
      </c>
      <c r="M34" s="181">
        <f t="shared" si="2"/>
        <v>300000</v>
      </c>
      <c r="N34" s="181">
        <f t="shared" si="3"/>
        <v>1020000</v>
      </c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5"/>
      <c r="BD34" s="175"/>
      <c r="BE34" s="175"/>
      <c r="BF34" s="175"/>
      <c r="BG34" s="175"/>
      <c r="BH34" s="175"/>
      <c r="BI34" s="175"/>
      <c r="BJ34" s="175"/>
      <c r="BK34" s="175"/>
      <c r="BL34" s="175"/>
      <c r="BM34" s="175"/>
      <c r="BN34" s="175"/>
      <c r="BO34" s="175"/>
      <c r="BP34" s="175"/>
      <c r="BQ34" s="175"/>
      <c r="BR34" s="175"/>
      <c r="BS34" s="175"/>
      <c r="BT34" s="175"/>
      <c r="BU34" s="175"/>
      <c r="BV34" s="175"/>
      <c r="BW34" s="175"/>
      <c r="BX34" s="175"/>
      <c r="BY34" s="175"/>
      <c r="BZ34" s="175"/>
      <c r="CA34" s="175"/>
      <c r="CB34" s="175"/>
      <c r="CC34" s="175"/>
      <c r="CD34" s="175"/>
      <c r="CE34" s="175"/>
      <c r="CF34" s="175"/>
      <c r="CG34" s="175"/>
      <c r="CH34" s="175"/>
      <c r="CI34" s="175"/>
      <c r="CJ34" s="175"/>
      <c r="CK34" s="175"/>
      <c r="CL34" s="175"/>
      <c r="CM34" s="175"/>
      <c r="CN34" s="175"/>
      <c r="CO34" s="175"/>
      <c r="CP34" s="175"/>
      <c r="CQ34" s="175"/>
      <c r="CR34" s="175"/>
      <c r="CS34" s="175"/>
      <c r="CT34" s="175"/>
      <c r="CU34" s="175"/>
      <c r="CV34" s="175"/>
      <c r="CW34" s="175"/>
      <c r="CX34" s="175"/>
      <c r="CY34" s="175"/>
      <c r="CZ34" s="175"/>
      <c r="DA34" s="175"/>
      <c r="DB34" s="175"/>
      <c r="DC34" s="175"/>
      <c r="DD34" s="175"/>
      <c r="DE34" s="175"/>
      <c r="DF34" s="175"/>
      <c r="DG34" s="175"/>
      <c r="DH34" s="175"/>
      <c r="DI34" s="175"/>
      <c r="DJ34" s="175"/>
      <c r="DK34" s="175"/>
      <c r="DL34" s="175"/>
      <c r="DM34" s="175"/>
      <c r="DN34" s="175"/>
      <c r="DO34" s="175"/>
      <c r="DP34" s="175"/>
      <c r="DQ34" s="175"/>
      <c r="DR34" s="175"/>
      <c r="DS34" s="175"/>
      <c r="DT34" s="175"/>
      <c r="DU34" s="175"/>
      <c r="DV34" s="175"/>
      <c r="DW34" s="175"/>
      <c r="DX34" s="175"/>
      <c r="DY34" s="175"/>
      <c r="DZ34" s="175"/>
      <c r="EA34" s="175"/>
      <c r="EB34" s="175"/>
      <c r="EC34" s="175"/>
      <c r="ED34" s="175"/>
      <c r="EE34" s="175"/>
      <c r="EF34" s="175"/>
      <c r="EG34" s="175"/>
      <c r="EH34" s="175"/>
      <c r="EI34" s="175"/>
      <c r="EJ34" s="175"/>
      <c r="EK34" s="175"/>
      <c r="EL34" s="175"/>
      <c r="EM34" s="175"/>
      <c r="EN34" s="175"/>
      <c r="EO34" s="175"/>
      <c r="EP34" s="175"/>
      <c r="EQ34" s="175"/>
      <c r="ER34" s="175"/>
      <c r="ES34" s="175"/>
      <c r="ET34" s="175"/>
      <c r="EU34" s="175"/>
      <c r="EV34" s="175"/>
      <c r="EW34" s="175"/>
      <c r="EX34" s="175"/>
      <c r="EY34" s="175"/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175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  <c r="HN34" s="175"/>
      <c r="HO34" s="175"/>
      <c r="HP34" s="175"/>
      <c r="HQ34" s="175"/>
      <c r="HR34" s="175"/>
      <c r="HS34" s="175"/>
      <c r="HT34" s="175"/>
      <c r="HU34" s="175"/>
      <c r="HV34" s="175"/>
      <c r="HW34" s="175"/>
      <c r="HX34" s="175"/>
      <c r="HY34" s="175"/>
      <c r="HZ34" s="175"/>
      <c r="IA34" s="175"/>
      <c r="IB34" s="175"/>
      <c r="IC34" s="175"/>
      <c r="ID34" s="175"/>
      <c r="IE34" s="175"/>
      <c r="IF34" s="175"/>
      <c r="IG34" s="175"/>
      <c r="IH34" s="175"/>
      <c r="II34" s="175"/>
      <c r="IJ34" s="175"/>
      <c r="IK34" s="175"/>
      <c r="IL34" s="175"/>
      <c r="IM34" s="175"/>
      <c r="IN34" s="175"/>
      <c r="IO34" s="175"/>
      <c r="IP34" s="175"/>
      <c r="IQ34" s="175"/>
    </row>
    <row r="35" spans="1:251" s="146" customFormat="1" ht="21.75" customHeight="1">
      <c r="A35" s="179">
        <v>28</v>
      </c>
      <c r="B35" s="458" t="s">
        <v>250</v>
      </c>
      <c r="C35" s="459" t="s">
        <v>258</v>
      </c>
      <c r="D35" s="460">
        <v>28</v>
      </c>
      <c r="E35" s="460"/>
      <c r="F35" s="459" t="s">
        <v>259</v>
      </c>
      <c r="G35" s="460" t="s">
        <v>186</v>
      </c>
      <c r="H35" s="407" t="s">
        <v>212</v>
      </c>
      <c r="I35" s="180">
        <f t="shared" si="0"/>
        <v>420000</v>
      </c>
      <c r="J35" s="408" t="s">
        <v>378</v>
      </c>
      <c r="K35" s="183">
        <f t="shared" si="1"/>
        <v>300000</v>
      </c>
      <c r="L35" s="408" t="s">
        <v>434</v>
      </c>
      <c r="M35" s="181">
        <f t="shared" si="2"/>
        <v>300000</v>
      </c>
      <c r="N35" s="181">
        <f t="shared" si="3"/>
        <v>1020000</v>
      </c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  <c r="BT35" s="175"/>
      <c r="BU35" s="175"/>
      <c r="BV35" s="175"/>
      <c r="BW35" s="175"/>
      <c r="BX35" s="175"/>
      <c r="BY35" s="175"/>
      <c r="BZ35" s="175"/>
      <c r="CA35" s="175"/>
      <c r="CB35" s="175"/>
      <c r="CC35" s="175"/>
      <c r="CD35" s="175"/>
      <c r="CE35" s="175"/>
      <c r="CF35" s="175"/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175"/>
      <c r="DA35" s="175"/>
      <c r="DB35" s="175"/>
      <c r="DC35" s="175"/>
      <c r="DD35" s="175"/>
      <c r="DE35" s="175"/>
      <c r="DF35" s="175"/>
      <c r="DG35" s="175"/>
      <c r="DH35" s="175"/>
      <c r="DI35" s="175"/>
      <c r="DJ35" s="175"/>
      <c r="DK35" s="175"/>
      <c r="DL35" s="175"/>
      <c r="DM35" s="175"/>
      <c r="DN35" s="175"/>
      <c r="DO35" s="175"/>
      <c r="DP35" s="175"/>
      <c r="DQ35" s="175"/>
      <c r="DR35" s="175"/>
      <c r="DS35" s="175"/>
      <c r="DT35" s="175"/>
      <c r="DU35" s="175"/>
      <c r="DV35" s="175"/>
      <c r="DW35" s="175"/>
      <c r="DX35" s="175"/>
      <c r="DY35" s="175"/>
      <c r="DZ35" s="175"/>
      <c r="EA35" s="175"/>
      <c r="EB35" s="175"/>
      <c r="EC35" s="175"/>
      <c r="ED35" s="175"/>
      <c r="EE35" s="175"/>
      <c r="EF35" s="175"/>
      <c r="EG35" s="175"/>
      <c r="EH35" s="175"/>
      <c r="EI35" s="175"/>
      <c r="EJ35" s="175"/>
      <c r="EK35" s="175"/>
      <c r="EL35" s="175"/>
      <c r="EM35" s="175"/>
      <c r="EN35" s="175"/>
      <c r="EO35" s="175"/>
      <c r="EP35" s="175"/>
      <c r="EQ35" s="175"/>
      <c r="ER35" s="175"/>
      <c r="ES35" s="175"/>
      <c r="ET35" s="175"/>
      <c r="EU35" s="175"/>
      <c r="EV35" s="175"/>
      <c r="EW35" s="175"/>
      <c r="EX35" s="175"/>
      <c r="EY35" s="175"/>
      <c r="EZ35" s="175"/>
      <c r="FA35" s="175"/>
      <c r="FB35" s="175"/>
      <c r="FC35" s="175"/>
      <c r="FD35" s="175"/>
      <c r="FE35" s="175"/>
      <c r="FF35" s="175"/>
      <c r="FG35" s="175"/>
      <c r="FH35" s="175"/>
      <c r="FI35" s="175"/>
      <c r="FJ35" s="175"/>
      <c r="FK35" s="175"/>
      <c r="FL35" s="175"/>
      <c r="FM35" s="175"/>
      <c r="FN35" s="175"/>
      <c r="FO35" s="175"/>
      <c r="FP35" s="175"/>
      <c r="FQ35" s="175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  <c r="HN35" s="175"/>
      <c r="HO35" s="175"/>
      <c r="HP35" s="175"/>
      <c r="HQ35" s="175"/>
      <c r="HR35" s="175"/>
      <c r="HS35" s="175"/>
      <c r="HT35" s="175"/>
      <c r="HU35" s="175"/>
      <c r="HV35" s="175"/>
      <c r="HW35" s="175"/>
      <c r="HX35" s="175"/>
      <c r="HY35" s="175"/>
      <c r="HZ35" s="175"/>
      <c r="IA35" s="175"/>
      <c r="IB35" s="175"/>
      <c r="IC35" s="175"/>
      <c r="ID35" s="175"/>
      <c r="IE35" s="175"/>
      <c r="IF35" s="175"/>
      <c r="IG35" s="175"/>
      <c r="IH35" s="175"/>
      <c r="II35" s="175"/>
      <c r="IJ35" s="175"/>
      <c r="IK35" s="175"/>
      <c r="IL35" s="175"/>
      <c r="IM35" s="175"/>
      <c r="IN35" s="175"/>
      <c r="IO35" s="175"/>
      <c r="IP35" s="175"/>
      <c r="IQ35" s="175"/>
    </row>
    <row r="36" spans="1:251" s="146" customFormat="1" ht="21.75" customHeight="1">
      <c r="A36" s="179">
        <v>29</v>
      </c>
      <c r="B36" s="458" t="s">
        <v>260</v>
      </c>
      <c r="C36" s="459" t="s">
        <v>261</v>
      </c>
      <c r="D36" s="460"/>
      <c r="E36" s="460">
        <v>62</v>
      </c>
      <c r="F36" s="459" t="s">
        <v>262</v>
      </c>
      <c r="G36" s="460" t="s">
        <v>204</v>
      </c>
      <c r="H36" s="407" t="s">
        <v>159</v>
      </c>
      <c r="I36" s="180">
        <f t="shared" si="0"/>
        <v>187500</v>
      </c>
      <c r="J36" s="408" t="s">
        <v>183</v>
      </c>
      <c r="K36" s="183">
        <f t="shared" si="1"/>
        <v>135000</v>
      </c>
      <c r="L36" s="408" t="s">
        <v>56</v>
      </c>
      <c r="M36" s="181">
        <f t="shared" si="2"/>
        <v>0</v>
      </c>
      <c r="N36" s="181">
        <f t="shared" si="3"/>
        <v>322500</v>
      </c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175"/>
      <c r="DA36" s="175"/>
      <c r="DB36" s="175"/>
      <c r="DC36" s="175"/>
      <c r="DD36" s="175"/>
      <c r="DE36" s="175"/>
      <c r="DF36" s="175"/>
      <c r="DG36" s="175"/>
      <c r="DH36" s="175"/>
      <c r="DI36" s="175"/>
      <c r="DJ36" s="175"/>
      <c r="DK36" s="175"/>
      <c r="DL36" s="175"/>
      <c r="DM36" s="175"/>
      <c r="DN36" s="175"/>
      <c r="DO36" s="175"/>
      <c r="DP36" s="175"/>
      <c r="DQ36" s="175"/>
      <c r="DR36" s="175"/>
      <c r="DS36" s="175"/>
      <c r="DT36" s="175"/>
      <c r="DU36" s="175"/>
      <c r="DV36" s="175"/>
      <c r="DW36" s="175"/>
      <c r="DX36" s="175"/>
      <c r="DY36" s="175"/>
      <c r="DZ36" s="175"/>
      <c r="EA36" s="175"/>
      <c r="EB36" s="175"/>
      <c r="EC36" s="175"/>
      <c r="ED36" s="175"/>
      <c r="EE36" s="175"/>
      <c r="EF36" s="175"/>
      <c r="EG36" s="175"/>
      <c r="EH36" s="175"/>
      <c r="EI36" s="175"/>
      <c r="EJ36" s="175"/>
      <c r="EK36" s="175"/>
      <c r="EL36" s="175"/>
      <c r="EM36" s="175"/>
      <c r="EN36" s="175"/>
      <c r="EO36" s="175"/>
      <c r="EP36" s="175"/>
      <c r="EQ36" s="175"/>
      <c r="ER36" s="175"/>
      <c r="ES36" s="175"/>
      <c r="ET36" s="175"/>
      <c r="EU36" s="175"/>
      <c r="EV36" s="175"/>
      <c r="EW36" s="175"/>
      <c r="EX36" s="175"/>
      <c r="EY36" s="175"/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175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  <c r="GH36" s="175"/>
      <c r="GI36" s="175"/>
      <c r="GJ36" s="175"/>
      <c r="GK36" s="175"/>
      <c r="GL36" s="175"/>
      <c r="GM36" s="175"/>
      <c r="GN36" s="175"/>
      <c r="GO36" s="175"/>
      <c r="GP36" s="175"/>
      <c r="GQ36" s="175"/>
      <c r="GR36" s="175"/>
      <c r="GS36" s="175"/>
      <c r="GT36" s="175"/>
      <c r="GU36" s="175"/>
      <c r="GV36" s="175"/>
      <c r="GW36" s="175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  <c r="HL36" s="175"/>
      <c r="HM36" s="175"/>
      <c r="HN36" s="175"/>
      <c r="HO36" s="175"/>
      <c r="HP36" s="175"/>
      <c r="HQ36" s="175"/>
      <c r="HR36" s="175"/>
      <c r="HS36" s="175"/>
      <c r="HT36" s="175"/>
      <c r="HU36" s="175"/>
      <c r="HV36" s="175"/>
      <c r="HW36" s="175"/>
      <c r="HX36" s="175"/>
      <c r="HY36" s="175"/>
      <c r="HZ36" s="175"/>
      <c r="IA36" s="175"/>
      <c r="IB36" s="175"/>
      <c r="IC36" s="175"/>
      <c r="ID36" s="175"/>
      <c r="IE36" s="175"/>
      <c r="IF36" s="175"/>
      <c r="IG36" s="175"/>
      <c r="IH36" s="175"/>
      <c r="II36" s="175"/>
      <c r="IJ36" s="175"/>
      <c r="IK36" s="175"/>
      <c r="IL36" s="175"/>
      <c r="IM36" s="175"/>
      <c r="IN36" s="175"/>
      <c r="IO36" s="175"/>
      <c r="IP36" s="175"/>
      <c r="IQ36" s="175"/>
    </row>
    <row r="37" spans="1:251" s="146" customFormat="1" ht="21.75" customHeight="1">
      <c r="A37" s="179">
        <v>30</v>
      </c>
      <c r="B37" s="458" t="s">
        <v>260</v>
      </c>
      <c r="C37" s="459" t="s">
        <v>263</v>
      </c>
      <c r="D37" s="460"/>
      <c r="E37" s="460">
        <v>62</v>
      </c>
      <c r="F37" s="459" t="s">
        <v>242</v>
      </c>
      <c r="G37" s="460" t="s">
        <v>186</v>
      </c>
      <c r="H37" s="407" t="s">
        <v>159</v>
      </c>
      <c r="I37" s="180">
        <f t="shared" si="0"/>
        <v>420000</v>
      </c>
      <c r="J37" s="408" t="s">
        <v>183</v>
      </c>
      <c r="K37" s="183">
        <f t="shared" si="1"/>
        <v>300000</v>
      </c>
      <c r="L37" s="408" t="s">
        <v>430</v>
      </c>
      <c r="M37" s="181">
        <f t="shared" si="2"/>
        <v>300000</v>
      </c>
      <c r="N37" s="181">
        <f t="shared" si="3"/>
        <v>1020000</v>
      </c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175"/>
      <c r="DA37" s="175"/>
      <c r="DB37" s="175"/>
      <c r="DC37" s="175"/>
      <c r="DD37" s="175"/>
      <c r="DE37" s="175"/>
      <c r="DF37" s="175"/>
      <c r="DG37" s="175"/>
      <c r="DH37" s="175"/>
      <c r="DI37" s="175"/>
      <c r="DJ37" s="175"/>
      <c r="DK37" s="175"/>
      <c r="DL37" s="175"/>
      <c r="DM37" s="175"/>
      <c r="DN37" s="175"/>
      <c r="DO37" s="175"/>
      <c r="DP37" s="175"/>
      <c r="DQ37" s="175"/>
      <c r="DR37" s="175"/>
      <c r="DS37" s="175"/>
      <c r="DT37" s="175"/>
      <c r="DU37" s="175"/>
      <c r="DV37" s="175"/>
      <c r="DW37" s="175"/>
      <c r="DX37" s="175"/>
      <c r="DY37" s="175"/>
      <c r="DZ37" s="175"/>
      <c r="EA37" s="175"/>
      <c r="EB37" s="175"/>
      <c r="EC37" s="175"/>
      <c r="ED37" s="175"/>
      <c r="EE37" s="175"/>
      <c r="EF37" s="175"/>
      <c r="EG37" s="175"/>
      <c r="EH37" s="175"/>
      <c r="EI37" s="175"/>
      <c r="EJ37" s="175"/>
      <c r="EK37" s="175"/>
      <c r="EL37" s="175"/>
      <c r="EM37" s="175"/>
      <c r="EN37" s="175"/>
      <c r="EO37" s="175"/>
      <c r="EP37" s="175"/>
      <c r="EQ37" s="175"/>
      <c r="ER37" s="175"/>
      <c r="ES37" s="175"/>
      <c r="ET37" s="175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</row>
    <row r="38" spans="1:251" s="146" customFormat="1" ht="21.75" customHeight="1">
      <c r="A38" s="179">
        <v>31</v>
      </c>
      <c r="B38" s="458" t="s">
        <v>264</v>
      </c>
      <c r="C38" s="459" t="s">
        <v>450</v>
      </c>
      <c r="D38" s="460"/>
      <c r="E38" s="460">
        <v>77</v>
      </c>
      <c r="F38" s="459" t="s">
        <v>229</v>
      </c>
      <c r="G38" s="460" t="s">
        <v>447</v>
      </c>
      <c r="H38" s="407" t="s">
        <v>134</v>
      </c>
      <c r="I38" s="180">
        <f t="shared" si="0"/>
        <v>420000</v>
      </c>
      <c r="J38" s="408" t="s">
        <v>435</v>
      </c>
      <c r="K38" s="183">
        <f t="shared" si="1"/>
        <v>300000</v>
      </c>
      <c r="L38" s="408" t="s">
        <v>432</v>
      </c>
      <c r="M38" s="181">
        <f t="shared" si="2"/>
        <v>300000</v>
      </c>
      <c r="N38" s="181">
        <f t="shared" si="3"/>
        <v>1020000</v>
      </c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175"/>
      <c r="DH38" s="175"/>
      <c r="DI38" s="175"/>
      <c r="DJ38" s="175"/>
      <c r="DK38" s="175"/>
      <c r="DL38" s="175"/>
      <c r="DM38" s="175"/>
      <c r="DN38" s="175"/>
      <c r="DO38" s="175"/>
      <c r="DP38" s="175"/>
      <c r="DQ38" s="175"/>
      <c r="DR38" s="175"/>
      <c r="DS38" s="175"/>
      <c r="DT38" s="175"/>
      <c r="DU38" s="175"/>
      <c r="DV38" s="175"/>
      <c r="DW38" s="175"/>
      <c r="DX38" s="175"/>
      <c r="DY38" s="175"/>
      <c r="DZ38" s="175"/>
      <c r="EA38" s="175"/>
      <c r="EB38" s="175"/>
      <c r="EC38" s="175"/>
      <c r="ED38" s="175"/>
      <c r="EE38" s="175"/>
      <c r="EF38" s="175"/>
      <c r="EG38" s="175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</row>
    <row r="39" spans="1:251" s="146" customFormat="1" ht="21.75" customHeight="1">
      <c r="A39" s="179">
        <v>32</v>
      </c>
      <c r="B39" s="458" t="s">
        <v>264</v>
      </c>
      <c r="C39" s="459" t="s">
        <v>451</v>
      </c>
      <c r="D39" s="460"/>
      <c r="E39" s="460">
        <v>63</v>
      </c>
      <c r="F39" s="459" t="s">
        <v>229</v>
      </c>
      <c r="G39" s="460" t="s">
        <v>447</v>
      </c>
      <c r="H39" s="407" t="s">
        <v>134</v>
      </c>
      <c r="I39" s="180">
        <f t="shared" si="0"/>
        <v>420000</v>
      </c>
      <c r="J39" s="408" t="s">
        <v>432</v>
      </c>
      <c r="K39" s="183">
        <f t="shared" si="1"/>
        <v>300000</v>
      </c>
      <c r="L39" s="408" t="s">
        <v>435</v>
      </c>
      <c r="M39" s="181">
        <f t="shared" si="2"/>
        <v>300000</v>
      </c>
      <c r="N39" s="181">
        <f t="shared" si="3"/>
        <v>1020000</v>
      </c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  <c r="EH39" s="175"/>
      <c r="EI39" s="175"/>
      <c r="EJ39" s="175"/>
      <c r="EK39" s="175"/>
      <c r="EL39" s="175"/>
      <c r="EM39" s="175"/>
      <c r="EN39" s="175"/>
      <c r="EO39" s="175"/>
      <c r="EP39" s="175"/>
      <c r="EQ39" s="175"/>
      <c r="ER39" s="175"/>
      <c r="ES39" s="175"/>
      <c r="ET39" s="175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</row>
    <row r="40" spans="1:251" s="146" customFormat="1" ht="21.75" customHeight="1">
      <c r="A40" s="179">
        <v>33</v>
      </c>
      <c r="B40" s="458" t="s">
        <v>264</v>
      </c>
      <c r="C40" s="459" t="s">
        <v>452</v>
      </c>
      <c r="D40" s="460"/>
      <c r="E40" s="460">
        <v>67</v>
      </c>
      <c r="F40" s="459" t="s">
        <v>242</v>
      </c>
      <c r="G40" s="460" t="s">
        <v>447</v>
      </c>
      <c r="H40" s="407" t="s">
        <v>159</v>
      </c>
      <c r="I40" s="180">
        <f t="shared" ref="I40:I127" si="4">IF(G40="DTDB",420000,IF(G40="TTDB",420000,IF(G40="DT1",187500,IF(G40="TT1",187500,IF(G40="DT2",97500,IF(G40="TT2",97500,IF(G40="DT3",75000,75000)))))))</f>
        <v>420000</v>
      </c>
      <c r="J40" s="408" t="s">
        <v>134</v>
      </c>
      <c r="K40" s="183">
        <f t="shared" ref="K40:K127" si="5">IF(G40="DTDB",300000,IF(G40="TTDB",300000,IF(G40="DT1",135000,IF(G40="TT1",135000,IF(G40="DT2",75000,IF(G40="TT2",75000,IF(G40="DT3",45000,45000)))))))</f>
        <v>300000</v>
      </c>
      <c r="L40" s="408" t="s">
        <v>183</v>
      </c>
      <c r="M40" s="181">
        <f t="shared" ref="M40:M127" si="6">IF(L40="-",0,IF(G40="DTDB",300000,IF(G40="TTDB",300000,IF(G40="DT1",135000,IF(G40="TT1",135000,IF(G40="DT2",75000,IF(G40="TT2",75000,IF(G40="DT3",45000,45000))))))))</f>
        <v>300000</v>
      </c>
      <c r="N40" s="181">
        <f t="shared" ref="N40:N127" si="7">I40+K40+M40</f>
        <v>1020000</v>
      </c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5"/>
      <c r="CA40" s="175"/>
      <c r="CB40" s="175"/>
      <c r="CC40" s="175"/>
      <c r="CD40" s="175"/>
      <c r="CE40" s="175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175"/>
      <c r="DA40" s="175"/>
      <c r="DB40" s="175"/>
      <c r="DC40" s="175"/>
      <c r="DD40" s="175"/>
      <c r="DE40" s="175"/>
      <c r="DF40" s="175"/>
      <c r="DG40" s="175"/>
      <c r="DH40" s="175"/>
      <c r="DI40" s="175"/>
      <c r="DJ40" s="175"/>
      <c r="DK40" s="175"/>
      <c r="DL40" s="175"/>
      <c r="DM40" s="175"/>
      <c r="DN40" s="175"/>
      <c r="DO40" s="175"/>
      <c r="DP40" s="175"/>
      <c r="DQ40" s="175"/>
      <c r="DR40" s="175"/>
      <c r="DS40" s="175"/>
      <c r="DT40" s="175"/>
      <c r="DU40" s="175"/>
      <c r="DV40" s="175"/>
      <c r="DW40" s="175"/>
      <c r="DX40" s="175"/>
      <c r="DY40" s="175"/>
      <c r="DZ40" s="175"/>
      <c r="EA40" s="175"/>
      <c r="EB40" s="175"/>
      <c r="EC40" s="175"/>
      <c r="ED40" s="175"/>
      <c r="EE40" s="175"/>
      <c r="EF40" s="175"/>
      <c r="EG40" s="175"/>
      <c r="EH40" s="175"/>
      <c r="EI40" s="175"/>
      <c r="EJ40" s="175"/>
      <c r="EK40" s="175"/>
      <c r="EL40" s="175"/>
      <c r="EM40" s="175"/>
      <c r="EN40" s="175"/>
      <c r="EO40" s="175"/>
      <c r="EP40" s="175"/>
      <c r="EQ40" s="175"/>
      <c r="ER40" s="175"/>
      <c r="ES40" s="175"/>
      <c r="ET40" s="175"/>
      <c r="EU40" s="175"/>
      <c r="EV40" s="175"/>
      <c r="EW40" s="175"/>
      <c r="EX40" s="175"/>
      <c r="EY40" s="175"/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175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  <c r="HN40" s="175"/>
      <c r="HO40" s="175"/>
      <c r="HP40" s="175"/>
      <c r="HQ40" s="175"/>
      <c r="HR40" s="175"/>
      <c r="HS40" s="175"/>
      <c r="HT40" s="175"/>
      <c r="HU40" s="175"/>
      <c r="HV40" s="175"/>
      <c r="HW40" s="175"/>
      <c r="HX40" s="175"/>
      <c r="HY40" s="175"/>
      <c r="HZ40" s="175"/>
      <c r="IA40" s="175"/>
      <c r="IB40" s="175"/>
      <c r="IC40" s="175"/>
      <c r="ID40" s="175"/>
      <c r="IE40" s="175"/>
      <c r="IF40" s="175"/>
      <c r="IG40" s="175"/>
      <c r="IH40" s="175"/>
      <c r="II40" s="175"/>
      <c r="IJ40" s="175"/>
      <c r="IK40" s="175"/>
      <c r="IL40" s="175"/>
      <c r="IM40" s="175"/>
      <c r="IN40" s="175"/>
      <c r="IO40" s="175"/>
      <c r="IP40" s="175"/>
      <c r="IQ40" s="175"/>
    </row>
    <row r="41" spans="1:251" s="146" customFormat="1" ht="21.75" customHeight="1">
      <c r="A41" s="179">
        <v>34</v>
      </c>
      <c r="B41" s="458" t="s">
        <v>264</v>
      </c>
      <c r="C41" s="459" t="s">
        <v>266</v>
      </c>
      <c r="D41" s="460">
        <v>37</v>
      </c>
      <c r="E41" s="460"/>
      <c r="F41" s="459" t="s">
        <v>267</v>
      </c>
      <c r="G41" s="460" t="s">
        <v>204</v>
      </c>
      <c r="H41" s="407" t="s">
        <v>134</v>
      </c>
      <c r="I41" s="180">
        <f t="shared" si="4"/>
        <v>187500</v>
      </c>
      <c r="J41" s="408" t="s">
        <v>432</v>
      </c>
      <c r="K41" s="183">
        <f t="shared" si="5"/>
        <v>135000</v>
      </c>
      <c r="L41" s="408" t="s">
        <v>433</v>
      </c>
      <c r="M41" s="181">
        <f t="shared" si="6"/>
        <v>135000</v>
      </c>
      <c r="N41" s="181">
        <f t="shared" si="7"/>
        <v>457500</v>
      </c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  <c r="CD41" s="175"/>
      <c r="CE41" s="175"/>
      <c r="CF41" s="175"/>
      <c r="CG41" s="175"/>
      <c r="CH41" s="175"/>
      <c r="CI41" s="175"/>
      <c r="CJ41" s="175"/>
      <c r="CK41" s="175"/>
      <c r="CL41" s="175"/>
      <c r="CM41" s="175"/>
      <c r="CN41" s="175"/>
      <c r="CO41" s="175"/>
      <c r="CP41" s="175"/>
      <c r="CQ41" s="175"/>
      <c r="CR41" s="175"/>
      <c r="CS41" s="175"/>
      <c r="CT41" s="175"/>
      <c r="CU41" s="175"/>
      <c r="CV41" s="175"/>
      <c r="CW41" s="175"/>
      <c r="CX41" s="175"/>
      <c r="CY41" s="175"/>
      <c r="CZ41" s="175"/>
      <c r="DA41" s="175"/>
      <c r="DB41" s="175"/>
      <c r="DC41" s="175"/>
      <c r="DD41" s="175"/>
      <c r="DE41" s="175"/>
      <c r="DF41" s="175"/>
      <c r="DG41" s="175"/>
      <c r="DH41" s="175"/>
      <c r="DI41" s="175"/>
      <c r="DJ41" s="175"/>
      <c r="DK41" s="175"/>
      <c r="DL41" s="175"/>
      <c r="DM41" s="175"/>
      <c r="DN41" s="175"/>
      <c r="DO41" s="175"/>
      <c r="DP41" s="175"/>
      <c r="DQ41" s="175"/>
      <c r="DR41" s="175"/>
      <c r="DS41" s="175"/>
      <c r="DT41" s="175"/>
      <c r="DU41" s="175"/>
      <c r="DV41" s="175"/>
      <c r="DW41" s="175"/>
      <c r="DX41" s="175"/>
      <c r="DY41" s="175"/>
      <c r="DZ41" s="175"/>
      <c r="EA41" s="175"/>
      <c r="EB41" s="175"/>
      <c r="EC41" s="175"/>
      <c r="ED41" s="175"/>
      <c r="EE41" s="175"/>
      <c r="EF41" s="175"/>
      <c r="EG41" s="175"/>
      <c r="EH41" s="175"/>
      <c r="EI41" s="175"/>
      <c r="EJ41" s="175"/>
      <c r="EK41" s="175"/>
      <c r="EL41" s="175"/>
      <c r="EM41" s="175"/>
      <c r="EN41" s="175"/>
      <c r="EO41" s="175"/>
      <c r="EP41" s="175"/>
      <c r="EQ41" s="175"/>
      <c r="ER41" s="175"/>
      <c r="ES41" s="175"/>
      <c r="ET41" s="175"/>
      <c r="EU41" s="175"/>
      <c r="EV41" s="175"/>
      <c r="EW41" s="175"/>
      <c r="EX41" s="175"/>
      <c r="EY41" s="175"/>
      <c r="EZ41" s="175"/>
      <c r="FA41" s="175"/>
      <c r="FB41" s="175"/>
      <c r="FC41" s="175"/>
      <c r="FD41" s="175"/>
      <c r="FE41" s="175"/>
      <c r="FF41" s="175"/>
      <c r="FG41" s="175"/>
      <c r="FH41" s="175"/>
      <c r="FI41" s="175"/>
      <c r="FJ41" s="175"/>
      <c r="FK41" s="175"/>
      <c r="FL41" s="175"/>
      <c r="FM41" s="175"/>
      <c r="FN41" s="175"/>
      <c r="FO41" s="175"/>
      <c r="FP41" s="175"/>
      <c r="FQ41" s="175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  <c r="HN41" s="175"/>
      <c r="HO41" s="175"/>
      <c r="HP41" s="175"/>
      <c r="HQ41" s="175"/>
      <c r="HR41" s="175"/>
      <c r="HS41" s="175"/>
      <c r="HT41" s="175"/>
      <c r="HU41" s="175"/>
      <c r="HV41" s="175"/>
      <c r="HW41" s="175"/>
      <c r="HX41" s="175"/>
      <c r="HY41" s="175"/>
      <c r="HZ41" s="175"/>
      <c r="IA41" s="175"/>
      <c r="IB41" s="175"/>
      <c r="IC41" s="175"/>
      <c r="ID41" s="175"/>
      <c r="IE41" s="175"/>
      <c r="IF41" s="175"/>
      <c r="IG41" s="175"/>
      <c r="IH41" s="175"/>
      <c r="II41" s="175"/>
      <c r="IJ41" s="175"/>
      <c r="IK41" s="175"/>
      <c r="IL41" s="175"/>
      <c r="IM41" s="175"/>
      <c r="IN41" s="175"/>
      <c r="IO41" s="175"/>
      <c r="IP41" s="175"/>
      <c r="IQ41" s="175"/>
    </row>
    <row r="42" spans="1:251" s="146" customFormat="1" ht="21.75" customHeight="1">
      <c r="A42" s="179">
        <v>35</v>
      </c>
      <c r="B42" s="458" t="s">
        <v>268</v>
      </c>
      <c r="C42" s="459" t="s">
        <v>269</v>
      </c>
      <c r="D42" s="460">
        <v>59</v>
      </c>
      <c r="E42" s="460"/>
      <c r="F42" s="459" t="s">
        <v>229</v>
      </c>
      <c r="G42" s="460" t="s">
        <v>186</v>
      </c>
      <c r="H42" s="407" t="s">
        <v>183</v>
      </c>
      <c r="I42" s="180">
        <f t="shared" si="4"/>
        <v>420000</v>
      </c>
      <c r="J42" s="408" t="s">
        <v>435</v>
      </c>
      <c r="K42" s="183">
        <f t="shared" si="5"/>
        <v>300000</v>
      </c>
      <c r="L42" s="408" t="s">
        <v>439</v>
      </c>
      <c r="M42" s="181">
        <f t="shared" si="6"/>
        <v>300000</v>
      </c>
      <c r="N42" s="181">
        <f t="shared" si="7"/>
        <v>1020000</v>
      </c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5"/>
      <c r="CA42" s="175"/>
      <c r="CB42" s="175"/>
      <c r="CC42" s="175"/>
      <c r="CD42" s="175"/>
      <c r="CE42" s="175"/>
      <c r="CF42" s="175"/>
      <c r="CG42" s="175"/>
      <c r="CH42" s="175"/>
      <c r="CI42" s="175"/>
      <c r="CJ42" s="175"/>
      <c r="CK42" s="175"/>
      <c r="CL42" s="175"/>
      <c r="CM42" s="175"/>
      <c r="CN42" s="175"/>
      <c r="CO42" s="175"/>
      <c r="CP42" s="175"/>
      <c r="CQ42" s="175"/>
      <c r="CR42" s="175"/>
      <c r="CS42" s="175"/>
      <c r="CT42" s="175"/>
      <c r="CU42" s="175"/>
      <c r="CV42" s="175"/>
      <c r="CW42" s="175"/>
      <c r="CX42" s="175"/>
      <c r="CY42" s="175"/>
      <c r="CZ42" s="175"/>
      <c r="DA42" s="175"/>
      <c r="DB42" s="175"/>
      <c r="DC42" s="175"/>
      <c r="DD42" s="175"/>
      <c r="DE42" s="175"/>
      <c r="DF42" s="175"/>
      <c r="DG42" s="175"/>
      <c r="DH42" s="175"/>
      <c r="DI42" s="175"/>
      <c r="DJ42" s="175"/>
      <c r="DK42" s="175"/>
      <c r="DL42" s="175"/>
      <c r="DM42" s="175"/>
      <c r="DN42" s="175"/>
      <c r="DO42" s="175"/>
      <c r="DP42" s="175"/>
      <c r="DQ42" s="175"/>
      <c r="DR42" s="175"/>
      <c r="DS42" s="175"/>
      <c r="DT42" s="175"/>
      <c r="DU42" s="175"/>
      <c r="DV42" s="175"/>
      <c r="DW42" s="175"/>
      <c r="DX42" s="175"/>
      <c r="DY42" s="175"/>
      <c r="DZ42" s="175"/>
      <c r="EA42" s="175"/>
      <c r="EB42" s="175"/>
      <c r="EC42" s="175"/>
      <c r="ED42" s="175"/>
      <c r="EE42" s="175"/>
      <c r="EF42" s="175"/>
      <c r="EG42" s="175"/>
      <c r="EH42" s="175"/>
      <c r="EI42" s="175"/>
      <c r="EJ42" s="175"/>
      <c r="EK42" s="175"/>
      <c r="EL42" s="175"/>
      <c r="EM42" s="175"/>
      <c r="EN42" s="175"/>
      <c r="EO42" s="175"/>
      <c r="EP42" s="175"/>
      <c r="EQ42" s="175"/>
      <c r="ER42" s="175"/>
      <c r="ES42" s="175"/>
      <c r="ET42" s="175"/>
      <c r="EU42" s="175"/>
      <c r="EV42" s="175"/>
      <c r="EW42" s="175"/>
      <c r="EX42" s="175"/>
      <c r="EY42" s="175"/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175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  <c r="HN42" s="175"/>
      <c r="HO42" s="175"/>
      <c r="HP42" s="175"/>
      <c r="HQ42" s="175"/>
      <c r="HR42" s="175"/>
      <c r="HS42" s="175"/>
      <c r="HT42" s="175"/>
      <c r="HU42" s="175"/>
      <c r="HV42" s="175"/>
      <c r="HW42" s="175"/>
      <c r="HX42" s="175"/>
      <c r="HY42" s="175"/>
      <c r="HZ42" s="175"/>
      <c r="IA42" s="175"/>
      <c r="IB42" s="175"/>
      <c r="IC42" s="175"/>
      <c r="ID42" s="175"/>
      <c r="IE42" s="175"/>
      <c r="IF42" s="175"/>
      <c r="IG42" s="175"/>
      <c r="IH42" s="175"/>
      <c r="II42" s="175"/>
      <c r="IJ42" s="175"/>
      <c r="IK42" s="175"/>
      <c r="IL42" s="175"/>
      <c r="IM42" s="175"/>
      <c r="IN42" s="175"/>
      <c r="IO42" s="175"/>
      <c r="IP42" s="175"/>
      <c r="IQ42" s="175"/>
    </row>
    <row r="43" spans="1:251" s="146" customFormat="1" ht="21.75" customHeight="1">
      <c r="A43" s="179">
        <v>36</v>
      </c>
      <c r="B43" s="458" t="s">
        <v>270</v>
      </c>
      <c r="C43" s="459" t="s">
        <v>271</v>
      </c>
      <c r="D43" s="460"/>
      <c r="E43" s="460">
        <v>24</v>
      </c>
      <c r="F43" s="459" t="s">
        <v>229</v>
      </c>
      <c r="G43" s="460" t="s">
        <v>186</v>
      </c>
      <c r="H43" s="407" t="s">
        <v>190</v>
      </c>
      <c r="I43" s="180">
        <f t="shared" si="4"/>
        <v>420000</v>
      </c>
      <c r="J43" s="408" t="s">
        <v>428</v>
      </c>
      <c r="K43" s="183">
        <f t="shared" si="5"/>
        <v>300000</v>
      </c>
      <c r="L43" s="408" t="s">
        <v>431</v>
      </c>
      <c r="M43" s="181">
        <f t="shared" si="6"/>
        <v>300000</v>
      </c>
      <c r="N43" s="181">
        <f t="shared" si="7"/>
        <v>1020000</v>
      </c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5"/>
      <c r="CA43" s="175"/>
      <c r="CB43" s="175"/>
      <c r="CC43" s="175"/>
      <c r="CD43" s="175"/>
      <c r="CE43" s="175"/>
      <c r="CF43" s="175"/>
      <c r="CG43" s="175"/>
      <c r="CH43" s="175"/>
      <c r="CI43" s="175"/>
      <c r="CJ43" s="175"/>
      <c r="CK43" s="175"/>
      <c r="CL43" s="175"/>
      <c r="CM43" s="175"/>
      <c r="CN43" s="175"/>
      <c r="CO43" s="175"/>
      <c r="CP43" s="175"/>
      <c r="CQ43" s="175"/>
      <c r="CR43" s="175"/>
      <c r="CS43" s="175"/>
      <c r="CT43" s="175"/>
      <c r="CU43" s="175"/>
      <c r="CV43" s="175"/>
      <c r="CW43" s="175"/>
      <c r="CX43" s="175"/>
      <c r="CY43" s="175"/>
      <c r="CZ43" s="175"/>
      <c r="DA43" s="175"/>
      <c r="DB43" s="175"/>
      <c r="DC43" s="175"/>
      <c r="DD43" s="175"/>
      <c r="DE43" s="175"/>
      <c r="DF43" s="175"/>
      <c r="DG43" s="175"/>
      <c r="DH43" s="175"/>
      <c r="DI43" s="175"/>
      <c r="DJ43" s="175"/>
      <c r="DK43" s="175"/>
      <c r="DL43" s="175"/>
      <c r="DM43" s="175"/>
      <c r="DN43" s="175"/>
      <c r="DO43" s="175"/>
      <c r="DP43" s="175"/>
      <c r="DQ43" s="175"/>
      <c r="DR43" s="175"/>
      <c r="DS43" s="175"/>
      <c r="DT43" s="175"/>
      <c r="DU43" s="175"/>
      <c r="DV43" s="175"/>
      <c r="DW43" s="175"/>
      <c r="DX43" s="175"/>
      <c r="DY43" s="175"/>
      <c r="DZ43" s="175"/>
      <c r="EA43" s="175"/>
      <c r="EB43" s="175"/>
      <c r="EC43" s="175"/>
      <c r="ED43" s="175"/>
      <c r="EE43" s="175"/>
      <c r="EF43" s="175"/>
      <c r="EG43" s="175"/>
      <c r="EH43" s="175"/>
      <c r="EI43" s="175"/>
      <c r="EJ43" s="175"/>
      <c r="EK43" s="175"/>
      <c r="EL43" s="175"/>
      <c r="EM43" s="175"/>
      <c r="EN43" s="175"/>
      <c r="EO43" s="175"/>
      <c r="EP43" s="175"/>
      <c r="EQ43" s="175"/>
      <c r="ER43" s="175"/>
      <c r="ES43" s="175"/>
      <c r="ET43" s="175"/>
      <c r="EU43" s="175"/>
      <c r="EV43" s="175"/>
      <c r="EW43" s="175"/>
      <c r="EX43" s="175"/>
      <c r="EY43" s="175"/>
      <c r="EZ43" s="175"/>
      <c r="FA43" s="175"/>
      <c r="FB43" s="175"/>
      <c r="FC43" s="175"/>
      <c r="FD43" s="175"/>
      <c r="FE43" s="175"/>
      <c r="FF43" s="175"/>
      <c r="FG43" s="175"/>
      <c r="FH43" s="175"/>
      <c r="FI43" s="175"/>
      <c r="FJ43" s="175"/>
      <c r="FK43" s="175"/>
      <c r="FL43" s="175"/>
      <c r="FM43" s="175"/>
      <c r="FN43" s="175"/>
      <c r="FO43" s="175"/>
      <c r="FP43" s="175"/>
      <c r="FQ43" s="175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  <c r="HN43" s="175"/>
      <c r="HO43" s="175"/>
      <c r="HP43" s="175"/>
      <c r="HQ43" s="175"/>
      <c r="HR43" s="175"/>
      <c r="HS43" s="175"/>
      <c r="HT43" s="175"/>
      <c r="HU43" s="175"/>
      <c r="HV43" s="175"/>
      <c r="HW43" s="175"/>
      <c r="HX43" s="175"/>
      <c r="HY43" s="175"/>
      <c r="HZ43" s="175"/>
      <c r="IA43" s="175"/>
      <c r="IB43" s="175"/>
      <c r="IC43" s="175"/>
      <c r="ID43" s="175"/>
      <c r="IE43" s="175"/>
      <c r="IF43" s="175"/>
      <c r="IG43" s="175"/>
      <c r="IH43" s="175"/>
      <c r="II43" s="175"/>
      <c r="IJ43" s="175"/>
      <c r="IK43" s="175"/>
      <c r="IL43" s="175"/>
      <c r="IM43" s="175"/>
      <c r="IN43" s="175"/>
      <c r="IO43" s="175"/>
      <c r="IP43" s="175"/>
      <c r="IQ43" s="175"/>
    </row>
    <row r="44" spans="1:251" s="146" customFormat="1" ht="21.75" customHeight="1">
      <c r="A44" s="179">
        <v>37</v>
      </c>
      <c r="B44" s="458" t="s">
        <v>270</v>
      </c>
      <c r="C44" s="459" t="s">
        <v>272</v>
      </c>
      <c r="D44" s="460"/>
      <c r="E44" s="460">
        <v>15</v>
      </c>
      <c r="F44" s="459" t="s">
        <v>229</v>
      </c>
      <c r="G44" s="460" t="s">
        <v>186</v>
      </c>
      <c r="H44" s="407" t="s">
        <v>159</v>
      </c>
      <c r="I44" s="180">
        <f t="shared" si="4"/>
        <v>420000</v>
      </c>
      <c r="J44" s="408" t="s">
        <v>428</v>
      </c>
      <c r="K44" s="183">
        <f t="shared" si="5"/>
        <v>300000</v>
      </c>
      <c r="L44" s="408" t="s">
        <v>435</v>
      </c>
      <c r="M44" s="181">
        <f t="shared" si="6"/>
        <v>300000</v>
      </c>
      <c r="N44" s="181">
        <f t="shared" si="7"/>
        <v>1020000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5"/>
      <c r="CA44" s="175"/>
      <c r="CB44" s="175"/>
      <c r="CC44" s="175"/>
      <c r="CD44" s="175"/>
      <c r="CE44" s="175"/>
      <c r="CF44" s="175"/>
      <c r="CG44" s="175"/>
      <c r="CH44" s="175"/>
      <c r="CI44" s="175"/>
      <c r="CJ44" s="175"/>
      <c r="CK44" s="175"/>
      <c r="CL44" s="175"/>
      <c r="CM44" s="175"/>
      <c r="CN44" s="175"/>
      <c r="CO44" s="175"/>
      <c r="CP44" s="175"/>
      <c r="CQ44" s="175"/>
      <c r="CR44" s="175"/>
      <c r="CS44" s="175"/>
      <c r="CT44" s="175"/>
      <c r="CU44" s="175"/>
      <c r="CV44" s="175"/>
      <c r="CW44" s="175"/>
      <c r="CX44" s="175"/>
      <c r="CY44" s="175"/>
      <c r="CZ44" s="175"/>
      <c r="DA44" s="175"/>
      <c r="DB44" s="175"/>
      <c r="DC44" s="175"/>
      <c r="DD44" s="175"/>
      <c r="DE44" s="175"/>
      <c r="DF44" s="175"/>
      <c r="DG44" s="175"/>
      <c r="DH44" s="175"/>
      <c r="DI44" s="175"/>
      <c r="DJ44" s="175"/>
      <c r="DK44" s="175"/>
      <c r="DL44" s="175"/>
      <c r="DM44" s="175"/>
      <c r="DN44" s="175"/>
      <c r="DO44" s="175"/>
      <c r="DP44" s="175"/>
      <c r="DQ44" s="175"/>
      <c r="DR44" s="175"/>
      <c r="DS44" s="175"/>
      <c r="DT44" s="175"/>
      <c r="DU44" s="175"/>
      <c r="DV44" s="175"/>
      <c r="DW44" s="175"/>
      <c r="DX44" s="175"/>
      <c r="DY44" s="175"/>
      <c r="DZ44" s="175"/>
      <c r="EA44" s="175"/>
      <c r="EB44" s="175"/>
      <c r="EC44" s="175"/>
      <c r="ED44" s="175"/>
      <c r="EE44" s="175"/>
      <c r="EF44" s="175"/>
      <c r="EG44" s="175"/>
      <c r="EH44" s="175"/>
      <c r="EI44" s="175"/>
      <c r="EJ44" s="175"/>
      <c r="EK44" s="175"/>
      <c r="EL44" s="175"/>
      <c r="EM44" s="175"/>
      <c r="EN44" s="175"/>
      <c r="EO44" s="175"/>
      <c r="EP44" s="175"/>
      <c r="EQ44" s="175"/>
      <c r="ER44" s="175"/>
      <c r="ES44" s="175"/>
      <c r="ET44" s="175"/>
      <c r="EU44" s="175"/>
      <c r="EV44" s="175"/>
      <c r="EW44" s="175"/>
      <c r="EX44" s="175"/>
      <c r="EY44" s="175"/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175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  <c r="HN44" s="175"/>
      <c r="HO44" s="175"/>
      <c r="HP44" s="175"/>
      <c r="HQ44" s="175"/>
      <c r="HR44" s="175"/>
      <c r="HS44" s="175"/>
      <c r="HT44" s="175"/>
      <c r="HU44" s="175"/>
      <c r="HV44" s="175"/>
      <c r="HW44" s="175"/>
      <c r="HX44" s="175"/>
      <c r="HY44" s="175"/>
      <c r="HZ44" s="175"/>
      <c r="IA44" s="175"/>
      <c r="IB44" s="175"/>
      <c r="IC44" s="175"/>
      <c r="ID44" s="175"/>
      <c r="IE44" s="175"/>
      <c r="IF44" s="175"/>
      <c r="IG44" s="175"/>
      <c r="IH44" s="175"/>
      <c r="II44" s="175"/>
      <c r="IJ44" s="175"/>
      <c r="IK44" s="175"/>
      <c r="IL44" s="175"/>
      <c r="IM44" s="175"/>
      <c r="IN44" s="175"/>
      <c r="IO44" s="175"/>
      <c r="IP44" s="175"/>
      <c r="IQ44" s="175"/>
    </row>
    <row r="45" spans="1:251" s="146" customFormat="1" ht="21.75" customHeight="1">
      <c r="A45" s="179">
        <v>38</v>
      </c>
      <c r="B45" s="458" t="s">
        <v>270</v>
      </c>
      <c r="C45" s="459" t="s">
        <v>453</v>
      </c>
      <c r="D45" s="460">
        <v>25</v>
      </c>
      <c r="E45" s="460"/>
      <c r="F45" s="459" t="s">
        <v>218</v>
      </c>
      <c r="G45" s="460" t="s">
        <v>445</v>
      </c>
      <c r="H45" s="407" t="s">
        <v>159</v>
      </c>
      <c r="I45" s="180">
        <f t="shared" si="4"/>
        <v>187500</v>
      </c>
      <c r="J45" s="408" t="s">
        <v>428</v>
      </c>
      <c r="K45" s="183">
        <f t="shared" si="5"/>
        <v>135000</v>
      </c>
      <c r="L45" s="408" t="s">
        <v>434</v>
      </c>
      <c r="M45" s="181">
        <f t="shared" si="6"/>
        <v>135000</v>
      </c>
      <c r="N45" s="181">
        <f t="shared" si="7"/>
        <v>457500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75"/>
      <c r="BU45" s="175"/>
      <c r="BV45" s="175"/>
      <c r="BW45" s="175"/>
      <c r="BX45" s="175"/>
      <c r="BY45" s="175"/>
      <c r="BZ45" s="175"/>
      <c r="CA45" s="175"/>
      <c r="CB45" s="175"/>
      <c r="CC45" s="175"/>
      <c r="CD45" s="175"/>
      <c r="CE45" s="175"/>
      <c r="CF45" s="175"/>
      <c r="CG45" s="175"/>
      <c r="CH45" s="175"/>
      <c r="CI45" s="175"/>
      <c r="CJ45" s="175"/>
      <c r="CK45" s="175"/>
      <c r="CL45" s="175"/>
      <c r="CM45" s="175"/>
      <c r="CN45" s="175"/>
      <c r="CO45" s="175"/>
      <c r="CP45" s="175"/>
      <c r="CQ45" s="175"/>
      <c r="CR45" s="175"/>
      <c r="CS45" s="175"/>
      <c r="CT45" s="175"/>
      <c r="CU45" s="175"/>
      <c r="CV45" s="175"/>
      <c r="CW45" s="175"/>
      <c r="CX45" s="175"/>
      <c r="CY45" s="175"/>
      <c r="CZ45" s="175"/>
      <c r="DA45" s="175"/>
      <c r="DB45" s="175"/>
      <c r="DC45" s="175"/>
      <c r="DD45" s="175"/>
      <c r="DE45" s="175"/>
      <c r="DF45" s="175"/>
      <c r="DG45" s="175"/>
      <c r="DH45" s="175"/>
      <c r="DI45" s="175"/>
      <c r="DJ45" s="175"/>
      <c r="DK45" s="175"/>
      <c r="DL45" s="175"/>
      <c r="DM45" s="175"/>
      <c r="DN45" s="175"/>
      <c r="DO45" s="175"/>
      <c r="DP45" s="175"/>
      <c r="DQ45" s="175"/>
      <c r="DR45" s="175"/>
      <c r="DS45" s="175"/>
      <c r="DT45" s="175"/>
      <c r="DU45" s="175"/>
      <c r="DV45" s="175"/>
      <c r="DW45" s="175"/>
      <c r="DX45" s="175"/>
      <c r="DY45" s="175"/>
      <c r="DZ45" s="175"/>
      <c r="EA45" s="175"/>
      <c r="EB45" s="175"/>
      <c r="EC45" s="175"/>
      <c r="ED45" s="175"/>
      <c r="EE45" s="175"/>
      <c r="EF45" s="175"/>
      <c r="EG45" s="175"/>
      <c r="EH45" s="175"/>
      <c r="EI45" s="175"/>
      <c r="EJ45" s="175"/>
      <c r="EK45" s="175"/>
      <c r="EL45" s="175"/>
      <c r="EM45" s="175"/>
      <c r="EN45" s="175"/>
      <c r="EO45" s="175"/>
      <c r="EP45" s="175"/>
      <c r="EQ45" s="175"/>
      <c r="ER45" s="175"/>
      <c r="ES45" s="175"/>
      <c r="ET45" s="175"/>
      <c r="EU45" s="175"/>
      <c r="EV45" s="175"/>
      <c r="EW45" s="175"/>
      <c r="EX45" s="175"/>
      <c r="EY45" s="175"/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175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  <c r="HN45" s="175"/>
      <c r="HO45" s="175"/>
      <c r="HP45" s="175"/>
      <c r="HQ45" s="175"/>
      <c r="HR45" s="175"/>
      <c r="HS45" s="175"/>
      <c r="HT45" s="175"/>
      <c r="HU45" s="175"/>
      <c r="HV45" s="175"/>
      <c r="HW45" s="175"/>
      <c r="HX45" s="175"/>
      <c r="HY45" s="175"/>
      <c r="HZ45" s="175"/>
      <c r="IA45" s="175"/>
      <c r="IB45" s="175"/>
      <c r="IC45" s="175"/>
      <c r="ID45" s="175"/>
      <c r="IE45" s="175"/>
      <c r="IF45" s="175"/>
      <c r="IG45" s="175"/>
      <c r="IH45" s="175"/>
      <c r="II45" s="175"/>
      <c r="IJ45" s="175"/>
      <c r="IK45" s="175"/>
      <c r="IL45" s="175"/>
      <c r="IM45" s="175"/>
      <c r="IN45" s="175"/>
      <c r="IO45" s="175"/>
      <c r="IP45" s="175"/>
      <c r="IQ45" s="175"/>
    </row>
    <row r="46" spans="1:251" s="146" customFormat="1" ht="21.75" customHeight="1">
      <c r="A46" s="179">
        <v>39</v>
      </c>
      <c r="B46" s="458" t="s">
        <v>273</v>
      </c>
      <c r="C46" s="459" t="s">
        <v>275</v>
      </c>
      <c r="D46" s="460">
        <v>65</v>
      </c>
      <c r="E46" s="460"/>
      <c r="F46" s="459" t="s">
        <v>229</v>
      </c>
      <c r="G46" s="460" t="s">
        <v>186</v>
      </c>
      <c r="H46" s="407" t="s">
        <v>159</v>
      </c>
      <c r="I46" s="180">
        <f t="shared" si="4"/>
        <v>420000</v>
      </c>
      <c r="J46" s="408" t="s">
        <v>294</v>
      </c>
      <c r="K46" s="183">
        <f t="shared" si="5"/>
        <v>300000</v>
      </c>
      <c r="L46" s="408" t="s">
        <v>435</v>
      </c>
      <c r="M46" s="181">
        <f t="shared" si="6"/>
        <v>300000</v>
      </c>
      <c r="N46" s="181">
        <f t="shared" si="7"/>
        <v>1020000</v>
      </c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75"/>
      <c r="BU46" s="175"/>
      <c r="BV46" s="175"/>
      <c r="BW46" s="175"/>
      <c r="BX46" s="175"/>
      <c r="BY46" s="175"/>
      <c r="BZ46" s="175"/>
      <c r="CA46" s="175"/>
      <c r="CB46" s="175"/>
      <c r="CC46" s="175"/>
      <c r="CD46" s="175"/>
      <c r="CE46" s="175"/>
      <c r="CF46" s="175"/>
      <c r="CG46" s="175"/>
      <c r="CH46" s="175"/>
      <c r="CI46" s="175"/>
      <c r="CJ46" s="175"/>
      <c r="CK46" s="175"/>
      <c r="CL46" s="175"/>
      <c r="CM46" s="175"/>
      <c r="CN46" s="175"/>
      <c r="CO46" s="175"/>
      <c r="CP46" s="175"/>
      <c r="CQ46" s="175"/>
      <c r="CR46" s="175"/>
      <c r="CS46" s="175"/>
      <c r="CT46" s="175"/>
      <c r="CU46" s="175"/>
      <c r="CV46" s="175"/>
      <c r="CW46" s="175"/>
      <c r="CX46" s="175"/>
      <c r="CY46" s="175"/>
      <c r="CZ46" s="175"/>
      <c r="DA46" s="175"/>
      <c r="DB46" s="175"/>
      <c r="DC46" s="175"/>
      <c r="DD46" s="175"/>
      <c r="DE46" s="175"/>
      <c r="DF46" s="175"/>
      <c r="DG46" s="175"/>
      <c r="DH46" s="175"/>
      <c r="DI46" s="175"/>
      <c r="DJ46" s="175"/>
      <c r="DK46" s="175"/>
      <c r="DL46" s="175"/>
      <c r="DM46" s="175"/>
      <c r="DN46" s="175"/>
      <c r="DO46" s="175"/>
      <c r="DP46" s="175"/>
      <c r="DQ46" s="175"/>
      <c r="DR46" s="175"/>
      <c r="DS46" s="175"/>
      <c r="DT46" s="175"/>
      <c r="DU46" s="175"/>
      <c r="DV46" s="175"/>
      <c r="DW46" s="175"/>
      <c r="DX46" s="175"/>
      <c r="DY46" s="175"/>
      <c r="DZ46" s="175"/>
      <c r="EA46" s="175"/>
      <c r="EB46" s="175"/>
      <c r="EC46" s="175"/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175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  <c r="HN46" s="175"/>
      <c r="HO46" s="175"/>
      <c r="HP46" s="175"/>
      <c r="HQ46" s="175"/>
      <c r="HR46" s="175"/>
      <c r="HS46" s="175"/>
      <c r="HT46" s="175"/>
      <c r="HU46" s="175"/>
      <c r="HV46" s="175"/>
      <c r="HW46" s="175"/>
      <c r="HX46" s="175"/>
      <c r="HY46" s="175"/>
      <c r="HZ46" s="175"/>
      <c r="IA46" s="175"/>
      <c r="IB46" s="175"/>
      <c r="IC46" s="175"/>
      <c r="ID46" s="175"/>
      <c r="IE46" s="175"/>
      <c r="IF46" s="175"/>
      <c r="IG46" s="175"/>
      <c r="IH46" s="175"/>
      <c r="II46" s="175"/>
      <c r="IJ46" s="175"/>
      <c r="IK46" s="175"/>
      <c r="IL46" s="175"/>
      <c r="IM46" s="175"/>
      <c r="IN46" s="175"/>
      <c r="IO46" s="175"/>
      <c r="IP46" s="175"/>
      <c r="IQ46" s="175"/>
    </row>
    <row r="47" spans="1:251" s="146" customFormat="1" ht="21.75" customHeight="1">
      <c r="A47" s="179">
        <v>40</v>
      </c>
      <c r="B47" s="458" t="s">
        <v>273</v>
      </c>
      <c r="C47" s="459" t="s">
        <v>276</v>
      </c>
      <c r="D47" s="460"/>
      <c r="E47" s="460">
        <v>37</v>
      </c>
      <c r="F47" s="459" t="s">
        <v>229</v>
      </c>
      <c r="G47" s="460" t="s">
        <v>186</v>
      </c>
      <c r="H47" s="407" t="s">
        <v>277</v>
      </c>
      <c r="I47" s="180">
        <f t="shared" si="4"/>
        <v>420000</v>
      </c>
      <c r="J47" s="408" t="s">
        <v>212</v>
      </c>
      <c r="K47" s="183">
        <f t="shared" si="5"/>
        <v>300000</v>
      </c>
      <c r="L47" s="408" t="s">
        <v>436</v>
      </c>
      <c r="M47" s="181">
        <f t="shared" si="6"/>
        <v>300000</v>
      </c>
      <c r="N47" s="181">
        <f t="shared" si="7"/>
        <v>1020000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  <c r="BW47" s="175"/>
      <c r="BX47" s="175"/>
      <c r="BY47" s="175"/>
      <c r="BZ47" s="175"/>
      <c r="CA47" s="175"/>
      <c r="CB47" s="175"/>
      <c r="CC47" s="175"/>
      <c r="CD47" s="175"/>
      <c r="CE47" s="175"/>
      <c r="CF47" s="175"/>
      <c r="CG47" s="175"/>
      <c r="CH47" s="175"/>
      <c r="CI47" s="175"/>
      <c r="CJ47" s="175"/>
      <c r="CK47" s="175"/>
      <c r="CL47" s="175"/>
      <c r="CM47" s="175"/>
      <c r="CN47" s="175"/>
      <c r="CO47" s="175"/>
      <c r="CP47" s="175"/>
      <c r="CQ47" s="175"/>
      <c r="CR47" s="175"/>
      <c r="CS47" s="175"/>
      <c r="CT47" s="175"/>
      <c r="CU47" s="175"/>
      <c r="CV47" s="175"/>
      <c r="CW47" s="175"/>
      <c r="CX47" s="175"/>
      <c r="CY47" s="175"/>
      <c r="CZ47" s="175"/>
      <c r="DA47" s="175"/>
      <c r="DB47" s="175"/>
      <c r="DC47" s="175"/>
      <c r="DD47" s="175"/>
      <c r="DE47" s="175"/>
      <c r="DF47" s="175"/>
      <c r="DG47" s="175"/>
      <c r="DH47" s="175"/>
      <c r="DI47" s="175"/>
      <c r="DJ47" s="175"/>
      <c r="DK47" s="175"/>
      <c r="DL47" s="175"/>
      <c r="DM47" s="175"/>
      <c r="DN47" s="175"/>
      <c r="DO47" s="175"/>
      <c r="DP47" s="175"/>
      <c r="DQ47" s="175"/>
      <c r="DR47" s="175"/>
      <c r="DS47" s="175"/>
      <c r="DT47" s="175"/>
      <c r="DU47" s="175"/>
      <c r="DV47" s="175"/>
      <c r="DW47" s="175"/>
      <c r="DX47" s="175"/>
      <c r="DY47" s="175"/>
      <c r="DZ47" s="175"/>
      <c r="EA47" s="175"/>
      <c r="EB47" s="175"/>
      <c r="EC47" s="175"/>
      <c r="ED47" s="175"/>
      <c r="EE47" s="175"/>
      <c r="EF47" s="175"/>
      <c r="EG47" s="175"/>
      <c r="EH47" s="175"/>
      <c r="EI47" s="175"/>
      <c r="EJ47" s="175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175"/>
      <c r="FI47" s="175"/>
      <c r="FJ47" s="175"/>
      <c r="FK47" s="175"/>
      <c r="FL47" s="175"/>
      <c r="FM47" s="175"/>
      <c r="FN47" s="175"/>
      <c r="FO47" s="175"/>
      <c r="FP47" s="175"/>
      <c r="FQ47" s="175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  <c r="HN47" s="175"/>
      <c r="HO47" s="175"/>
      <c r="HP47" s="175"/>
      <c r="HQ47" s="175"/>
      <c r="HR47" s="175"/>
      <c r="HS47" s="175"/>
      <c r="HT47" s="175"/>
      <c r="HU47" s="175"/>
      <c r="HV47" s="175"/>
      <c r="HW47" s="175"/>
      <c r="HX47" s="175"/>
      <c r="HY47" s="175"/>
      <c r="HZ47" s="175"/>
      <c r="IA47" s="175"/>
      <c r="IB47" s="175"/>
      <c r="IC47" s="175"/>
      <c r="ID47" s="175"/>
      <c r="IE47" s="175"/>
      <c r="IF47" s="175"/>
      <c r="IG47" s="175"/>
      <c r="IH47" s="175"/>
      <c r="II47" s="175"/>
      <c r="IJ47" s="175"/>
      <c r="IK47" s="175"/>
      <c r="IL47" s="175"/>
      <c r="IM47" s="175"/>
      <c r="IN47" s="175"/>
      <c r="IO47" s="175"/>
      <c r="IP47" s="175"/>
      <c r="IQ47" s="175"/>
    </row>
    <row r="48" spans="1:251" s="146" customFormat="1" ht="21.75" customHeight="1">
      <c r="A48" s="179">
        <v>41</v>
      </c>
      <c r="B48" s="458" t="s">
        <v>273</v>
      </c>
      <c r="C48" s="459" t="s">
        <v>278</v>
      </c>
      <c r="D48" s="460">
        <v>28</v>
      </c>
      <c r="E48" s="460"/>
      <c r="F48" s="459" t="s">
        <v>279</v>
      </c>
      <c r="G48" s="460" t="s">
        <v>186</v>
      </c>
      <c r="H48" s="407" t="s">
        <v>277</v>
      </c>
      <c r="I48" s="180">
        <f t="shared" si="4"/>
        <v>420000</v>
      </c>
      <c r="J48" s="408" t="s">
        <v>212</v>
      </c>
      <c r="K48" s="183">
        <f t="shared" si="5"/>
        <v>300000</v>
      </c>
      <c r="L48" s="408" t="s">
        <v>436</v>
      </c>
      <c r="M48" s="181">
        <f t="shared" si="6"/>
        <v>300000</v>
      </c>
      <c r="N48" s="181">
        <f t="shared" si="7"/>
        <v>1020000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  <c r="BT48" s="175"/>
      <c r="BU48" s="175"/>
      <c r="BV48" s="175"/>
      <c r="BW48" s="175"/>
      <c r="BX48" s="175"/>
      <c r="BY48" s="175"/>
      <c r="BZ48" s="175"/>
      <c r="CA48" s="175"/>
      <c r="CB48" s="175"/>
      <c r="CC48" s="175"/>
      <c r="CD48" s="175"/>
      <c r="CE48" s="175"/>
      <c r="CF48" s="175"/>
      <c r="CG48" s="175"/>
      <c r="CH48" s="175"/>
      <c r="CI48" s="175"/>
      <c r="CJ48" s="175"/>
      <c r="CK48" s="175"/>
      <c r="CL48" s="175"/>
      <c r="CM48" s="175"/>
      <c r="CN48" s="175"/>
      <c r="CO48" s="175"/>
      <c r="CP48" s="175"/>
      <c r="CQ48" s="175"/>
      <c r="CR48" s="175"/>
      <c r="CS48" s="175"/>
      <c r="CT48" s="175"/>
      <c r="CU48" s="175"/>
      <c r="CV48" s="175"/>
      <c r="CW48" s="175"/>
      <c r="CX48" s="175"/>
      <c r="CY48" s="175"/>
      <c r="CZ48" s="175"/>
      <c r="DA48" s="175"/>
      <c r="DB48" s="175"/>
      <c r="DC48" s="175"/>
      <c r="DD48" s="175"/>
      <c r="DE48" s="175"/>
      <c r="DF48" s="175"/>
      <c r="DG48" s="175"/>
      <c r="DH48" s="175"/>
      <c r="DI48" s="175"/>
      <c r="DJ48" s="175"/>
      <c r="DK48" s="175"/>
      <c r="DL48" s="175"/>
      <c r="DM48" s="175"/>
      <c r="DN48" s="175"/>
      <c r="DO48" s="175"/>
      <c r="DP48" s="175"/>
      <c r="DQ48" s="175"/>
      <c r="DR48" s="175"/>
      <c r="DS48" s="175"/>
      <c r="DT48" s="175"/>
      <c r="DU48" s="175"/>
      <c r="DV48" s="175"/>
      <c r="DW48" s="175"/>
      <c r="DX48" s="175"/>
      <c r="DY48" s="175"/>
      <c r="DZ48" s="175"/>
      <c r="EA48" s="175"/>
      <c r="EB48" s="175"/>
      <c r="EC48" s="175"/>
      <c r="ED48" s="175"/>
      <c r="EE48" s="175"/>
      <c r="EF48" s="175"/>
      <c r="EG48" s="175"/>
      <c r="EH48" s="175"/>
      <c r="EI48" s="175"/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175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  <c r="HN48" s="175"/>
      <c r="HO48" s="175"/>
      <c r="HP48" s="175"/>
      <c r="HQ48" s="175"/>
      <c r="HR48" s="175"/>
      <c r="HS48" s="175"/>
      <c r="HT48" s="175"/>
      <c r="HU48" s="175"/>
      <c r="HV48" s="175"/>
      <c r="HW48" s="175"/>
      <c r="HX48" s="175"/>
      <c r="HY48" s="175"/>
      <c r="HZ48" s="175"/>
      <c r="IA48" s="175"/>
      <c r="IB48" s="175"/>
      <c r="IC48" s="175"/>
      <c r="ID48" s="175"/>
      <c r="IE48" s="175"/>
      <c r="IF48" s="175"/>
      <c r="IG48" s="175"/>
      <c r="IH48" s="175"/>
      <c r="II48" s="175"/>
      <c r="IJ48" s="175"/>
      <c r="IK48" s="175"/>
      <c r="IL48" s="175"/>
      <c r="IM48" s="175"/>
      <c r="IN48" s="175"/>
      <c r="IO48" s="175"/>
      <c r="IP48" s="175"/>
      <c r="IQ48" s="175"/>
    </row>
    <row r="49" spans="1:251" s="146" customFormat="1" ht="21.75" customHeight="1">
      <c r="A49" s="179">
        <v>42</v>
      </c>
      <c r="B49" s="458" t="s">
        <v>273</v>
      </c>
      <c r="C49" s="459" t="s">
        <v>281</v>
      </c>
      <c r="D49" s="460">
        <v>39</v>
      </c>
      <c r="E49" s="460"/>
      <c r="F49" s="459" t="s">
        <v>279</v>
      </c>
      <c r="G49" s="460" t="s">
        <v>186</v>
      </c>
      <c r="H49" s="407" t="s">
        <v>212</v>
      </c>
      <c r="I49" s="180">
        <f t="shared" si="4"/>
        <v>420000</v>
      </c>
      <c r="J49" s="408" t="s">
        <v>294</v>
      </c>
      <c r="K49" s="183">
        <f t="shared" si="5"/>
        <v>300000</v>
      </c>
      <c r="L49" s="408" t="s">
        <v>436</v>
      </c>
      <c r="M49" s="181">
        <f t="shared" si="6"/>
        <v>300000</v>
      </c>
      <c r="N49" s="181">
        <f t="shared" si="7"/>
        <v>1020000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175"/>
      <c r="BV49" s="175"/>
      <c r="BW49" s="175"/>
      <c r="BX49" s="175"/>
      <c r="BY49" s="175"/>
      <c r="BZ49" s="175"/>
      <c r="CA49" s="175"/>
      <c r="CB49" s="175"/>
      <c r="CC49" s="175"/>
      <c r="CD49" s="175"/>
      <c r="CE49" s="175"/>
      <c r="CF49" s="175"/>
      <c r="CG49" s="175"/>
      <c r="CH49" s="175"/>
      <c r="CI49" s="175"/>
      <c r="CJ49" s="175"/>
      <c r="CK49" s="175"/>
      <c r="CL49" s="175"/>
      <c r="CM49" s="175"/>
      <c r="CN49" s="175"/>
      <c r="CO49" s="175"/>
      <c r="CP49" s="175"/>
      <c r="CQ49" s="175"/>
      <c r="CR49" s="175"/>
      <c r="CS49" s="175"/>
      <c r="CT49" s="175"/>
      <c r="CU49" s="175"/>
      <c r="CV49" s="175"/>
      <c r="CW49" s="175"/>
      <c r="CX49" s="175"/>
      <c r="CY49" s="175"/>
      <c r="CZ49" s="175"/>
      <c r="DA49" s="175"/>
      <c r="DB49" s="175"/>
      <c r="DC49" s="175"/>
      <c r="DD49" s="175"/>
      <c r="DE49" s="175"/>
      <c r="DF49" s="175"/>
      <c r="DG49" s="175"/>
      <c r="DH49" s="175"/>
      <c r="DI49" s="175"/>
      <c r="DJ49" s="175"/>
      <c r="DK49" s="175"/>
      <c r="DL49" s="175"/>
      <c r="DM49" s="175"/>
      <c r="DN49" s="175"/>
      <c r="DO49" s="175"/>
      <c r="DP49" s="175"/>
      <c r="DQ49" s="175"/>
      <c r="DR49" s="175"/>
      <c r="DS49" s="175"/>
      <c r="DT49" s="175"/>
      <c r="DU49" s="175"/>
      <c r="DV49" s="175"/>
      <c r="DW49" s="175"/>
      <c r="DX49" s="175"/>
      <c r="DY49" s="175"/>
      <c r="DZ49" s="175"/>
      <c r="EA49" s="175"/>
      <c r="EB49" s="175"/>
      <c r="EC49" s="175"/>
      <c r="ED49" s="175"/>
      <c r="EE49" s="175"/>
      <c r="EF49" s="175"/>
      <c r="EG49" s="175"/>
      <c r="EH49" s="175"/>
      <c r="EI49" s="175"/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175"/>
      <c r="FI49" s="175"/>
      <c r="FJ49" s="175"/>
      <c r="FK49" s="175"/>
      <c r="FL49" s="175"/>
      <c r="FM49" s="175"/>
      <c r="FN49" s="175"/>
      <c r="FO49" s="175"/>
      <c r="FP49" s="175"/>
      <c r="FQ49" s="175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  <c r="HN49" s="175"/>
      <c r="HO49" s="175"/>
      <c r="HP49" s="175"/>
      <c r="HQ49" s="175"/>
      <c r="HR49" s="175"/>
      <c r="HS49" s="175"/>
      <c r="HT49" s="175"/>
      <c r="HU49" s="175"/>
      <c r="HV49" s="175"/>
      <c r="HW49" s="175"/>
      <c r="HX49" s="175"/>
      <c r="HY49" s="175"/>
      <c r="HZ49" s="175"/>
      <c r="IA49" s="175"/>
      <c r="IB49" s="175"/>
      <c r="IC49" s="175"/>
      <c r="ID49" s="175"/>
      <c r="IE49" s="175"/>
      <c r="IF49" s="175"/>
      <c r="IG49" s="175"/>
      <c r="IH49" s="175"/>
      <c r="II49" s="175"/>
      <c r="IJ49" s="175"/>
      <c r="IK49" s="175"/>
      <c r="IL49" s="175"/>
      <c r="IM49" s="175"/>
      <c r="IN49" s="175"/>
      <c r="IO49" s="175"/>
      <c r="IP49" s="175"/>
      <c r="IQ49" s="175"/>
    </row>
    <row r="50" spans="1:251" s="146" customFormat="1" ht="21.75" customHeight="1">
      <c r="A50" s="179">
        <v>43</v>
      </c>
      <c r="B50" s="458" t="s">
        <v>273</v>
      </c>
      <c r="C50" s="459" t="s">
        <v>285</v>
      </c>
      <c r="D50" s="460">
        <v>50</v>
      </c>
      <c r="E50" s="460"/>
      <c r="F50" s="459" t="s">
        <v>279</v>
      </c>
      <c r="G50" s="460" t="s">
        <v>186</v>
      </c>
      <c r="H50" s="407" t="s">
        <v>212</v>
      </c>
      <c r="I50" s="180">
        <f t="shared" si="4"/>
        <v>420000</v>
      </c>
      <c r="J50" s="408" t="s">
        <v>294</v>
      </c>
      <c r="K50" s="183">
        <f t="shared" si="5"/>
        <v>300000</v>
      </c>
      <c r="L50" s="408" t="s">
        <v>436</v>
      </c>
      <c r="M50" s="181">
        <f t="shared" si="6"/>
        <v>300000</v>
      </c>
      <c r="N50" s="181">
        <f t="shared" si="7"/>
        <v>1020000</v>
      </c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5"/>
      <c r="CJ50" s="175"/>
      <c r="CK50" s="175"/>
      <c r="CL50" s="175"/>
      <c r="CM50" s="175"/>
      <c r="CN50" s="175"/>
      <c r="CO50" s="175"/>
      <c r="CP50" s="175"/>
      <c r="CQ50" s="175"/>
      <c r="CR50" s="175"/>
      <c r="CS50" s="175"/>
      <c r="CT50" s="175"/>
      <c r="CU50" s="175"/>
      <c r="CV50" s="175"/>
      <c r="CW50" s="175"/>
      <c r="CX50" s="175"/>
      <c r="CY50" s="175"/>
      <c r="CZ50" s="175"/>
      <c r="DA50" s="175"/>
      <c r="DB50" s="175"/>
      <c r="DC50" s="175"/>
      <c r="DD50" s="175"/>
      <c r="DE50" s="175"/>
      <c r="DF50" s="175"/>
      <c r="DG50" s="175"/>
      <c r="DH50" s="175"/>
      <c r="DI50" s="175"/>
      <c r="DJ50" s="175"/>
      <c r="DK50" s="175"/>
      <c r="DL50" s="175"/>
      <c r="DM50" s="175"/>
      <c r="DN50" s="175"/>
      <c r="DO50" s="175"/>
      <c r="DP50" s="175"/>
      <c r="DQ50" s="175"/>
      <c r="DR50" s="175"/>
      <c r="DS50" s="175"/>
      <c r="DT50" s="175"/>
      <c r="DU50" s="175"/>
      <c r="DV50" s="175"/>
      <c r="DW50" s="175"/>
      <c r="DX50" s="175"/>
      <c r="DY50" s="175"/>
      <c r="DZ50" s="175"/>
      <c r="EA50" s="175"/>
      <c r="EB50" s="175"/>
      <c r="EC50" s="175"/>
      <c r="ED50" s="175"/>
      <c r="EE50" s="175"/>
      <c r="EF50" s="175"/>
      <c r="EG50" s="175"/>
      <c r="EH50" s="175"/>
      <c r="EI50" s="175"/>
      <c r="EJ50" s="175"/>
      <c r="EK50" s="175"/>
      <c r="EL50" s="175"/>
      <c r="EM50" s="175"/>
      <c r="EN50" s="175"/>
      <c r="EO50" s="175"/>
      <c r="EP50" s="175"/>
      <c r="EQ50" s="175"/>
      <c r="ER50" s="175"/>
      <c r="ES50" s="175"/>
      <c r="ET50" s="175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175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  <c r="HN50" s="175"/>
      <c r="HO50" s="175"/>
      <c r="HP50" s="175"/>
      <c r="HQ50" s="175"/>
      <c r="HR50" s="175"/>
      <c r="HS50" s="175"/>
      <c r="HT50" s="175"/>
      <c r="HU50" s="175"/>
      <c r="HV50" s="175"/>
      <c r="HW50" s="175"/>
      <c r="HX50" s="175"/>
      <c r="HY50" s="175"/>
      <c r="HZ50" s="175"/>
      <c r="IA50" s="175"/>
      <c r="IB50" s="175"/>
      <c r="IC50" s="175"/>
      <c r="ID50" s="175"/>
      <c r="IE50" s="175"/>
      <c r="IF50" s="175"/>
      <c r="IG50" s="175"/>
      <c r="IH50" s="175"/>
      <c r="II50" s="175"/>
      <c r="IJ50" s="175"/>
      <c r="IK50" s="175"/>
      <c r="IL50" s="175"/>
      <c r="IM50" s="175"/>
      <c r="IN50" s="175"/>
      <c r="IO50" s="175"/>
      <c r="IP50" s="175"/>
      <c r="IQ50" s="175"/>
    </row>
    <row r="51" spans="1:251" s="146" customFormat="1" ht="21.75" customHeight="1">
      <c r="A51" s="179">
        <v>44</v>
      </c>
      <c r="B51" s="458" t="s">
        <v>273</v>
      </c>
      <c r="C51" s="459" t="s">
        <v>286</v>
      </c>
      <c r="D51" s="460">
        <v>37</v>
      </c>
      <c r="E51" s="460"/>
      <c r="F51" s="459" t="s">
        <v>229</v>
      </c>
      <c r="G51" s="460" t="s">
        <v>186</v>
      </c>
      <c r="H51" s="407" t="s">
        <v>183</v>
      </c>
      <c r="I51" s="180">
        <f t="shared" si="4"/>
        <v>420000</v>
      </c>
      <c r="J51" s="408" t="s">
        <v>435</v>
      </c>
      <c r="K51" s="183">
        <f t="shared" si="5"/>
        <v>300000</v>
      </c>
      <c r="L51" s="408" t="s">
        <v>430</v>
      </c>
      <c r="M51" s="181">
        <f t="shared" si="6"/>
        <v>300000</v>
      </c>
      <c r="N51" s="181">
        <f t="shared" si="7"/>
        <v>1020000</v>
      </c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  <c r="IH51" s="175"/>
      <c r="II51" s="175"/>
      <c r="IJ51" s="175"/>
      <c r="IK51" s="175"/>
      <c r="IL51" s="175"/>
      <c r="IM51" s="175"/>
      <c r="IN51" s="175"/>
      <c r="IO51" s="175"/>
      <c r="IP51" s="175"/>
      <c r="IQ51" s="175"/>
    </row>
    <row r="52" spans="1:251" s="146" customFormat="1" ht="21.75" customHeight="1">
      <c r="A52" s="179">
        <v>45</v>
      </c>
      <c r="B52" s="458" t="s">
        <v>288</v>
      </c>
      <c r="C52" s="459" t="s">
        <v>291</v>
      </c>
      <c r="D52" s="460">
        <v>60</v>
      </c>
      <c r="E52" s="460"/>
      <c r="F52" s="459" t="s">
        <v>292</v>
      </c>
      <c r="G52" s="460" t="s">
        <v>186</v>
      </c>
      <c r="H52" s="407" t="s">
        <v>212</v>
      </c>
      <c r="I52" s="180">
        <f t="shared" si="4"/>
        <v>420000</v>
      </c>
      <c r="J52" s="408" t="s">
        <v>294</v>
      </c>
      <c r="K52" s="183">
        <f t="shared" si="5"/>
        <v>300000</v>
      </c>
      <c r="L52" s="408" t="s">
        <v>56</v>
      </c>
      <c r="M52" s="181">
        <f t="shared" si="6"/>
        <v>0</v>
      </c>
      <c r="N52" s="181">
        <f t="shared" si="7"/>
        <v>720000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  <c r="IH52" s="175"/>
      <c r="II52" s="175"/>
      <c r="IJ52" s="175"/>
      <c r="IK52" s="175"/>
      <c r="IL52" s="175"/>
      <c r="IM52" s="175"/>
      <c r="IN52" s="175"/>
      <c r="IO52" s="175"/>
      <c r="IP52" s="175"/>
      <c r="IQ52" s="175"/>
    </row>
    <row r="53" spans="1:251" s="146" customFormat="1" ht="21.75" customHeight="1">
      <c r="A53" s="179">
        <v>46</v>
      </c>
      <c r="B53" s="458" t="s">
        <v>288</v>
      </c>
      <c r="C53" s="459" t="s">
        <v>293</v>
      </c>
      <c r="D53" s="460">
        <v>39</v>
      </c>
      <c r="E53" s="460"/>
      <c r="F53" s="459" t="s">
        <v>259</v>
      </c>
      <c r="G53" s="460" t="s">
        <v>186</v>
      </c>
      <c r="H53" s="407" t="s">
        <v>294</v>
      </c>
      <c r="I53" s="180">
        <f t="shared" si="4"/>
        <v>420000</v>
      </c>
      <c r="J53" s="408" t="s">
        <v>212</v>
      </c>
      <c r="K53" s="183">
        <f t="shared" si="5"/>
        <v>300000</v>
      </c>
      <c r="L53" s="408" t="s">
        <v>435</v>
      </c>
      <c r="M53" s="181">
        <f t="shared" si="6"/>
        <v>300000</v>
      </c>
      <c r="N53" s="181">
        <f t="shared" si="7"/>
        <v>1020000</v>
      </c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  <c r="IH53" s="175"/>
      <c r="II53" s="175"/>
      <c r="IJ53" s="175"/>
      <c r="IK53" s="175"/>
      <c r="IL53" s="175"/>
      <c r="IM53" s="175"/>
      <c r="IN53" s="175"/>
      <c r="IO53" s="175"/>
      <c r="IP53" s="175"/>
      <c r="IQ53" s="175"/>
    </row>
    <row r="54" spans="1:251" s="146" customFormat="1" ht="21.75" customHeight="1">
      <c r="A54" s="179">
        <v>47</v>
      </c>
      <c r="B54" s="458" t="s">
        <v>288</v>
      </c>
      <c r="C54" s="459" t="s">
        <v>295</v>
      </c>
      <c r="D54" s="460"/>
      <c r="E54" s="460">
        <v>71</v>
      </c>
      <c r="F54" s="459" t="s">
        <v>200</v>
      </c>
      <c r="G54" s="460" t="s">
        <v>186</v>
      </c>
      <c r="H54" s="407" t="s">
        <v>159</v>
      </c>
      <c r="I54" s="180">
        <f t="shared" si="4"/>
        <v>420000</v>
      </c>
      <c r="J54" s="408" t="s">
        <v>183</v>
      </c>
      <c r="K54" s="183">
        <f t="shared" si="5"/>
        <v>300000</v>
      </c>
      <c r="L54" s="408" t="s">
        <v>190</v>
      </c>
      <c r="M54" s="181">
        <f t="shared" si="6"/>
        <v>300000</v>
      </c>
      <c r="N54" s="181">
        <f t="shared" si="7"/>
        <v>1020000</v>
      </c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  <c r="IH54" s="175"/>
      <c r="II54" s="175"/>
      <c r="IJ54" s="175"/>
      <c r="IK54" s="175"/>
      <c r="IL54" s="175"/>
      <c r="IM54" s="175"/>
      <c r="IN54" s="175"/>
      <c r="IO54" s="175"/>
      <c r="IP54" s="175"/>
      <c r="IQ54" s="175"/>
    </row>
    <row r="55" spans="1:251" s="146" customFormat="1" ht="21.75" customHeight="1">
      <c r="A55" s="179">
        <v>48</v>
      </c>
      <c r="B55" s="458" t="s">
        <v>299</v>
      </c>
      <c r="C55" s="459" t="s">
        <v>300</v>
      </c>
      <c r="D55" s="460">
        <v>43</v>
      </c>
      <c r="E55" s="460"/>
      <c r="F55" s="459" t="s">
        <v>200</v>
      </c>
      <c r="G55" s="460" t="s">
        <v>186</v>
      </c>
      <c r="H55" s="407" t="s">
        <v>159</v>
      </c>
      <c r="I55" s="180">
        <f t="shared" si="4"/>
        <v>420000</v>
      </c>
      <c r="J55" s="408" t="s">
        <v>190</v>
      </c>
      <c r="K55" s="183">
        <f t="shared" si="5"/>
        <v>300000</v>
      </c>
      <c r="L55" s="408" t="s">
        <v>432</v>
      </c>
      <c r="M55" s="181">
        <f t="shared" si="6"/>
        <v>300000</v>
      </c>
      <c r="N55" s="181">
        <f t="shared" si="7"/>
        <v>1020000</v>
      </c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      <c r="IL55" s="175"/>
      <c r="IM55" s="175"/>
      <c r="IN55" s="175"/>
      <c r="IO55" s="175"/>
      <c r="IP55" s="175"/>
      <c r="IQ55" s="175"/>
    </row>
    <row r="56" spans="1:251" s="146" customFormat="1" ht="21.75" customHeight="1">
      <c r="A56" s="179">
        <v>49</v>
      </c>
      <c r="B56" s="458" t="s">
        <v>299</v>
      </c>
      <c r="C56" s="459" t="s">
        <v>301</v>
      </c>
      <c r="D56" s="460"/>
      <c r="E56" s="460">
        <v>60</v>
      </c>
      <c r="F56" s="459" t="s">
        <v>229</v>
      </c>
      <c r="G56" s="460" t="s">
        <v>186</v>
      </c>
      <c r="H56" s="407" t="s">
        <v>190</v>
      </c>
      <c r="I56" s="180">
        <f t="shared" si="4"/>
        <v>420000</v>
      </c>
      <c r="J56" s="408" t="s">
        <v>428</v>
      </c>
      <c r="K56" s="183">
        <f t="shared" si="5"/>
        <v>300000</v>
      </c>
      <c r="L56" s="408" t="s">
        <v>430</v>
      </c>
      <c r="M56" s="181">
        <f t="shared" si="6"/>
        <v>300000</v>
      </c>
      <c r="N56" s="181">
        <f t="shared" si="7"/>
        <v>1020000</v>
      </c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</row>
    <row r="57" spans="1:251" s="146" customFormat="1" ht="21.75" customHeight="1">
      <c r="A57" s="179">
        <v>50</v>
      </c>
      <c r="B57" s="458" t="s">
        <v>299</v>
      </c>
      <c r="C57" s="459" t="s">
        <v>302</v>
      </c>
      <c r="D57" s="460">
        <v>51</v>
      </c>
      <c r="E57" s="460"/>
      <c r="F57" s="459" t="s">
        <v>229</v>
      </c>
      <c r="G57" s="460" t="s">
        <v>186</v>
      </c>
      <c r="H57" s="407" t="s">
        <v>183</v>
      </c>
      <c r="I57" s="180">
        <f t="shared" si="4"/>
        <v>420000</v>
      </c>
      <c r="J57" s="408" t="s">
        <v>428</v>
      </c>
      <c r="K57" s="183">
        <f t="shared" si="5"/>
        <v>300000</v>
      </c>
      <c r="L57" s="408" t="s">
        <v>431</v>
      </c>
      <c r="M57" s="181">
        <f t="shared" si="6"/>
        <v>300000</v>
      </c>
      <c r="N57" s="181">
        <f t="shared" si="7"/>
        <v>1020000</v>
      </c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</row>
    <row r="58" spans="1:251" s="146" customFormat="1" ht="21.75" customHeight="1">
      <c r="A58" s="179">
        <v>51</v>
      </c>
      <c r="B58" s="458" t="s">
        <v>299</v>
      </c>
      <c r="C58" s="459" t="s">
        <v>454</v>
      </c>
      <c r="D58" s="460">
        <v>17</v>
      </c>
      <c r="E58" s="460"/>
      <c r="F58" s="459" t="s">
        <v>229</v>
      </c>
      <c r="G58" s="460" t="s">
        <v>447</v>
      </c>
      <c r="H58" s="407" t="s">
        <v>190</v>
      </c>
      <c r="I58" s="180">
        <f t="shared" si="4"/>
        <v>420000</v>
      </c>
      <c r="J58" s="408" t="s">
        <v>430</v>
      </c>
      <c r="K58" s="183">
        <f t="shared" si="5"/>
        <v>300000</v>
      </c>
      <c r="L58" s="408" t="s">
        <v>435</v>
      </c>
      <c r="M58" s="181">
        <f t="shared" si="6"/>
        <v>300000</v>
      </c>
      <c r="N58" s="181">
        <f t="shared" si="7"/>
        <v>1020000</v>
      </c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</row>
    <row r="59" spans="1:251" s="146" customFormat="1" ht="21.75" customHeight="1">
      <c r="A59" s="179">
        <v>52</v>
      </c>
      <c r="B59" s="458" t="s">
        <v>299</v>
      </c>
      <c r="C59" s="459" t="s">
        <v>303</v>
      </c>
      <c r="D59" s="460">
        <v>53</v>
      </c>
      <c r="E59" s="460"/>
      <c r="F59" s="459" t="s">
        <v>229</v>
      </c>
      <c r="G59" s="460" t="s">
        <v>186</v>
      </c>
      <c r="H59" s="407" t="s">
        <v>134</v>
      </c>
      <c r="I59" s="180">
        <f t="shared" si="4"/>
        <v>420000</v>
      </c>
      <c r="J59" s="408" t="s">
        <v>432</v>
      </c>
      <c r="K59" s="183">
        <f t="shared" si="5"/>
        <v>300000</v>
      </c>
      <c r="L59" s="408" t="s">
        <v>434</v>
      </c>
      <c r="M59" s="181">
        <f t="shared" si="6"/>
        <v>300000</v>
      </c>
      <c r="N59" s="181">
        <f t="shared" si="7"/>
        <v>1020000</v>
      </c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</row>
    <row r="60" spans="1:251" s="146" customFormat="1" ht="21.75" customHeight="1">
      <c r="A60" s="179">
        <v>53</v>
      </c>
      <c r="B60" s="458" t="s">
        <v>299</v>
      </c>
      <c r="C60" s="459" t="s">
        <v>455</v>
      </c>
      <c r="D60" s="460">
        <v>53</v>
      </c>
      <c r="E60" s="460"/>
      <c r="F60" s="459" t="s">
        <v>229</v>
      </c>
      <c r="G60" s="460" t="s">
        <v>447</v>
      </c>
      <c r="H60" s="407" t="s">
        <v>190</v>
      </c>
      <c r="I60" s="180">
        <f t="shared" si="4"/>
        <v>420000</v>
      </c>
      <c r="J60" s="408" t="s">
        <v>435</v>
      </c>
      <c r="K60" s="183">
        <f t="shared" si="5"/>
        <v>300000</v>
      </c>
      <c r="L60" s="408" t="s">
        <v>430</v>
      </c>
      <c r="M60" s="181">
        <f t="shared" si="6"/>
        <v>300000</v>
      </c>
      <c r="N60" s="181">
        <f t="shared" si="7"/>
        <v>1020000</v>
      </c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  <c r="IH60" s="175"/>
      <c r="II60" s="175"/>
      <c r="IJ60" s="175"/>
      <c r="IK60" s="175"/>
      <c r="IL60" s="175"/>
      <c r="IM60" s="175"/>
      <c r="IN60" s="175"/>
      <c r="IO60" s="175"/>
      <c r="IP60" s="175"/>
      <c r="IQ60" s="175"/>
    </row>
    <row r="61" spans="1:251" s="146" customFormat="1" ht="21.75" customHeight="1">
      <c r="A61" s="179">
        <v>54</v>
      </c>
      <c r="B61" s="458" t="s">
        <v>304</v>
      </c>
      <c r="C61" s="459" t="s">
        <v>306</v>
      </c>
      <c r="D61" s="460">
        <v>15</v>
      </c>
      <c r="E61" s="460"/>
      <c r="F61" s="459" t="s">
        <v>229</v>
      </c>
      <c r="G61" s="460" t="s">
        <v>186</v>
      </c>
      <c r="H61" s="407" t="s">
        <v>134</v>
      </c>
      <c r="I61" s="180">
        <f t="shared" si="4"/>
        <v>420000</v>
      </c>
      <c r="J61" s="408" t="s">
        <v>434</v>
      </c>
      <c r="K61" s="183">
        <f t="shared" si="5"/>
        <v>300000</v>
      </c>
      <c r="L61" s="408" t="s">
        <v>431</v>
      </c>
      <c r="M61" s="181">
        <f t="shared" si="6"/>
        <v>300000</v>
      </c>
      <c r="N61" s="181">
        <f t="shared" si="7"/>
        <v>1020000</v>
      </c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  <c r="IH61" s="175"/>
      <c r="II61" s="175"/>
      <c r="IJ61" s="175"/>
      <c r="IK61" s="175"/>
      <c r="IL61" s="175"/>
      <c r="IM61" s="175"/>
      <c r="IN61" s="175"/>
      <c r="IO61" s="175"/>
      <c r="IP61" s="175"/>
      <c r="IQ61" s="175"/>
    </row>
    <row r="62" spans="1:251" s="146" customFormat="1" ht="21.75" customHeight="1">
      <c r="A62" s="179">
        <v>55</v>
      </c>
      <c r="B62" s="458" t="s">
        <v>304</v>
      </c>
      <c r="C62" s="459" t="s">
        <v>307</v>
      </c>
      <c r="D62" s="460"/>
      <c r="E62" s="460">
        <v>68</v>
      </c>
      <c r="F62" s="459" t="s">
        <v>242</v>
      </c>
      <c r="G62" s="460" t="s">
        <v>186</v>
      </c>
      <c r="H62" s="407" t="s">
        <v>159</v>
      </c>
      <c r="I62" s="180">
        <f t="shared" si="4"/>
        <v>420000</v>
      </c>
      <c r="J62" s="408" t="s">
        <v>431</v>
      </c>
      <c r="K62" s="183">
        <f t="shared" si="5"/>
        <v>300000</v>
      </c>
      <c r="L62" s="408" t="s">
        <v>432</v>
      </c>
      <c r="M62" s="181">
        <f t="shared" si="6"/>
        <v>300000</v>
      </c>
      <c r="N62" s="181">
        <f t="shared" si="7"/>
        <v>1020000</v>
      </c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  <c r="IH62" s="175"/>
      <c r="II62" s="175"/>
      <c r="IJ62" s="175"/>
      <c r="IK62" s="175"/>
      <c r="IL62" s="175"/>
      <c r="IM62" s="175"/>
      <c r="IN62" s="175"/>
      <c r="IO62" s="175"/>
      <c r="IP62" s="175"/>
      <c r="IQ62" s="175"/>
    </row>
    <row r="63" spans="1:251" s="146" customFormat="1" ht="21.75" customHeight="1">
      <c r="A63" s="179">
        <v>56</v>
      </c>
      <c r="B63" s="458" t="s">
        <v>308</v>
      </c>
      <c r="C63" s="459" t="s">
        <v>309</v>
      </c>
      <c r="D63" s="460">
        <v>21</v>
      </c>
      <c r="E63" s="460"/>
      <c r="F63" s="459" t="s">
        <v>229</v>
      </c>
      <c r="G63" s="460" t="s">
        <v>186</v>
      </c>
      <c r="H63" s="407" t="s">
        <v>190</v>
      </c>
      <c r="I63" s="180">
        <f t="shared" si="4"/>
        <v>420000</v>
      </c>
      <c r="J63" s="408" t="s">
        <v>428</v>
      </c>
      <c r="K63" s="183">
        <f t="shared" si="5"/>
        <v>300000</v>
      </c>
      <c r="L63" s="408" t="s">
        <v>434</v>
      </c>
      <c r="M63" s="181">
        <f t="shared" si="6"/>
        <v>300000</v>
      </c>
      <c r="N63" s="181">
        <f t="shared" si="7"/>
        <v>1020000</v>
      </c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  <c r="IH63" s="175"/>
      <c r="II63" s="175"/>
      <c r="IJ63" s="175"/>
      <c r="IK63" s="175"/>
      <c r="IL63" s="175"/>
      <c r="IM63" s="175"/>
      <c r="IN63" s="175"/>
      <c r="IO63" s="175"/>
      <c r="IP63" s="175"/>
      <c r="IQ63" s="175"/>
    </row>
    <row r="64" spans="1:251" s="146" customFormat="1" ht="21.75" customHeight="1">
      <c r="A64" s="179">
        <v>57</v>
      </c>
      <c r="B64" s="458" t="s">
        <v>308</v>
      </c>
      <c r="C64" s="459" t="s">
        <v>310</v>
      </c>
      <c r="D64" s="460">
        <v>76</v>
      </c>
      <c r="E64" s="460"/>
      <c r="F64" s="459" t="s">
        <v>229</v>
      </c>
      <c r="G64" s="460" t="s">
        <v>186</v>
      </c>
      <c r="H64" s="407" t="s">
        <v>134</v>
      </c>
      <c r="I64" s="180">
        <f t="shared" si="4"/>
        <v>420000</v>
      </c>
      <c r="J64" s="408" t="s">
        <v>294</v>
      </c>
      <c r="K64" s="183">
        <f t="shared" si="5"/>
        <v>300000</v>
      </c>
      <c r="L64" s="408" t="s">
        <v>432</v>
      </c>
      <c r="M64" s="181">
        <f t="shared" si="6"/>
        <v>300000</v>
      </c>
      <c r="N64" s="181">
        <f t="shared" si="7"/>
        <v>1020000</v>
      </c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</row>
    <row r="65" spans="1:251" s="146" customFormat="1" ht="21.75" customHeight="1">
      <c r="A65" s="179">
        <v>58</v>
      </c>
      <c r="B65" s="458" t="s">
        <v>315</v>
      </c>
      <c r="C65" s="459" t="s">
        <v>316</v>
      </c>
      <c r="D65" s="460">
        <v>54</v>
      </c>
      <c r="E65" s="460"/>
      <c r="F65" s="459" t="s">
        <v>229</v>
      </c>
      <c r="G65" s="460" t="s">
        <v>186</v>
      </c>
      <c r="H65" s="407" t="s">
        <v>134</v>
      </c>
      <c r="I65" s="180">
        <f t="shared" si="4"/>
        <v>420000</v>
      </c>
      <c r="J65" s="408" t="s">
        <v>431</v>
      </c>
      <c r="K65" s="183">
        <f t="shared" si="5"/>
        <v>300000</v>
      </c>
      <c r="L65" s="408" t="s">
        <v>432</v>
      </c>
      <c r="M65" s="181">
        <f t="shared" si="6"/>
        <v>300000</v>
      </c>
      <c r="N65" s="181">
        <f t="shared" si="7"/>
        <v>1020000</v>
      </c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  <c r="IH65" s="175"/>
      <c r="II65" s="175"/>
      <c r="IJ65" s="175"/>
      <c r="IK65" s="175"/>
      <c r="IL65" s="175"/>
      <c r="IM65" s="175"/>
      <c r="IN65" s="175"/>
      <c r="IO65" s="175"/>
      <c r="IP65" s="175"/>
      <c r="IQ65" s="175"/>
    </row>
    <row r="66" spans="1:251" s="146" customFormat="1" ht="21.75" customHeight="1">
      <c r="A66" s="179">
        <v>59</v>
      </c>
      <c r="B66" s="458" t="s">
        <v>315</v>
      </c>
      <c r="C66" s="459" t="s">
        <v>317</v>
      </c>
      <c r="D66" s="460">
        <v>52</v>
      </c>
      <c r="E66" s="460"/>
      <c r="F66" s="459" t="s">
        <v>229</v>
      </c>
      <c r="G66" s="460" t="s">
        <v>186</v>
      </c>
      <c r="H66" s="407" t="s">
        <v>134</v>
      </c>
      <c r="I66" s="180">
        <f t="shared" si="4"/>
        <v>420000</v>
      </c>
      <c r="J66" s="408" t="s">
        <v>432</v>
      </c>
      <c r="K66" s="183">
        <f t="shared" si="5"/>
        <v>300000</v>
      </c>
      <c r="L66" s="408" t="s">
        <v>431</v>
      </c>
      <c r="M66" s="181">
        <f t="shared" si="6"/>
        <v>300000</v>
      </c>
      <c r="N66" s="181">
        <f t="shared" si="7"/>
        <v>1020000</v>
      </c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  <c r="IH66" s="175"/>
      <c r="II66" s="175"/>
      <c r="IJ66" s="175"/>
      <c r="IK66" s="175"/>
      <c r="IL66" s="175"/>
      <c r="IM66" s="175"/>
      <c r="IN66" s="175"/>
      <c r="IO66" s="175"/>
      <c r="IP66" s="175"/>
      <c r="IQ66" s="175"/>
    </row>
    <row r="67" spans="1:251" s="146" customFormat="1" ht="21.75" customHeight="1">
      <c r="A67" s="179">
        <v>60</v>
      </c>
      <c r="B67" s="458" t="s">
        <v>318</v>
      </c>
      <c r="C67" s="459" t="s">
        <v>319</v>
      </c>
      <c r="D67" s="460">
        <v>79</v>
      </c>
      <c r="E67" s="460"/>
      <c r="F67" s="459" t="s">
        <v>242</v>
      </c>
      <c r="G67" s="460" t="s">
        <v>186</v>
      </c>
      <c r="H67" s="407" t="s">
        <v>159</v>
      </c>
      <c r="I67" s="180">
        <f t="shared" si="4"/>
        <v>420000</v>
      </c>
      <c r="J67" s="408" t="s">
        <v>183</v>
      </c>
      <c r="K67" s="183">
        <f t="shared" si="5"/>
        <v>300000</v>
      </c>
      <c r="L67" s="408" t="s">
        <v>436</v>
      </c>
      <c r="M67" s="181">
        <f t="shared" si="6"/>
        <v>300000</v>
      </c>
      <c r="N67" s="181">
        <f t="shared" si="7"/>
        <v>1020000</v>
      </c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</row>
    <row r="68" spans="1:251" s="146" customFormat="1" ht="21.75" customHeight="1">
      <c r="A68" s="179">
        <v>61</v>
      </c>
      <c r="B68" s="458" t="s">
        <v>318</v>
      </c>
      <c r="C68" s="459" t="s">
        <v>320</v>
      </c>
      <c r="D68" s="460"/>
      <c r="E68" s="460">
        <v>40</v>
      </c>
      <c r="F68" s="459" t="s">
        <v>229</v>
      </c>
      <c r="G68" s="460" t="s">
        <v>186</v>
      </c>
      <c r="H68" s="407" t="s">
        <v>190</v>
      </c>
      <c r="I68" s="180">
        <f t="shared" si="4"/>
        <v>420000</v>
      </c>
      <c r="J68" s="408" t="s">
        <v>428</v>
      </c>
      <c r="K68" s="183">
        <f t="shared" si="5"/>
        <v>300000</v>
      </c>
      <c r="L68" s="408" t="s">
        <v>436</v>
      </c>
      <c r="M68" s="181">
        <f t="shared" si="6"/>
        <v>300000</v>
      </c>
      <c r="N68" s="181">
        <f t="shared" si="7"/>
        <v>1020000</v>
      </c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5"/>
      <c r="CV68" s="175"/>
      <c r="CW68" s="175"/>
      <c r="CX68" s="175"/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5"/>
      <c r="DS68" s="175"/>
      <c r="DT68" s="175"/>
      <c r="DU68" s="175"/>
      <c r="DV68" s="175"/>
      <c r="DW68" s="175"/>
      <c r="DX68" s="175"/>
      <c r="DY68" s="175"/>
      <c r="DZ68" s="175"/>
      <c r="EA68" s="175"/>
      <c r="EB68" s="175"/>
      <c r="EC68" s="175"/>
      <c r="ED68" s="175"/>
      <c r="EE68" s="175"/>
      <c r="EF68" s="175"/>
      <c r="EG68" s="175"/>
      <c r="EH68" s="175"/>
      <c r="EI68" s="175"/>
      <c r="EJ68" s="175"/>
      <c r="EK68" s="175"/>
      <c r="EL68" s="175"/>
      <c r="EM68" s="175"/>
      <c r="EN68" s="175"/>
      <c r="EO68" s="175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175"/>
      <c r="FI68" s="175"/>
      <c r="FJ68" s="175"/>
      <c r="FK68" s="175"/>
      <c r="FL68" s="175"/>
      <c r="FM68" s="175"/>
      <c r="FN68" s="175"/>
      <c r="FO68" s="175"/>
      <c r="FP68" s="175"/>
      <c r="FQ68" s="175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175"/>
      <c r="HW68" s="175"/>
      <c r="HX68" s="175"/>
      <c r="HY68" s="175"/>
      <c r="HZ68" s="175"/>
      <c r="IA68" s="175"/>
      <c r="IB68" s="175"/>
      <c r="IC68" s="175"/>
      <c r="ID68" s="175"/>
      <c r="IE68" s="175"/>
      <c r="IF68" s="175"/>
      <c r="IG68" s="175"/>
      <c r="IH68" s="175"/>
      <c r="II68" s="175"/>
      <c r="IJ68" s="175"/>
      <c r="IK68" s="175"/>
      <c r="IL68" s="175"/>
      <c r="IM68" s="175"/>
      <c r="IN68" s="175"/>
      <c r="IO68" s="175"/>
      <c r="IP68" s="175"/>
      <c r="IQ68" s="175"/>
    </row>
    <row r="69" spans="1:251" s="146" customFormat="1" ht="21.75" customHeight="1">
      <c r="A69" s="179">
        <v>62</v>
      </c>
      <c r="B69" s="458" t="s">
        <v>318</v>
      </c>
      <c r="C69" s="459" t="s">
        <v>321</v>
      </c>
      <c r="D69" s="460"/>
      <c r="E69" s="460">
        <v>38</v>
      </c>
      <c r="F69" s="459" t="s">
        <v>242</v>
      </c>
      <c r="G69" s="460" t="s">
        <v>186</v>
      </c>
      <c r="H69" s="407" t="s">
        <v>159</v>
      </c>
      <c r="I69" s="180">
        <f t="shared" si="4"/>
        <v>420000</v>
      </c>
      <c r="J69" s="408" t="s">
        <v>134</v>
      </c>
      <c r="K69" s="183">
        <f t="shared" si="5"/>
        <v>300000</v>
      </c>
      <c r="L69" s="408" t="s">
        <v>436</v>
      </c>
      <c r="M69" s="181">
        <f t="shared" si="6"/>
        <v>300000</v>
      </c>
      <c r="N69" s="181">
        <f t="shared" si="7"/>
        <v>1020000</v>
      </c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  <c r="HN69" s="175"/>
      <c r="HO69" s="175"/>
      <c r="HP69" s="175"/>
      <c r="HQ69" s="175"/>
      <c r="HR69" s="175"/>
      <c r="HS69" s="175"/>
      <c r="HT69" s="175"/>
      <c r="HU69" s="175"/>
      <c r="HV69" s="175"/>
      <c r="HW69" s="175"/>
      <c r="HX69" s="175"/>
      <c r="HY69" s="175"/>
      <c r="HZ69" s="175"/>
      <c r="IA69" s="175"/>
      <c r="IB69" s="175"/>
      <c r="IC69" s="175"/>
      <c r="ID69" s="175"/>
      <c r="IE69" s="175"/>
      <c r="IF69" s="175"/>
      <c r="IG69" s="175"/>
      <c r="IH69" s="175"/>
      <c r="II69" s="175"/>
      <c r="IJ69" s="175"/>
      <c r="IK69" s="175"/>
      <c r="IL69" s="175"/>
      <c r="IM69" s="175"/>
      <c r="IN69" s="175"/>
      <c r="IO69" s="175"/>
      <c r="IP69" s="175"/>
      <c r="IQ69" s="175"/>
    </row>
    <row r="70" spans="1:251" s="146" customFormat="1" ht="21.75" customHeight="1">
      <c r="A70" s="179">
        <v>63</v>
      </c>
      <c r="B70" s="458" t="s">
        <v>318</v>
      </c>
      <c r="C70" s="459" t="s">
        <v>321</v>
      </c>
      <c r="D70" s="460"/>
      <c r="E70" s="460">
        <v>38</v>
      </c>
      <c r="F70" s="459" t="s">
        <v>456</v>
      </c>
      <c r="G70" s="460" t="s">
        <v>447</v>
      </c>
      <c r="H70" s="407" t="s">
        <v>134</v>
      </c>
      <c r="I70" s="180">
        <f t="shared" si="4"/>
        <v>420000</v>
      </c>
      <c r="J70" s="408" t="s">
        <v>434</v>
      </c>
      <c r="K70" s="183">
        <f t="shared" si="5"/>
        <v>300000</v>
      </c>
      <c r="L70" s="408" t="s">
        <v>432</v>
      </c>
      <c r="M70" s="181">
        <f t="shared" si="6"/>
        <v>300000</v>
      </c>
      <c r="N70" s="181">
        <f t="shared" si="7"/>
        <v>1020000</v>
      </c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  <c r="HN70" s="175"/>
      <c r="HO70" s="175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5"/>
      <c r="IJ70" s="175"/>
      <c r="IK70" s="175"/>
      <c r="IL70" s="175"/>
      <c r="IM70" s="175"/>
      <c r="IN70" s="175"/>
      <c r="IO70" s="175"/>
      <c r="IP70" s="175"/>
      <c r="IQ70" s="175"/>
    </row>
    <row r="71" spans="1:251" s="146" customFormat="1" ht="21.75" customHeight="1">
      <c r="A71" s="179">
        <v>64</v>
      </c>
      <c r="B71" s="458" t="s">
        <v>322</v>
      </c>
      <c r="C71" s="459" t="s">
        <v>324</v>
      </c>
      <c r="D71" s="460">
        <v>35</v>
      </c>
      <c r="E71" s="460"/>
      <c r="F71" s="459" t="s">
        <v>229</v>
      </c>
      <c r="G71" s="460" t="s">
        <v>186</v>
      </c>
      <c r="H71" s="407" t="s">
        <v>134</v>
      </c>
      <c r="I71" s="180">
        <f t="shared" si="4"/>
        <v>420000</v>
      </c>
      <c r="J71" s="408" t="s">
        <v>431</v>
      </c>
      <c r="K71" s="183">
        <f t="shared" si="5"/>
        <v>300000</v>
      </c>
      <c r="L71" s="408" t="s">
        <v>434</v>
      </c>
      <c r="M71" s="181">
        <f t="shared" si="6"/>
        <v>300000</v>
      </c>
      <c r="N71" s="181">
        <f t="shared" si="7"/>
        <v>1020000</v>
      </c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  <c r="EK71" s="175"/>
      <c r="EL71" s="175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175"/>
      <c r="FI71" s="175"/>
      <c r="FJ71" s="175"/>
      <c r="FK71" s="175"/>
      <c r="FL71" s="175"/>
      <c r="FM71" s="175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  <c r="HN71" s="175"/>
      <c r="HO71" s="175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5"/>
      <c r="IJ71" s="175"/>
      <c r="IK71" s="175"/>
      <c r="IL71" s="175"/>
      <c r="IM71" s="175"/>
      <c r="IN71" s="175"/>
      <c r="IO71" s="175"/>
      <c r="IP71" s="175"/>
      <c r="IQ71" s="175"/>
    </row>
    <row r="72" spans="1:251" s="146" customFormat="1" ht="21.75" customHeight="1">
      <c r="A72" s="179">
        <v>65</v>
      </c>
      <c r="B72" s="458" t="s">
        <v>322</v>
      </c>
      <c r="C72" s="459" t="s">
        <v>326</v>
      </c>
      <c r="D72" s="460">
        <v>61</v>
      </c>
      <c r="E72" s="460"/>
      <c r="F72" s="459" t="s">
        <v>327</v>
      </c>
      <c r="G72" s="460" t="s">
        <v>186</v>
      </c>
      <c r="H72" s="407" t="s">
        <v>159</v>
      </c>
      <c r="I72" s="180">
        <f t="shared" si="4"/>
        <v>420000</v>
      </c>
      <c r="J72" s="408" t="s">
        <v>378</v>
      </c>
      <c r="K72" s="183">
        <f t="shared" si="5"/>
        <v>300000</v>
      </c>
      <c r="L72" s="408" t="s">
        <v>428</v>
      </c>
      <c r="M72" s="181">
        <f t="shared" si="6"/>
        <v>300000</v>
      </c>
      <c r="N72" s="181">
        <f t="shared" si="7"/>
        <v>1020000</v>
      </c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</row>
    <row r="73" spans="1:251" s="146" customFormat="1" ht="21.75" customHeight="1">
      <c r="A73" s="179">
        <v>66</v>
      </c>
      <c r="B73" s="458" t="s">
        <v>322</v>
      </c>
      <c r="C73" s="459" t="s">
        <v>328</v>
      </c>
      <c r="D73" s="460">
        <v>60</v>
      </c>
      <c r="E73" s="460"/>
      <c r="F73" s="459" t="s">
        <v>242</v>
      </c>
      <c r="G73" s="460" t="s">
        <v>186</v>
      </c>
      <c r="H73" s="407" t="s">
        <v>159</v>
      </c>
      <c r="I73" s="180">
        <f t="shared" si="4"/>
        <v>420000</v>
      </c>
      <c r="J73" s="408" t="s">
        <v>183</v>
      </c>
      <c r="K73" s="183">
        <f t="shared" si="5"/>
        <v>300000</v>
      </c>
      <c r="L73" s="408" t="s">
        <v>434</v>
      </c>
      <c r="M73" s="181">
        <f t="shared" si="6"/>
        <v>300000</v>
      </c>
      <c r="N73" s="181">
        <f t="shared" si="7"/>
        <v>1020000</v>
      </c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  <c r="CH73" s="175"/>
      <c r="CI73" s="175"/>
      <c r="CJ73" s="175"/>
      <c r="CK73" s="175"/>
      <c r="CL73" s="175"/>
      <c r="CM73" s="175"/>
      <c r="CN73" s="175"/>
      <c r="CO73" s="175"/>
      <c r="CP73" s="175"/>
      <c r="CQ73" s="175"/>
      <c r="CR73" s="175"/>
      <c r="CS73" s="175"/>
      <c r="CT73" s="175"/>
      <c r="CU73" s="175"/>
      <c r="CV73" s="175"/>
      <c r="CW73" s="175"/>
      <c r="CX73" s="175"/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5"/>
      <c r="DS73" s="175"/>
      <c r="DT73" s="175"/>
      <c r="DU73" s="175"/>
      <c r="DV73" s="175"/>
      <c r="DW73" s="175"/>
      <c r="DX73" s="175"/>
      <c r="DY73" s="175"/>
      <c r="DZ73" s="175"/>
      <c r="EA73" s="175"/>
      <c r="EB73" s="175"/>
      <c r="EC73" s="175"/>
      <c r="ED73" s="175"/>
      <c r="EE73" s="175"/>
      <c r="EF73" s="175"/>
      <c r="EG73" s="175"/>
      <c r="EH73" s="175"/>
      <c r="EI73" s="175"/>
      <c r="EJ73" s="175"/>
      <c r="EK73" s="175"/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175"/>
      <c r="FI73" s="175"/>
      <c r="FJ73" s="175"/>
      <c r="FK73" s="175"/>
      <c r="FL73" s="175"/>
      <c r="FM73" s="175"/>
      <c r="FN73" s="175"/>
      <c r="FO73" s="175"/>
      <c r="FP73" s="175"/>
      <c r="FQ73" s="175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  <c r="HN73" s="175"/>
      <c r="HO73" s="175"/>
      <c r="HP73" s="175"/>
      <c r="HQ73" s="175"/>
      <c r="HR73" s="175"/>
      <c r="HS73" s="175"/>
      <c r="HT73" s="175"/>
      <c r="HU73" s="175"/>
      <c r="HV73" s="175"/>
      <c r="HW73" s="175"/>
      <c r="HX73" s="175"/>
      <c r="HY73" s="175"/>
      <c r="HZ73" s="175"/>
      <c r="IA73" s="175"/>
      <c r="IB73" s="175"/>
      <c r="IC73" s="175"/>
      <c r="ID73" s="175"/>
      <c r="IE73" s="175"/>
      <c r="IF73" s="175"/>
      <c r="IG73" s="175"/>
      <c r="IH73" s="175"/>
      <c r="II73" s="175"/>
      <c r="IJ73" s="175"/>
      <c r="IK73" s="175"/>
      <c r="IL73" s="175"/>
      <c r="IM73" s="175"/>
      <c r="IN73" s="175"/>
      <c r="IO73" s="175"/>
      <c r="IP73" s="175"/>
      <c r="IQ73" s="175"/>
    </row>
    <row r="74" spans="1:251" s="146" customFormat="1" ht="21.75" customHeight="1">
      <c r="A74" s="179">
        <v>67</v>
      </c>
      <c r="B74" s="458" t="s">
        <v>330</v>
      </c>
      <c r="C74" s="459" t="s">
        <v>331</v>
      </c>
      <c r="D74" s="460"/>
      <c r="E74" s="460">
        <v>50</v>
      </c>
      <c r="F74" s="459" t="s">
        <v>332</v>
      </c>
      <c r="G74" s="460" t="s">
        <v>186</v>
      </c>
      <c r="H74" s="407" t="s">
        <v>159</v>
      </c>
      <c r="I74" s="180">
        <f t="shared" si="4"/>
        <v>420000</v>
      </c>
      <c r="J74" s="408" t="s">
        <v>134</v>
      </c>
      <c r="K74" s="183">
        <f t="shared" si="5"/>
        <v>300000</v>
      </c>
      <c r="L74" s="408" t="s">
        <v>435</v>
      </c>
      <c r="M74" s="181">
        <f t="shared" si="6"/>
        <v>300000</v>
      </c>
      <c r="N74" s="181">
        <f t="shared" si="7"/>
        <v>1020000</v>
      </c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  <c r="CH74" s="175"/>
      <c r="CI74" s="175"/>
      <c r="CJ74" s="175"/>
      <c r="CK74" s="175"/>
      <c r="CL74" s="175"/>
      <c r="CM74" s="175"/>
      <c r="CN74" s="175"/>
      <c r="CO74" s="175"/>
      <c r="CP74" s="175"/>
      <c r="CQ74" s="175"/>
      <c r="CR74" s="175"/>
      <c r="CS74" s="175"/>
      <c r="CT74" s="175"/>
      <c r="CU74" s="175"/>
      <c r="CV74" s="175"/>
      <c r="CW74" s="175"/>
      <c r="CX74" s="175"/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5"/>
      <c r="DS74" s="175"/>
      <c r="DT74" s="175"/>
      <c r="DU74" s="175"/>
      <c r="DV74" s="175"/>
      <c r="DW74" s="175"/>
      <c r="DX74" s="175"/>
      <c r="DY74" s="175"/>
      <c r="DZ74" s="175"/>
      <c r="EA74" s="175"/>
      <c r="EB74" s="175"/>
      <c r="EC74" s="175"/>
      <c r="ED74" s="175"/>
      <c r="EE74" s="175"/>
      <c r="EF74" s="175"/>
      <c r="EG74" s="175"/>
      <c r="EH74" s="175"/>
      <c r="EI74" s="175"/>
      <c r="EJ74" s="175"/>
      <c r="EK74" s="175"/>
      <c r="EL74" s="175"/>
      <c r="EM74" s="175"/>
      <c r="EN74" s="175"/>
      <c r="EO74" s="175"/>
      <c r="EP74" s="175"/>
      <c r="EQ74" s="175"/>
      <c r="ER74" s="175"/>
      <c r="ES74" s="175"/>
      <c r="ET74" s="175"/>
      <c r="EU74" s="175"/>
      <c r="EV74" s="175"/>
      <c r="EW74" s="175"/>
      <c r="EX74" s="175"/>
      <c r="EY74" s="175"/>
      <c r="EZ74" s="175"/>
      <c r="FA74" s="175"/>
      <c r="FB74" s="175"/>
      <c r="FC74" s="175"/>
      <c r="FD74" s="175"/>
      <c r="FE74" s="175"/>
      <c r="FF74" s="175"/>
      <c r="FG74" s="175"/>
      <c r="FH74" s="175"/>
      <c r="FI74" s="175"/>
      <c r="FJ74" s="175"/>
      <c r="FK74" s="175"/>
      <c r="FL74" s="175"/>
      <c r="FM74" s="175"/>
      <c r="FN74" s="175"/>
      <c r="FO74" s="175"/>
      <c r="FP74" s="175"/>
      <c r="FQ74" s="175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  <c r="HN74" s="175"/>
      <c r="HO74" s="175"/>
      <c r="HP74" s="175"/>
      <c r="HQ74" s="175"/>
      <c r="HR74" s="175"/>
      <c r="HS74" s="175"/>
      <c r="HT74" s="175"/>
      <c r="HU74" s="175"/>
      <c r="HV74" s="175"/>
      <c r="HW74" s="175"/>
      <c r="HX74" s="175"/>
      <c r="HY74" s="175"/>
      <c r="HZ74" s="175"/>
      <c r="IA74" s="175"/>
      <c r="IB74" s="175"/>
      <c r="IC74" s="175"/>
      <c r="ID74" s="175"/>
      <c r="IE74" s="175"/>
      <c r="IF74" s="175"/>
      <c r="IG74" s="175"/>
      <c r="IH74" s="175"/>
      <c r="II74" s="175"/>
      <c r="IJ74" s="175"/>
      <c r="IK74" s="175"/>
      <c r="IL74" s="175"/>
      <c r="IM74" s="175"/>
      <c r="IN74" s="175"/>
      <c r="IO74" s="175"/>
      <c r="IP74" s="175"/>
      <c r="IQ74" s="175"/>
    </row>
    <row r="75" spans="1:251" s="146" customFormat="1" ht="21.75" customHeight="1">
      <c r="A75" s="179">
        <v>68</v>
      </c>
      <c r="B75" s="458" t="s">
        <v>330</v>
      </c>
      <c r="C75" s="459" t="s">
        <v>335</v>
      </c>
      <c r="D75" s="460">
        <v>51</v>
      </c>
      <c r="E75" s="460"/>
      <c r="F75" s="459" t="s">
        <v>336</v>
      </c>
      <c r="G75" s="460" t="s">
        <v>186</v>
      </c>
      <c r="H75" s="407" t="s">
        <v>159</v>
      </c>
      <c r="I75" s="180">
        <f t="shared" si="4"/>
        <v>420000</v>
      </c>
      <c r="J75" s="408" t="s">
        <v>134</v>
      </c>
      <c r="K75" s="183">
        <f t="shared" si="5"/>
        <v>300000</v>
      </c>
      <c r="L75" s="408" t="s">
        <v>435</v>
      </c>
      <c r="M75" s="181">
        <f t="shared" si="6"/>
        <v>300000</v>
      </c>
      <c r="N75" s="181">
        <f t="shared" si="7"/>
        <v>1020000</v>
      </c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</row>
    <row r="76" spans="1:251" s="146" customFormat="1" ht="21.75" customHeight="1">
      <c r="A76" s="179">
        <v>69</v>
      </c>
      <c r="B76" s="458" t="s">
        <v>330</v>
      </c>
      <c r="C76" s="459" t="s">
        <v>335</v>
      </c>
      <c r="D76" s="460">
        <v>51</v>
      </c>
      <c r="E76" s="460"/>
      <c r="F76" s="459" t="s">
        <v>337</v>
      </c>
      <c r="G76" s="460" t="s">
        <v>186</v>
      </c>
      <c r="H76" s="407" t="s">
        <v>134</v>
      </c>
      <c r="I76" s="180">
        <f t="shared" si="4"/>
        <v>420000</v>
      </c>
      <c r="J76" s="408" t="s">
        <v>438</v>
      </c>
      <c r="K76" s="183">
        <f t="shared" si="5"/>
        <v>300000</v>
      </c>
      <c r="L76" s="408" t="s">
        <v>440</v>
      </c>
      <c r="M76" s="181">
        <f t="shared" si="6"/>
        <v>300000</v>
      </c>
      <c r="N76" s="181">
        <f t="shared" si="7"/>
        <v>1020000</v>
      </c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5"/>
      <c r="CR76" s="175"/>
      <c r="CS76" s="175"/>
      <c r="CT76" s="175"/>
      <c r="CU76" s="175"/>
      <c r="CV76" s="175"/>
      <c r="CW76" s="175"/>
      <c r="CX76" s="175"/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5"/>
      <c r="DS76" s="175"/>
      <c r="DT76" s="175"/>
      <c r="DU76" s="175"/>
      <c r="DV76" s="175"/>
      <c r="DW76" s="175"/>
      <c r="DX76" s="175"/>
      <c r="DY76" s="175"/>
      <c r="DZ76" s="175"/>
      <c r="EA76" s="175"/>
      <c r="EB76" s="175"/>
      <c r="EC76" s="175"/>
      <c r="ED76" s="175"/>
      <c r="EE76" s="175"/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175"/>
      <c r="FI76" s="175"/>
      <c r="FJ76" s="175"/>
      <c r="FK76" s="175"/>
      <c r="FL76" s="175"/>
      <c r="FM76" s="175"/>
      <c r="FN76" s="175"/>
      <c r="FO76" s="175"/>
      <c r="FP76" s="175"/>
      <c r="FQ76" s="175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  <c r="HN76" s="175"/>
      <c r="HO76" s="175"/>
      <c r="HP76" s="175"/>
      <c r="HQ76" s="175"/>
      <c r="HR76" s="175"/>
      <c r="HS76" s="175"/>
      <c r="HT76" s="175"/>
      <c r="HU76" s="175"/>
      <c r="HV76" s="175"/>
      <c r="HW76" s="175"/>
      <c r="HX76" s="175"/>
      <c r="HY76" s="175"/>
      <c r="HZ76" s="175"/>
      <c r="IA76" s="175"/>
      <c r="IB76" s="175"/>
      <c r="IC76" s="175"/>
      <c r="ID76" s="175"/>
      <c r="IE76" s="175"/>
      <c r="IF76" s="175"/>
      <c r="IG76" s="175"/>
      <c r="IH76" s="175"/>
      <c r="II76" s="175"/>
      <c r="IJ76" s="175"/>
      <c r="IK76" s="175"/>
      <c r="IL76" s="175"/>
      <c r="IM76" s="175"/>
      <c r="IN76" s="175"/>
      <c r="IO76" s="175"/>
      <c r="IP76" s="175"/>
      <c r="IQ76" s="175"/>
    </row>
    <row r="77" spans="1:251" s="146" customFormat="1" ht="21.75" customHeight="1">
      <c r="A77" s="179">
        <v>70</v>
      </c>
      <c r="B77" s="458" t="s">
        <v>343</v>
      </c>
      <c r="C77" s="459" t="s">
        <v>344</v>
      </c>
      <c r="D77" s="460">
        <v>53</v>
      </c>
      <c r="E77" s="460"/>
      <c r="F77" s="459" t="s">
        <v>279</v>
      </c>
      <c r="G77" s="460" t="s">
        <v>186</v>
      </c>
      <c r="H77" s="407" t="s">
        <v>277</v>
      </c>
      <c r="I77" s="180">
        <f t="shared" si="4"/>
        <v>420000</v>
      </c>
      <c r="J77" s="408" t="s">
        <v>294</v>
      </c>
      <c r="K77" s="183">
        <f t="shared" si="5"/>
        <v>300000</v>
      </c>
      <c r="L77" s="408" t="s">
        <v>212</v>
      </c>
      <c r="M77" s="181">
        <f t="shared" si="6"/>
        <v>300000</v>
      </c>
      <c r="N77" s="181">
        <f t="shared" si="7"/>
        <v>1020000</v>
      </c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  <c r="CH77" s="175"/>
      <c r="CI77" s="175"/>
      <c r="CJ77" s="175"/>
      <c r="CK77" s="175"/>
      <c r="CL77" s="175"/>
      <c r="CM77" s="175"/>
      <c r="CN77" s="175"/>
      <c r="CO77" s="175"/>
      <c r="CP77" s="175"/>
      <c r="CQ77" s="175"/>
      <c r="CR77" s="175"/>
      <c r="CS77" s="175"/>
      <c r="CT77" s="175"/>
      <c r="CU77" s="175"/>
      <c r="CV77" s="175"/>
      <c r="CW77" s="175"/>
      <c r="CX77" s="175"/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5"/>
      <c r="DS77" s="175"/>
      <c r="DT77" s="175"/>
      <c r="DU77" s="175"/>
      <c r="DV77" s="175"/>
      <c r="DW77" s="175"/>
      <c r="DX77" s="175"/>
      <c r="DY77" s="175"/>
      <c r="DZ77" s="175"/>
      <c r="EA77" s="175"/>
      <c r="EB77" s="175"/>
      <c r="EC77" s="175"/>
      <c r="ED77" s="175"/>
      <c r="EE77" s="175"/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175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  <c r="HN77" s="175"/>
      <c r="HO77" s="175"/>
      <c r="HP77" s="175"/>
      <c r="HQ77" s="175"/>
      <c r="HR77" s="175"/>
      <c r="HS77" s="175"/>
      <c r="HT77" s="175"/>
      <c r="HU77" s="175"/>
      <c r="HV77" s="175"/>
      <c r="HW77" s="175"/>
      <c r="HX77" s="175"/>
      <c r="HY77" s="175"/>
      <c r="HZ77" s="175"/>
      <c r="IA77" s="175"/>
      <c r="IB77" s="175"/>
      <c r="IC77" s="175"/>
      <c r="ID77" s="175"/>
      <c r="IE77" s="175"/>
      <c r="IF77" s="175"/>
      <c r="IG77" s="175"/>
      <c r="IH77" s="175"/>
      <c r="II77" s="175"/>
      <c r="IJ77" s="175"/>
      <c r="IK77" s="175"/>
      <c r="IL77" s="175"/>
      <c r="IM77" s="175"/>
      <c r="IN77" s="175"/>
      <c r="IO77" s="175"/>
      <c r="IP77" s="175"/>
      <c r="IQ77" s="175"/>
    </row>
    <row r="78" spans="1:251" s="146" customFormat="1" ht="21.75" customHeight="1">
      <c r="A78" s="179">
        <v>71</v>
      </c>
      <c r="B78" s="458" t="s">
        <v>343</v>
      </c>
      <c r="C78" s="459" t="s">
        <v>345</v>
      </c>
      <c r="D78" s="460"/>
      <c r="E78" s="460">
        <v>38</v>
      </c>
      <c r="F78" s="459" t="s">
        <v>279</v>
      </c>
      <c r="G78" s="460" t="s">
        <v>186</v>
      </c>
      <c r="H78" s="407" t="s">
        <v>277</v>
      </c>
      <c r="I78" s="180">
        <f t="shared" si="4"/>
        <v>420000</v>
      </c>
      <c r="J78" s="408" t="s">
        <v>294</v>
      </c>
      <c r="K78" s="183">
        <f t="shared" si="5"/>
        <v>300000</v>
      </c>
      <c r="L78" s="408" t="s">
        <v>212</v>
      </c>
      <c r="M78" s="181">
        <f t="shared" si="6"/>
        <v>300000</v>
      </c>
      <c r="N78" s="181">
        <f t="shared" si="7"/>
        <v>1020000</v>
      </c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  <c r="CH78" s="175"/>
      <c r="CI78" s="175"/>
      <c r="CJ78" s="175"/>
      <c r="CK78" s="175"/>
      <c r="CL78" s="175"/>
      <c r="CM78" s="175"/>
      <c r="CN78" s="175"/>
      <c r="CO78" s="175"/>
      <c r="CP78" s="175"/>
      <c r="CQ78" s="175"/>
      <c r="CR78" s="175"/>
      <c r="CS78" s="175"/>
      <c r="CT78" s="175"/>
      <c r="CU78" s="175"/>
      <c r="CV78" s="175"/>
      <c r="CW78" s="175"/>
      <c r="CX78" s="175"/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5"/>
      <c r="DS78" s="175"/>
      <c r="DT78" s="175"/>
      <c r="DU78" s="175"/>
      <c r="DV78" s="175"/>
      <c r="DW78" s="175"/>
      <c r="DX78" s="175"/>
      <c r="DY78" s="175"/>
      <c r="DZ78" s="175"/>
      <c r="EA78" s="175"/>
      <c r="EB78" s="175"/>
      <c r="EC78" s="175"/>
      <c r="ED78" s="175"/>
      <c r="EE78" s="175"/>
      <c r="EF78" s="175"/>
      <c r="EG78" s="175"/>
      <c r="EH78" s="175"/>
      <c r="EI78" s="175"/>
      <c r="EJ78" s="175"/>
      <c r="EK78" s="175"/>
      <c r="EL78" s="175"/>
      <c r="EM78" s="175"/>
      <c r="EN78" s="175"/>
      <c r="EO78" s="175"/>
      <c r="EP78" s="175"/>
      <c r="EQ78" s="175"/>
      <c r="ER78" s="175"/>
      <c r="ES78" s="175"/>
      <c r="ET78" s="175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175"/>
      <c r="FI78" s="175"/>
      <c r="FJ78" s="175"/>
      <c r="FK78" s="175"/>
      <c r="FL78" s="175"/>
      <c r="FM78" s="175"/>
      <c r="FN78" s="175"/>
      <c r="FO78" s="175"/>
      <c r="FP78" s="175"/>
      <c r="FQ78" s="175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  <c r="HN78" s="175"/>
      <c r="HO78" s="175"/>
      <c r="HP78" s="175"/>
      <c r="HQ78" s="175"/>
      <c r="HR78" s="175"/>
      <c r="HS78" s="175"/>
      <c r="HT78" s="175"/>
      <c r="HU78" s="175"/>
      <c r="HV78" s="175"/>
      <c r="HW78" s="175"/>
      <c r="HX78" s="175"/>
      <c r="HY78" s="175"/>
      <c r="HZ78" s="175"/>
      <c r="IA78" s="175"/>
      <c r="IB78" s="175"/>
      <c r="IC78" s="175"/>
      <c r="ID78" s="175"/>
      <c r="IE78" s="175"/>
      <c r="IF78" s="175"/>
      <c r="IG78" s="175"/>
      <c r="IH78" s="175"/>
      <c r="II78" s="175"/>
      <c r="IJ78" s="175"/>
      <c r="IK78" s="175"/>
      <c r="IL78" s="175"/>
      <c r="IM78" s="175"/>
      <c r="IN78" s="175"/>
      <c r="IO78" s="175"/>
      <c r="IP78" s="175"/>
      <c r="IQ78" s="175"/>
    </row>
    <row r="79" spans="1:251" s="146" customFormat="1" ht="21.75" customHeight="1">
      <c r="A79" s="179">
        <v>72</v>
      </c>
      <c r="B79" s="458" t="s">
        <v>343</v>
      </c>
      <c r="C79" s="459" t="s">
        <v>346</v>
      </c>
      <c r="D79" s="460">
        <v>36</v>
      </c>
      <c r="E79" s="460"/>
      <c r="F79" s="459" t="s">
        <v>279</v>
      </c>
      <c r="G79" s="460" t="s">
        <v>186</v>
      </c>
      <c r="H79" s="407" t="s">
        <v>294</v>
      </c>
      <c r="I79" s="180">
        <f t="shared" si="4"/>
        <v>420000</v>
      </c>
      <c r="J79" s="408" t="s">
        <v>430</v>
      </c>
      <c r="K79" s="183">
        <f t="shared" si="5"/>
        <v>300000</v>
      </c>
      <c r="L79" s="408" t="s">
        <v>432</v>
      </c>
      <c r="M79" s="181">
        <f t="shared" si="6"/>
        <v>300000</v>
      </c>
      <c r="N79" s="181">
        <f t="shared" si="7"/>
        <v>1020000</v>
      </c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5"/>
      <c r="DS79" s="175"/>
      <c r="DT79" s="175"/>
      <c r="DU79" s="175"/>
      <c r="DV79" s="175"/>
      <c r="DW79" s="175"/>
      <c r="DX79" s="175"/>
      <c r="DY79" s="175"/>
      <c r="DZ79" s="175"/>
      <c r="EA79" s="175"/>
      <c r="EB79" s="175"/>
      <c r="EC79" s="175"/>
      <c r="ED79" s="175"/>
      <c r="EE79" s="175"/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175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  <c r="HN79" s="175"/>
      <c r="HO79" s="175"/>
      <c r="HP79" s="175"/>
      <c r="HQ79" s="175"/>
      <c r="HR79" s="175"/>
      <c r="HS79" s="175"/>
      <c r="HT79" s="175"/>
      <c r="HU79" s="175"/>
      <c r="HV79" s="175"/>
      <c r="HW79" s="175"/>
      <c r="HX79" s="175"/>
      <c r="HY79" s="175"/>
      <c r="HZ79" s="175"/>
      <c r="IA79" s="175"/>
      <c r="IB79" s="175"/>
      <c r="IC79" s="175"/>
      <c r="ID79" s="175"/>
      <c r="IE79" s="175"/>
      <c r="IF79" s="175"/>
      <c r="IG79" s="175"/>
      <c r="IH79" s="175"/>
      <c r="II79" s="175"/>
      <c r="IJ79" s="175"/>
      <c r="IK79" s="175"/>
      <c r="IL79" s="175"/>
      <c r="IM79" s="175"/>
      <c r="IN79" s="175"/>
      <c r="IO79" s="175"/>
      <c r="IP79" s="175"/>
      <c r="IQ79" s="175"/>
    </row>
    <row r="80" spans="1:251" s="146" customFormat="1" ht="21.75" customHeight="1">
      <c r="A80" s="179">
        <v>73</v>
      </c>
      <c r="B80" s="458" t="s">
        <v>343</v>
      </c>
      <c r="C80" s="459" t="s">
        <v>347</v>
      </c>
      <c r="D80" s="460">
        <v>47</v>
      </c>
      <c r="E80" s="460"/>
      <c r="F80" s="459" t="s">
        <v>229</v>
      </c>
      <c r="G80" s="460" t="s">
        <v>186</v>
      </c>
      <c r="H80" s="407" t="s">
        <v>190</v>
      </c>
      <c r="I80" s="180">
        <f t="shared" si="4"/>
        <v>420000</v>
      </c>
      <c r="J80" s="408" t="s">
        <v>436</v>
      </c>
      <c r="K80" s="183">
        <f t="shared" si="5"/>
        <v>300000</v>
      </c>
      <c r="L80" s="408" t="s">
        <v>432</v>
      </c>
      <c r="M80" s="181">
        <f t="shared" si="6"/>
        <v>300000</v>
      </c>
      <c r="N80" s="181">
        <f t="shared" si="7"/>
        <v>1020000</v>
      </c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5"/>
      <c r="DS80" s="175"/>
      <c r="DT80" s="175"/>
      <c r="DU80" s="175"/>
      <c r="DV80" s="175"/>
      <c r="DW80" s="175"/>
      <c r="DX80" s="175"/>
      <c r="DY80" s="175"/>
      <c r="DZ80" s="175"/>
      <c r="EA80" s="175"/>
      <c r="EB80" s="175"/>
      <c r="EC80" s="175"/>
      <c r="ED80" s="175"/>
      <c r="EE80" s="175"/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175"/>
      <c r="FI80" s="175"/>
      <c r="FJ80" s="175"/>
      <c r="FK80" s="175"/>
      <c r="FL80" s="175"/>
      <c r="FM80" s="175"/>
      <c r="FN80" s="175"/>
      <c r="FO80" s="175"/>
      <c r="FP80" s="175"/>
      <c r="FQ80" s="175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  <c r="HN80" s="175"/>
      <c r="HO80" s="175"/>
      <c r="HP80" s="175"/>
      <c r="HQ80" s="175"/>
      <c r="HR80" s="175"/>
      <c r="HS80" s="175"/>
      <c r="HT80" s="175"/>
      <c r="HU80" s="175"/>
      <c r="HV80" s="175"/>
      <c r="HW80" s="175"/>
      <c r="HX80" s="175"/>
      <c r="HY80" s="175"/>
      <c r="HZ80" s="175"/>
      <c r="IA80" s="175"/>
      <c r="IB80" s="175"/>
      <c r="IC80" s="175"/>
      <c r="ID80" s="175"/>
      <c r="IE80" s="175"/>
      <c r="IF80" s="175"/>
      <c r="IG80" s="175"/>
      <c r="IH80" s="175"/>
      <c r="II80" s="175"/>
      <c r="IJ80" s="175"/>
      <c r="IK80" s="175"/>
      <c r="IL80" s="175"/>
      <c r="IM80" s="175"/>
      <c r="IN80" s="175"/>
      <c r="IO80" s="175"/>
      <c r="IP80" s="175"/>
      <c r="IQ80" s="175"/>
    </row>
    <row r="81" spans="1:251" s="146" customFormat="1" ht="21.75" customHeight="1">
      <c r="A81" s="179">
        <v>74</v>
      </c>
      <c r="B81" s="458" t="s">
        <v>343</v>
      </c>
      <c r="C81" s="459" t="s">
        <v>350</v>
      </c>
      <c r="D81" s="460">
        <v>58</v>
      </c>
      <c r="E81" s="460"/>
      <c r="F81" s="459" t="s">
        <v>351</v>
      </c>
      <c r="G81" s="460" t="s">
        <v>204</v>
      </c>
      <c r="H81" s="407" t="s">
        <v>159</v>
      </c>
      <c r="I81" s="180">
        <f t="shared" si="4"/>
        <v>187500</v>
      </c>
      <c r="J81" s="408" t="s">
        <v>428</v>
      </c>
      <c r="K81" s="183">
        <f t="shared" si="5"/>
        <v>135000</v>
      </c>
      <c r="L81" s="408" t="s">
        <v>56</v>
      </c>
      <c r="M81" s="181">
        <f t="shared" si="6"/>
        <v>0</v>
      </c>
      <c r="N81" s="181">
        <f t="shared" si="7"/>
        <v>322500</v>
      </c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5"/>
      <c r="EC81" s="175"/>
      <c r="ED81" s="175"/>
      <c r="EE81" s="175"/>
      <c r="EF81" s="175"/>
      <c r="EG81" s="175"/>
      <c r="EH81" s="175"/>
      <c r="EI81" s="175"/>
      <c r="EJ81" s="175"/>
      <c r="EK81" s="175"/>
      <c r="EL81" s="175"/>
      <c r="EM81" s="175"/>
      <c r="EN81" s="175"/>
      <c r="EO81" s="175"/>
      <c r="EP81" s="175"/>
      <c r="EQ81" s="175"/>
      <c r="ER81" s="175"/>
      <c r="ES81" s="175"/>
      <c r="ET81" s="175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175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  <c r="HN81" s="175"/>
      <c r="HO81" s="175"/>
      <c r="HP81" s="175"/>
      <c r="HQ81" s="175"/>
      <c r="HR81" s="175"/>
      <c r="HS81" s="175"/>
      <c r="HT81" s="175"/>
      <c r="HU81" s="175"/>
      <c r="HV81" s="175"/>
      <c r="HW81" s="175"/>
      <c r="HX81" s="175"/>
      <c r="HY81" s="175"/>
      <c r="HZ81" s="175"/>
      <c r="IA81" s="175"/>
      <c r="IB81" s="175"/>
      <c r="IC81" s="175"/>
      <c r="ID81" s="175"/>
      <c r="IE81" s="175"/>
      <c r="IF81" s="175"/>
      <c r="IG81" s="175"/>
      <c r="IH81" s="175"/>
      <c r="II81" s="175"/>
      <c r="IJ81" s="175"/>
      <c r="IK81" s="175"/>
      <c r="IL81" s="175"/>
      <c r="IM81" s="175"/>
      <c r="IN81" s="175"/>
      <c r="IO81" s="175"/>
      <c r="IP81" s="175"/>
      <c r="IQ81" s="175"/>
    </row>
    <row r="82" spans="1:251" s="146" customFormat="1" ht="21.75" customHeight="1">
      <c r="A82" s="179">
        <v>75</v>
      </c>
      <c r="B82" s="458" t="s">
        <v>354</v>
      </c>
      <c r="C82" s="459" t="s">
        <v>457</v>
      </c>
      <c r="D82" s="460"/>
      <c r="E82" s="460">
        <v>22</v>
      </c>
      <c r="F82" s="459" t="s">
        <v>229</v>
      </c>
      <c r="G82" s="460" t="s">
        <v>447</v>
      </c>
      <c r="H82" s="407" t="s">
        <v>190</v>
      </c>
      <c r="I82" s="180">
        <f t="shared" si="4"/>
        <v>420000</v>
      </c>
      <c r="J82" s="408" t="s">
        <v>428</v>
      </c>
      <c r="K82" s="183">
        <f t="shared" si="5"/>
        <v>300000</v>
      </c>
      <c r="L82" s="408" t="s">
        <v>431</v>
      </c>
      <c r="M82" s="181">
        <f t="shared" si="6"/>
        <v>300000</v>
      </c>
      <c r="N82" s="181">
        <f t="shared" si="7"/>
        <v>1020000</v>
      </c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  <c r="DL82" s="175"/>
      <c r="DM82" s="175"/>
      <c r="DN82" s="175"/>
      <c r="DO82" s="175"/>
      <c r="DP82" s="175"/>
      <c r="DQ82" s="175"/>
      <c r="DR82" s="175"/>
      <c r="DS82" s="175"/>
      <c r="DT82" s="175"/>
      <c r="DU82" s="175"/>
      <c r="DV82" s="175"/>
      <c r="DW82" s="175"/>
      <c r="DX82" s="175"/>
      <c r="DY82" s="175"/>
      <c r="DZ82" s="175"/>
      <c r="EA82" s="175"/>
      <c r="EB82" s="175"/>
      <c r="EC82" s="175"/>
      <c r="ED82" s="175"/>
      <c r="EE82" s="175"/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175"/>
      <c r="FI82" s="175"/>
      <c r="FJ82" s="175"/>
      <c r="FK82" s="175"/>
      <c r="FL82" s="175"/>
      <c r="FM82" s="175"/>
      <c r="FN82" s="175"/>
      <c r="FO82" s="175"/>
      <c r="FP82" s="175"/>
      <c r="FQ82" s="175"/>
      <c r="FR82" s="175"/>
      <c r="FS82" s="175"/>
      <c r="FT82" s="17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  <c r="HN82" s="175"/>
      <c r="HO82" s="175"/>
      <c r="HP82" s="175"/>
      <c r="HQ82" s="175"/>
      <c r="HR82" s="175"/>
      <c r="HS82" s="175"/>
      <c r="HT82" s="175"/>
      <c r="HU82" s="175"/>
      <c r="HV82" s="175"/>
      <c r="HW82" s="175"/>
      <c r="HX82" s="175"/>
      <c r="HY82" s="175"/>
      <c r="HZ82" s="175"/>
      <c r="IA82" s="175"/>
      <c r="IB82" s="175"/>
      <c r="IC82" s="175"/>
      <c r="ID82" s="175"/>
      <c r="IE82" s="175"/>
      <c r="IF82" s="175"/>
      <c r="IG82" s="175"/>
      <c r="IH82" s="175"/>
      <c r="II82" s="175"/>
      <c r="IJ82" s="175"/>
      <c r="IK82" s="175"/>
      <c r="IL82" s="175"/>
      <c r="IM82" s="175"/>
      <c r="IN82" s="175"/>
      <c r="IO82" s="175"/>
      <c r="IP82" s="175"/>
      <c r="IQ82" s="175"/>
    </row>
    <row r="83" spans="1:251" s="146" customFormat="1" ht="21.75" customHeight="1">
      <c r="A83" s="179">
        <v>76</v>
      </c>
      <c r="B83" s="458" t="s">
        <v>354</v>
      </c>
      <c r="C83" s="459" t="s">
        <v>356</v>
      </c>
      <c r="D83" s="460"/>
      <c r="E83" s="460">
        <v>64</v>
      </c>
      <c r="F83" s="459" t="s">
        <v>229</v>
      </c>
      <c r="G83" s="460" t="s">
        <v>186</v>
      </c>
      <c r="H83" s="407" t="s">
        <v>134</v>
      </c>
      <c r="I83" s="180">
        <f t="shared" si="4"/>
        <v>420000</v>
      </c>
      <c r="J83" s="408" t="s">
        <v>432</v>
      </c>
      <c r="K83" s="183">
        <f t="shared" si="5"/>
        <v>300000</v>
      </c>
      <c r="L83" s="408" t="s">
        <v>434</v>
      </c>
      <c r="M83" s="181">
        <f t="shared" si="6"/>
        <v>300000</v>
      </c>
      <c r="N83" s="181">
        <f t="shared" si="7"/>
        <v>1020000</v>
      </c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  <c r="HN83" s="175"/>
      <c r="HO83" s="175"/>
      <c r="HP83" s="175"/>
      <c r="HQ83" s="175"/>
      <c r="HR83" s="175"/>
      <c r="HS83" s="175"/>
      <c r="HT83" s="175"/>
      <c r="HU83" s="175"/>
      <c r="HV83" s="175"/>
      <c r="HW83" s="175"/>
      <c r="HX83" s="175"/>
      <c r="HY83" s="175"/>
      <c r="HZ83" s="175"/>
      <c r="IA83" s="175"/>
      <c r="IB83" s="175"/>
      <c r="IC83" s="175"/>
      <c r="ID83" s="175"/>
      <c r="IE83" s="175"/>
      <c r="IF83" s="175"/>
      <c r="IG83" s="175"/>
      <c r="IH83" s="175"/>
      <c r="II83" s="175"/>
      <c r="IJ83" s="175"/>
      <c r="IK83" s="175"/>
      <c r="IL83" s="175"/>
      <c r="IM83" s="175"/>
      <c r="IN83" s="175"/>
      <c r="IO83" s="175"/>
      <c r="IP83" s="175"/>
      <c r="IQ83" s="175"/>
    </row>
    <row r="84" spans="1:251" s="146" customFormat="1" ht="21.75" customHeight="1">
      <c r="A84" s="179">
        <v>77</v>
      </c>
      <c r="B84" s="458" t="s">
        <v>354</v>
      </c>
      <c r="C84" s="459" t="s">
        <v>357</v>
      </c>
      <c r="D84" s="460"/>
      <c r="E84" s="460">
        <v>63</v>
      </c>
      <c r="F84" s="459" t="s">
        <v>200</v>
      </c>
      <c r="G84" s="460" t="s">
        <v>186</v>
      </c>
      <c r="H84" s="407" t="s">
        <v>159</v>
      </c>
      <c r="I84" s="180">
        <f t="shared" si="4"/>
        <v>420000</v>
      </c>
      <c r="J84" s="408" t="s">
        <v>378</v>
      </c>
      <c r="K84" s="183">
        <f t="shared" si="5"/>
        <v>300000</v>
      </c>
      <c r="L84" s="408" t="s">
        <v>434</v>
      </c>
      <c r="M84" s="181">
        <f t="shared" si="6"/>
        <v>300000</v>
      </c>
      <c r="N84" s="181">
        <f t="shared" si="7"/>
        <v>1020000</v>
      </c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  <c r="BT84" s="175"/>
      <c r="BU84" s="175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175"/>
      <c r="DC84" s="175"/>
      <c r="DD84" s="175"/>
      <c r="DE84" s="175"/>
      <c r="DF84" s="175"/>
      <c r="DG84" s="175"/>
      <c r="DH84" s="175"/>
      <c r="DI84" s="175"/>
      <c r="DJ84" s="175"/>
      <c r="DK84" s="175"/>
      <c r="DL84" s="175"/>
      <c r="DM84" s="175"/>
      <c r="DN84" s="175"/>
      <c r="DO84" s="175"/>
      <c r="DP84" s="175"/>
      <c r="DQ84" s="175"/>
      <c r="DR84" s="175"/>
      <c r="DS84" s="175"/>
      <c r="DT84" s="175"/>
      <c r="DU84" s="175"/>
      <c r="DV84" s="175"/>
      <c r="DW84" s="175"/>
      <c r="DX84" s="175"/>
      <c r="DY84" s="175"/>
      <c r="DZ84" s="175"/>
      <c r="EA84" s="175"/>
      <c r="EB84" s="175"/>
      <c r="EC84" s="175"/>
      <c r="ED84" s="175"/>
      <c r="EE84" s="175"/>
      <c r="EF84" s="175"/>
      <c r="EG84" s="175"/>
      <c r="EH84" s="175"/>
      <c r="EI84" s="175"/>
      <c r="EJ84" s="175"/>
      <c r="EK84" s="175"/>
      <c r="EL84" s="175"/>
      <c r="EM84" s="175"/>
      <c r="EN84" s="175"/>
      <c r="EO84" s="175"/>
      <c r="EP84" s="175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175"/>
      <c r="FI84" s="175"/>
      <c r="FJ84" s="175"/>
      <c r="FK84" s="175"/>
      <c r="FL84" s="175"/>
      <c r="FM84" s="175"/>
      <c r="FN84" s="175"/>
      <c r="FO84" s="175"/>
      <c r="FP84" s="175"/>
      <c r="FQ84" s="175"/>
      <c r="FR84" s="175"/>
      <c r="FS84" s="175"/>
      <c r="FT84" s="175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  <c r="HN84" s="175"/>
      <c r="HO84" s="175"/>
      <c r="HP84" s="175"/>
      <c r="HQ84" s="175"/>
      <c r="HR84" s="175"/>
      <c r="HS84" s="175"/>
      <c r="HT84" s="175"/>
      <c r="HU84" s="175"/>
      <c r="HV84" s="175"/>
      <c r="HW84" s="175"/>
      <c r="HX84" s="175"/>
      <c r="HY84" s="175"/>
      <c r="HZ84" s="175"/>
      <c r="IA84" s="175"/>
      <c r="IB84" s="175"/>
      <c r="IC84" s="175"/>
      <c r="ID84" s="175"/>
      <c r="IE84" s="175"/>
      <c r="IF84" s="175"/>
      <c r="IG84" s="175"/>
      <c r="IH84" s="175"/>
      <c r="II84" s="175"/>
      <c r="IJ84" s="175"/>
      <c r="IK84" s="175"/>
      <c r="IL84" s="175"/>
      <c r="IM84" s="175"/>
      <c r="IN84" s="175"/>
      <c r="IO84" s="175"/>
      <c r="IP84" s="175"/>
      <c r="IQ84" s="175"/>
    </row>
    <row r="85" spans="1:251" s="146" customFormat="1" ht="21.75" customHeight="1">
      <c r="A85" s="179">
        <v>78</v>
      </c>
      <c r="B85" s="458" t="s">
        <v>354</v>
      </c>
      <c r="C85" s="459" t="s">
        <v>358</v>
      </c>
      <c r="D85" s="460">
        <v>41</v>
      </c>
      <c r="E85" s="460"/>
      <c r="F85" s="459" t="s">
        <v>259</v>
      </c>
      <c r="G85" s="460" t="s">
        <v>186</v>
      </c>
      <c r="H85" s="407" t="s">
        <v>294</v>
      </c>
      <c r="I85" s="180">
        <f t="shared" si="4"/>
        <v>420000</v>
      </c>
      <c r="J85" s="408" t="s">
        <v>212</v>
      </c>
      <c r="K85" s="183">
        <f t="shared" si="5"/>
        <v>300000</v>
      </c>
      <c r="L85" s="408" t="s">
        <v>432</v>
      </c>
      <c r="M85" s="181">
        <f t="shared" si="6"/>
        <v>300000</v>
      </c>
      <c r="N85" s="181">
        <f t="shared" si="7"/>
        <v>1020000</v>
      </c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175"/>
      <c r="DH85" s="175"/>
      <c r="DI85" s="175"/>
      <c r="DJ85" s="175"/>
      <c r="DK85" s="175"/>
      <c r="DL85" s="175"/>
      <c r="DM85" s="175"/>
      <c r="DN85" s="175"/>
      <c r="DO85" s="175"/>
      <c r="DP85" s="175"/>
      <c r="DQ85" s="175"/>
      <c r="DR85" s="175"/>
      <c r="DS85" s="175"/>
      <c r="DT85" s="175"/>
      <c r="DU85" s="175"/>
      <c r="DV85" s="175"/>
      <c r="DW85" s="175"/>
      <c r="DX85" s="175"/>
      <c r="DY85" s="175"/>
      <c r="DZ85" s="175"/>
      <c r="EA85" s="175"/>
      <c r="EB85" s="175"/>
      <c r="EC85" s="175"/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175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  <c r="HN85" s="175"/>
      <c r="HO85" s="175"/>
      <c r="HP85" s="175"/>
      <c r="HQ85" s="175"/>
      <c r="HR85" s="175"/>
      <c r="HS85" s="175"/>
      <c r="HT85" s="175"/>
      <c r="HU85" s="175"/>
      <c r="HV85" s="175"/>
      <c r="HW85" s="175"/>
      <c r="HX85" s="175"/>
      <c r="HY85" s="175"/>
      <c r="HZ85" s="175"/>
      <c r="IA85" s="175"/>
      <c r="IB85" s="175"/>
      <c r="IC85" s="175"/>
      <c r="ID85" s="175"/>
      <c r="IE85" s="175"/>
      <c r="IF85" s="175"/>
      <c r="IG85" s="175"/>
      <c r="IH85" s="175"/>
      <c r="II85" s="175"/>
      <c r="IJ85" s="175"/>
      <c r="IK85" s="175"/>
      <c r="IL85" s="175"/>
      <c r="IM85" s="175"/>
      <c r="IN85" s="175"/>
      <c r="IO85" s="175"/>
      <c r="IP85" s="175"/>
      <c r="IQ85" s="175"/>
    </row>
    <row r="86" spans="1:251" s="146" customFormat="1" ht="21.75" customHeight="1">
      <c r="A86" s="179">
        <v>79</v>
      </c>
      <c r="B86" s="458" t="s">
        <v>360</v>
      </c>
      <c r="C86" s="459" t="s">
        <v>361</v>
      </c>
      <c r="D86" s="460"/>
      <c r="E86" s="460">
        <v>57</v>
      </c>
      <c r="F86" s="459" t="s">
        <v>229</v>
      </c>
      <c r="G86" s="460" t="s">
        <v>186</v>
      </c>
      <c r="H86" s="407" t="s">
        <v>134</v>
      </c>
      <c r="I86" s="180">
        <f t="shared" si="4"/>
        <v>420000</v>
      </c>
      <c r="J86" s="408" t="s">
        <v>434</v>
      </c>
      <c r="K86" s="183">
        <f t="shared" si="5"/>
        <v>300000</v>
      </c>
      <c r="L86" s="408" t="s">
        <v>432</v>
      </c>
      <c r="M86" s="181">
        <f t="shared" si="6"/>
        <v>300000</v>
      </c>
      <c r="N86" s="181">
        <f t="shared" si="7"/>
        <v>1020000</v>
      </c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175"/>
      <c r="DC86" s="175"/>
      <c r="DD86" s="175"/>
      <c r="DE86" s="175"/>
      <c r="DF86" s="175"/>
      <c r="DG86" s="175"/>
      <c r="DH86" s="175"/>
      <c r="DI86" s="175"/>
      <c r="DJ86" s="175"/>
      <c r="DK86" s="175"/>
      <c r="DL86" s="175"/>
      <c r="DM86" s="175"/>
      <c r="DN86" s="175"/>
      <c r="DO86" s="175"/>
      <c r="DP86" s="175"/>
      <c r="DQ86" s="175"/>
      <c r="DR86" s="175"/>
      <c r="DS86" s="175"/>
      <c r="DT86" s="175"/>
      <c r="DU86" s="175"/>
      <c r="DV86" s="175"/>
      <c r="DW86" s="175"/>
      <c r="DX86" s="175"/>
      <c r="DY86" s="175"/>
      <c r="DZ86" s="175"/>
      <c r="EA86" s="175"/>
      <c r="EB86" s="175"/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175"/>
      <c r="FI86" s="175"/>
      <c r="FJ86" s="175"/>
      <c r="FK86" s="175"/>
      <c r="FL86" s="175"/>
      <c r="FM86" s="175"/>
      <c r="FN86" s="175"/>
      <c r="FO86" s="175"/>
      <c r="FP86" s="175"/>
      <c r="FQ86" s="175"/>
      <c r="FR86" s="175"/>
      <c r="FS86" s="175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  <c r="HN86" s="175"/>
      <c r="HO86" s="175"/>
      <c r="HP86" s="175"/>
      <c r="HQ86" s="175"/>
      <c r="HR86" s="175"/>
      <c r="HS86" s="175"/>
      <c r="HT86" s="175"/>
      <c r="HU86" s="175"/>
      <c r="HV86" s="175"/>
      <c r="HW86" s="175"/>
      <c r="HX86" s="175"/>
      <c r="HY86" s="175"/>
      <c r="HZ86" s="175"/>
      <c r="IA86" s="175"/>
      <c r="IB86" s="175"/>
      <c r="IC86" s="175"/>
      <c r="ID86" s="175"/>
      <c r="IE86" s="175"/>
      <c r="IF86" s="175"/>
      <c r="IG86" s="175"/>
      <c r="IH86" s="175"/>
      <c r="II86" s="175"/>
      <c r="IJ86" s="175"/>
      <c r="IK86" s="175"/>
      <c r="IL86" s="175"/>
      <c r="IM86" s="175"/>
      <c r="IN86" s="175"/>
      <c r="IO86" s="175"/>
      <c r="IP86" s="175"/>
      <c r="IQ86" s="175"/>
    </row>
    <row r="87" spans="1:251" s="146" customFormat="1" ht="21.75" customHeight="1">
      <c r="A87" s="179">
        <v>80</v>
      </c>
      <c r="B87" s="458" t="s">
        <v>360</v>
      </c>
      <c r="C87" s="459" t="s">
        <v>362</v>
      </c>
      <c r="D87" s="460">
        <v>54</v>
      </c>
      <c r="E87" s="460"/>
      <c r="F87" s="459" t="s">
        <v>327</v>
      </c>
      <c r="G87" s="460" t="s">
        <v>186</v>
      </c>
      <c r="H87" s="407" t="s">
        <v>135</v>
      </c>
      <c r="I87" s="180">
        <f t="shared" si="4"/>
        <v>420000</v>
      </c>
      <c r="J87" s="408" t="s">
        <v>134</v>
      </c>
      <c r="K87" s="183">
        <f t="shared" si="5"/>
        <v>300000</v>
      </c>
      <c r="L87" s="408" t="s">
        <v>428</v>
      </c>
      <c r="M87" s="181">
        <f t="shared" si="6"/>
        <v>300000</v>
      </c>
      <c r="N87" s="181">
        <f t="shared" si="7"/>
        <v>1020000</v>
      </c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175"/>
      <c r="DC87" s="175"/>
      <c r="DD87" s="175"/>
      <c r="DE87" s="175"/>
      <c r="DF87" s="175"/>
      <c r="DG87" s="175"/>
      <c r="DH87" s="175"/>
      <c r="DI87" s="175"/>
      <c r="DJ87" s="175"/>
      <c r="DK87" s="175"/>
      <c r="DL87" s="175"/>
      <c r="DM87" s="175"/>
      <c r="DN87" s="175"/>
      <c r="DO87" s="175"/>
      <c r="DP87" s="175"/>
      <c r="DQ87" s="175"/>
      <c r="DR87" s="175"/>
      <c r="DS87" s="175"/>
      <c r="DT87" s="175"/>
      <c r="DU87" s="175"/>
      <c r="DV87" s="175"/>
      <c r="DW87" s="175"/>
      <c r="DX87" s="175"/>
      <c r="DY87" s="175"/>
      <c r="DZ87" s="175"/>
      <c r="EA87" s="175"/>
      <c r="EB87" s="175"/>
      <c r="EC87" s="175"/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175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  <c r="HN87" s="175"/>
      <c r="HO87" s="175"/>
      <c r="HP87" s="175"/>
      <c r="HQ87" s="175"/>
      <c r="HR87" s="175"/>
      <c r="HS87" s="175"/>
      <c r="HT87" s="175"/>
      <c r="HU87" s="175"/>
      <c r="HV87" s="175"/>
      <c r="HW87" s="175"/>
      <c r="HX87" s="175"/>
      <c r="HY87" s="175"/>
      <c r="HZ87" s="175"/>
      <c r="IA87" s="175"/>
      <c r="IB87" s="175"/>
      <c r="IC87" s="175"/>
      <c r="ID87" s="175"/>
      <c r="IE87" s="175"/>
      <c r="IF87" s="175"/>
      <c r="IG87" s="175"/>
      <c r="IH87" s="175"/>
      <c r="II87" s="175"/>
      <c r="IJ87" s="175"/>
      <c r="IK87" s="175"/>
      <c r="IL87" s="175"/>
      <c r="IM87" s="175"/>
      <c r="IN87" s="175"/>
      <c r="IO87" s="175"/>
      <c r="IP87" s="175"/>
      <c r="IQ87" s="175"/>
    </row>
    <row r="88" spans="1:251" s="146" customFormat="1" ht="21.75" customHeight="1">
      <c r="A88" s="179">
        <v>81</v>
      </c>
      <c r="B88" s="458" t="s">
        <v>360</v>
      </c>
      <c r="C88" s="459" t="s">
        <v>363</v>
      </c>
      <c r="D88" s="460"/>
      <c r="E88" s="460">
        <v>57</v>
      </c>
      <c r="F88" s="459" t="s">
        <v>200</v>
      </c>
      <c r="G88" s="460" t="s">
        <v>186</v>
      </c>
      <c r="H88" s="407" t="s">
        <v>135</v>
      </c>
      <c r="I88" s="180">
        <f t="shared" si="4"/>
        <v>420000</v>
      </c>
      <c r="J88" s="408" t="s">
        <v>134</v>
      </c>
      <c r="K88" s="183">
        <f t="shared" si="5"/>
        <v>300000</v>
      </c>
      <c r="L88" s="408" t="s">
        <v>56</v>
      </c>
      <c r="M88" s="181">
        <f t="shared" si="6"/>
        <v>0</v>
      </c>
      <c r="N88" s="181">
        <f t="shared" si="7"/>
        <v>720000</v>
      </c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5"/>
      <c r="BP88" s="175"/>
      <c r="BQ88" s="175"/>
      <c r="BR88" s="175"/>
      <c r="BS88" s="175"/>
      <c r="BT88" s="175"/>
      <c r="BU88" s="175"/>
      <c r="BV88" s="175"/>
      <c r="BW88" s="175"/>
      <c r="BX88" s="175"/>
      <c r="BY88" s="175"/>
      <c r="BZ88" s="175"/>
      <c r="CA88" s="175"/>
      <c r="CB88" s="175"/>
      <c r="CC88" s="175"/>
      <c r="CD88" s="175"/>
      <c r="CE88" s="175"/>
      <c r="CF88" s="175"/>
      <c r="CG88" s="175"/>
      <c r="CH88" s="175"/>
      <c r="CI88" s="175"/>
      <c r="CJ88" s="175"/>
      <c r="CK88" s="175"/>
      <c r="CL88" s="175"/>
      <c r="CM88" s="175"/>
      <c r="CN88" s="175"/>
      <c r="CO88" s="175"/>
      <c r="CP88" s="175"/>
      <c r="CQ88" s="175"/>
      <c r="CR88" s="175"/>
      <c r="CS88" s="175"/>
      <c r="CT88" s="175"/>
      <c r="CU88" s="175"/>
      <c r="CV88" s="175"/>
      <c r="CW88" s="175"/>
      <c r="CX88" s="175"/>
      <c r="CY88" s="175"/>
      <c r="CZ88" s="175"/>
      <c r="DA88" s="175"/>
      <c r="DB88" s="175"/>
      <c r="DC88" s="175"/>
      <c r="DD88" s="175"/>
      <c r="DE88" s="175"/>
      <c r="DF88" s="175"/>
      <c r="DG88" s="175"/>
      <c r="DH88" s="175"/>
      <c r="DI88" s="175"/>
      <c r="DJ88" s="175"/>
      <c r="DK88" s="175"/>
      <c r="DL88" s="175"/>
      <c r="DM88" s="175"/>
      <c r="DN88" s="175"/>
      <c r="DO88" s="175"/>
      <c r="DP88" s="175"/>
      <c r="DQ88" s="175"/>
      <c r="DR88" s="175"/>
      <c r="DS88" s="175"/>
      <c r="DT88" s="175"/>
      <c r="DU88" s="175"/>
      <c r="DV88" s="175"/>
      <c r="DW88" s="175"/>
      <c r="DX88" s="175"/>
      <c r="DY88" s="175"/>
      <c r="DZ88" s="175"/>
      <c r="EA88" s="175"/>
      <c r="EB88" s="175"/>
      <c r="EC88" s="175"/>
      <c r="ED88" s="175"/>
      <c r="EE88" s="175"/>
      <c r="EF88" s="175"/>
      <c r="EG88" s="175"/>
      <c r="EH88" s="175"/>
      <c r="EI88" s="175"/>
      <c r="EJ88" s="175"/>
      <c r="EK88" s="175"/>
      <c r="EL88" s="175"/>
      <c r="EM88" s="175"/>
      <c r="EN88" s="175"/>
      <c r="EO88" s="175"/>
      <c r="EP88" s="175"/>
      <c r="EQ88" s="175"/>
      <c r="ER88" s="175"/>
      <c r="ES88" s="175"/>
      <c r="ET88" s="175"/>
      <c r="EU88" s="175"/>
      <c r="EV88" s="175"/>
      <c r="EW88" s="175"/>
      <c r="EX88" s="175"/>
      <c r="EY88" s="175"/>
      <c r="EZ88" s="175"/>
      <c r="FA88" s="175"/>
      <c r="FB88" s="175"/>
      <c r="FC88" s="175"/>
      <c r="FD88" s="175"/>
      <c r="FE88" s="175"/>
      <c r="FF88" s="175"/>
      <c r="FG88" s="175"/>
      <c r="FH88" s="175"/>
      <c r="FI88" s="175"/>
      <c r="FJ88" s="175"/>
      <c r="FK88" s="175"/>
      <c r="FL88" s="175"/>
      <c r="FM88" s="175"/>
      <c r="FN88" s="175"/>
      <c r="FO88" s="175"/>
      <c r="FP88" s="175"/>
      <c r="FQ88" s="175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  <c r="HN88" s="175"/>
      <c r="HO88" s="175"/>
      <c r="HP88" s="175"/>
      <c r="HQ88" s="175"/>
      <c r="HR88" s="175"/>
      <c r="HS88" s="175"/>
      <c r="HT88" s="175"/>
      <c r="HU88" s="175"/>
      <c r="HV88" s="175"/>
      <c r="HW88" s="175"/>
      <c r="HX88" s="175"/>
      <c r="HY88" s="175"/>
      <c r="HZ88" s="175"/>
      <c r="IA88" s="175"/>
      <c r="IB88" s="175"/>
      <c r="IC88" s="175"/>
      <c r="ID88" s="175"/>
      <c r="IE88" s="175"/>
      <c r="IF88" s="175"/>
      <c r="IG88" s="175"/>
      <c r="IH88" s="175"/>
      <c r="II88" s="175"/>
      <c r="IJ88" s="175"/>
      <c r="IK88" s="175"/>
      <c r="IL88" s="175"/>
      <c r="IM88" s="175"/>
      <c r="IN88" s="175"/>
      <c r="IO88" s="175"/>
      <c r="IP88" s="175"/>
      <c r="IQ88" s="175"/>
    </row>
    <row r="89" spans="1:251" s="146" customFormat="1" ht="21.75" customHeight="1">
      <c r="A89" s="179">
        <v>82</v>
      </c>
      <c r="B89" s="458" t="s">
        <v>360</v>
      </c>
      <c r="C89" s="459" t="s">
        <v>364</v>
      </c>
      <c r="D89" s="460">
        <v>20</v>
      </c>
      <c r="E89" s="460"/>
      <c r="F89" s="459" t="s">
        <v>365</v>
      </c>
      <c r="G89" s="460" t="s">
        <v>204</v>
      </c>
      <c r="H89" s="407" t="s">
        <v>212</v>
      </c>
      <c r="I89" s="180">
        <f t="shared" si="4"/>
        <v>187500</v>
      </c>
      <c r="J89" s="408" t="s">
        <v>294</v>
      </c>
      <c r="K89" s="183">
        <f t="shared" si="5"/>
        <v>135000</v>
      </c>
      <c r="L89" s="408" t="s">
        <v>432</v>
      </c>
      <c r="M89" s="181">
        <f t="shared" si="6"/>
        <v>135000</v>
      </c>
      <c r="N89" s="181">
        <f t="shared" si="7"/>
        <v>457500</v>
      </c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5"/>
      <c r="BP89" s="175"/>
      <c r="BQ89" s="175"/>
      <c r="BR89" s="175"/>
      <c r="BS89" s="175"/>
      <c r="BT89" s="175"/>
      <c r="BU89" s="175"/>
      <c r="BV89" s="175"/>
      <c r="BW89" s="175"/>
      <c r="BX89" s="175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5"/>
      <c r="CW89" s="175"/>
      <c r="CX89" s="175"/>
      <c r="CY89" s="175"/>
      <c r="CZ89" s="175"/>
      <c r="DA89" s="175"/>
      <c r="DB89" s="175"/>
      <c r="DC89" s="175"/>
      <c r="DD89" s="175"/>
      <c r="DE89" s="175"/>
      <c r="DF89" s="175"/>
      <c r="DG89" s="175"/>
      <c r="DH89" s="175"/>
      <c r="DI89" s="175"/>
      <c r="DJ89" s="175"/>
      <c r="DK89" s="175"/>
      <c r="DL89" s="175"/>
      <c r="DM89" s="175"/>
      <c r="DN89" s="175"/>
      <c r="DO89" s="175"/>
      <c r="DP89" s="175"/>
      <c r="DQ89" s="175"/>
      <c r="DR89" s="175"/>
      <c r="DS89" s="175"/>
      <c r="DT89" s="175"/>
      <c r="DU89" s="175"/>
      <c r="DV89" s="175"/>
      <c r="DW89" s="175"/>
      <c r="DX89" s="175"/>
      <c r="DY89" s="175"/>
      <c r="DZ89" s="175"/>
      <c r="EA89" s="175"/>
      <c r="EB89" s="175"/>
      <c r="EC89" s="175"/>
      <c r="ED89" s="175"/>
      <c r="EE89" s="175"/>
      <c r="EF89" s="175"/>
      <c r="EG89" s="175"/>
      <c r="EH89" s="175"/>
      <c r="EI89" s="175"/>
      <c r="EJ89" s="175"/>
      <c r="EK89" s="175"/>
      <c r="EL89" s="175"/>
      <c r="EM89" s="175"/>
      <c r="EN89" s="175"/>
      <c r="EO89" s="175"/>
      <c r="EP89" s="175"/>
      <c r="EQ89" s="175"/>
      <c r="ER89" s="175"/>
      <c r="ES89" s="175"/>
      <c r="ET89" s="175"/>
      <c r="EU89" s="175"/>
      <c r="EV89" s="175"/>
      <c r="EW89" s="175"/>
      <c r="EX89" s="175"/>
      <c r="EY89" s="175"/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175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  <c r="HN89" s="175"/>
      <c r="HO89" s="175"/>
      <c r="HP89" s="175"/>
      <c r="HQ89" s="175"/>
      <c r="HR89" s="175"/>
      <c r="HS89" s="175"/>
      <c r="HT89" s="175"/>
      <c r="HU89" s="175"/>
      <c r="HV89" s="175"/>
      <c r="HW89" s="175"/>
      <c r="HX89" s="175"/>
      <c r="HY89" s="175"/>
      <c r="HZ89" s="175"/>
      <c r="IA89" s="175"/>
      <c r="IB89" s="175"/>
      <c r="IC89" s="175"/>
      <c r="ID89" s="175"/>
      <c r="IE89" s="175"/>
      <c r="IF89" s="175"/>
      <c r="IG89" s="175"/>
      <c r="IH89" s="175"/>
      <c r="II89" s="175"/>
      <c r="IJ89" s="175"/>
      <c r="IK89" s="175"/>
      <c r="IL89" s="175"/>
      <c r="IM89" s="175"/>
      <c r="IN89" s="175"/>
      <c r="IO89" s="175"/>
      <c r="IP89" s="175"/>
      <c r="IQ89" s="175"/>
    </row>
    <row r="90" spans="1:251" s="146" customFormat="1" ht="21.75" customHeight="1">
      <c r="A90" s="179">
        <v>83</v>
      </c>
      <c r="B90" s="458" t="s">
        <v>366</v>
      </c>
      <c r="C90" s="459" t="s">
        <v>367</v>
      </c>
      <c r="D90" s="460">
        <v>21</v>
      </c>
      <c r="E90" s="460"/>
      <c r="F90" s="459" t="s">
        <v>229</v>
      </c>
      <c r="G90" s="460" t="s">
        <v>186</v>
      </c>
      <c r="H90" s="407" t="s">
        <v>183</v>
      </c>
      <c r="I90" s="180">
        <f t="shared" si="4"/>
        <v>420000</v>
      </c>
      <c r="J90" s="408" t="s">
        <v>434</v>
      </c>
      <c r="K90" s="183">
        <f t="shared" si="5"/>
        <v>300000</v>
      </c>
      <c r="L90" s="408" t="s">
        <v>431</v>
      </c>
      <c r="M90" s="181">
        <f t="shared" si="6"/>
        <v>300000</v>
      </c>
      <c r="N90" s="181">
        <f t="shared" si="7"/>
        <v>1020000</v>
      </c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175"/>
      <c r="AZ90" s="175"/>
      <c r="BA90" s="175"/>
      <c r="BB90" s="175"/>
      <c r="BC90" s="175"/>
      <c r="BD90" s="175"/>
      <c r="BE90" s="175"/>
      <c r="BF90" s="175"/>
      <c r="BG90" s="175"/>
      <c r="BH90" s="175"/>
      <c r="BI90" s="175"/>
      <c r="BJ90" s="175"/>
      <c r="BK90" s="175"/>
      <c r="BL90" s="175"/>
      <c r="BM90" s="175"/>
      <c r="BN90" s="175"/>
      <c r="BO90" s="175"/>
      <c r="BP90" s="175"/>
      <c r="BQ90" s="175"/>
      <c r="BR90" s="175"/>
      <c r="BS90" s="175"/>
      <c r="BT90" s="175"/>
      <c r="BU90" s="175"/>
      <c r="BV90" s="175"/>
      <c r="BW90" s="175"/>
      <c r="BX90" s="175"/>
      <c r="BY90" s="175"/>
      <c r="BZ90" s="175"/>
      <c r="CA90" s="175"/>
      <c r="CB90" s="175"/>
      <c r="CC90" s="175"/>
      <c r="CD90" s="175"/>
      <c r="CE90" s="175"/>
      <c r="CF90" s="175"/>
      <c r="CG90" s="175"/>
      <c r="CH90" s="175"/>
      <c r="CI90" s="175"/>
      <c r="CJ90" s="175"/>
      <c r="CK90" s="175"/>
      <c r="CL90" s="175"/>
      <c r="CM90" s="175"/>
      <c r="CN90" s="175"/>
      <c r="CO90" s="175"/>
      <c r="CP90" s="175"/>
      <c r="CQ90" s="175"/>
      <c r="CR90" s="175"/>
      <c r="CS90" s="175"/>
      <c r="CT90" s="175"/>
      <c r="CU90" s="175"/>
      <c r="CV90" s="175"/>
      <c r="CW90" s="175"/>
      <c r="CX90" s="175"/>
      <c r="CY90" s="175"/>
      <c r="CZ90" s="175"/>
      <c r="DA90" s="175"/>
      <c r="DB90" s="175"/>
      <c r="DC90" s="175"/>
      <c r="DD90" s="175"/>
      <c r="DE90" s="175"/>
      <c r="DF90" s="175"/>
      <c r="DG90" s="175"/>
      <c r="DH90" s="175"/>
      <c r="DI90" s="175"/>
      <c r="DJ90" s="175"/>
      <c r="DK90" s="175"/>
      <c r="DL90" s="175"/>
      <c r="DM90" s="175"/>
      <c r="DN90" s="175"/>
      <c r="DO90" s="175"/>
      <c r="DP90" s="175"/>
      <c r="DQ90" s="175"/>
      <c r="DR90" s="175"/>
      <c r="DS90" s="175"/>
      <c r="DT90" s="175"/>
      <c r="DU90" s="175"/>
      <c r="DV90" s="175"/>
      <c r="DW90" s="175"/>
      <c r="DX90" s="175"/>
      <c r="DY90" s="175"/>
      <c r="DZ90" s="175"/>
      <c r="EA90" s="175"/>
      <c r="EB90" s="175"/>
      <c r="EC90" s="175"/>
      <c r="ED90" s="175"/>
      <c r="EE90" s="175"/>
      <c r="EF90" s="175"/>
      <c r="EG90" s="175"/>
      <c r="EH90" s="175"/>
      <c r="EI90" s="175"/>
      <c r="EJ90" s="175"/>
      <c r="EK90" s="175"/>
      <c r="EL90" s="175"/>
      <c r="EM90" s="175"/>
      <c r="EN90" s="175"/>
      <c r="EO90" s="175"/>
      <c r="EP90" s="175"/>
      <c r="EQ90" s="175"/>
      <c r="ER90" s="175"/>
      <c r="ES90" s="175"/>
      <c r="ET90" s="175"/>
      <c r="EU90" s="175"/>
      <c r="EV90" s="175"/>
      <c r="EW90" s="175"/>
      <c r="EX90" s="175"/>
      <c r="EY90" s="175"/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175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  <c r="HN90" s="175"/>
      <c r="HO90" s="175"/>
      <c r="HP90" s="175"/>
      <c r="HQ90" s="175"/>
      <c r="HR90" s="175"/>
      <c r="HS90" s="175"/>
      <c r="HT90" s="175"/>
      <c r="HU90" s="175"/>
      <c r="HV90" s="175"/>
      <c r="HW90" s="175"/>
      <c r="HX90" s="175"/>
      <c r="HY90" s="175"/>
      <c r="HZ90" s="175"/>
      <c r="IA90" s="175"/>
      <c r="IB90" s="175"/>
      <c r="IC90" s="175"/>
      <c r="ID90" s="175"/>
      <c r="IE90" s="175"/>
      <c r="IF90" s="175"/>
      <c r="IG90" s="175"/>
      <c r="IH90" s="175"/>
      <c r="II90" s="175"/>
      <c r="IJ90" s="175"/>
      <c r="IK90" s="175"/>
      <c r="IL90" s="175"/>
      <c r="IM90" s="175"/>
      <c r="IN90" s="175"/>
      <c r="IO90" s="175"/>
      <c r="IP90" s="175"/>
      <c r="IQ90" s="175"/>
    </row>
    <row r="91" spans="1:251" s="146" customFormat="1" ht="21.75" customHeight="1">
      <c r="A91" s="179">
        <v>84</v>
      </c>
      <c r="B91" s="458" t="s">
        <v>368</v>
      </c>
      <c r="C91" s="459" t="s">
        <v>371</v>
      </c>
      <c r="D91" s="460"/>
      <c r="E91" s="460">
        <v>47</v>
      </c>
      <c r="F91" s="459" t="s">
        <v>229</v>
      </c>
      <c r="G91" s="460" t="s">
        <v>186</v>
      </c>
      <c r="H91" s="407" t="s">
        <v>134</v>
      </c>
      <c r="I91" s="180">
        <f t="shared" si="4"/>
        <v>420000</v>
      </c>
      <c r="J91" s="408" t="s">
        <v>436</v>
      </c>
      <c r="K91" s="183">
        <f t="shared" si="5"/>
        <v>300000</v>
      </c>
      <c r="L91" s="408" t="s">
        <v>441</v>
      </c>
      <c r="M91" s="181">
        <f t="shared" si="6"/>
        <v>300000</v>
      </c>
      <c r="N91" s="181">
        <f t="shared" si="7"/>
        <v>1020000</v>
      </c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  <c r="BT91" s="175"/>
      <c r="BU91" s="175"/>
      <c r="BV91" s="175"/>
      <c r="BW91" s="175"/>
      <c r="BX91" s="175"/>
      <c r="BY91" s="175"/>
      <c r="BZ91" s="175"/>
      <c r="CA91" s="175"/>
      <c r="CB91" s="175"/>
      <c r="CC91" s="175"/>
      <c r="CD91" s="175"/>
      <c r="CE91" s="175"/>
      <c r="CF91" s="175"/>
      <c r="CG91" s="175"/>
      <c r="CH91" s="175"/>
      <c r="CI91" s="175"/>
      <c r="CJ91" s="175"/>
      <c r="CK91" s="175"/>
      <c r="CL91" s="175"/>
      <c r="CM91" s="175"/>
      <c r="CN91" s="175"/>
      <c r="CO91" s="175"/>
      <c r="CP91" s="175"/>
      <c r="CQ91" s="175"/>
      <c r="CR91" s="175"/>
      <c r="CS91" s="175"/>
      <c r="CT91" s="175"/>
      <c r="CU91" s="175"/>
      <c r="CV91" s="175"/>
      <c r="CW91" s="175"/>
      <c r="CX91" s="175"/>
      <c r="CY91" s="175"/>
      <c r="CZ91" s="175"/>
      <c r="DA91" s="175"/>
      <c r="DB91" s="175"/>
      <c r="DC91" s="175"/>
      <c r="DD91" s="175"/>
      <c r="DE91" s="175"/>
      <c r="DF91" s="175"/>
      <c r="DG91" s="175"/>
      <c r="DH91" s="175"/>
      <c r="DI91" s="175"/>
      <c r="DJ91" s="175"/>
      <c r="DK91" s="175"/>
      <c r="DL91" s="175"/>
      <c r="DM91" s="175"/>
      <c r="DN91" s="175"/>
      <c r="DO91" s="175"/>
      <c r="DP91" s="175"/>
      <c r="DQ91" s="175"/>
      <c r="DR91" s="175"/>
      <c r="DS91" s="175"/>
      <c r="DT91" s="175"/>
      <c r="DU91" s="175"/>
      <c r="DV91" s="175"/>
      <c r="DW91" s="175"/>
      <c r="DX91" s="175"/>
      <c r="DY91" s="175"/>
      <c r="DZ91" s="175"/>
      <c r="EA91" s="175"/>
      <c r="EB91" s="175"/>
      <c r="EC91" s="175"/>
      <c r="ED91" s="175"/>
      <c r="EE91" s="175"/>
      <c r="EF91" s="175"/>
      <c r="EG91" s="175"/>
      <c r="EH91" s="175"/>
      <c r="EI91" s="175"/>
      <c r="EJ91" s="175"/>
      <c r="EK91" s="175"/>
      <c r="EL91" s="175"/>
      <c r="EM91" s="175"/>
      <c r="EN91" s="175"/>
      <c r="EO91" s="175"/>
      <c r="EP91" s="175"/>
      <c r="EQ91" s="175"/>
      <c r="ER91" s="175"/>
      <c r="ES91" s="175"/>
      <c r="ET91" s="175"/>
      <c r="EU91" s="175"/>
      <c r="EV91" s="175"/>
      <c r="EW91" s="175"/>
      <c r="EX91" s="175"/>
      <c r="EY91" s="175"/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175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  <c r="HN91" s="175"/>
      <c r="HO91" s="175"/>
      <c r="HP91" s="175"/>
      <c r="HQ91" s="175"/>
      <c r="HR91" s="175"/>
      <c r="HS91" s="175"/>
      <c r="HT91" s="175"/>
      <c r="HU91" s="175"/>
      <c r="HV91" s="175"/>
      <c r="HW91" s="175"/>
      <c r="HX91" s="175"/>
      <c r="HY91" s="175"/>
      <c r="HZ91" s="175"/>
      <c r="IA91" s="175"/>
      <c r="IB91" s="175"/>
      <c r="IC91" s="175"/>
      <c r="ID91" s="175"/>
      <c r="IE91" s="175"/>
      <c r="IF91" s="175"/>
      <c r="IG91" s="175"/>
      <c r="IH91" s="175"/>
      <c r="II91" s="175"/>
      <c r="IJ91" s="175"/>
      <c r="IK91" s="175"/>
      <c r="IL91" s="175"/>
      <c r="IM91" s="175"/>
      <c r="IN91" s="175"/>
      <c r="IO91" s="175"/>
      <c r="IP91" s="175"/>
      <c r="IQ91" s="175"/>
    </row>
    <row r="92" spans="1:251" s="146" customFormat="1" ht="21.75" customHeight="1">
      <c r="A92" s="179">
        <v>85</v>
      </c>
      <c r="B92" s="458" t="s">
        <v>368</v>
      </c>
      <c r="C92" s="459" t="s">
        <v>371</v>
      </c>
      <c r="D92" s="460"/>
      <c r="E92" s="460">
        <v>47</v>
      </c>
      <c r="F92" s="459" t="s">
        <v>372</v>
      </c>
      <c r="G92" s="460" t="s">
        <v>186</v>
      </c>
      <c r="H92" s="407" t="s">
        <v>134</v>
      </c>
      <c r="I92" s="180">
        <f t="shared" si="4"/>
        <v>420000</v>
      </c>
      <c r="J92" s="408" t="s">
        <v>432</v>
      </c>
      <c r="K92" s="183">
        <f t="shared" si="5"/>
        <v>300000</v>
      </c>
      <c r="L92" s="408" t="s">
        <v>438</v>
      </c>
      <c r="M92" s="181">
        <f t="shared" si="6"/>
        <v>300000</v>
      </c>
      <c r="N92" s="181">
        <f t="shared" si="7"/>
        <v>1020000</v>
      </c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5"/>
      <c r="CG92" s="175"/>
      <c r="CH92" s="175"/>
      <c r="CI92" s="175"/>
      <c r="CJ92" s="175"/>
      <c r="CK92" s="175"/>
      <c r="CL92" s="175"/>
      <c r="CM92" s="175"/>
      <c r="CN92" s="175"/>
      <c r="CO92" s="175"/>
      <c r="CP92" s="175"/>
      <c r="CQ92" s="175"/>
      <c r="CR92" s="175"/>
      <c r="CS92" s="175"/>
      <c r="CT92" s="175"/>
      <c r="CU92" s="175"/>
      <c r="CV92" s="175"/>
      <c r="CW92" s="175"/>
      <c r="CX92" s="175"/>
      <c r="CY92" s="175"/>
      <c r="CZ92" s="175"/>
      <c r="DA92" s="175"/>
      <c r="DB92" s="175"/>
      <c r="DC92" s="175"/>
      <c r="DD92" s="175"/>
      <c r="DE92" s="175"/>
      <c r="DF92" s="175"/>
      <c r="DG92" s="175"/>
      <c r="DH92" s="175"/>
      <c r="DI92" s="175"/>
      <c r="DJ92" s="175"/>
      <c r="DK92" s="175"/>
      <c r="DL92" s="175"/>
      <c r="DM92" s="175"/>
      <c r="DN92" s="175"/>
      <c r="DO92" s="175"/>
      <c r="DP92" s="175"/>
      <c r="DQ92" s="175"/>
      <c r="DR92" s="175"/>
      <c r="DS92" s="175"/>
      <c r="DT92" s="175"/>
      <c r="DU92" s="175"/>
      <c r="DV92" s="175"/>
      <c r="DW92" s="175"/>
      <c r="DX92" s="175"/>
      <c r="DY92" s="175"/>
      <c r="DZ92" s="175"/>
      <c r="EA92" s="175"/>
      <c r="EB92" s="175"/>
      <c r="EC92" s="175"/>
      <c r="ED92" s="175"/>
      <c r="EE92" s="175"/>
      <c r="EF92" s="175"/>
      <c r="EG92" s="175"/>
      <c r="EH92" s="175"/>
      <c r="EI92" s="175"/>
      <c r="EJ92" s="175"/>
      <c r="EK92" s="175"/>
      <c r="EL92" s="175"/>
      <c r="EM92" s="175"/>
      <c r="EN92" s="175"/>
      <c r="EO92" s="175"/>
      <c r="EP92" s="175"/>
      <c r="EQ92" s="175"/>
      <c r="ER92" s="175"/>
      <c r="ES92" s="175"/>
      <c r="ET92" s="175"/>
      <c r="EU92" s="175"/>
      <c r="EV92" s="175"/>
      <c r="EW92" s="175"/>
      <c r="EX92" s="175"/>
      <c r="EY92" s="175"/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175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  <c r="HN92" s="175"/>
      <c r="HO92" s="175"/>
      <c r="HP92" s="175"/>
      <c r="HQ92" s="175"/>
      <c r="HR92" s="175"/>
      <c r="HS92" s="175"/>
      <c r="HT92" s="175"/>
      <c r="HU92" s="175"/>
      <c r="HV92" s="175"/>
      <c r="HW92" s="175"/>
      <c r="HX92" s="175"/>
      <c r="HY92" s="175"/>
      <c r="HZ92" s="175"/>
      <c r="IA92" s="175"/>
      <c r="IB92" s="175"/>
      <c r="IC92" s="175"/>
      <c r="ID92" s="175"/>
      <c r="IE92" s="175"/>
      <c r="IF92" s="175"/>
      <c r="IG92" s="175"/>
      <c r="IH92" s="175"/>
      <c r="II92" s="175"/>
      <c r="IJ92" s="175"/>
      <c r="IK92" s="175"/>
      <c r="IL92" s="175"/>
      <c r="IM92" s="175"/>
      <c r="IN92" s="175"/>
      <c r="IO92" s="175"/>
      <c r="IP92" s="175"/>
      <c r="IQ92" s="175"/>
    </row>
    <row r="93" spans="1:251" s="146" customFormat="1" ht="21.75" customHeight="1">
      <c r="A93" s="179">
        <v>86</v>
      </c>
      <c r="B93" s="458" t="s">
        <v>368</v>
      </c>
      <c r="C93" s="459" t="s">
        <v>373</v>
      </c>
      <c r="D93" s="460">
        <v>58</v>
      </c>
      <c r="E93" s="460"/>
      <c r="F93" s="459" t="s">
        <v>229</v>
      </c>
      <c r="G93" s="460" t="s">
        <v>186</v>
      </c>
      <c r="H93" s="407" t="s">
        <v>134</v>
      </c>
      <c r="I93" s="180">
        <f t="shared" si="4"/>
        <v>420000</v>
      </c>
      <c r="J93" s="408" t="s">
        <v>432</v>
      </c>
      <c r="K93" s="183">
        <f t="shared" si="5"/>
        <v>300000</v>
      </c>
      <c r="L93" s="408" t="s">
        <v>436</v>
      </c>
      <c r="M93" s="181">
        <f t="shared" si="6"/>
        <v>300000</v>
      </c>
      <c r="N93" s="181">
        <f t="shared" si="7"/>
        <v>1020000</v>
      </c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175"/>
      <c r="BO93" s="175"/>
      <c r="BP93" s="175"/>
      <c r="BQ93" s="175"/>
      <c r="BR93" s="175"/>
      <c r="BS93" s="175"/>
      <c r="BT93" s="175"/>
      <c r="BU93" s="175"/>
      <c r="BV93" s="175"/>
      <c r="BW93" s="175"/>
      <c r="BX93" s="175"/>
      <c r="BY93" s="175"/>
      <c r="BZ93" s="175"/>
      <c r="CA93" s="175"/>
      <c r="CB93" s="175"/>
      <c r="CC93" s="175"/>
      <c r="CD93" s="175"/>
      <c r="CE93" s="175"/>
      <c r="CF93" s="175"/>
      <c r="CG93" s="175"/>
      <c r="CH93" s="175"/>
      <c r="CI93" s="175"/>
      <c r="CJ93" s="175"/>
      <c r="CK93" s="175"/>
      <c r="CL93" s="175"/>
      <c r="CM93" s="175"/>
      <c r="CN93" s="175"/>
      <c r="CO93" s="175"/>
      <c r="CP93" s="175"/>
      <c r="CQ93" s="175"/>
      <c r="CR93" s="175"/>
      <c r="CS93" s="175"/>
      <c r="CT93" s="175"/>
      <c r="CU93" s="175"/>
      <c r="CV93" s="175"/>
      <c r="CW93" s="175"/>
      <c r="CX93" s="175"/>
      <c r="CY93" s="175"/>
      <c r="CZ93" s="175"/>
      <c r="DA93" s="175"/>
      <c r="DB93" s="175"/>
      <c r="DC93" s="175"/>
      <c r="DD93" s="175"/>
      <c r="DE93" s="175"/>
      <c r="DF93" s="175"/>
      <c r="DG93" s="175"/>
      <c r="DH93" s="175"/>
      <c r="DI93" s="175"/>
      <c r="DJ93" s="175"/>
      <c r="DK93" s="175"/>
      <c r="DL93" s="175"/>
      <c r="DM93" s="175"/>
      <c r="DN93" s="175"/>
      <c r="DO93" s="175"/>
      <c r="DP93" s="175"/>
      <c r="DQ93" s="175"/>
      <c r="DR93" s="175"/>
      <c r="DS93" s="175"/>
      <c r="DT93" s="175"/>
      <c r="DU93" s="175"/>
      <c r="DV93" s="175"/>
      <c r="DW93" s="175"/>
      <c r="DX93" s="175"/>
      <c r="DY93" s="175"/>
      <c r="DZ93" s="175"/>
      <c r="EA93" s="175"/>
      <c r="EB93" s="175"/>
      <c r="EC93" s="175"/>
      <c r="ED93" s="175"/>
      <c r="EE93" s="175"/>
      <c r="EF93" s="175"/>
      <c r="EG93" s="175"/>
      <c r="EH93" s="175"/>
      <c r="EI93" s="175"/>
      <c r="EJ93" s="175"/>
      <c r="EK93" s="175"/>
      <c r="EL93" s="175"/>
      <c r="EM93" s="175"/>
      <c r="EN93" s="175"/>
      <c r="EO93" s="175"/>
      <c r="EP93" s="175"/>
      <c r="EQ93" s="175"/>
      <c r="ER93" s="175"/>
      <c r="ES93" s="175"/>
      <c r="ET93" s="175"/>
      <c r="EU93" s="175"/>
      <c r="EV93" s="175"/>
      <c r="EW93" s="175"/>
      <c r="EX93" s="175"/>
      <c r="EY93" s="175"/>
      <c r="EZ93" s="175"/>
      <c r="FA93" s="175"/>
      <c r="FB93" s="175"/>
      <c r="FC93" s="175"/>
      <c r="FD93" s="175"/>
      <c r="FE93" s="175"/>
      <c r="FF93" s="175"/>
      <c r="FG93" s="175"/>
      <c r="FH93" s="175"/>
      <c r="FI93" s="175"/>
      <c r="FJ93" s="175"/>
      <c r="FK93" s="175"/>
      <c r="FL93" s="175"/>
      <c r="FM93" s="175"/>
      <c r="FN93" s="175"/>
      <c r="FO93" s="175"/>
      <c r="FP93" s="175"/>
      <c r="FQ93" s="175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  <c r="HN93" s="175"/>
      <c r="HO93" s="175"/>
      <c r="HP93" s="175"/>
      <c r="HQ93" s="175"/>
      <c r="HR93" s="175"/>
      <c r="HS93" s="175"/>
      <c r="HT93" s="175"/>
      <c r="HU93" s="175"/>
      <c r="HV93" s="175"/>
      <c r="HW93" s="175"/>
      <c r="HX93" s="175"/>
      <c r="HY93" s="175"/>
      <c r="HZ93" s="175"/>
      <c r="IA93" s="175"/>
      <c r="IB93" s="175"/>
      <c r="IC93" s="175"/>
      <c r="ID93" s="175"/>
      <c r="IE93" s="175"/>
      <c r="IF93" s="175"/>
      <c r="IG93" s="175"/>
      <c r="IH93" s="175"/>
      <c r="II93" s="175"/>
      <c r="IJ93" s="175"/>
      <c r="IK93" s="175"/>
      <c r="IL93" s="175"/>
      <c r="IM93" s="175"/>
      <c r="IN93" s="175"/>
      <c r="IO93" s="175"/>
      <c r="IP93" s="175"/>
      <c r="IQ93" s="175"/>
    </row>
    <row r="94" spans="1:251" s="146" customFormat="1" ht="21.75" customHeight="1">
      <c r="A94" s="179">
        <v>87</v>
      </c>
      <c r="B94" s="458" t="s">
        <v>368</v>
      </c>
      <c r="C94" s="459" t="s">
        <v>458</v>
      </c>
      <c r="D94" s="460">
        <v>71</v>
      </c>
      <c r="E94" s="460"/>
      <c r="F94" s="459" t="s">
        <v>229</v>
      </c>
      <c r="G94" s="460" t="s">
        <v>447</v>
      </c>
      <c r="H94" s="407" t="s">
        <v>159</v>
      </c>
      <c r="I94" s="180">
        <f t="shared" si="4"/>
        <v>420000</v>
      </c>
      <c r="J94" s="408" t="s">
        <v>212</v>
      </c>
      <c r="K94" s="183">
        <f t="shared" si="5"/>
        <v>300000</v>
      </c>
      <c r="L94" s="408" t="s">
        <v>436</v>
      </c>
      <c r="M94" s="181">
        <f t="shared" si="6"/>
        <v>300000</v>
      </c>
      <c r="N94" s="181">
        <f t="shared" si="7"/>
        <v>1020000</v>
      </c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5"/>
      <c r="CG94" s="175"/>
      <c r="CH94" s="175"/>
      <c r="CI94" s="175"/>
      <c r="CJ94" s="175"/>
      <c r="CK94" s="175"/>
      <c r="CL94" s="175"/>
      <c r="CM94" s="175"/>
      <c r="CN94" s="175"/>
      <c r="CO94" s="175"/>
      <c r="CP94" s="175"/>
      <c r="CQ94" s="175"/>
      <c r="CR94" s="175"/>
      <c r="CS94" s="175"/>
      <c r="CT94" s="175"/>
      <c r="CU94" s="175"/>
      <c r="CV94" s="175"/>
      <c r="CW94" s="175"/>
      <c r="CX94" s="175"/>
      <c r="CY94" s="175"/>
      <c r="CZ94" s="175"/>
      <c r="DA94" s="175"/>
      <c r="DB94" s="175"/>
      <c r="DC94" s="175"/>
      <c r="DD94" s="175"/>
      <c r="DE94" s="175"/>
      <c r="DF94" s="175"/>
      <c r="DG94" s="175"/>
      <c r="DH94" s="175"/>
      <c r="DI94" s="175"/>
      <c r="DJ94" s="175"/>
      <c r="DK94" s="175"/>
      <c r="DL94" s="175"/>
      <c r="DM94" s="175"/>
      <c r="DN94" s="175"/>
      <c r="DO94" s="175"/>
      <c r="DP94" s="175"/>
      <c r="DQ94" s="175"/>
      <c r="DR94" s="175"/>
      <c r="DS94" s="175"/>
      <c r="DT94" s="175"/>
      <c r="DU94" s="175"/>
      <c r="DV94" s="175"/>
      <c r="DW94" s="175"/>
      <c r="DX94" s="175"/>
      <c r="DY94" s="175"/>
      <c r="DZ94" s="175"/>
      <c r="EA94" s="175"/>
      <c r="EB94" s="175"/>
      <c r="EC94" s="175"/>
      <c r="ED94" s="175"/>
      <c r="EE94" s="175"/>
      <c r="EF94" s="175"/>
      <c r="EG94" s="175"/>
      <c r="EH94" s="175"/>
      <c r="EI94" s="175"/>
      <c r="EJ94" s="175"/>
      <c r="EK94" s="175"/>
      <c r="EL94" s="175"/>
      <c r="EM94" s="175"/>
      <c r="EN94" s="175"/>
      <c r="EO94" s="175"/>
      <c r="EP94" s="175"/>
      <c r="EQ94" s="175"/>
      <c r="ER94" s="175"/>
      <c r="ES94" s="175"/>
      <c r="ET94" s="175"/>
      <c r="EU94" s="175"/>
      <c r="EV94" s="175"/>
      <c r="EW94" s="175"/>
      <c r="EX94" s="175"/>
      <c r="EY94" s="175"/>
      <c r="EZ94" s="175"/>
      <c r="FA94" s="175"/>
      <c r="FB94" s="175"/>
      <c r="FC94" s="175"/>
      <c r="FD94" s="175"/>
      <c r="FE94" s="175"/>
      <c r="FF94" s="175"/>
      <c r="FG94" s="175"/>
      <c r="FH94" s="175"/>
      <c r="FI94" s="175"/>
      <c r="FJ94" s="175"/>
      <c r="FK94" s="175"/>
      <c r="FL94" s="175"/>
      <c r="FM94" s="175"/>
      <c r="FN94" s="175"/>
      <c r="FO94" s="175"/>
      <c r="FP94" s="175"/>
      <c r="FQ94" s="175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  <c r="HN94" s="175"/>
      <c r="HO94" s="175"/>
      <c r="HP94" s="175"/>
      <c r="HQ94" s="175"/>
      <c r="HR94" s="175"/>
      <c r="HS94" s="175"/>
      <c r="HT94" s="175"/>
      <c r="HU94" s="175"/>
      <c r="HV94" s="175"/>
      <c r="HW94" s="175"/>
      <c r="HX94" s="175"/>
      <c r="HY94" s="175"/>
      <c r="HZ94" s="175"/>
      <c r="IA94" s="175"/>
      <c r="IB94" s="175"/>
      <c r="IC94" s="175"/>
      <c r="ID94" s="175"/>
      <c r="IE94" s="175"/>
      <c r="IF94" s="175"/>
      <c r="IG94" s="175"/>
      <c r="IH94" s="175"/>
      <c r="II94" s="175"/>
      <c r="IJ94" s="175"/>
      <c r="IK94" s="175"/>
      <c r="IL94" s="175"/>
      <c r="IM94" s="175"/>
      <c r="IN94" s="175"/>
      <c r="IO94" s="175"/>
      <c r="IP94" s="175"/>
      <c r="IQ94" s="175"/>
    </row>
    <row r="95" spans="1:251" s="146" customFormat="1" ht="21.75" customHeight="1">
      <c r="A95" s="179">
        <v>88</v>
      </c>
      <c r="B95" s="458" t="s">
        <v>374</v>
      </c>
      <c r="C95" s="459" t="s">
        <v>459</v>
      </c>
      <c r="D95" s="460"/>
      <c r="E95" s="460">
        <v>58</v>
      </c>
      <c r="F95" s="459" t="s">
        <v>242</v>
      </c>
      <c r="G95" s="460" t="s">
        <v>447</v>
      </c>
      <c r="H95" s="407" t="s">
        <v>134</v>
      </c>
      <c r="I95" s="180">
        <f t="shared" si="4"/>
        <v>420000</v>
      </c>
      <c r="J95" s="408" t="s">
        <v>432</v>
      </c>
      <c r="K95" s="183">
        <f t="shared" si="5"/>
        <v>300000</v>
      </c>
      <c r="L95" s="408" t="s">
        <v>434</v>
      </c>
      <c r="M95" s="181">
        <f t="shared" si="6"/>
        <v>300000</v>
      </c>
      <c r="N95" s="181">
        <f t="shared" si="7"/>
        <v>1020000</v>
      </c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175"/>
      <c r="AZ95" s="175"/>
      <c r="BA95" s="175"/>
      <c r="BB95" s="175"/>
      <c r="BC95" s="175"/>
      <c r="BD95" s="175"/>
      <c r="BE95" s="175"/>
      <c r="BF95" s="175"/>
      <c r="BG95" s="175"/>
      <c r="BH95" s="175"/>
      <c r="BI95" s="175"/>
      <c r="BJ95" s="175"/>
      <c r="BK95" s="175"/>
      <c r="BL95" s="175"/>
      <c r="BM95" s="175"/>
      <c r="BN95" s="175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5"/>
      <c r="CG95" s="175"/>
      <c r="CH95" s="175"/>
      <c r="CI95" s="175"/>
      <c r="CJ95" s="175"/>
      <c r="CK95" s="175"/>
      <c r="CL95" s="175"/>
      <c r="CM95" s="175"/>
      <c r="CN95" s="175"/>
      <c r="CO95" s="175"/>
      <c r="CP95" s="175"/>
      <c r="CQ95" s="175"/>
      <c r="CR95" s="175"/>
      <c r="CS95" s="175"/>
      <c r="CT95" s="175"/>
      <c r="CU95" s="175"/>
      <c r="CV95" s="175"/>
      <c r="CW95" s="175"/>
      <c r="CX95" s="175"/>
      <c r="CY95" s="175"/>
      <c r="CZ95" s="175"/>
      <c r="DA95" s="175"/>
      <c r="DB95" s="175"/>
      <c r="DC95" s="175"/>
      <c r="DD95" s="175"/>
      <c r="DE95" s="175"/>
      <c r="DF95" s="175"/>
      <c r="DG95" s="175"/>
      <c r="DH95" s="175"/>
      <c r="DI95" s="175"/>
      <c r="DJ95" s="175"/>
      <c r="DK95" s="175"/>
      <c r="DL95" s="175"/>
      <c r="DM95" s="175"/>
      <c r="DN95" s="175"/>
      <c r="DO95" s="175"/>
      <c r="DP95" s="175"/>
      <c r="DQ95" s="175"/>
      <c r="DR95" s="175"/>
      <c r="DS95" s="175"/>
      <c r="DT95" s="175"/>
      <c r="DU95" s="175"/>
      <c r="DV95" s="175"/>
      <c r="DW95" s="175"/>
      <c r="DX95" s="175"/>
      <c r="DY95" s="175"/>
      <c r="DZ95" s="175"/>
      <c r="EA95" s="175"/>
      <c r="EB95" s="175"/>
      <c r="EC95" s="175"/>
      <c r="ED95" s="175"/>
      <c r="EE95" s="175"/>
      <c r="EF95" s="175"/>
      <c r="EG95" s="175"/>
      <c r="EH95" s="175"/>
      <c r="EI95" s="175"/>
      <c r="EJ95" s="175"/>
      <c r="EK95" s="175"/>
      <c r="EL95" s="175"/>
      <c r="EM95" s="175"/>
      <c r="EN95" s="175"/>
      <c r="EO95" s="175"/>
      <c r="EP95" s="175"/>
      <c r="EQ95" s="175"/>
      <c r="ER95" s="175"/>
      <c r="ES95" s="175"/>
      <c r="ET95" s="175"/>
      <c r="EU95" s="175"/>
      <c r="EV95" s="175"/>
      <c r="EW95" s="175"/>
      <c r="EX95" s="175"/>
      <c r="EY95" s="175"/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175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  <c r="HN95" s="175"/>
      <c r="HO95" s="175"/>
      <c r="HP95" s="175"/>
      <c r="HQ95" s="175"/>
      <c r="HR95" s="175"/>
      <c r="HS95" s="175"/>
      <c r="HT95" s="175"/>
      <c r="HU95" s="175"/>
      <c r="HV95" s="175"/>
      <c r="HW95" s="175"/>
      <c r="HX95" s="175"/>
      <c r="HY95" s="175"/>
      <c r="HZ95" s="175"/>
      <c r="IA95" s="175"/>
      <c r="IB95" s="175"/>
      <c r="IC95" s="175"/>
      <c r="ID95" s="175"/>
      <c r="IE95" s="175"/>
      <c r="IF95" s="175"/>
      <c r="IG95" s="175"/>
      <c r="IH95" s="175"/>
      <c r="II95" s="175"/>
      <c r="IJ95" s="175"/>
      <c r="IK95" s="175"/>
      <c r="IL95" s="175"/>
      <c r="IM95" s="175"/>
      <c r="IN95" s="175"/>
      <c r="IO95" s="175"/>
      <c r="IP95" s="175"/>
      <c r="IQ95" s="175"/>
    </row>
    <row r="96" spans="1:251" s="146" customFormat="1" ht="21.75" customHeight="1">
      <c r="A96" s="179">
        <v>89</v>
      </c>
      <c r="B96" s="458" t="s">
        <v>374</v>
      </c>
      <c r="C96" s="459" t="s">
        <v>460</v>
      </c>
      <c r="D96" s="460">
        <v>59</v>
      </c>
      <c r="E96" s="460"/>
      <c r="F96" s="459" t="s">
        <v>218</v>
      </c>
      <c r="G96" s="460" t="s">
        <v>445</v>
      </c>
      <c r="H96" s="407" t="s">
        <v>134</v>
      </c>
      <c r="I96" s="180">
        <f t="shared" si="4"/>
        <v>187500</v>
      </c>
      <c r="J96" s="408" t="s">
        <v>428</v>
      </c>
      <c r="K96" s="183">
        <f t="shared" si="5"/>
        <v>135000</v>
      </c>
      <c r="L96" s="408" t="s">
        <v>436</v>
      </c>
      <c r="M96" s="181">
        <f t="shared" si="6"/>
        <v>135000</v>
      </c>
      <c r="N96" s="181">
        <f t="shared" si="7"/>
        <v>457500</v>
      </c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175"/>
      <c r="DE96" s="175"/>
      <c r="DF96" s="175"/>
      <c r="DG96" s="175"/>
      <c r="DH96" s="175"/>
      <c r="DI96" s="175"/>
      <c r="DJ96" s="175"/>
      <c r="DK96" s="175"/>
      <c r="DL96" s="175"/>
      <c r="DM96" s="175"/>
      <c r="DN96" s="175"/>
      <c r="DO96" s="175"/>
      <c r="DP96" s="175"/>
      <c r="DQ96" s="175"/>
      <c r="DR96" s="175"/>
      <c r="DS96" s="175"/>
      <c r="DT96" s="175"/>
      <c r="DU96" s="175"/>
      <c r="DV96" s="175"/>
      <c r="DW96" s="175"/>
      <c r="DX96" s="175"/>
      <c r="DY96" s="175"/>
      <c r="DZ96" s="175"/>
      <c r="EA96" s="175"/>
      <c r="EB96" s="175"/>
      <c r="EC96" s="175"/>
      <c r="ED96" s="175"/>
      <c r="EE96" s="175"/>
      <c r="EF96" s="175"/>
      <c r="EG96" s="175"/>
      <c r="EH96" s="175"/>
      <c r="EI96" s="175"/>
      <c r="EJ96" s="175"/>
      <c r="EK96" s="175"/>
      <c r="EL96" s="175"/>
      <c r="EM96" s="175"/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175"/>
      <c r="FI96" s="175"/>
      <c r="FJ96" s="175"/>
      <c r="FK96" s="175"/>
      <c r="FL96" s="175"/>
      <c r="FM96" s="175"/>
      <c r="FN96" s="175"/>
      <c r="FO96" s="175"/>
      <c r="FP96" s="175"/>
      <c r="FQ96" s="175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  <c r="HN96" s="175"/>
      <c r="HO96" s="175"/>
      <c r="HP96" s="175"/>
      <c r="HQ96" s="175"/>
      <c r="HR96" s="175"/>
      <c r="HS96" s="175"/>
      <c r="HT96" s="175"/>
      <c r="HU96" s="175"/>
      <c r="HV96" s="175"/>
      <c r="HW96" s="175"/>
      <c r="HX96" s="175"/>
      <c r="HY96" s="175"/>
      <c r="HZ96" s="175"/>
      <c r="IA96" s="175"/>
      <c r="IB96" s="175"/>
      <c r="IC96" s="175"/>
      <c r="ID96" s="175"/>
      <c r="IE96" s="175"/>
      <c r="IF96" s="175"/>
      <c r="IG96" s="175"/>
      <c r="IH96" s="175"/>
      <c r="II96" s="175"/>
      <c r="IJ96" s="175"/>
      <c r="IK96" s="175"/>
      <c r="IL96" s="175"/>
      <c r="IM96" s="175"/>
      <c r="IN96" s="175"/>
      <c r="IO96" s="175"/>
      <c r="IP96" s="175"/>
      <c r="IQ96" s="175"/>
    </row>
    <row r="97" spans="1:251" s="146" customFormat="1" ht="21.75" customHeight="1">
      <c r="A97" s="179">
        <v>90</v>
      </c>
      <c r="B97" s="458" t="s">
        <v>374</v>
      </c>
      <c r="C97" s="459" t="s">
        <v>377</v>
      </c>
      <c r="D97" s="460"/>
      <c r="E97" s="460">
        <v>66</v>
      </c>
      <c r="F97" s="459" t="s">
        <v>292</v>
      </c>
      <c r="G97" s="460" t="s">
        <v>186</v>
      </c>
      <c r="H97" s="407" t="s">
        <v>378</v>
      </c>
      <c r="I97" s="180">
        <f t="shared" si="4"/>
        <v>420000</v>
      </c>
      <c r="J97" s="408" t="s">
        <v>294</v>
      </c>
      <c r="K97" s="183">
        <f t="shared" si="5"/>
        <v>300000</v>
      </c>
      <c r="L97" s="408" t="s">
        <v>212</v>
      </c>
      <c r="M97" s="181">
        <f t="shared" si="6"/>
        <v>300000</v>
      </c>
      <c r="N97" s="181">
        <f t="shared" si="7"/>
        <v>1020000</v>
      </c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5"/>
      <c r="BC97" s="175"/>
      <c r="BD97" s="175"/>
      <c r="BE97" s="175"/>
      <c r="BF97" s="175"/>
      <c r="BG97" s="175"/>
      <c r="BH97" s="175"/>
      <c r="BI97" s="175"/>
      <c r="BJ97" s="175"/>
      <c r="BK97" s="175"/>
      <c r="BL97" s="175"/>
      <c r="BM97" s="175"/>
      <c r="BN97" s="175"/>
      <c r="BO97" s="175"/>
      <c r="BP97" s="175"/>
      <c r="BQ97" s="175"/>
      <c r="BR97" s="175"/>
      <c r="BS97" s="175"/>
      <c r="BT97" s="175"/>
      <c r="BU97" s="175"/>
      <c r="BV97" s="175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175"/>
      <c r="DE97" s="175"/>
      <c r="DF97" s="175"/>
      <c r="DG97" s="175"/>
      <c r="DH97" s="175"/>
      <c r="DI97" s="175"/>
      <c r="DJ97" s="175"/>
      <c r="DK97" s="175"/>
      <c r="DL97" s="175"/>
      <c r="DM97" s="175"/>
      <c r="DN97" s="175"/>
      <c r="DO97" s="175"/>
      <c r="DP97" s="175"/>
      <c r="DQ97" s="175"/>
      <c r="DR97" s="175"/>
      <c r="DS97" s="175"/>
      <c r="DT97" s="175"/>
      <c r="DU97" s="175"/>
      <c r="DV97" s="175"/>
      <c r="DW97" s="175"/>
      <c r="DX97" s="175"/>
      <c r="DY97" s="175"/>
      <c r="DZ97" s="175"/>
      <c r="EA97" s="175"/>
      <c r="EB97" s="175"/>
      <c r="EC97" s="175"/>
      <c r="ED97" s="175"/>
      <c r="EE97" s="175"/>
      <c r="EF97" s="175"/>
      <c r="EG97" s="175"/>
      <c r="EH97" s="175"/>
      <c r="EI97" s="175"/>
      <c r="EJ97" s="175"/>
      <c r="EK97" s="175"/>
      <c r="EL97" s="175"/>
      <c r="EM97" s="175"/>
      <c r="EN97" s="175"/>
      <c r="EO97" s="175"/>
      <c r="EP97" s="175"/>
      <c r="EQ97" s="175"/>
      <c r="ER97" s="175"/>
      <c r="ES97" s="175"/>
      <c r="ET97" s="175"/>
      <c r="EU97" s="175"/>
      <c r="EV97" s="175"/>
      <c r="EW97" s="175"/>
      <c r="EX97" s="175"/>
      <c r="EY97" s="175"/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175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  <c r="HN97" s="175"/>
      <c r="HO97" s="175"/>
      <c r="HP97" s="175"/>
      <c r="HQ97" s="175"/>
      <c r="HR97" s="175"/>
      <c r="HS97" s="175"/>
      <c r="HT97" s="175"/>
      <c r="HU97" s="175"/>
      <c r="HV97" s="175"/>
      <c r="HW97" s="175"/>
      <c r="HX97" s="175"/>
      <c r="HY97" s="175"/>
      <c r="HZ97" s="175"/>
      <c r="IA97" s="175"/>
      <c r="IB97" s="175"/>
      <c r="IC97" s="175"/>
      <c r="ID97" s="175"/>
      <c r="IE97" s="175"/>
      <c r="IF97" s="175"/>
      <c r="IG97" s="175"/>
      <c r="IH97" s="175"/>
      <c r="II97" s="175"/>
      <c r="IJ97" s="175"/>
      <c r="IK97" s="175"/>
      <c r="IL97" s="175"/>
      <c r="IM97" s="175"/>
      <c r="IN97" s="175"/>
      <c r="IO97" s="175"/>
      <c r="IP97" s="175"/>
      <c r="IQ97" s="175"/>
    </row>
    <row r="98" spans="1:251" s="146" customFormat="1" ht="21.75" customHeight="1">
      <c r="A98" s="179">
        <v>91</v>
      </c>
      <c r="B98" s="458" t="s">
        <v>374</v>
      </c>
      <c r="C98" s="459" t="s">
        <v>379</v>
      </c>
      <c r="D98" s="460">
        <v>58</v>
      </c>
      <c r="E98" s="460"/>
      <c r="F98" s="459" t="s">
        <v>380</v>
      </c>
      <c r="G98" s="460" t="s">
        <v>186</v>
      </c>
      <c r="H98" s="407" t="s">
        <v>135</v>
      </c>
      <c r="I98" s="180">
        <f t="shared" si="4"/>
        <v>420000</v>
      </c>
      <c r="J98" s="408" t="s">
        <v>134</v>
      </c>
      <c r="K98" s="183">
        <f t="shared" si="5"/>
        <v>300000</v>
      </c>
      <c r="L98" s="408" t="s">
        <v>432</v>
      </c>
      <c r="M98" s="181">
        <f t="shared" si="6"/>
        <v>300000</v>
      </c>
      <c r="N98" s="181">
        <f t="shared" si="7"/>
        <v>1020000</v>
      </c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175"/>
      <c r="DE98" s="175"/>
      <c r="DF98" s="175"/>
      <c r="DG98" s="175"/>
      <c r="DH98" s="175"/>
      <c r="DI98" s="175"/>
      <c r="DJ98" s="175"/>
      <c r="DK98" s="175"/>
      <c r="DL98" s="175"/>
      <c r="DM98" s="175"/>
      <c r="DN98" s="175"/>
      <c r="DO98" s="175"/>
      <c r="DP98" s="175"/>
      <c r="DQ98" s="175"/>
      <c r="DR98" s="175"/>
      <c r="DS98" s="175"/>
      <c r="DT98" s="175"/>
      <c r="DU98" s="175"/>
      <c r="DV98" s="175"/>
      <c r="DW98" s="175"/>
      <c r="DX98" s="175"/>
      <c r="DY98" s="175"/>
      <c r="DZ98" s="175"/>
      <c r="EA98" s="175"/>
      <c r="EB98" s="175"/>
      <c r="EC98" s="175"/>
      <c r="ED98" s="175"/>
      <c r="EE98" s="175"/>
      <c r="EF98" s="175"/>
      <c r="EG98" s="175"/>
      <c r="EH98" s="175"/>
      <c r="EI98" s="175"/>
      <c r="EJ98" s="175"/>
      <c r="EK98" s="175"/>
      <c r="EL98" s="175"/>
      <c r="EM98" s="175"/>
      <c r="EN98" s="175"/>
      <c r="EO98" s="175"/>
      <c r="EP98" s="175"/>
      <c r="EQ98" s="175"/>
      <c r="ER98" s="175"/>
      <c r="ES98" s="175"/>
      <c r="ET98" s="175"/>
      <c r="EU98" s="175"/>
      <c r="EV98" s="175"/>
      <c r="EW98" s="175"/>
      <c r="EX98" s="175"/>
      <c r="EY98" s="175"/>
      <c r="EZ98" s="175"/>
      <c r="FA98" s="175"/>
      <c r="FB98" s="175"/>
      <c r="FC98" s="175"/>
      <c r="FD98" s="175"/>
      <c r="FE98" s="175"/>
      <c r="FF98" s="175"/>
      <c r="FG98" s="175"/>
      <c r="FH98" s="175"/>
      <c r="FI98" s="175"/>
      <c r="FJ98" s="175"/>
      <c r="FK98" s="175"/>
      <c r="FL98" s="175"/>
      <c r="FM98" s="175"/>
      <c r="FN98" s="175"/>
      <c r="FO98" s="175"/>
      <c r="FP98" s="175"/>
      <c r="FQ98" s="175"/>
      <c r="FR98" s="175"/>
      <c r="FS98" s="175"/>
      <c r="FT98" s="175"/>
      <c r="FU98" s="175"/>
      <c r="FV98" s="175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  <c r="HN98" s="175"/>
      <c r="HO98" s="175"/>
      <c r="HP98" s="175"/>
      <c r="HQ98" s="175"/>
      <c r="HR98" s="175"/>
      <c r="HS98" s="175"/>
      <c r="HT98" s="175"/>
      <c r="HU98" s="175"/>
      <c r="HV98" s="175"/>
      <c r="HW98" s="175"/>
      <c r="HX98" s="175"/>
      <c r="HY98" s="175"/>
      <c r="HZ98" s="175"/>
      <c r="IA98" s="175"/>
      <c r="IB98" s="175"/>
      <c r="IC98" s="175"/>
      <c r="ID98" s="175"/>
      <c r="IE98" s="175"/>
      <c r="IF98" s="175"/>
      <c r="IG98" s="175"/>
      <c r="IH98" s="175"/>
      <c r="II98" s="175"/>
      <c r="IJ98" s="175"/>
      <c r="IK98" s="175"/>
      <c r="IL98" s="175"/>
      <c r="IM98" s="175"/>
      <c r="IN98" s="175"/>
      <c r="IO98" s="175"/>
      <c r="IP98" s="175"/>
      <c r="IQ98" s="175"/>
    </row>
    <row r="99" spans="1:251" s="146" customFormat="1" ht="21.75" customHeight="1">
      <c r="A99" s="179">
        <v>92</v>
      </c>
      <c r="B99" s="458" t="s">
        <v>383</v>
      </c>
      <c r="C99" s="459" t="s">
        <v>384</v>
      </c>
      <c r="D99" s="460">
        <v>25</v>
      </c>
      <c r="E99" s="460"/>
      <c r="F99" s="459" t="s">
        <v>267</v>
      </c>
      <c r="G99" s="460" t="s">
        <v>204</v>
      </c>
      <c r="H99" s="407" t="s">
        <v>134</v>
      </c>
      <c r="I99" s="180">
        <f t="shared" si="4"/>
        <v>187500</v>
      </c>
      <c r="J99" s="408" t="s">
        <v>430</v>
      </c>
      <c r="K99" s="183">
        <f t="shared" si="5"/>
        <v>135000</v>
      </c>
      <c r="L99" s="408" t="s">
        <v>435</v>
      </c>
      <c r="M99" s="181">
        <f t="shared" si="6"/>
        <v>135000</v>
      </c>
      <c r="N99" s="181">
        <f t="shared" si="7"/>
        <v>457500</v>
      </c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175"/>
      <c r="DE99" s="175"/>
      <c r="DF99" s="175"/>
      <c r="DG99" s="175"/>
      <c r="DH99" s="175"/>
      <c r="DI99" s="175"/>
      <c r="DJ99" s="175"/>
      <c r="DK99" s="175"/>
      <c r="DL99" s="175"/>
      <c r="DM99" s="175"/>
      <c r="DN99" s="175"/>
      <c r="DO99" s="175"/>
      <c r="DP99" s="175"/>
      <c r="DQ99" s="175"/>
      <c r="DR99" s="175"/>
      <c r="DS99" s="175"/>
      <c r="DT99" s="175"/>
      <c r="DU99" s="175"/>
      <c r="DV99" s="175"/>
      <c r="DW99" s="175"/>
      <c r="DX99" s="175"/>
      <c r="DY99" s="175"/>
      <c r="DZ99" s="175"/>
      <c r="EA99" s="175"/>
      <c r="EB99" s="175"/>
      <c r="EC99" s="175"/>
      <c r="ED99" s="175"/>
      <c r="EE99" s="175"/>
      <c r="EF99" s="175"/>
      <c r="EG99" s="175"/>
      <c r="EH99" s="175"/>
      <c r="EI99" s="175"/>
      <c r="EJ99" s="175"/>
      <c r="EK99" s="175"/>
      <c r="EL99" s="175"/>
      <c r="EM99" s="175"/>
      <c r="EN99" s="175"/>
      <c r="EO99" s="175"/>
      <c r="EP99" s="175"/>
      <c r="EQ99" s="175"/>
      <c r="ER99" s="175"/>
      <c r="ES99" s="175"/>
      <c r="ET99" s="175"/>
      <c r="EU99" s="175"/>
      <c r="EV99" s="175"/>
      <c r="EW99" s="175"/>
      <c r="EX99" s="175"/>
      <c r="EY99" s="175"/>
      <c r="EZ99" s="175"/>
      <c r="FA99" s="175"/>
      <c r="FB99" s="175"/>
      <c r="FC99" s="175"/>
      <c r="FD99" s="175"/>
      <c r="FE99" s="175"/>
      <c r="FF99" s="175"/>
      <c r="FG99" s="175"/>
      <c r="FH99" s="175"/>
      <c r="FI99" s="175"/>
      <c r="FJ99" s="175"/>
      <c r="FK99" s="175"/>
      <c r="FL99" s="175"/>
      <c r="FM99" s="175"/>
      <c r="FN99" s="175"/>
      <c r="FO99" s="175"/>
      <c r="FP99" s="175"/>
      <c r="FQ99" s="175"/>
      <c r="FR99" s="175"/>
      <c r="FS99" s="175"/>
      <c r="FT99" s="175"/>
      <c r="FU99" s="175"/>
      <c r="FV99" s="175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  <c r="HN99" s="175"/>
      <c r="HO99" s="175"/>
      <c r="HP99" s="175"/>
      <c r="HQ99" s="175"/>
      <c r="HR99" s="175"/>
      <c r="HS99" s="175"/>
      <c r="HT99" s="175"/>
      <c r="HU99" s="175"/>
      <c r="HV99" s="175"/>
      <c r="HW99" s="175"/>
      <c r="HX99" s="175"/>
      <c r="HY99" s="175"/>
      <c r="HZ99" s="175"/>
      <c r="IA99" s="175"/>
      <c r="IB99" s="175"/>
      <c r="IC99" s="175"/>
      <c r="ID99" s="175"/>
      <c r="IE99" s="175"/>
      <c r="IF99" s="175"/>
      <c r="IG99" s="175"/>
      <c r="IH99" s="175"/>
      <c r="II99" s="175"/>
      <c r="IJ99" s="175"/>
      <c r="IK99" s="175"/>
      <c r="IL99" s="175"/>
      <c r="IM99" s="175"/>
      <c r="IN99" s="175"/>
      <c r="IO99" s="175"/>
      <c r="IP99" s="175"/>
      <c r="IQ99" s="175"/>
    </row>
    <row r="100" spans="1:251" s="146" customFormat="1" ht="21.75" customHeight="1">
      <c r="A100" s="179">
        <v>93</v>
      </c>
      <c r="B100" s="458" t="s">
        <v>383</v>
      </c>
      <c r="C100" s="459" t="s">
        <v>385</v>
      </c>
      <c r="D100" s="460"/>
      <c r="E100" s="460">
        <v>58</v>
      </c>
      <c r="F100" s="459" t="s">
        <v>386</v>
      </c>
      <c r="G100" s="460" t="s">
        <v>186</v>
      </c>
      <c r="H100" s="407" t="s">
        <v>159</v>
      </c>
      <c r="I100" s="180">
        <f t="shared" si="4"/>
        <v>420000</v>
      </c>
      <c r="J100" s="408" t="s">
        <v>378</v>
      </c>
      <c r="K100" s="183">
        <f t="shared" si="5"/>
        <v>300000</v>
      </c>
      <c r="L100" s="408" t="s">
        <v>428</v>
      </c>
      <c r="M100" s="181">
        <f t="shared" si="6"/>
        <v>300000</v>
      </c>
      <c r="N100" s="181">
        <f t="shared" si="7"/>
        <v>1020000</v>
      </c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175"/>
      <c r="AZ100" s="175"/>
      <c r="BA100" s="175"/>
      <c r="BB100" s="175"/>
      <c r="BC100" s="175"/>
      <c r="BD100" s="175"/>
      <c r="BE100" s="175"/>
      <c r="BF100" s="175"/>
      <c r="BG100" s="175"/>
      <c r="BH100" s="175"/>
      <c r="BI100" s="175"/>
      <c r="BJ100" s="175"/>
      <c r="BK100" s="175"/>
      <c r="BL100" s="175"/>
      <c r="BM100" s="175"/>
      <c r="BN100" s="175"/>
      <c r="BO100" s="175"/>
      <c r="BP100" s="175"/>
      <c r="BQ100" s="175"/>
      <c r="BR100" s="175"/>
      <c r="BS100" s="175"/>
      <c r="BT100" s="175"/>
      <c r="BU100" s="175"/>
      <c r="BV100" s="175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175"/>
      <c r="DE100" s="175"/>
      <c r="DF100" s="175"/>
      <c r="DG100" s="175"/>
      <c r="DH100" s="175"/>
      <c r="DI100" s="175"/>
      <c r="DJ100" s="175"/>
      <c r="DK100" s="175"/>
      <c r="DL100" s="175"/>
      <c r="DM100" s="175"/>
      <c r="DN100" s="175"/>
      <c r="DO100" s="175"/>
      <c r="DP100" s="175"/>
      <c r="DQ100" s="175"/>
      <c r="DR100" s="175"/>
      <c r="DS100" s="175"/>
      <c r="DT100" s="175"/>
      <c r="DU100" s="175"/>
      <c r="DV100" s="175"/>
      <c r="DW100" s="175"/>
      <c r="DX100" s="175"/>
      <c r="DY100" s="175"/>
      <c r="DZ100" s="175"/>
      <c r="EA100" s="175"/>
      <c r="EB100" s="175"/>
      <c r="EC100" s="175"/>
      <c r="ED100" s="175"/>
      <c r="EE100" s="175"/>
      <c r="EF100" s="175"/>
      <c r="EG100" s="175"/>
      <c r="EH100" s="175"/>
      <c r="EI100" s="175"/>
      <c r="EJ100" s="175"/>
      <c r="EK100" s="175"/>
      <c r="EL100" s="175"/>
      <c r="EM100" s="175"/>
      <c r="EN100" s="175"/>
      <c r="EO100" s="175"/>
      <c r="EP100" s="175"/>
      <c r="EQ100" s="175"/>
      <c r="ER100" s="175"/>
      <c r="ES100" s="175"/>
      <c r="ET100" s="175"/>
      <c r="EU100" s="175"/>
      <c r="EV100" s="175"/>
      <c r="EW100" s="175"/>
      <c r="EX100" s="175"/>
      <c r="EY100" s="175"/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175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  <c r="HN100" s="175"/>
      <c r="HO100" s="175"/>
      <c r="HP100" s="175"/>
      <c r="HQ100" s="175"/>
      <c r="HR100" s="175"/>
      <c r="HS100" s="175"/>
      <c r="HT100" s="175"/>
      <c r="HU100" s="175"/>
      <c r="HV100" s="175"/>
      <c r="HW100" s="175"/>
      <c r="HX100" s="175"/>
      <c r="HY100" s="175"/>
      <c r="HZ100" s="175"/>
      <c r="IA100" s="175"/>
      <c r="IB100" s="175"/>
      <c r="IC100" s="175"/>
      <c r="ID100" s="175"/>
      <c r="IE100" s="175"/>
      <c r="IF100" s="175"/>
      <c r="IG100" s="175"/>
      <c r="IH100" s="175"/>
      <c r="II100" s="175"/>
      <c r="IJ100" s="175"/>
      <c r="IK100" s="175"/>
      <c r="IL100" s="175"/>
      <c r="IM100" s="175"/>
      <c r="IN100" s="175"/>
      <c r="IO100" s="175"/>
      <c r="IP100" s="175"/>
      <c r="IQ100" s="175"/>
    </row>
    <row r="101" spans="1:251" s="146" customFormat="1" ht="21.75" customHeight="1">
      <c r="A101" s="179">
        <v>94</v>
      </c>
      <c r="B101" s="458" t="s">
        <v>383</v>
      </c>
      <c r="C101" s="459" t="s">
        <v>387</v>
      </c>
      <c r="D101" s="460">
        <v>75</v>
      </c>
      <c r="E101" s="460"/>
      <c r="F101" s="459" t="s">
        <v>388</v>
      </c>
      <c r="G101" s="460" t="s">
        <v>204</v>
      </c>
      <c r="H101" s="407" t="s">
        <v>159</v>
      </c>
      <c r="I101" s="180">
        <f t="shared" si="4"/>
        <v>187500</v>
      </c>
      <c r="J101" s="408" t="s">
        <v>190</v>
      </c>
      <c r="K101" s="183">
        <f t="shared" si="5"/>
        <v>135000</v>
      </c>
      <c r="L101" s="408" t="s">
        <v>428</v>
      </c>
      <c r="M101" s="181">
        <f t="shared" si="6"/>
        <v>135000</v>
      </c>
      <c r="N101" s="181">
        <f t="shared" si="7"/>
        <v>457500</v>
      </c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175"/>
      <c r="DE101" s="175"/>
      <c r="DF101" s="175"/>
      <c r="DG101" s="175"/>
      <c r="DH101" s="175"/>
      <c r="DI101" s="175"/>
      <c r="DJ101" s="175"/>
      <c r="DK101" s="175"/>
      <c r="DL101" s="175"/>
      <c r="DM101" s="175"/>
      <c r="DN101" s="175"/>
      <c r="DO101" s="175"/>
      <c r="DP101" s="175"/>
      <c r="DQ101" s="175"/>
      <c r="DR101" s="175"/>
      <c r="DS101" s="175"/>
      <c r="DT101" s="175"/>
      <c r="DU101" s="175"/>
      <c r="DV101" s="175"/>
      <c r="DW101" s="175"/>
      <c r="DX101" s="175"/>
      <c r="DY101" s="175"/>
      <c r="DZ101" s="175"/>
      <c r="EA101" s="175"/>
      <c r="EB101" s="175"/>
      <c r="EC101" s="175"/>
      <c r="ED101" s="175"/>
      <c r="EE101" s="175"/>
      <c r="EF101" s="175"/>
      <c r="EG101" s="175"/>
      <c r="EH101" s="175"/>
      <c r="EI101" s="175"/>
      <c r="EJ101" s="175"/>
      <c r="EK101" s="175"/>
      <c r="EL101" s="175"/>
      <c r="EM101" s="175"/>
      <c r="EN101" s="175"/>
      <c r="EO101" s="175"/>
      <c r="EP101" s="175"/>
      <c r="EQ101" s="175"/>
      <c r="ER101" s="175"/>
      <c r="ES101" s="175"/>
      <c r="ET101" s="175"/>
      <c r="EU101" s="175"/>
      <c r="EV101" s="175"/>
      <c r="EW101" s="175"/>
      <c r="EX101" s="175"/>
      <c r="EY101" s="175"/>
      <c r="EZ101" s="175"/>
      <c r="FA101" s="175"/>
      <c r="FB101" s="175"/>
      <c r="FC101" s="175"/>
      <c r="FD101" s="175"/>
      <c r="FE101" s="175"/>
      <c r="FF101" s="175"/>
      <c r="FG101" s="175"/>
      <c r="FH101" s="175"/>
      <c r="FI101" s="175"/>
      <c r="FJ101" s="175"/>
      <c r="FK101" s="175"/>
      <c r="FL101" s="175"/>
      <c r="FM101" s="175"/>
      <c r="FN101" s="175"/>
      <c r="FO101" s="175"/>
      <c r="FP101" s="175"/>
      <c r="FQ101" s="175"/>
      <c r="FR101" s="175"/>
      <c r="FS101" s="175"/>
      <c r="FT101" s="175"/>
      <c r="FU101" s="175"/>
      <c r="FV101" s="175"/>
      <c r="FW101" s="175"/>
      <c r="FX101" s="175"/>
      <c r="FY101" s="175"/>
      <c r="FZ101" s="175"/>
      <c r="GA101" s="175"/>
      <c r="GB101" s="175"/>
      <c r="GC101" s="175"/>
      <c r="GD101" s="175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  <c r="HN101" s="175"/>
      <c r="HO101" s="175"/>
      <c r="HP101" s="175"/>
      <c r="HQ101" s="175"/>
      <c r="HR101" s="175"/>
      <c r="HS101" s="175"/>
      <c r="HT101" s="175"/>
      <c r="HU101" s="175"/>
      <c r="HV101" s="175"/>
      <c r="HW101" s="175"/>
      <c r="HX101" s="175"/>
      <c r="HY101" s="175"/>
      <c r="HZ101" s="175"/>
      <c r="IA101" s="175"/>
      <c r="IB101" s="175"/>
      <c r="IC101" s="175"/>
      <c r="ID101" s="175"/>
      <c r="IE101" s="175"/>
      <c r="IF101" s="175"/>
      <c r="IG101" s="175"/>
      <c r="IH101" s="175"/>
      <c r="II101" s="175"/>
      <c r="IJ101" s="175"/>
      <c r="IK101" s="175"/>
      <c r="IL101" s="175"/>
      <c r="IM101" s="175"/>
      <c r="IN101" s="175"/>
      <c r="IO101" s="175"/>
      <c r="IP101" s="175"/>
      <c r="IQ101" s="175"/>
    </row>
    <row r="102" spans="1:251" s="146" customFormat="1" ht="21.75" customHeight="1">
      <c r="A102" s="179">
        <v>95</v>
      </c>
      <c r="B102" s="458" t="s">
        <v>389</v>
      </c>
      <c r="C102" s="459" t="s">
        <v>390</v>
      </c>
      <c r="D102" s="460">
        <v>60</v>
      </c>
      <c r="E102" s="460"/>
      <c r="F102" s="459" t="s">
        <v>391</v>
      </c>
      <c r="G102" s="460" t="s">
        <v>204</v>
      </c>
      <c r="H102" s="407" t="s">
        <v>294</v>
      </c>
      <c r="I102" s="180">
        <f t="shared" si="4"/>
        <v>187500</v>
      </c>
      <c r="J102" s="408" t="s">
        <v>436</v>
      </c>
      <c r="K102" s="183">
        <f t="shared" si="5"/>
        <v>135000</v>
      </c>
      <c r="L102" s="408" t="s">
        <v>438</v>
      </c>
      <c r="M102" s="181">
        <f t="shared" si="6"/>
        <v>135000</v>
      </c>
      <c r="N102" s="181">
        <f t="shared" si="7"/>
        <v>457500</v>
      </c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175"/>
      <c r="DE102" s="175"/>
      <c r="DF102" s="175"/>
      <c r="DG102" s="175"/>
      <c r="DH102" s="175"/>
      <c r="DI102" s="175"/>
      <c r="DJ102" s="175"/>
      <c r="DK102" s="175"/>
      <c r="DL102" s="175"/>
      <c r="DM102" s="175"/>
      <c r="DN102" s="175"/>
      <c r="DO102" s="175"/>
      <c r="DP102" s="175"/>
      <c r="DQ102" s="175"/>
      <c r="DR102" s="175"/>
      <c r="DS102" s="175"/>
      <c r="DT102" s="175"/>
      <c r="DU102" s="175"/>
      <c r="DV102" s="175"/>
      <c r="DW102" s="175"/>
      <c r="DX102" s="175"/>
      <c r="DY102" s="175"/>
      <c r="DZ102" s="175"/>
      <c r="EA102" s="175"/>
      <c r="EB102" s="175"/>
      <c r="EC102" s="175"/>
      <c r="ED102" s="175"/>
      <c r="EE102" s="175"/>
      <c r="EF102" s="175"/>
      <c r="EG102" s="175"/>
      <c r="EH102" s="175"/>
      <c r="EI102" s="175"/>
      <c r="EJ102" s="175"/>
      <c r="EK102" s="175"/>
      <c r="EL102" s="175"/>
      <c r="EM102" s="175"/>
      <c r="EN102" s="175"/>
      <c r="EO102" s="175"/>
      <c r="EP102" s="175"/>
      <c r="EQ102" s="175"/>
      <c r="ER102" s="175"/>
      <c r="ES102" s="175"/>
      <c r="ET102" s="175"/>
      <c r="EU102" s="175"/>
      <c r="EV102" s="175"/>
      <c r="EW102" s="175"/>
      <c r="EX102" s="175"/>
      <c r="EY102" s="175"/>
      <c r="EZ102" s="175"/>
      <c r="FA102" s="175"/>
      <c r="FB102" s="175"/>
      <c r="FC102" s="175"/>
      <c r="FD102" s="175"/>
      <c r="FE102" s="175"/>
      <c r="FF102" s="175"/>
      <c r="FG102" s="175"/>
      <c r="FH102" s="175"/>
      <c r="FI102" s="175"/>
      <c r="FJ102" s="175"/>
      <c r="FK102" s="175"/>
      <c r="FL102" s="175"/>
      <c r="FM102" s="175"/>
      <c r="FN102" s="175"/>
      <c r="FO102" s="175"/>
      <c r="FP102" s="175"/>
      <c r="FQ102" s="175"/>
      <c r="FR102" s="175"/>
      <c r="FS102" s="175"/>
      <c r="FT102" s="175"/>
      <c r="FU102" s="175"/>
      <c r="FV102" s="175"/>
      <c r="FW102" s="175"/>
      <c r="FX102" s="175"/>
      <c r="FY102" s="175"/>
      <c r="FZ102" s="175"/>
      <c r="GA102" s="175"/>
      <c r="GB102" s="175"/>
      <c r="GC102" s="175"/>
      <c r="GD102" s="175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  <c r="HN102" s="175"/>
      <c r="HO102" s="175"/>
      <c r="HP102" s="175"/>
      <c r="HQ102" s="175"/>
      <c r="HR102" s="175"/>
      <c r="HS102" s="175"/>
      <c r="HT102" s="175"/>
      <c r="HU102" s="175"/>
      <c r="HV102" s="175"/>
      <c r="HW102" s="175"/>
      <c r="HX102" s="175"/>
      <c r="HY102" s="175"/>
      <c r="HZ102" s="175"/>
      <c r="IA102" s="175"/>
      <c r="IB102" s="175"/>
      <c r="IC102" s="175"/>
      <c r="ID102" s="175"/>
      <c r="IE102" s="175"/>
      <c r="IF102" s="175"/>
      <c r="IG102" s="175"/>
      <c r="IH102" s="175"/>
      <c r="II102" s="175"/>
      <c r="IJ102" s="175"/>
      <c r="IK102" s="175"/>
      <c r="IL102" s="175"/>
      <c r="IM102" s="175"/>
      <c r="IN102" s="175"/>
      <c r="IO102" s="175"/>
      <c r="IP102" s="175"/>
      <c r="IQ102" s="175"/>
    </row>
    <row r="103" spans="1:251" s="146" customFormat="1" ht="21.75" customHeight="1">
      <c r="A103" s="179">
        <v>96</v>
      </c>
      <c r="B103" s="458" t="s">
        <v>389</v>
      </c>
      <c r="C103" s="459" t="s">
        <v>393</v>
      </c>
      <c r="D103" s="460">
        <v>28</v>
      </c>
      <c r="E103" s="460"/>
      <c r="F103" s="459" t="s">
        <v>215</v>
      </c>
      <c r="G103" s="460" t="s">
        <v>204</v>
      </c>
      <c r="H103" s="407" t="s">
        <v>134</v>
      </c>
      <c r="I103" s="180">
        <f t="shared" si="4"/>
        <v>187500</v>
      </c>
      <c r="J103" s="408" t="s">
        <v>432</v>
      </c>
      <c r="K103" s="183">
        <f t="shared" si="5"/>
        <v>135000</v>
      </c>
      <c r="L103" s="408" t="s">
        <v>440</v>
      </c>
      <c r="M103" s="181">
        <f t="shared" si="6"/>
        <v>135000</v>
      </c>
      <c r="N103" s="181">
        <f t="shared" si="7"/>
        <v>457500</v>
      </c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175"/>
      <c r="DE103" s="175"/>
      <c r="DF103" s="175"/>
      <c r="DG103" s="175"/>
      <c r="DH103" s="175"/>
      <c r="DI103" s="175"/>
      <c r="DJ103" s="175"/>
      <c r="DK103" s="175"/>
      <c r="DL103" s="175"/>
      <c r="DM103" s="175"/>
      <c r="DN103" s="175"/>
      <c r="DO103" s="175"/>
      <c r="DP103" s="175"/>
      <c r="DQ103" s="175"/>
      <c r="DR103" s="175"/>
      <c r="DS103" s="175"/>
      <c r="DT103" s="175"/>
      <c r="DU103" s="175"/>
      <c r="DV103" s="175"/>
      <c r="DW103" s="175"/>
      <c r="DX103" s="175"/>
      <c r="DY103" s="175"/>
      <c r="DZ103" s="175"/>
      <c r="EA103" s="175"/>
      <c r="EB103" s="175"/>
      <c r="EC103" s="175"/>
      <c r="ED103" s="175"/>
      <c r="EE103" s="175"/>
      <c r="EF103" s="175"/>
      <c r="EG103" s="175"/>
      <c r="EH103" s="175"/>
      <c r="EI103" s="175"/>
      <c r="EJ103" s="175"/>
      <c r="EK103" s="175"/>
      <c r="EL103" s="175"/>
      <c r="EM103" s="175"/>
      <c r="EN103" s="175"/>
      <c r="EO103" s="175"/>
      <c r="EP103" s="175"/>
      <c r="EQ103" s="175"/>
      <c r="ER103" s="175"/>
      <c r="ES103" s="175"/>
      <c r="ET103" s="175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175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  <c r="HN103" s="175"/>
      <c r="HO103" s="175"/>
      <c r="HP103" s="175"/>
      <c r="HQ103" s="175"/>
      <c r="HR103" s="175"/>
      <c r="HS103" s="175"/>
      <c r="HT103" s="175"/>
      <c r="HU103" s="175"/>
      <c r="HV103" s="175"/>
      <c r="HW103" s="175"/>
      <c r="HX103" s="175"/>
      <c r="HY103" s="175"/>
      <c r="HZ103" s="175"/>
      <c r="IA103" s="175"/>
      <c r="IB103" s="175"/>
      <c r="IC103" s="175"/>
      <c r="ID103" s="175"/>
      <c r="IE103" s="175"/>
      <c r="IF103" s="175"/>
      <c r="IG103" s="175"/>
      <c r="IH103" s="175"/>
      <c r="II103" s="175"/>
      <c r="IJ103" s="175"/>
      <c r="IK103" s="175"/>
      <c r="IL103" s="175"/>
      <c r="IM103" s="175"/>
      <c r="IN103" s="175"/>
      <c r="IO103" s="175"/>
      <c r="IP103" s="175"/>
      <c r="IQ103" s="175"/>
    </row>
    <row r="104" spans="1:251" s="146" customFormat="1" ht="21.75" customHeight="1">
      <c r="A104" s="179">
        <v>97</v>
      </c>
      <c r="B104" s="458" t="s">
        <v>389</v>
      </c>
      <c r="C104" s="459" t="s">
        <v>397</v>
      </c>
      <c r="D104" s="460"/>
      <c r="E104" s="460">
        <v>45</v>
      </c>
      <c r="F104" s="459" t="s">
        <v>398</v>
      </c>
      <c r="G104" s="460" t="s">
        <v>186</v>
      </c>
      <c r="H104" s="407" t="s">
        <v>294</v>
      </c>
      <c r="I104" s="180">
        <f t="shared" si="4"/>
        <v>420000</v>
      </c>
      <c r="J104" s="408" t="s">
        <v>435</v>
      </c>
      <c r="K104" s="183">
        <f t="shared" si="5"/>
        <v>300000</v>
      </c>
      <c r="L104" s="408" t="s">
        <v>441</v>
      </c>
      <c r="M104" s="181">
        <f t="shared" si="6"/>
        <v>300000</v>
      </c>
      <c r="N104" s="181">
        <f t="shared" si="7"/>
        <v>1020000</v>
      </c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175"/>
      <c r="DE104" s="175"/>
      <c r="DF104" s="175"/>
      <c r="DG104" s="175"/>
      <c r="DH104" s="175"/>
      <c r="DI104" s="175"/>
      <c r="DJ104" s="175"/>
      <c r="DK104" s="175"/>
      <c r="DL104" s="175"/>
      <c r="DM104" s="175"/>
      <c r="DN104" s="175"/>
      <c r="DO104" s="175"/>
      <c r="DP104" s="175"/>
      <c r="DQ104" s="175"/>
      <c r="DR104" s="175"/>
      <c r="DS104" s="175"/>
      <c r="DT104" s="175"/>
      <c r="DU104" s="175"/>
      <c r="DV104" s="175"/>
      <c r="DW104" s="175"/>
      <c r="DX104" s="175"/>
      <c r="DY104" s="175"/>
      <c r="DZ104" s="175"/>
      <c r="EA104" s="175"/>
      <c r="EB104" s="175"/>
      <c r="EC104" s="175"/>
      <c r="ED104" s="175"/>
      <c r="EE104" s="175"/>
      <c r="EF104" s="175"/>
      <c r="EG104" s="175"/>
      <c r="EH104" s="175"/>
      <c r="EI104" s="175"/>
      <c r="EJ104" s="175"/>
      <c r="EK104" s="175"/>
      <c r="EL104" s="175"/>
      <c r="EM104" s="175"/>
      <c r="EN104" s="175"/>
      <c r="EO104" s="175"/>
      <c r="EP104" s="175"/>
      <c r="EQ104" s="175"/>
      <c r="ER104" s="175"/>
      <c r="ES104" s="175"/>
      <c r="ET104" s="175"/>
      <c r="EU104" s="175"/>
      <c r="EV104" s="175"/>
      <c r="EW104" s="175"/>
      <c r="EX104" s="175"/>
      <c r="EY104" s="175"/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175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  <c r="HN104" s="175"/>
      <c r="HO104" s="175"/>
      <c r="HP104" s="175"/>
      <c r="HQ104" s="175"/>
      <c r="HR104" s="175"/>
      <c r="HS104" s="175"/>
      <c r="HT104" s="175"/>
      <c r="HU104" s="175"/>
      <c r="HV104" s="175"/>
      <c r="HW104" s="175"/>
      <c r="HX104" s="175"/>
      <c r="HY104" s="175"/>
      <c r="HZ104" s="175"/>
      <c r="IA104" s="175"/>
      <c r="IB104" s="175"/>
      <c r="IC104" s="175"/>
      <c r="ID104" s="175"/>
      <c r="IE104" s="175"/>
      <c r="IF104" s="175"/>
      <c r="IG104" s="175"/>
      <c r="IH104" s="175"/>
      <c r="II104" s="175"/>
      <c r="IJ104" s="175"/>
      <c r="IK104" s="175"/>
      <c r="IL104" s="175"/>
      <c r="IM104" s="175"/>
      <c r="IN104" s="175"/>
      <c r="IO104" s="175"/>
      <c r="IP104" s="175"/>
      <c r="IQ104" s="175"/>
    </row>
    <row r="105" spans="1:251" s="146" customFormat="1" ht="21.75" customHeight="1">
      <c r="A105" s="179">
        <v>98</v>
      </c>
      <c r="B105" s="458" t="s">
        <v>389</v>
      </c>
      <c r="C105" s="459" t="s">
        <v>399</v>
      </c>
      <c r="D105" s="460">
        <v>20</v>
      </c>
      <c r="E105" s="460"/>
      <c r="F105" s="459" t="s">
        <v>210</v>
      </c>
      <c r="G105" s="460" t="s">
        <v>186</v>
      </c>
      <c r="H105" s="407" t="s">
        <v>159</v>
      </c>
      <c r="I105" s="180">
        <f t="shared" si="4"/>
        <v>420000</v>
      </c>
      <c r="J105" s="408" t="s">
        <v>190</v>
      </c>
      <c r="K105" s="183">
        <f t="shared" si="5"/>
        <v>300000</v>
      </c>
      <c r="L105" s="408" t="s">
        <v>435</v>
      </c>
      <c r="M105" s="181">
        <f t="shared" si="6"/>
        <v>300000</v>
      </c>
      <c r="N105" s="181">
        <f t="shared" si="7"/>
        <v>1020000</v>
      </c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  <c r="DL105" s="175"/>
      <c r="DM105" s="175"/>
      <c r="DN105" s="175"/>
      <c r="DO105" s="175"/>
      <c r="DP105" s="175"/>
      <c r="DQ105" s="175"/>
      <c r="DR105" s="175"/>
      <c r="DS105" s="175"/>
      <c r="DT105" s="175"/>
      <c r="DU105" s="175"/>
      <c r="DV105" s="175"/>
      <c r="DW105" s="175"/>
      <c r="DX105" s="175"/>
      <c r="DY105" s="175"/>
      <c r="DZ105" s="175"/>
      <c r="EA105" s="175"/>
      <c r="EB105" s="175"/>
      <c r="EC105" s="175"/>
      <c r="ED105" s="175"/>
      <c r="EE105" s="175"/>
      <c r="EF105" s="175"/>
      <c r="EG105" s="175"/>
      <c r="EH105" s="175"/>
      <c r="EI105" s="175"/>
      <c r="EJ105" s="175"/>
      <c r="EK105" s="175"/>
      <c r="EL105" s="175"/>
      <c r="EM105" s="175"/>
      <c r="EN105" s="175"/>
      <c r="EO105" s="175"/>
      <c r="EP105" s="175"/>
      <c r="EQ105" s="175"/>
      <c r="ER105" s="175"/>
      <c r="ES105" s="175"/>
      <c r="ET105" s="175"/>
      <c r="EU105" s="175"/>
      <c r="EV105" s="175"/>
      <c r="EW105" s="175"/>
      <c r="EX105" s="175"/>
      <c r="EY105" s="175"/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175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  <c r="HN105" s="175"/>
      <c r="HO105" s="175"/>
      <c r="HP105" s="175"/>
      <c r="HQ105" s="175"/>
      <c r="HR105" s="175"/>
      <c r="HS105" s="175"/>
      <c r="HT105" s="175"/>
      <c r="HU105" s="175"/>
      <c r="HV105" s="175"/>
      <c r="HW105" s="175"/>
      <c r="HX105" s="175"/>
      <c r="HY105" s="175"/>
      <c r="HZ105" s="175"/>
      <c r="IA105" s="175"/>
      <c r="IB105" s="175"/>
      <c r="IC105" s="175"/>
      <c r="ID105" s="175"/>
      <c r="IE105" s="175"/>
      <c r="IF105" s="175"/>
      <c r="IG105" s="175"/>
      <c r="IH105" s="175"/>
      <c r="II105" s="175"/>
      <c r="IJ105" s="175"/>
      <c r="IK105" s="175"/>
      <c r="IL105" s="175"/>
      <c r="IM105" s="175"/>
      <c r="IN105" s="175"/>
      <c r="IO105" s="175"/>
      <c r="IP105" s="175"/>
      <c r="IQ105" s="175"/>
    </row>
    <row r="106" spans="1:251" s="146" customFormat="1" ht="21.75" customHeight="1">
      <c r="A106" s="179">
        <v>99</v>
      </c>
      <c r="B106" s="458" t="s">
        <v>389</v>
      </c>
      <c r="C106" s="459" t="s">
        <v>400</v>
      </c>
      <c r="D106" s="460"/>
      <c r="E106" s="460">
        <v>47</v>
      </c>
      <c r="F106" s="459" t="s">
        <v>332</v>
      </c>
      <c r="G106" s="460" t="s">
        <v>186</v>
      </c>
      <c r="H106" s="407" t="s">
        <v>159</v>
      </c>
      <c r="I106" s="180">
        <f t="shared" si="4"/>
        <v>420000</v>
      </c>
      <c r="J106" s="408" t="s">
        <v>134</v>
      </c>
      <c r="K106" s="183">
        <f t="shared" si="5"/>
        <v>300000</v>
      </c>
      <c r="L106" s="408" t="s">
        <v>435</v>
      </c>
      <c r="M106" s="181">
        <f t="shared" si="6"/>
        <v>300000</v>
      </c>
      <c r="N106" s="181">
        <f t="shared" si="7"/>
        <v>1020000</v>
      </c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175"/>
      <c r="DE106" s="175"/>
      <c r="DF106" s="175"/>
      <c r="DG106" s="175"/>
      <c r="DH106" s="175"/>
      <c r="DI106" s="175"/>
      <c r="DJ106" s="175"/>
      <c r="DK106" s="175"/>
      <c r="DL106" s="175"/>
      <c r="DM106" s="175"/>
      <c r="DN106" s="175"/>
      <c r="DO106" s="175"/>
      <c r="DP106" s="175"/>
      <c r="DQ106" s="175"/>
      <c r="DR106" s="175"/>
      <c r="DS106" s="175"/>
      <c r="DT106" s="175"/>
      <c r="DU106" s="175"/>
      <c r="DV106" s="175"/>
      <c r="DW106" s="175"/>
      <c r="DX106" s="175"/>
      <c r="DY106" s="175"/>
      <c r="DZ106" s="175"/>
      <c r="EA106" s="175"/>
      <c r="EB106" s="175"/>
      <c r="EC106" s="175"/>
      <c r="ED106" s="175"/>
      <c r="EE106" s="175"/>
      <c r="EF106" s="175"/>
      <c r="EG106" s="175"/>
      <c r="EH106" s="175"/>
      <c r="EI106" s="175"/>
      <c r="EJ106" s="175"/>
      <c r="EK106" s="175"/>
      <c r="EL106" s="175"/>
      <c r="EM106" s="175"/>
      <c r="EN106" s="175"/>
      <c r="EO106" s="175"/>
      <c r="EP106" s="175"/>
      <c r="EQ106" s="175"/>
      <c r="ER106" s="175"/>
      <c r="ES106" s="175"/>
      <c r="ET106" s="175"/>
      <c r="EU106" s="175"/>
      <c r="EV106" s="175"/>
      <c r="EW106" s="175"/>
      <c r="EX106" s="175"/>
      <c r="EY106" s="175"/>
      <c r="EZ106" s="175"/>
      <c r="FA106" s="175"/>
      <c r="FB106" s="175"/>
      <c r="FC106" s="175"/>
      <c r="FD106" s="175"/>
      <c r="FE106" s="175"/>
      <c r="FF106" s="175"/>
      <c r="FG106" s="175"/>
      <c r="FH106" s="175"/>
      <c r="FI106" s="175"/>
      <c r="FJ106" s="175"/>
      <c r="FK106" s="175"/>
      <c r="FL106" s="175"/>
      <c r="FM106" s="175"/>
      <c r="FN106" s="175"/>
      <c r="FO106" s="175"/>
      <c r="FP106" s="175"/>
      <c r="FQ106" s="175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  <c r="HN106" s="175"/>
      <c r="HO106" s="175"/>
      <c r="HP106" s="175"/>
      <c r="HQ106" s="175"/>
      <c r="HR106" s="175"/>
      <c r="HS106" s="175"/>
      <c r="HT106" s="175"/>
      <c r="HU106" s="175"/>
      <c r="HV106" s="175"/>
      <c r="HW106" s="175"/>
      <c r="HX106" s="175"/>
      <c r="HY106" s="175"/>
      <c r="HZ106" s="175"/>
      <c r="IA106" s="175"/>
      <c r="IB106" s="175"/>
      <c r="IC106" s="175"/>
      <c r="ID106" s="175"/>
      <c r="IE106" s="175"/>
      <c r="IF106" s="175"/>
      <c r="IG106" s="175"/>
      <c r="IH106" s="175"/>
      <c r="II106" s="175"/>
      <c r="IJ106" s="175"/>
      <c r="IK106" s="175"/>
      <c r="IL106" s="175"/>
      <c r="IM106" s="175"/>
      <c r="IN106" s="175"/>
      <c r="IO106" s="175"/>
      <c r="IP106" s="175"/>
      <c r="IQ106" s="175"/>
    </row>
    <row r="107" spans="1:251" s="146" customFormat="1" ht="21.75" customHeight="1">
      <c r="A107" s="179">
        <v>100</v>
      </c>
      <c r="B107" s="458" t="s">
        <v>403</v>
      </c>
      <c r="C107" s="459" t="s">
        <v>404</v>
      </c>
      <c r="D107" s="460">
        <v>61</v>
      </c>
      <c r="E107" s="460"/>
      <c r="F107" s="459" t="s">
        <v>327</v>
      </c>
      <c r="G107" s="460" t="s">
        <v>186</v>
      </c>
      <c r="H107" s="407" t="s">
        <v>159</v>
      </c>
      <c r="I107" s="180">
        <f t="shared" si="4"/>
        <v>420000</v>
      </c>
      <c r="J107" s="408" t="s">
        <v>183</v>
      </c>
      <c r="K107" s="183">
        <f t="shared" si="5"/>
        <v>300000</v>
      </c>
      <c r="L107" s="408" t="s">
        <v>436</v>
      </c>
      <c r="M107" s="181">
        <f t="shared" si="6"/>
        <v>300000</v>
      </c>
      <c r="N107" s="181">
        <f t="shared" si="7"/>
        <v>1020000</v>
      </c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175"/>
      <c r="DE107" s="175"/>
      <c r="DF107" s="175"/>
      <c r="DG107" s="175"/>
      <c r="DH107" s="175"/>
      <c r="DI107" s="175"/>
      <c r="DJ107" s="175"/>
      <c r="DK107" s="175"/>
      <c r="DL107" s="175"/>
      <c r="DM107" s="175"/>
      <c r="DN107" s="175"/>
      <c r="DO107" s="175"/>
      <c r="DP107" s="175"/>
      <c r="DQ107" s="175"/>
      <c r="DR107" s="175"/>
      <c r="DS107" s="175"/>
      <c r="DT107" s="175"/>
      <c r="DU107" s="175"/>
      <c r="DV107" s="175"/>
      <c r="DW107" s="175"/>
      <c r="DX107" s="175"/>
      <c r="DY107" s="175"/>
      <c r="DZ107" s="175"/>
      <c r="EA107" s="175"/>
      <c r="EB107" s="175"/>
      <c r="EC107" s="175"/>
      <c r="ED107" s="175"/>
      <c r="EE107" s="175"/>
      <c r="EF107" s="175"/>
      <c r="EG107" s="175"/>
      <c r="EH107" s="175"/>
      <c r="EI107" s="175"/>
      <c r="EJ107" s="175"/>
      <c r="EK107" s="175"/>
      <c r="EL107" s="175"/>
      <c r="EM107" s="175"/>
      <c r="EN107" s="175"/>
      <c r="EO107" s="175"/>
      <c r="EP107" s="175"/>
      <c r="EQ107" s="175"/>
      <c r="ER107" s="175"/>
      <c r="ES107" s="175"/>
      <c r="ET107" s="175"/>
      <c r="EU107" s="175"/>
      <c r="EV107" s="175"/>
      <c r="EW107" s="175"/>
      <c r="EX107" s="175"/>
      <c r="EY107" s="175"/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175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  <c r="HN107" s="175"/>
      <c r="HO107" s="175"/>
      <c r="HP107" s="175"/>
      <c r="HQ107" s="175"/>
      <c r="HR107" s="175"/>
      <c r="HS107" s="175"/>
      <c r="HT107" s="175"/>
      <c r="HU107" s="175"/>
      <c r="HV107" s="175"/>
      <c r="HW107" s="175"/>
      <c r="HX107" s="175"/>
      <c r="HY107" s="175"/>
      <c r="HZ107" s="175"/>
      <c r="IA107" s="175"/>
      <c r="IB107" s="175"/>
      <c r="IC107" s="175"/>
      <c r="ID107" s="175"/>
      <c r="IE107" s="175"/>
      <c r="IF107" s="175"/>
      <c r="IG107" s="175"/>
      <c r="IH107" s="175"/>
      <c r="II107" s="175"/>
      <c r="IJ107" s="175"/>
      <c r="IK107" s="175"/>
      <c r="IL107" s="175"/>
      <c r="IM107" s="175"/>
      <c r="IN107" s="175"/>
      <c r="IO107" s="175"/>
      <c r="IP107" s="175"/>
      <c r="IQ107" s="175"/>
    </row>
    <row r="108" spans="1:251" s="146" customFormat="1" ht="21.75" customHeight="1">
      <c r="A108" s="179">
        <v>101</v>
      </c>
      <c r="B108" s="458" t="s">
        <v>403</v>
      </c>
      <c r="C108" s="459" t="s">
        <v>405</v>
      </c>
      <c r="D108" s="460">
        <v>44</v>
      </c>
      <c r="E108" s="460"/>
      <c r="F108" s="459" t="s">
        <v>259</v>
      </c>
      <c r="G108" s="460" t="s">
        <v>186</v>
      </c>
      <c r="H108" s="407" t="s">
        <v>212</v>
      </c>
      <c r="I108" s="180">
        <f t="shared" si="4"/>
        <v>420000</v>
      </c>
      <c r="J108" s="408" t="s">
        <v>294</v>
      </c>
      <c r="K108" s="183">
        <f t="shared" si="5"/>
        <v>300000</v>
      </c>
      <c r="L108" s="408" t="s">
        <v>432</v>
      </c>
      <c r="M108" s="181">
        <f t="shared" si="6"/>
        <v>300000</v>
      </c>
      <c r="N108" s="181">
        <f t="shared" si="7"/>
        <v>1020000</v>
      </c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175"/>
      <c r="DE108" s="175"/>
      <c r="DF108" s="175"/>
      <c r="DG108" s="175"/>
      <c r="DH108" s="175"/>
      <c r="DI108" s="175"/>
      <c r="DJ108" s="175"/>
      <c r="DK108" s="175"/>
      <c r="DL108" s="175"/>
      <c r="DM108" s="175"/>
      <c r="DN108" s="175"/>
      <c r="DO108" s="175"/>
      <c r="DP108" s="175"/>
      <c r="DQ108" s="175"/>
      <c r="DR108" s="175"/>
      <c r="DS108" s="175"/>
      <c r="DT108" s="175"/>
      <c r="DU108" s="175"/>
      <c r="DV108" s="175"/>
      <c r="DW108" s="175"/>
      <c r="DX108" s="175"/>
      <c r="DY108" s="175"/>
      <c r="DZ108" s="175"/>
      <c r="EA108" s="175"/>
      <c r="EB108" s="175"/>
      <c r="EC108" s="175"/>
      <c r="ED108" s="175"/>
      <c r="EE108" s="175"/>
      <c r="EF108" s="175"/>
      <c r="EG108" s="175"/>
      <c r="EH108" s="175"/>
      <c r="EI108" s="175"/>
      <c r="EJ108" s="175"/>
      <c r="EK108" s="175"/>
      <c r="EL108" s="175"/>
      <c r="EM108" s="175"/>
      <c r="EN108" s="175"/>
      <c r="EO108" s="175"/>
      <c r="EP108" s="175"/>
      <c r="EQ108" s="175"/>
      <c r="ER108" s="175"/>
      <c r="ES108" s="175"/>
      <c r="ET108" s="175"/>
      <c r="EU108" s="175"/>
      <c r="EV108" s="175"/>
      <c r="EW108" s="175"/>
      <c r="EX108" s="175"/>
      <c r="EY108" s="175"/>
      <c r="EZ108" s="175"/>
      <c r="FA108" s="175"/>
      <c r="FB108" s="175"/>
      <c r="FC108" s="175"/>
      <c r="FD108" s="175"/>
      <c r="FE108" s="175"/>
      <c r="FF108" s="175"/>
      <c r="FG108" s="175"/>
      <c r="FH108" s="175"/>
      <c r="FI108" s="175"/>
      <c r="FJ108" s="175"/>
      <c r="FK108" s="175"/>
      <c r="FL108" s="175"/>
      <c r="FM108" s="175"/>
      <c r="FN108" s="175"/>
      <c r="FO108" s="175"/>
      <c r="FP108" s="175"/>
      <c r="FQ108" s="175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  <c r="HN108" s="175"/>
      <c r="HO108" s="175"/>
      <c r="HP108" s="175"/>
      <c r="HQ108" s="175"/>
      <c r="HR108" s="175"/>
      <c r="HS108" s="175"/>
      <c r="HT108" s="175"/>
      <c r="HU108" s="175"/>
      <c r="HV108" s="175"/>
      <c r="HW108" s="175"/>
      <c r="HX108" s="175"/>
      <c r="HY108" s="175"/>
      <c r="HZ108" s="175"/>
      <c r="IA108" s="175"/>
      <c r="IB108" s="175"/>
      <c r="IC108" s="175"/>
      <c r="ID108" s="175"/>
      <c r="IE108" s="175"/>
      <c r="IF108" s="175"/>
      <c r="IG108" s="175"/>
      <c r="IH108" s="175"/>
      <c r="II108" s="175"/>
      <c r="IJ108" s="175"/>
      <c r="IK108" s="175"/>
      <c r="IL108" s="175"/>
      <c r="IM108" s="175"/>
      <c r="IN108" s="175"/>
      <c r="IO108" s="175"/>
      <c r="IP108" s="175"/>
      <c r="IQ108" s="175"/>
    </row>
    <row r="109" spans="1:251" s="146" customFormat="1" ht="21.75" customHeight="1">
      <c r="A109" s="179">
        <v>102</v>
      </c>
      <c r="B109" s="458" t="s">
        <v>403</v>
      </c>
      <c r="C109" s="459" t="s">
        <v>406</v>
      </c>
      <c r="D109" s="460">
        <v>59</v>
      </c>
      <c r="E109" s="460"/>
      <c r="F109" s="459" t="s">
        <v>327</v>
      </c>
      <c r="G109" s="460" t="s">
        <v>186</v>
      </c>
      <c r="H109" s="407" t="s">
        <v>277</v>
      </c>
      <c r="I109" s="180">
        <f t="shared" si="4"/>
        <v>420000</v>
      </c>
      <c r="J109" s="408" t="s">
        <v>432</v>
      </c>
      <c r="K109" s="183">
        <f t="shared" si="5"/>
        <v>300000</v>
      </c>
      <c r="L109" s="408" t="s">
        <v>436</v>
      </c>
      <c r="M109" s="181">
        <f t="shared" si="6"/>
        <v>300000</v>
      </c>
      <c r="N109" s="181">
        <f t="shared" si="7"/>
        <v>1020000</v>
      </c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  <c r="BT109" s="175"/>
      <c r="BU109" s="175"/>
      <c r="BV109" s="175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175"/>
      <c r="DE109" s="175"/>
      <c r="DF109" s="175"/>
      <c r="DG109" s="175"/>
      <c r="DH109" s="175"/>
      <c r="DI109" s="175"/>
      <c r="DJ109" s="175"/>
      <c r="DK109" s="175"/>
      <c r="DL109" s="175"/>
      <c r="DM109" s="175"/>
      <c r="DN109" s="175"/>
      <c r="DO109" s="175"/>
      <c r="DP109" s="175"/>
      <c r="DQ109" s="175"/>
      <c r="DR109" s="175"/>
      <c r="DS109" s="175"/>
      <c r="DT109" s="175"/>
      <c r="DU109" s="175"/>
      <c r="DV109" s="175"/>
      <c r="DW109" s="175"/>
      <c r="DX109" s="175"/>
      <c r="DY109" s="175"/>
      <c r="DZ109" s="175"/>
      <c r="EA109" s="175"/>
      <c r="EB109" s="175"/>
      <c r="EC109" s="175"/>
      <c r="ED109" s="175"/>
      <c r="EE109" s="175"/>
      <c r="EF109" s="175"/>
      <c r="EG109" s="175"/>
      <c r="EH109" s="175"/>
      <c r="EI109" s="175"/>
      <c r="EJ109" s="175"/>
      <c r="EK109" s="175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175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  <c r="HN109" s="175"/>
      <c r="HO109" s="175"/>
      <c r="HP109" s="175"/>
      <c r="HQ109" s="175"/>
      <c r="HR109" s="175"/>
      <c r="HS109" s="175"/>
      <c r="HT109" s="175"/>
      <c r="HU109" s="175"/>
      <c r="HV109" s="175"/>
      <c r="HW109" s="175"/>
      <c r="HX109" s="175"/>
      <c r="HY109" s="175"/>
      <c r="HZ109" s="175"/>
      <c r="IA109" s="175"/>
      <c r="IB109" s="175"/>
      <c r="IC109" s="175"/>
      <c r="ID109" s="175"/>
      <c r="IE109" s="175"/>
      <c r="IF109" s="175"/>
      <c r="IG109" s="175"/>
      <c r="IH109" s="175"/>
      <c r="II109" s="175"/>
      <c r="IJ109" s="175"/>
      <c r="IK109" s="175"/>
      <c r="IL109" s="175"/>
      <c r="IM109" s="175"/>
      <c r="IN109" s="175"/>
      <c r="IO109" s="175"/>
      <c r="IP109" s="175"/>
      <c r="IQ109" s="175"/>
    </row>
    <row r="110" spans="1:251" s="146" customFormat="1" ht="21.75" customHeight="1">
      <c r="A110" s="179">
        <v>103</v>
      </c>
      <c r="B110" s="458" t="s">
        <v>403</v>
      </c>
      <c r="C110" s="459" t="s">
        <v>407</v>
      </c>
      <c r="D110" s="460"/>
      <c r="E110" s="460">
        <v>69</v>
      </c>
      <c r="F110" s="459" t="s">
        <v>408</v>
      </c>
      <c r="G110" s="460" t="s">
        <v>186</v>
      </c>
      <c r="H110" s="407" t="s">
        <v>159</v>
      </c>
      <c r="I110" s="180">
        <f t="shared" si="4"/>
        <v>420000</v>
      </c>
      <c r="J110" s="408" t="s">
        <v>183</v>
      </c>
      <c r="K110" s="183">
        <f t="shared" si="5"/>
        <v>300000</v>
      </c>
      <c r="L110" s="408" t="s">
        <v>436</v>
      </c>
      <c r="M110" s="181">
        <f t="shared" si="6"/>
        <v>300000</v>
      </c>
      <c r="N110" s="181">
        <f t="shared" si="7"/>
        <v>1020000</v>
      </c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175"/>
      <c r="BM110" s="175"/>
      <c r="BN110" s="175"/>
      <c r="BO110" s="175"/>
      <c r="BP110" s="175"/>
      <c r="BQ110" s="175"/>
      <c r="BR110" s="175"/>
      <c r="BS110" s="175"/>
      <c r="BT110" s="175"/>
      <c r="BU110" s="175"/>
      <c r="BV110" s="175"/>
      <c r="BW110" s="175"/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175"/>
      <c r="DE110" s="175"/>
      <c r="DF110" s="175"/>
      <c r="DG110" s="175"/>
      <c r="DH110" s="175"/>
      <c r="DI110" s="175"/>
      <c r="DJ110" s="175"/>
      <c r="DK110" s="175"/>
      <c r="DL110" s="175"/>
      <c r="DM110" s="175"/>
      <c r="DN110" s="175"/>
      <c r="DO110" s="175"/>
      <c r="DP110" s="175"/>
      <c r="DQ110" s="175"/>
      <c r="DR110" s="175"/>
      <c r="DS110" s="175"/>
      <c r="DT110" s="175"/>
      <c r="DU110" s="175"/>
      <c r="DV110" s="175"/>
      <c r="DW110" s="175"/>
      <c r="DX110" s="175"/>
      <c r="DY110" s="175"/>
      <c r="DZ110" s="175"/>
      <c r="EA110" s="175"/>
      <c r="EB110" s="175"/>
      <c r="EC110" s="175"/>
      <c r="ED110" s="175"/>
      <c r="EE110" s="175"/>
      <c r="EF110" s="175"/>
      <c r="EG110" s="175"/>
      <c r="EH110" s="175"/>
      <c r="EI110" s="175"/>
      <c r="EJ110" s="175"/>
      <c r="EK110" s="175"/>
      <c r="EL110" s="175"/>
      <c r="EM110" s="175"/>
      <c r="EN110" s="175"/>
      <c r="EO110" s="175"/>
      <c r="EP110" s="175"/>
      <c r="EQ110" s="175"/>
      <c r="ER110" s="175"/>
      <c r="ES110" s="175"/>
      <c r="ET110" s="175"/>
      <c r="EU110" s="175"/>
      <c r="EV110" s="175"/>
      <c r="EW110" s="175"/>
      <c r="EX110" s="175"/>
      <c r="EY110" s="175"/>
      <c r="EZ110" s="175"/>
      <c r="FA110" s="175"/>
      <c r="FB110" s="175"/>
      <c r="FC110" s="175"/>
      <c r="FD110" s="175"/>
      <c r="FE110" s="175"/>
      <c r="FF110" s="175"/>
      <c r="FG110" s="175"/>
      <c r="FH110" s="175"/>
      <c r="FI110" s="175"/>
      <c r="FJ110" s="175"/>
      <c r="FK110" s="175"/>
      <c r="FL110" s="175"/>
      <c r="FM110" s="175"/>
      <c r="FN110" s="175"/>
      <c r="FO110" s="175"/>
      <c r="FP110" s="175"/>
      <c r="FQ110" s="175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  <c r="HN110" s="175"/>
      <c r="HO110" s="175"/>
      <c r="HP110" s="175"/>
      <c r="HQ110" s="175"/>
      <c r="HR110" s="175"/>
      <c r="HS110" s="175"/>
      <c r="HT110" s="175"/>
      <c r="HU110" s="175"/>
      <c r="HV110" s="175"/>
      <c r="HW110" s="175"/>
      <c r="HX110" s="175"/>
      <c r="HY110" s="175"/>
      <c r="HZ110" s="175"/>
      <c r="IA110" s="175"/>
      <c r="IB110" s="175"/>
      <c r="IC110" s="175"/>
      <c r="ID110" s="175"/>
      <c r="IE110" s="175"/>
      <c r="IF110" s="175"/>
      <c r="IG110" s="175"/>
      <c r="IH110" s="175"/>
      <c r="II110" s="175"/>
      <c r="IJ110" s="175"/>
      <c r="IK110" s="175"/>
      <c r="IL110" s="175"/>
      <c r="IM110" s="175"/>
      <c r="IN110" s="175"/>
      <c r="IO110" s="175"/>
      <c r="IP110" s="175"/>
      <c r="IQ110" s="175"/>
    </row>
    <row r="111" spans="1:251" s="146" customFormat="1" ht="21.75" customHeight="1">
      <c r="A111" s="179">
        <v>104</v>
      </c>
      <c r="B111" s="458" t="s">
        <v>403</v>
      </c>
      <c r="C111" s="459" t="s">
        <v>409</v>
      </c>
      <c r="D111" s="460"/>
      <c r="E111" s="460">
        <v>75</v>
      </c>
      <c r="F111" s="459" t="s">
        <v>339</v>
      </c>
      <c r="G111" s="460" t="s">
        <v>186</v>
      </c>
      <c r="H111" s="407" t="s">
        <v>294</v>
      </c>
      <c r="I111" s="180">
        <f t="shared" si="4"/>
        <v>420000</v>
      </c>
      <c r="J111" s="408" t="s">
        <v>432</v>
      </c>
      <c r="K111" s="183">
        <f t="shared" si="5"/>
        <v>300000</v>
      </c>
      <c r="L111" s="408" t="s">
        <v>441</v>
      </c>
      <c r="M111" s="181">
        <f t="shared" si="6"/>
        <v>300000</v>
      </c>
      <c r="N111" s="181">
        <f t="shared" si="7"/>
        <v>1020000</v>
      </c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175"/>
      <c r="DE111" s="175"/>
      <c r="DF111" s="175"/>
      <c r="DG111" s="175"/>
      <c r="DH111" s="175"/>
      <c r="DI111" s="175"/>
      <c r="DJ111" s="175"/>
      <c r="DK111" s="175"/>
      <c r="DL111" s="175"/>
      <c r="DM111" s="175"/>
      <c r="DN111" s="175"/>
      <c r="DO111" s="175"/>
      <c r="DP111" s="175"/>
      <c r="DQ111" s="175"/>
      <c r="DR111" s="175"/>
      <c r="DS111" s="175"/>
      <c r="DT111" s="175"/>
      <c r="DU111" s="175"/>
      <c r="DV111" s="175"/>
      <c r="DW111" s="175"/>
      <c r="DX111" s="175"/>
      <c r="DY111" s="175"/>
      <c r="DZ111" s="175"/>
      <c r="EA111" s="175"/>
      <c r="EB111" s="175"/>
      <c r="EC111" s="175"/>
      <c r="ED111" s="175"/>
      <c r="EE111" s="175"/>
      <c r="EF111" s="175"/>
      <c r="EG111" s="175"/>
      <c r="EH111" s="175"/>
      <c r="EI111" s="175"/>
      <c r="EJ111" s="175"/>
      <c r="EK111" s="175"/>
      <c r="EL111" s="175"/>
      <c r="EM111" s="175"/>
      <c r="EN111" s="175"/>
      <c r="EO111" s="175"/>
      <c r="EP111" s="175"/>
      <c r="EQ111" s="175"/>
      <c r="ER111" s="175"/>
      <c r="ES111" s="175"/>
      <c r="ET111" s="175"/>
      <c r="EU111" s="175"/>
      <c r="EV111" s="175"/>
      <c r="EW111" s="175"/>
      <c r="EX111" s="175"/>
      <c r="EY111" s="175"/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175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  <c r="HN111" s="175"/>
      <c r="HO111" s="175"/>
      <c r="HP111" s="175"/>
      <c r="HQ111" s="175"/>
      <c r="HR111" s="175"/>
      <c r="HS111" s="175"/>
      <c r="HT111" s="175"/>
      <c r="HU111" s="175"/>
      <c r="HV111" s="175"/>
      <c r="HW111" s="175"/>
      <c r="HX111" s="175"/>
      <c r="HY111" s="175"/>
      <c r="HZ111" s="175"/>
      <c r="IA111" s="175"/>
      <c r="IB111" s="175"/>
      <c r="IC111" s="175"/>
      <c r="ID111" s="175"/>
      <c r="IE111" s="175"/>
      <c r="IF111" s="175"/>
      <c r="IG111" s="175"/>
      <c r="IH111" s="175"/>
      <c r="II111" s="175"/>
      <c r="IJ111" s="175"/>
      <c r="IK111" s="175"/>
      <c r="IL111" s="175"/>
      <c r="IM111" s="175"/>
      <c r="IN111" s="175"/>
      <c r="IO111" s="175"/>
      <c r="IP111" s="175"/>
      <c r="IQ111" s="175"/>
    </row>
    <row r="112" spans="1:251" s="146" customFormat="1" ht="21.75" customHeight="1">
      <c r="A112" s="179">
        <v>105</v>
      </c>
      <c r="B112" s="458" t="s">
        <v>410</v>
      </c>
      <c r="C112" s="459" t="s">
        <v>411</v>
      </c>
      <c r="D112" s="460"/>
      <c r="E112" s="460">
        <v>76</v>
      </c>
      <c r="F112" s="459" t="s">
        <v>412</v>
      </c>
      <c r="G112" s="460" t="s">
        <v>186</v>
      </c>
      <c r="H112" s="407" t="s">
        <v>159</v>
      </c>
      <c r="I112" s="180">
        <f t="shared" si="4"/>
        <v>420000</v>
      </c>
      <c r="J112" s="408" t="s">
        <v>134</v>
      </c>
      <c r="K112" s="183">
        <f t="shared" si="5"/>
        <v>300000</v>
      </c>
      <c r="L112" s="408" t="s">
        <v>431</v>
      </c>
      <c r="M112" s="181">
        <f t="shared" si="6"/>
        <v>300000</v>
      </c>
      <c r="N112" s="181">
        <f t="shared" si="7"/>
        <v>1020000</v>
      </c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BA112" s="175"/>
      <c r="BB112" s="175"/>
      <c r="BC112" s="175"/>
      <c r="BD112" s="175"/>
      <c r="BE112" s="175"/>
      <c r="BF112" s="175"/>
      <c r="BG112" s="175"/>
      <c r="BH112" s="175"/>
      <c r="BI112" s="175"/>
      <c r="BJ112" s="175"/>
      <c r="BK112" s="175"/>
      <c r="BL112" s="175"/>
      <c r="BM112" s="175"/>
      <c r="BN112" s="175"/>
      <c r="BO112" s="175"/>
      <c r="BP112" s="175"/>
      <c r="BQ112" s="175"/>
      <c r="BR112" s="175"/>
      <c r="BS112" s="175"/>
      <c r="BT112" s="175"/>
      <c r="BU112" s="175"/>
      <c r="BV112" s="175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175"/>
      <c r="DE112" s="175"/>
      <c r="DF112" s="175"/>
      <c r="DG112" s="175"/>
      <c r="DH112" s="175"/>
      <c r="DI112" s="175"/>
      <c r="DJ112" s="175"/>
      <c r="DK112" s="175"/>
      <c r="DL112" s="175"/>
      <c r="DM112" s="175"/>
      <c r="DN112" s="175"/>
      <c r="DO112" s="175"/>
      <c r="DP112" s="175"/>
      <c r="DQ112" s="175"/>
      <c r="DR112" s="175"/>
      <c r="DS112" s="175"/>
      <c r="DT112" s="175"/>
      <c r="DU112" s="175"/>
      <c r="DV112" s="175"/>
      <c r="DW112" s="175"/>
      <c r="DX112" s="175"/>
      <c r="DY112" s="175"/>
      <c r="DZ112" s="175"/>
      <c r="EA112" s="175"/>
      <c r="EB112" s="175"/>
      <c r="EC112" s="175"/>
      <c r="ED112" s="175"/>
      <c r="EE112" s="175"/>
      <c r="EF112" s="175"/>
      <c r="EG112" s="175"/>
      <c r="EH112" s="175"/>
      <c r="EI112" s="175"/>
      <c r="EJ112" s="175"/>
      <c r="EK112" s="175"/>
      <c r="EL112" s="175"/>
      <c r="EM112" s="175"/>
      <c r="EN112" s="175"/>
      <c r="EO112" s="175"/>
      <c r="EP112" s="175"/>
      <c r="EQ112" s="175"/>
      <c r="ER112" s="175"/>
      <c r="ES112" s="175"/>
      <c r="ET112" s="175"/>
      <c r="EU112" s="175"/>
      <c r="EV112" s="175"/>
      <c r="EW112" s="175"/>
      <c r="EX112" s="175"/>
      <c r="EY112" s="175"/>
      <c r="EZ112" s="175"/>
      <c r="FA112" s="175"/>
      <c r="FB112" s="175"/>
      <c r="FC112" s="175"/>
      <c r="FD112" s="175"/>
      <c r="FE112" s="175"/>
      <c r="FF112" s="175"/>
      <c r="FG112" s="175"/>
      <c r="FH112" s="175"/>
      <c r="FI112" s="175"/>
      <c r="FJ112" s="175"/>
      <c r="FK112" s="175"/>
      <c r="FL112" s="175"/>
      <c r="FM112" s="175"/>
      <c r="FN112" s="175"/>
      <c r="FO112" s="175"/>
      <c r="FP112" s="175"/>
      <c r="FQ112" s="175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  <c r="HN112" s="175"/>
      <c r="HO112" s="175"/>
      <c r="HP112" s="175"/>
      <c r="HQ112" s="175"/>
      <c r="HR112" s="175"/>
      <c r="HS112" s="175"/>
      <c r="HT112" s="175"/>
      <c r="HU112" s="175"/>
      <c r="HV112" s="175"/>
      <c r="HW112" s="175"/>
      <c r="HX112" s="175"/>
      <c r="HY112" s="175"/>
      <c r="HZ112" s="175"/>
      <c r="IA112" s="175"/>
      <c r="IB112" s="175"/>
      <c r="IC112" s="175"/>
      <c r="ID112" s="175"/>
      <c r="IE112" s="175"/>
      <c r="IF112" s="175"/>
      <c r="IG112" s="175"/>
      <c r="IH112" s="175"/>
      <c r="II112" s="175"/>
      <c r="IJ112" s="175"/>
      <c r="IK112" s="175"/>
      <c r="IL112" s="175"/>
      <c r="IM112" s="175"/>
      <c r="IN112" s="175"/>
      <c r="IO112" s="175"/>
      <c r="IP112" s="175"/>
      <c r="IQ112" s="175"/>
    </row>
    <row r="113" spans="1:251" s="146" customFormat="1" ht="21.75" customHeight="1">
      <c r="A113" s="179">
        <v>106</v>
      </c>
      <c r="B113" s="458" t="s">
        <v>415</v>
      </c>
      <c r="C113" s="459" t="s">
        <v>416</v>
      </c>
      <c r="D113" s="460"/>
      <c r="E113" s="460">
        <v>18</v>
      </c>
      <c r="F113" s="459" t="s">
        <v>339</v>
      </c>
      <c r="G113" s="460" t="s">
        <v>186</v>
      </c>
      <c r="H113" s="407" t="s">
        <v>134</v>
      </c>
      <c r="I113" s="180">
        <f t="shared" si="4"/>
        <v>420000</v>
      </c>
      <c r="J113" s="408" t="s">
        <v>430</v>
      </c>
      <c r="K113" s="183">
        <f t="shared" si="5"/>
        <v>300000</v>
      </c>
      <c r="L113" s="408" t="s">
        <v>435</v>
      </c>
      <c r="M113" s="181">
        <f t="shared" si="6"/>
        <v>300000</v>
      </c>
      <c r="N113" s="181">
        <f t="shared" si="7"/>
        <v>1020000</v>
      </c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5"/>
      <c r="BI113" s="175"/>
      <c r="BJ113" s="175"/>
      <c r="BK113" s="175"/>
      <c r="BL113" s="175"/>
      <c r="BM113" s="175"/>
      <c r="BN113" s="175"/>
      <c r="BO113" s="175"/>
      <c r="BP113" s="175"/>
      <c r="BQ113" s="175"/>
      <c r="BR113" s="175"/>
      <c r="BS113" s="175"/>
      <c r="BT113" s="175"/>
      <c r="BU113" s="175"/>
      <c r="BV113" s="175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175"/>
      <c r="DE113" s="175"/>
      <c r="DF113" s="175"/>
      <c r="DG113" s="175"/>
      <c r="DH113" s="175"/>
      <c r="DI113" s="175"/>
      <c r="DJ113" s="175"/>
      <c r="DK113" s="175"/>
      <c r="DL113" s="175"/>
      <c r="DM113" s="175"/>
      <c r="DN113" s="175"/>
      <c r="DO113" s="175"/>
      <c r="DP113" s="175"/>
      <c r="DQ113" s="175"/>
      <c r="DR113" s="175"/>
      <c r="DS113" s="175"/>
      <c r="DT113" s="175"/>
      <c r="DU113" s="175"/>
      <c r="DV113" s="175"/>
      <c r="DW113" s="175"/>
      <c r="DX113" s="175"/>
      <c r="DY113" s="175"/>
      <c r="DZ113" s="175"/>
      <c r="EA113" s="175"/>
      <c r="EB113" s="175"/>
      <c r="EC113" s="175"/>
      <c r="ED113" s="175"/>
      <c r="EE113" s="175"/>
      <c r="EF113" s="175"/>
      <c r="EG113" s="175"/>
      <c r="EH113" s="175"/>
      <c r="EI113" s="175"/>
      <c r="EJ113" s="175"/>
      <c r="EK113" s="175"/>
      <c r="EL113" s="175"/>
      <c r="EM113" s="175"/>
      <c r="EN113" s="175"/>
      <c r="EO113" s="175"/>
      <c r="EP113" s="175"/>
      <c r="EQ113" s="175"/>
      <c r="ER113" s="175"/>
      <c r="ES113" s="175"/>
      <c r="ET113" s="175"/>
      <c r="EU113" s="175"/>
      <c r="EV113" s="175"/>
      <c r="EW113" s="175"/>
      <c r="EX113" s="175"/>
      <c r="EY113" s="175"/>
      <c r="EZ113" s="175"/>
      <c r="FA113" s="175"/>
      <c r="FB113" s="175"/>
      <c r="FC113" s="175"/>
      <c r="FD113" s="175"/>
      <c r="FE113" s="175"/>
      <c r="FF113" s="175"/>
      <c r="FG113" s="175"/>
      <c r="FH113" s="175"/>
      <c r="FI113" s="175"/>
      <c r="FJ113" s="175"/>
      <c r="FK113" s="175"/>
      <c r="FL113" s="175"/>
      <c r="FM113" s="175"/>
      <c r="FN113" s="175"/>
      <c r="FO113" s="175"/>
      <c r="FP113" s="175"/>
      <c r="FQ113" s="175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  <c r="HN113" s="175"/>
      <c r="HO113" s="175"/>
      <c r="HP113" s="175"/>
      <c r="HQ113" s="175"/>
      <c r="HR113" s="175"/>
      <c r="HS113" s="175"/>
      <c r="HT113" s="175"/>
      <c r="HU113" s="175"/>
      <c r="HV113" s="175"/>
      <c r="HW113" s="175"/>
      <c r="HX113" s="175"/>
      <c r="HY113" s="175"/>
      <c r="HZ113" s="175"/>
      <c r="IA113" s="175"/>
      <c r="IB113" s="175"/>
      <c r="IC113" s="175"/>
      <c r="ID113" s="175"/>
      <c r="IE113" s="175"/>
      <c r="IF113" s="175"/>
      <c r="IG113" s="175"/>
      <c r="IH113" s="175"/>
      <c r="II113" s="175"/>
      <c r="IJ113" s="175"/>
      <c r="IK113" s="175"/>
      <c r="IL113" s="175"/>
      <c r="IM113" s="175"/>
      <c r="IN113" s="175"/>
      <c r="IO113" s="175"/>
      <c r="IP113" s="175"/>
      <c r="IQ113" s="175"/>
    </row>
    <row r="114" spans="1:251" s="146" customFormat="1" ht="21.75" customHeight="1">
      <c r="A114" s="179">
        <v>107</v>
      </c>
      <c r="B114" s="458" t="s">
        <v>415</v>
      </c>
      <c r="C114" s="459" t="s">
        <v>418</v>
      </c>
      <c r="D114" s="460">
        <v>75</v>
      </c>
      <c r="E114" s="460"/>
      <c r="F114" s="459" t="s">
        <v>267</v>
      </c>
      <c r="G114" s="460" t="s">
        <v>204</v>
      </c>
      <c r="H114" s="407" t="s">
        <v>134</v>
      </c>
      <c r="I114" s="180">
        <f t="shared" si="4"/>
        <v>187500</v>
      </c>
      <c r="J114" s="408" t="s">
        <v>432</v>
      </c>
      <c r="K114" s="183">
        <f t="shared" si="5"/>
        <v>135000</v>
      </c>
      <c r="L114" s="408" t="s">
        <v>440</v>
      </c>
      <c r="M114" s="181">
        <f t="shared" si="6"/>
        <v>135000</v>
      </c>
      <c r="N114" s="181">
        <f t="shared" si="7"/>
        <v>457500</v>
      </c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  <c r="AU114" s="175"/>
      <c r="AV114" s="175"/>
      <c r="AW114" s="175"/>
      <c r="AX114" s="175"/>
      <c r="AY114" s="175"/>
      <c r="AZ114" s="175"/>
      <c r="BA114" s="175"/>
      <c r="BB114" s="175"/>
      <c r="BC114" s="175"/>
      <c r="BD114" s="175"/>
      <c r="BE114" s="175"/>
      <c r="BF114" s="175"/>
      <c r="BG114" s="175"/>
      <c r="BH114" s="175"/>
      <c r="BI114" s="175"/>
      <c r="BJ114" s="175"/>
      <c r="BK114" s="175"/>
      <c r="BL114" s="175"/>
      <c r="BM114" s="175"/>
      <c r="BN114" s="175"/>
      <c r="BO114" s="175"/>
      <c r="BP114" s="175"/>
      <c r="BQ114" s="175"/>
      <c r="BR114" s="175"/>
      <c r="BS114" s="175"/>
      <c r="BT114" s="175"/>
      <c r="BU114" s="175"/>
      <c r="BV114" s="175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175"/>
      <c r="DE114" s="175"/>
      <c r="DF114" s="175"/>
      <c r="DG114" s="175"/>
      <c r="DH114" s="175"/>
      <c r="DI114" s="175"/>
      <c r="DJ114" s="175"/>
      <c r="DK114" s="175"/>
      <c r="DL114" s="175"/>
      <c r="DM114" s="175"/>
      <c r="DN114" s="175"/>
      <c r="DO114" s="175"/>
      <c r="DP114" s="175"/>
      <c r="DQ114" s="175"/>
      <c r="DR114" s="175"/>
      <c r="DS114" s="175"/>
      <c r="DT114" s="175"/>
      <c r="DU114" s="175"/>
      <c r="DV114" s="175"/>
      <c r="DW114" s="175"/>
      <c r="DX114" s="175"/>
      <c r="DY114" s="175"/>
      <c r="DZ114" s="175"/>
      <c r="EA114" s="175"/>
      <c r="EB114" s="175"/>
      <c r="EC114" s="175"/>
      <c r="ED114" s="175"/>
      <c r="EE114" s="175"/>
      <c r="EF114" s="175"/>
      <c r="EG114" s="175"/>
      <c r="EH114" s="175"/>
      <c r="EI114" s="175"/>
      <c r="EJ114" s="175"/>
      <c r="EK114" s="175"/>
      <c r="EL114" s="175"/>
      <c r="EM114" s="175"/>
      <c r="EN114" s="175"/>
      <c r="EO114" s="175"/>
      <c r="EP114" s="175"/>
      <c r="EQ114" s="175"/>
      <c r="ER114" s="175"/>
      <c r="ES114" s="175"/>
      <c r="ET114" s="175"/>
      <c r="EU114" s="175"/>
      <c r="EV114" s="175"/>
      <c r="EW114" s="175"/>
      <c r="EX114" s="175"/>
      <c r="EY114" s="175"/>
      <c r="EZ114" s="175"/>
      <c r="FA114" s="175"/>
      <c r="FB114" s="175"/>
      <c r="FC114" s="175"/>
      <c r="FD114" s="175"/>
      <c r="FE114" s="175"/>
      <c r="FF114" s="175"/>
      <c r="FG114" s="175"/>
      <c r="FH114" s="175"/>
      <c r="FI114" s="175"/>
      <c r="FJ114" s="175"/>
      <c r="FK114" s="175"/>
      <c r="FL114" s="175"/>
      <c r="FM114" s="175"/>
      <c r="FN114" s="175"/>
      <c r="FO114" s="175"/>
      <c r="FP114" s="175"/>
      <c r="FQ114" s="175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  <c r="HN114" s="175"/>
      <c r="HO114" s="175"/>
      <c r="HP114" s="175"/>
      <c r="HQ114" s="175"/>
      <c r="HR114" s="175"/>
      <c r="HS114" s="175"/>
      <c r="HT114" s="175"/>
      <c r="HU114" s="175"/>
      <c r="HV114" s="175"/>
      <c r="HW114" s="175"/>
      <c r="HX114" s="175"/>
      <c r="HY114" s="175"/>
      <c r="HZ114" s="175"/>
      <c r="IA114" s="175"/>
      <c r="IB114" s="175"/>
      <c r="IC114" s="175"/>
      <c r="ID114" s="175"/>
      <c r="IE114" s="175"/>
      <c r="IF114" s="175"/>
      <c r="IG114" s="175"/>
      <c r="IH114" s="175"/>
      <c r="II114" s="175"/>
      <c r="IJ114" s="175"/>
      <c r="IK114" s="175"/>
      <c r="IL114" s="175"/>
      <c r="IM114" s="175"/>
      <c r="IN114" s="175"/>
      <c r="IO114" s="175"/>
      <c r="IP114" s="175"/>
      <c r="IQ114" s="175"/>
    </row>
    <row r="115" spans="1:251" s="146" customFormat="1" ht="21.75" customHeight="1">
      <c r="A115" s="179">
        <v>108</v>
      </c>
      <c r="B115" s="458" t="s">
        <v>179</v>
      </c>
      <c r="C115" s="459" t="s">
        <v>180</v>
      </c>
      <c r="D115" s="460">
        <v>86</v>
      </c>
      <c r="E115" s="460"/>
      <c r="F115" s="459" t="s">
        <v>181</v>
      </c>
      <c r="G115" s="460" t="s">
        <v>182</v>
      </c>
      <c r="H115" s="407" t="s">
        <v>183</v>
      </c>
      <c r="I115" s="180">
        <f t="shared" si="4"/>
        <v>97500</v>
      </c>
      <c r="J115" s="408" t="s">
        <v>428</v>
      </c>
      <c r="K115" s="183">
        <f t="shared" si="5"/>
        <v>75000</v>
      </c>
      <c r="L115" s="408" t="s">
        <v>56</v>
      </c>
      <c r="M115" s="181">
        <f t="shared" si="6"/>
        <v>0</v>
      </c>
      <c r="N115" s="181">
        <f t="shared" si="7"/>
        <v>172500</v>
      </c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  <c r="BM115" s="175"/>
      <c r="BN115" s="175"/>
      <c r="BO115" s="175"/>
      <c r="BP115" s="175"/>
      <c r="BQ115" s="175"/>
      <c r="BR115" s="175"/>
      <c r="BS115" s="175"/>
      <c r="BT115" s="175"/>
      <c r="BU115" s="175"/>
      <c r="BV115" s="175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175"/>
      <c r="DE115" s="175"/>
      <c r="DF115" s="175"/>
      <c r="DG115" s="175"/>
      <c r="DH115" s="175"/>
      <c r="DI115" s="175"/>
      <c r="DJ115" s="175"/>
      <c r="DK115" s="175"/>
      <c r="DL115" s="175"/>
      <c r="DM115" s="175"/>
      <c r="DN115" s="175"/>
      <c r="DO115" s="175"/>
      <c r="DP115" s="175"/>
      <c r="DQ115" s="175"/>
      <c r="DR115" s="175"/>
      <c r="DS115" s="175"/>
      <c r="DT115" s="175"/>
      <c r="DU115" s="175"/>
      <c r="DV115" s="175"/>
      <c r="DW115" s="175"/>
      <c r="DX115" s="175"/>
      <c r="DY115" s="175"/>
      <c r="DZ115" s="175"/>
      <c r="EA115" s="175"/>
      <c r="EB115" s="175"/>
      <c r="EC115" s="175"/>
      <c r="ED115" s="175"/>
      <c r="EE115" s="175"/>
      <c r="EF115" s="175"/>
      <c r="EG115" s="175"/>
      <c r="EH115" s="175"/>
      <c r="EI115" s="175"/>
      <c r="EJ115" s="175"/>
      <c r="EK115" s="175"/>
      <c r="EL115" s="175"/>
      <c r="EM115" s="175"/>
      <c r="EN115" s="175"/>
      <c r="EO115" s="175"/>
      <c r="EP115" s="175"/>
      <c r="EQ115" s="175"/>
      <c r="ER115" s="175"/>
      <c r="ES115" s="175"/>
      <c r="ET115" s="175"/>
      <c r="EU115" s="175"/>
      <c r="EV115" s="175"/>
      <c r="EW115" s="175"/>
      <c r="EX115" s="175"/>
      <c r="EY115" s="175"/>
      <c r="EZ115" s="175"/>
      <c r="FA115" s="175"/>
      <c r="FB115" s="175"/>
      <c r="FC115" s="175"/>
      <c r="FD115" s="175"/>
      <c r="FE115" s="175"/>
      <c r="FF115" s="175"/>
      <c r="FG115" s="175"/>
      <c r="FH115" s="175"/>
      <c r="FI115" s="175"/>
      <c r="FJ115" s="175"/>
      <c r="FK115" s="175"/>
      <c r="FL115" s="175"/>
      <c r="FM115" s="175"/>
      <c r="FN115" s="175"/>
      <c r="FO115" s="175"/>
      <c r="FP115" s="175"/>
      <c r="FQ115" s="175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  <c r="HN115" s="175"/>
      <c r="HO115" s="175"/>
      <c r="HP115" s="175"/>
      <c r="HQ115" s="175"/>
      <c r="HR115" s="175"/>
      <c r="HS115" s="175"/>
      <c r="HT115" s="175"/>
      <c r="HU115" s="175"/>
      <c r="HV115" s="175"/>
      <c r="HW115" s="175"/>
      <c r="HX115" s="175"/>
      <c r="HY115" s="175"/>
      <c r="HZ115" s="175"/>
      <c r="IA115" s="175"/>
      <c r="IB115" s="175"/>
      <c r="IC115" s="175"/>
      <c r="ID115" s="175"/>
      <c r="IE115" s="175"/>
      <c r="IF115" s="175"/>
      <c r="IG115" s="175"/>
      <c r="IH115" s="175"/>
      <c r="II115" s="175"/>
      <c r="IJ115" s="175"/>
      <c r="IK115" s="175"/>
      <c r="IL115" s="175"/>
      <c r="IM115" s="175"/>
      <c r="IN115" s="175"/>
      <c r="IO115" s="175"/>
      <c r="IP115" s="175"/>
      <c r="IQ115" s="175"/>
    </row>
    <row r="116" spans="1:251" s="146" customFormat="1" ht="21.75" customHeight="1">
      <c r="A116" s="179">
        <v>109</v>
      </c>
      <c r="B116" s="458" t="s">
        <v>187</v>
      </c>
      <c r="C116" s="459" t="s">
        <v>188</v>
      </c>
      <c r="D116" s="460">
        <v>61</v>
      </c>
      <c r="E116" s="460"/>
      <c r="F116" s="459" t="s">
        <v>189</v>
      </c>
      <c r="G116" s="460" t="s">
        <v>182</v>
      </c>
      <c r="H116" s="407" t="s">
        <v>190</v>
      </c>
      <c r="I116" s="180">
        <f t="shared" si="4"/>
        <v>97500</v>
      </c>
      <c r="J116" s="408" t="s">
        <v>428</v>
      </c>
      <c r="K116" s="183">
        <f t="shared" si="5"/>
        <v>75000</v>
      </c>
      <c r="L116" s="408" t="s">
        <v>56</v>
      </c>
      <c r="M116" s="181">
        <f t="shared" si="6"/>
        <v>0</v>
      </c>
      <c r="N116" s="181">
        <f t="shared" si="7"/>
        <v>172500</v>
      </c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  <c r="AU116" s="175"/>
      <c r="AV116" s="175"/>
      <c r="AW116" s="175"/>
      <c r="AX116" s="175"/>
      <c r="AY116" s="175"/>
      <c r="AZ116" s="175"/>
      <c r="BA116" s="175"/>
      <c r="BB116" s="175"/>
      <c r="BC116" s="175"/>
      <c r="BD116" s="175"/>
      <c r="BE116" s="175"/>
      <c r="BF116" s="175"/>
      <c r="BG116" s="175"/>
      <c r="BH116" s="175"/>
      <c r="BI116" s="175"/>
      <c r="BJ116" s="175"/>
      <c r="BK116" s="175"/>
      <c r="BL116" s="175"/>
      <c r="BM116" s="175"/>
      <c r="BN116" s="175"/>
      <c r="BO116" s="175"/>
      <c r="BP116" s="175"/>
      <c r="BQ116" s="175"/>
      <c r="BR116" s="175"/>
      <c r="BS116" s="175"/>
      <c r="BT116" s="175"/>
      <c r="BU116" s="175"/>
      <c r="BV116" s="175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175"/>
      <c r="DE116" s="175"/>
      <c r="DF116" s="175"/>
      <c r="DG116" s="175"/>
      <c r="DH116" s="175"/>
      <c r="DI116" s="175"/>
      <c r="DJ116" s="175"/>
      <c r="DK116" s="175"/>
      <c r="DL116" s="175"/>
      <c r="DM116" s="175"/>
      <c r="DN116" s="175"/>
      <c r="DO116" s="175"/>
      <c r="DP116" s="175"/>
      <c r="DQ116" s="175"/>
      <c r="DR116" s="175"/>
      <c r="DS116" s="175"/>
      <c r="DT116" s="175"/>
      <c r="DU116" s="175"/>
      <c r="DV116" s="175"/>
      <c r="DW116" s="175"/>
      <c r="DX116" s="175"/>
      <c r="DY116" s="175"/>
      <c r="DZ116" s="175"/>
      <c r="EA116" s="175"/>
      <c r="EB116" s="175"/>
      <c r="EC116" s="175"/>
      <c r="ED116" s="175"/>
      <c r="EE116" s="175"/>
      <c r="EF116" s="175"/>
      <c r="EG116" s="175"/>
      <c r="EH116" s="175"/>
      <c r="EI116" s="175"/>
      <c r="EJ116" s="175"/>
      <c r="EK116" s="175"/>
      <c r="EL116" s="175"/>
      <c r="EM116" s="175"/>
      <c r="EN116" s="175"/>
      <c r="EO116" s="175"/>
      <c r="EP116" s="175"/>
      <c r="EQ116" s="175"/>
      <c r="ER116" s="175"/>
      <c r="ES116" s="175"/>
      <c r="ET116" s="175"/>
      <c r="EU116" s="175"/>
      <c r="EV116" s="175"/>
      <c r="EW116" s="175"/>
      <c r="EX116" s="175"/>
      <c r="EY116" s="175"/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175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  <c r="HN116" s="175"/>
      <c r="HO116" s="175"/>
      <c r="HP116" s="175"/>
      <c r="HQ116" s="175"/>
      <c r="HR116" s="175"/>
      <c r="HS116" s="175"/>
      <c r="HT116" s="175"/>
      <c r="HU116" s="175"/>
      <c r="HV116" s="175"/>
      <c r="HW116" s="175"/>
      <c r="HX116" s="175"/>
      <c r="HY116" s="175"/>
      <c r="HZ116" s="175"/>
      <c r="IA116" s="175"/>
      <c r="IB116" s="175"/>
      <c r="IC116" s="175"/>
      <c r="ID116" s="175"/>
      <c r="IE116" s="175"/>
      <c r="IF116" s="175"/>
      <c r="IG116" s="175"/>
      <c r="IH116" s="175"/>
      <c r="II116" s="175"/>
      <c r="IJ116" s="175"/>
      <c r="IK116" s="175"/>
      <c r="IL116" s="175"/>
      <c r="IM116" s="175"/>
      <c r="IN116" s="175"/>
      <c r="IO116" s="175"/>
      <c r="IP116" s="175"/>
      <c r="IQ116" s="175"/>
    </row>
    <row r="117" spans="1:251" s="146" customFormat="1" ht="21.75" customHeight="1">
      <c r="A117" s="179">
        <v>110</v>
      </c>
      <c r="B117" s="458" t="s">
        <v>187</v>
      </c>
      <c r="C117" s="459" t="s">
        <v>191</v>
      </c>
      <c r="D117" s="460">
        <v>55</v>
      </c>
      <c r="E117" s="460"/>
      <c r="F117" s="459" t="s">
        <v>192</v>
      </c>
      <c r="G117" s="460" t="s">
        <v>182</v>
      </c>
      <c r="H117" s="407" t="s">
        <v>190</v>
      </c>
      <c r="I117" s="180">
        <f t="shared" si="4"/>
        <v>97500</v>
      </c>
      <c r="J117" s="408" t="s">
        <v>134</v>
      </c>
      <c r="K117" s="183">
        <f t="shared" si="5"/>
        <v>75000</v>
      </c>
      <c r="L117" s="408" t="s">
        <v>56</v>
      </c>
      <c r="M117" s="181">
        <f t="shared" si="6"/>
        <v>0</v>
      </c>
      <c r="N117" s="181">
        <f t="shared" si="7"/>
        <v>172500</v>
      </c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  <c r="AT117" s="175"/>
      <c r="AU117" s="175"/>
      <c r="AV117" s="175"/>
      <c r="AW117" s="175"/>
      <c r="AX117" s="175"/>
      <c r="AY117" s="175"/>
      <c r="AZ117" s="175"/>
      <c r="BA117" s="175"/>
      <c r="BB117" s="175"/>
      <c r="BC117" s="175"/>
      <c r="BD117" s="175"/>
      <c r="BE117" s="175"/>
      <c r="BF117" s="175"/>
      <c r="BG117" s="175"/>
      <c r="BH117" s="175"/>
      <c r="BI117" s="175"/>
      <c r="BJ117" s="175"/>
      <c r="BK117" s="175"/>
      <c r="BL117" s="175"/>
      <c r="BM117" s="175"/>
      <c r="BN117" s="175"/>
      <c r="BO117" s="175"/>
      <c r="BP117" s="175"/>
      <c r="BQ117" s="175"/>
      <c r="BR117" s="175"/>
      <c r="BS117" s="175"/>
      <c r="BT117" s="175"/>
      <c r="BU117" s="175"/>
      <c r="BV117" s="175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175"/>
      <c r="DE117" s="175"/>
      <c r="DF117" s="175"/>
      <c r="DG117" s="175"/>
      <c r="DH117" s="175"/>
      <c r="DI117" s="175"/>
      <c r="DJ117" s="175"/>
      <c r="DK117" s="175"/>
      <c r="DL117" s="175"/>
      <c r="DM117" s="175"/>
      <c r="DN117" s="175"/>
      <c r="DO117" s="175"/>
      <c r="DP117" s="175"/>
      <c r="DQ117" s="175"/>
      <c r="DR117" s="175"/>
      <c r="DS117" s="175"/>
      <c r="DT117" s="175"/>
      <c r="DU117" s="175"/>
      <c r="DV117" s="175"/>
      <c r="DW117" s="175"/>
      <c r="DX117" s="175"/>
      <c r="DY117" s="175"/>
      <c r="DZ117" s="175"/>
      <c r="EA117" s="175"/>
      <c r="EB117" s="175"/>
      <c r="EC117" s="175"/>
      <c r="ED117" s="175"/>
      <c r="EE117" s="175"/>
      <c r="EF117" s="175"/>
      <c r="EG117" s="175"/>
      <c r="EH117" s="175"/>
      <c r="EI117" s="175"/>
      <c r="EJ117" s="175"/>
      <c r="EK117" s="175"/>
      <c r="EL117" s="175"/>
      <c r="EM117" s="175"/>
      <c r="EN117" s="175"/>
      <c r="EO117" s="175"/>
      <c r="EP117" s="175"/>
      <c r="EQ117" s="175"/>
      <c r="ER117" s="175"/>
      <c r="ES117" s="175"/>
      <c r="ET117" s="175"/>
      <c r="EU117" s="175"/>
      <c r="EV117" s="175"/>
      <c r="EW117" s="175"/>
      <c r="EX117" s="175"/>
      <c r="EY117" s="175"/>
      <c r="EZ117" s="175"/>
      <c r="FA117" s="175"/>
      <c r="FB117" s="175"/>
      <c r="FC117" s="175"/>
      <c r="FD117" s="175"/>
      <c r="FE117" s="175"/>
      <c r="FF117" s="175"/>
      <c r="FG117" s="175"/>
      <c r="FH117" s="175"/>
      <c r="FI117" s="175"/>
      <c r="FJ117" s="175"/>
      <c r="FK117" s="175"/>
      <c r="FL117" s="175"/>
      <c r="FM117" s="175"/>
      <c r="FN117" s="175"/>
      <c r="FO117" s="175"/>
      <c r="FP117" s="175"/>
      <c r="FQ117" s="175"/>
      <c r="FR117" s="175"/>
      <c r="FS117" s="175"/>
      <c r="FT117" s="175"/>
      <c r="FU117" s="175"/>
      <c r="FV117" s="175"/>
      <c r="FW117" s="175"/>
      <c r="FX117" s="175"/>
      <c r="FY117" s="175"/>
      <c r="FZ117" s="175"/>
      <c r="GA117" s="175"/>
      <c r="GB117" s="175"/>
      <c r="GC117" s="175"/>
      <c r="GD117" s="175"/>
      <c r="GE117" s="175"/>
      <c r="GF117" s="175"/>
      <c r="GG117" s="175"/>
      <c r="GH117" s="175"/>
      <c r="GI117" s="175"/>
      <c r="GJ117" s="175"/>
      <c r="GK117" s="175"/>
      <c r="GL117" s="175"/>
      <c r="GM117" s="175"/>
      <c r="GN117" s="175"/>
      <c r="GO117" s="175"/>
      <c r="GP117" s="175"/>
      <c r="GQ117" s="175"/>
      <c r="GR117" s="175"/>
      <c r="GS117" s="175"/>
      <c r="GT117" s="175"/>
      <c r="GU117" s="175"/>
      <c r="GV117" s="175"/>
      <c r="GW117" s="175"/>
      <c r="GX117" s="175"/>
      <c r="GY117" s="175"/>
      <c r="GZ117" s="175"/>
      <c r="HA117" s="175"/>
      <c r="HB117" s="175"/>
      <c r="HC117" s="175"/>
      <c r="HD117" s="175"/>
      <c r="HE117" s="175"/>
      <c r="HF117" s="175"/>
      <c r="HG117" s="175"/>
      <c r="HH117" s="175"/>
      <c r="HI117" s="175"/>
      <c r="HJ117" s="175"/>
      <c r="HK117" s="175"/>
      <c r="HL117" s="175"/>
      <c r="HM117" s="175"/>
      <c r="HN117" s="175"/>
      <c r="HO117" s="175"/>
      <c r="HP117" s="175"/>
      <c r="HQ117" s="175"/>
      <c r="HR117" s="175"/>
      <c r="HS117" s="175"/>
      <c r="HT117" s="175"/>
      <c r="HU117" s="175"/>
      <c r="HV117" s="175"/>
      <c r="HW117" s="175"/>
      <c r="HX117" s="175"/>
      <c r="HY117" s="175"/>
      <c r="HZ117" s="175"/>
      <c r="IA117" s="175"/>
      <c r="IB117" s="175"/>
      <c r="IC117" s="175"/>
      <c r="ID117" s="175"/>
      <c r="IE117" s="175"/>
      <c r="IF117" s="175"/>
      <c r="IG117" s="175"/>
      <c r="IH117" s="175"/>
      <c r="II117" s="175"/>
      <c r="IJ117" s="175"/>
      <c r="IK117" s="175"/>
      <c r="IL117" s="175"/>
      <c r="IM117" s="175"/>
      <c r="IN117" s="175"/>
      <c r="IO117" s="175"/>
      <c r="IP117" s="175"/>
      <c r="IQ117" s="175"/>
    </row>
    <row r="118" spans="1:251" s="146" customFormat="1" ht="21.75" customHeight="1">
      <c r="A118" s="179">
        <v>111</v>
      </c>
      <c r="B118" s="458" t="s">
        <v>187</v>
      </c>
      <c r="C118" s="459" t="s">
        <v>247</v>
      </c>
      <c r="D118" s="460">
        <v>63</v>
      </c>
      <c r="E118" s="460"/>
      <c r="F118" s="459" t="s">
        <v>222</v>
      </c>
      <c r="G118" s="460" t="s">
        <v>461</v>
      </c>
      <c r="H118" s="407" t="s">
        <v>134</v>
      </c>
      <c r="I118" s="180">
        <f t="shared" si="4"/>
        <v>97500</v>
      </c>
      <c r="J118" s="408" t="s">
        <v>430</v>
      </c>
      <c r="K118" s="183">
        <f t="shared" si="5"/>
        <v>75000</v>
      </c>
      <c r="L118" s="408" t="s">
        <v>56</v>
      </c>
      <c r="M118" s="181">
        <f t="shared" si="6"/>
        <v>0</v>
      </c>
      <c r="N118" s="181">
        <f t="shared" si="7"/>
        <v>172500</v>
      </c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  <c r="EB118" s="175"/>
      <c r="EC118" s="175"/>
      <c r="ED118" s="175"/>
      <c r="EE118" s="175"/>
      <c r="EF118" s="175"/>
      <c r="EG118" s="175"/>
      <c r="EH118" s="175"/>
      <c r="EI118" s="175"/>
      <c r="EJ118" s="175"/>
      <c r="EK118" s="175"/>
      <c r="EL118" s="175"/>
      <c r="EM118" s="175"/>
      <c r="EN118" s="175"/>
      <c r="EO118" s="175"/>
      <c r="EP118" s="175"/>
      <c r="EQ118" s="175"/>
      <c r="ER118" s="175"/>
      <c r="ES118" s="175"/>
      <c r="ET118" s="175"/>
      <c r="EU118" s="175"/>
      <c r="EV118" s="175"/>
      <c r="EW118" s="175"/>
      <c r="EX118" s="175"/>
      <c r="EY118" s="175"/>
      <c r="EZ118" s="175"/>
      <c r="FA118" s="175"/>
      <c r="FB118" s="175"/>
      <c r="FC118" s="175"/>
      <c r="FD118" s="175"/>
      <c r="FE118" s="175"/>
      <c r="FF118" s="175"/>
      <c r="FG118" s="175"/>
      <c r="FH118" s="175"/>
      <c r="FI118" s="175"/>
      <c r="FJ118" s="175"/>
      <c r="FK118" s="175"/>
      <c r="FL118" s="175"/>
      <c r="FM118" s="175"/>
      <c r="FN118" s="175"/>
      <c r="FO118" s="175"/>
      <c r="FP118" s="175"/>
      <c r="FQ118" s="175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  <c r="HN118" s="175"/>
      <c r="HO118" s="175"/>
      <c r="HP118" s="175"/>
      <c r="HQ118" s="175"/>
      <c r="HR118" s="175"/>
      <c r="HS118" s="175"/>
      <c r="HT118" s="175"/>
      <c r="HU118" s="175"/>
      <c r="HV118" s="175"/>
      <c r="HW118" s="175"/>
      <c r="HX118" s="175"/>
      <c r="HY118" s="175"/>
      <c r="HZ118" s="175"/>
      <c r="IA118" s="175"/>
      <c r="IB118" s="175"/>
      <c r="IC118" s="175"/>
      <c r="ID118" s="175"/>
      <c r="IE118" s="175"/>
      <c r="IF118" s="175"/>
      <c r="IG118" s="175"/>
      <c r="IH118" s="175"/>
      <c r="II118" s="175"/>
      <c r="IJ118" s="175"/>
      <c r="IK118" s="175"/>
      <c r="IL118" s="175"/>
      <c r="IM118" s="175"/>
      <c r="IN118" s="175"/>
      <c r="IO118" s="175"/>
      <c r="IP118" s="175"/>
      <c r="IQ118" s="175"/>
    </row>
    <row r="119" spans="1:251" s="146" customFormat="1" ht="21.75" customHeight="1">
      <c r="A119" s="179">
        <v>112</v>
      </c>
      <c r="B119" s="458" t="s">
        <v>193</v>
      </c>
      <c r="C119" s="459" t="s">
        <v>194</v>
      </c>
      <c r="D119" s="460"/>
      <c r="E119" s="460">
        <v>76</v>
      </c>
      <c r="F119" s="459" t="s">
        <v>195</v>
      </c>
      <c r="G119" s="460" t="s">
        <v>182</v>
      </c>
      <c r="H119" s="407" t="s">
        <v>190</v>
      </c>
      <c r="I119" s="180">
        <f t="shared" si="4"/>
        <v>97500</v>
      </c>
      <c r="J119" s="408" t="s">
        <v>428</v>
      </c>
      <c r="K119" s="183">
        <f t="shared" si="5"/>
        <v>75000</v>
      </c>
      <c r="L119" s="408" t="s">
        <v>56</v>
      </c>
      <c r="M119" s="181">
        <f t="shared" si="6"/>
        <v>0</v>
      </c>
      <c r="N119" s="181">
        <f t="shared" si="7"/>
        <v>172500</v>
      </c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5"/>
      <c r="BR119" s="175"/>
      <c r="BS119" s="175"/>
      <c r="BT119" s="175"/>
      <c r="BU119" s="175"/>
      <c r="BV119" s="175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175"/>
      <c r="DE119" s="175"/>
      <c r="DF119" s="175"/>
      <c r="DG119" s="175"/>
      <c r="DH119" s="175"/>
      <c r="DI119" s="175"/>
      <c r="DJ119" s="175"/>
      <c r="DK119" s="175"/>
      <c r="DL119" s="175"/>
      <c r="DM119" s="175"/>
      <c r="DN119" s="175"/>
      <c r="DO119" s="175"/>
      <c r="DP119" s="175"/>
      <c r="DQ119" s="175"/>
      <c r="DR119" s="175"/>
      <c r="DS119" s="175"/>
      <c r="DT119" s="175"/>
      <c r="DU119" s="175"/>
      <c r="DV119" s="175"/>
      <c r="DW119" s="175"/>
      <c r="DX119" s="175"/>
      <c r="DY119" s="175"/>
      <c r="DZ119" s="175"/>
      <c r="EA119" s="175"/>
      <c r="EB119" s="175"/>
      <c r="EC119" s="175"/>
      <c r="ED119" s="175"/>
      <c r="EE119" s="175"/>
      <c r="EF119" s="175"/>
      <c r="EG119" s="175"/>
      <c r="EH119" s="175"/>
      <c r="EI119" s="175"/>
      <c r="EJ119" s="175"/>
      <c r="EK119" s="175"/>
      <c r="EL119" s="175"/>
      <c r="EM119" s="175"/>
      <c r="EN119" s="175"/>
      <c r="EO119" s="175"/>
      <c r="EP119" s="175"/>
      <c r="EQ119" s="175"/>
      <c r="ER119" s="175"/>
      <c r="ES119" s="175"/>
      <c r="ET119" s="175"/>
      <c r="EU119" s="175"/>
      <c r="EV119" s="175"/>
      <c r="EW119" s="175"/>
      <c r="EX119" s="175"/>
      <c r="EY119" s="175"/>
      <c r="EZ119" s="175"/>
      <c r="FA119" s="175"/>
      <c r="FB119" s="175"/>
      <c r="FC119" s="175"/>
      <c r="FD119" s="175"/>
      <c r="FE119" s="175"/>
      <c r="FF119" s="175"/>
      <c r="FG119" s="175"/>
      <c r="FH119" s="175"/>
      <c r="FI119" s="175"/>
      <c r="FJ119" s="175"/>
      <c r="FK119" s="175"/>
      <c r="FL119" s="175"/>
      <c r="FM119" s="175"/>
      <c r="FN119" s="175"/>
      <c r="FO119" s="175"/>
      <c r="FP119" s="175"/>
      <c r="FQ119" s="175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  <c r="HN119" s="175"/>
      <c r="HO119" s="175"/>
      <c r="HP119" s="175"/>
      <c r="HQ119" s="175"/>
      <c r="HR119" s="175"/>
      <c r="HS119" s="175"/>
      <c r="HT119" s="175"/>
      <c r="HU119" s="175"/>
      <c r="HV119" s="175"/>
      <c r="HW119" s="175"/>
      <c r="HX119" s="175"/>
      <c r="HY119" s="175"/>
      <c r="HZ119" s="175"/>
      <c r="IA119" s="175"/>
      <c r="IB119" s="175"/>
      <c r="IC119" s="175"/>
      <c r="ID119" s="175"/>
      <c r="IE119" s="175"/>
      <c r="IF119" s="175"/>
      <c r="IG119" s="175"/>
      <c r="IH119" s="175"/>
      <c r="II119" s="175"/>
      <c r="IJ119" s="175"/>
      <c r="IK119" s="175"/>
      <c r="IL119" s="175"/>
      <c r="IM119" s="175"/>
      <c r="IN119" s="175"/>
      <c r="IO119" s="175"/>
      <c r="IP119" s="175"/>
      <c r="IQ119" s="175"/>
    </row>
    <row r="120" spans="1:251" s="146" customFormat="1" ht="21.75" customHeight="1">
      <c r="A120" s="179">
        <v>113</v>
      </c>
      <c r="B120" s="458" t="s">
        <v>196</v>
      </c>
      <c r="C120" s="459" t="s">
        <v>184</v>
      </c>
      <c r="D120" s="460"/>
      <c r="E120" s="460">
        <v>62</v>
      </c>
      <c r="F120" s="459" t="s">
        <v>462</v>
      </c>
      <c r="G120" s="460" t="s">
        <v>461</v>
      </c>
      <c r="H120" s="407" t="s">
        <v>159</v>
      </c>
      <c r="I120" s="180">
        <f t="shared" si="4"/>
        <v>97500</v>
      </c>
      <c r="J120" s="408" t="s">
        <v>134</v>
      </c>
      <c r="K120" s="183">
        <f t="shared" si="5"/>
        <v>75000</v>
      </c>
      <c r="L120" s="408" t="s">
        <v>56</v>
      </c>
      <c r="M120" s="181">
        <f t="shared" si="6"/>
        <v>0</v>
      </c>
      <c r="N120" s="181">
        <f t="shared" si="7"/>
        <v>172500</v>
      </c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  <c r="BM120" s="175"/>
      <c r="BN120" s="175"/>
      <c r="BO120" s="175"/>
      <c r="BP120" s="175"/>
      <c r="BQ120" s="175"/>
      <c r="BR120" s="175"/>
      <c r="BS120" s="175"/>
      <c r="BT120" s="175"/>
      <c r="BU120" s="175"/>
      <c r="BV120" s="175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175"/>
      <c r="DE120" s="175"/>
      <c r="DF120" s="175"/>
      <c r="DG120" s="175"/>
      <c r="DH120" s="175"/>
      <c r="DI120" s="175"/>
      <c r="DJ120" s="175"/>
      <c r="DK120" s="175"/>
      <c r="DL120" s="175"/>
      <c r="DM120" s="175"/>
      <c r="DN120" s="175"/>
      <c r="DO120" s="175"/>
      <c r="DP120" s="175"/>
      <c r="DQ120" s="175"/>
      <c r="DR120" s="175"/>
      <c r="DS120" s="175"/>
      <c r="DT120" s="175"/>
      <c r="DU120" s="175"/>
      <c r="DV120" s="175"/>
      <c r="DW120" s="175"/>
      <c r="DX120" s="175"/>
      <c r="DY120" s="175"/>
      <c r="DZ120" s="175"/>
      <c r="EA120" s="175"/>
      <c r="EB120" s="175"/>
      <c r="EC120" s="175"/>
      <c r="ED120" s="175"/>
      <c r="EE120" s="175"/>
      <c r="EF120" s="175"/>
      <c r="EG120" s="175"/>
      <c r="EH120" s="175"/>
      <c r="EI120" s="175"/>
      <c r="EJ120" s="175"/>
      <c r="EK120" s="175"/>
      <c r="EL120" s="175"/>
      <c r="EM120" s="175"/>
      <c r="EN120" s="175"/>
      <c r="EO120" s="175"/>
      <c r="EP120" s="175"/>
      <c r="EQ120" s="175"/>
      <c r="ER120" s="175"/>
      <c r="ES120" s="175"/>
      <c r="ET120" s="175"/>
      <c r="EU120" s="175"/>
      <c r="EV120" s="175"/>
      <c r="EW120" s="175"/>
      <c r="EX120" s="175"/>
      <c r="EY120" s="175"/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175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  <c r="HN120" s="175"/>
      <c r="HO120" s="175"/>
      <c r="HP120" s="175"/>
      <c r="HQ120" s="175"/>
      <c r="HR120" s="175"/>
      <c r="HS120" s="175"/>
      <c r="HT120" s="175"/>
      <c r="HU120" s="175"/>
      <c r="HV120" s="175"/>
      <c r="HW120" s="175"/>
      <c r="HX120" s="175"/>
      <c r="HY120" s="175"/>
      <c r="HZ120" s="175"/>
      <c r="IA120" s="175"/>
      <c r="IB120" s="175"/>
      <c r="IC120" s="175"/>
      <c r="ID120" s="175"/>
      <c r="IE120" s="175"/>
      <c r="IF120" s="175"/>
      <c r="IG120" s="175"/>
      <c r="IH120" s="175"/>
      <c r="II120" s="175"/>
      <c r="IJ120" s="175"/>
      <c r="IK120" s="175"/>
      <c r="IL120" s="175"/>
      <c r="IM120" s="175"/>
      <c r="IN120" s="175"/>
      <c r="IO120" s="175"/>
      <c r="IP120" s="175"/>
      <c r="IQ120" s="175"/>
    </row>
    <row r="121" spans="1:251" s="146" customFormat="1" ht="21.75" customHeight="1">
      <c r="A121" s="179">
        <v>114</v>
      </c>
      <c r="B121" s="458" t="s">
        <v>220</v>
      </c>
      <c r="C121" s="459" t="s">
        <v>225</v>
      </c>
      <c r="D121" s="460">
        <v>72</v>
      </c>
      <c r="E121" s="460"/>
      <c r="F121" s="459" t="s">
        <v>226</v>
      </c>
      <c r="G121" s="460" t="s">
        <v>182</v>
      </c>
      <c r="H121" s="407" t="s">
        <v>159</v>
      </c>
      <c r="I121" s="180">
        <f t="shared" si="4"/>
        <v>97500</v>
      </c>
      <c r="J121" s="408" t="s">
        <v>212</v>
      </c>
      <c r="K121" s="183">
        <f t="shared" si="5"/>
        <v>75000</v>
      </c>
      <c r="L121" s="408" t="s">
        <v>56</v>
      </c>
      <c r="M121" s="181">
        <f t="shared" si="6"/>
        <v>0</v>
      </c>
      <c r="N121" s="181">
        <f t="shared" si="7"/>
        <v>172500</v>
      </c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5"/>
      <c r="BO121" s="175"/>
      <c r="BP121" s="175"/>
      <c r="BQ121" s="175"/>
      <c r="BR121" s="175"/>
      <c r="BS121" s="175"/>
      <c r="BT121" s="175"/>
      <c r="BU121" s="175"/>
      <c r="BV121" s="175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175"/>
      <c r="DE121" s="175"/>
      <c r="DF121" s="175"/>
      <c r="DG121" s="175"/>
      <c r="DH121" s="175"/>
      <c r="DI121" s="175"/>
      <c r="DJ121" s="175"/>
      <c r="DK121" s="175"/>
      <c r="DL121" s="175"/>
      <c r="DM121" s="175"/>
      <c r="DN121" s="175"/>
      <c r="DO121" s="175"/>
      <c r="DP121" s="175"/>
      <c r="DQ121" s="175"/>
      <c r="DR121" s="175"/>
      <c r="DS121" s="175"/>
      <c r="DT121" s="175"/>
      <c r="DU121" s="175"/>
      <c r="DV121" s="175"/>
      <c r="DW121" s="175"/>
      <c r="DX121" s="175"/>
      <c r="DY121" s="175"/>
      <c r="DZ121" s="175"/>
      <c r="EA121" s="175"/>
      <c r="EB121" s="175"/>
      <c r="EC121" s="175"/>
      <c r="ED121" s="175"/>
      <c r="EE121" s="175"/>
      <c r="EF121" s="175"/>
      <c r="EG121" s="175"/>
      <c r="EH121" s="175"/>
      <c r="EI121" s="175"/>
      <c r="EJ121" s="175"/>
      <c r="EK121" s="175"/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5"/>
      <c r="FE121" s="175"/>
      <c r="FF121" s="175"/>
      <c r="FG121" s="175"/>
      <c r="FH121" s="175"/>
      <c r="FI121" s="175"/>
      <c r="FJ121" s="175"/>
      <c r="FK121" s="175"/>
      <c r="FL121" s="175"/>
      <c r="FM121" s="175"/>
      <c r="FN121" s="175"/>
      <c r="FO121" s="175"/>
      <c r="FP121" s="175"/>
      <c r="FQ121" s="175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  <c r="HN121" s="175"/>
      <c r="HO121" s="175"/>
      <c r="HP121" s="175"/>
      <c r="HQ121" s="175"/>
      <c r="HR121" s="175"/>
      <c r="HS121" s="175"/>
      <c r="HT121" s="175"/>
      <c r="HU121" s="175"/>
      <c r="HV121" s="175"/>
      <c r="HW121" s="175"/>
      <c r="HX121" s="175"/>
      <c r="HY121" s="175"/>
      <c r="HZ121" s="175"/>
      <c r="IA121" s="175"/>
      <c r="IB121" s="175"/>
      <c r="IC121" s="175"/>
      <c r="ID121" s="175"/>
      <c r="IE121" s="175"/>
      <c r="IF121" s="175"/>
      <c r="IG121" s="175"/>
      <c r="IH121" s="175"/>
      <c r="II121" s="175"/>
      <c r="IJ121" s="175"/>
      <c r="IK121" s="175"/>
      <c r="IL121" s="175"/>
      <c r="IM121" s="175"/>
      <c r="IN121" s="175"/>
      <c r="IO121" s="175"/>
      <c r="IP121" s="175"/>
      <c r="IQ121" s="175"/>
    </row>
    <row r="122" spans="1:251" s="146" customFormat="1" ht="21.75" customHeight="1">
      <c r="A122" s="179">
        <v>115</v>
      </c>
      <c r="B122" s="458" t="s">
        <v>220</v>
      </c>
      <c r="C122" s="459" t="s">
        <v>191</v>
      </c>
      <c r="D122" s="460">
        <v>55</v>
      </c>
      <c r="E122" s="460"/>
      <c r="F122" s="459" t="s">
        <v>226</v>
      </c>
      <c r="G122" s="460" t="s">
        <v>461</v>
      </c>
      <c r="H122" s="407" t="s">
        <v>190</v>
      </c>
      <c r="I122" s="180">
        <f t="shared" si="4"/>
        <v>97500</v>
      </c>
      <c r="J122" s="408" t="s">
        <v>430</v>
      </c>
      <c r="K122" s="183">
        <f t="shared" si="5"/>
        <v>75000</v>
      </c>
      <c r="L122" s="408" t="s">
        <v>56</v>
      </c>
      <c r="M122" s="181">
        <f t="shared" si="6"/>
        <v>0</v>
      </c>
      <c r="N122" s="181">
        <f t="shared" si="7"/>
        <v>172500</v>
      </c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175"/>
      <c r="DE122" s="175"/>
      <c r="DF122" s="175"/>
      <c r="DG122" s="175"/>
      <c r="DH122" s="175"/>
      <c r="DI122" s="175"/>
      <c r="DJ122" s="175"/>
      <c r="DK122" s="175"/>
      <c r="DL122" s="175"/>
      <c r="DM122" s="175"/>
      <c r="DN122" s="175"/>
      <c r="DO122" s="175"/>
      <c r="DP122" s="175"/>
      <c r="DQ122" s="175"/>
      <c r="DR122" s="175"/>
      <c r="DS122" s="175"/>
      <c r="DT122" s="175"/>
      <c r="DU122" s="175"/>
      <c r="DV122" s="175"/>
      <c r="DW122" s="175"/>
      <c r="DX122" s="175"/>
      <c r="DY122" s="175"/>
      <c r="DZ122" s="175"/>
      <c r="EA122" s="175"/>
      <c r="EB122" s="175"/>
      <c r="EC122" s="175"/>
      <c r="ED122" s="175"/>
      <c r="EE122" s="175"/>
      <c r="EF122" s="175"/>
      <c r="EG122" s="175"/>
      <c r="EH122" s="175"/>
      <c r="EI122" s="175"/>
      <c r="EJ122" s="175"/>
      <c r="EK122" s="175"/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175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  <c r="HN122" s="175"/>
      <c r="HO122" s="175"/>
      <c r="HP122" s="175"/>
      <c r="HQ122" s="175"/>
      <c r="HR122" s="175"/>
      <c r="HS122" s="175"/>
      <c r="HT122" s="175"/>
      <c r="HU122" s="175"/>
      <c r="HV122" s="175"/>
      <c r="HW122" s="175"/>
      <c r="HX122" s="175"/>
      <c r="HY122" s="175"/>
      <c r="HZ122" s="175"/>
      <c r="IA122" s="175"/>
      <c r="IB122" s="175"/>
      <c r="IC122" s="175"/>
      <c r="ID122" s="175"/>
      <c r="IE122" s="175"/>
      <c r="IF122" s="175"/>
      <c r="IG122" s="175"/>
      <c r="IH122" s="175"/>
      <c r="II122" s="175"/>
      <c r="IJ122" s="175"/>
      <c r="IK122" s="175"/>
      <c r="IL122" s="175"/>
      <c r="IM122" s="175"/>
      <c r="IN122" s="175"/>
      <c r="IO122" s="175"/>
      <c r="IP122" s="175"/>
      <c r="IQ122" s="175"/>
    </row>
    <row r="123" spans="1:251" s="146" customFormat="1" ht="21.75" customHeight="1">
      <c r="A123" s="179">
        <v>116</v>
      </c>
      <c r="B123" s="458" t="s">
        <v>227</v>
      </c>
      <c r="C123" s="459" t="s">
        <v>463</v>
      </c>
      <c r="D123" s="460">
        <v>16</v>
      </c>
      <c r="E123" s="460"/>
      <c r="F123" s="459" t="s">
        <v>231</v>
      </c>
      <c r="G123" s="460" t="s">
        <v>461</v>
      </c>
      <c r="H123" s="407" t="s">
        <v>190</v>
      </c>
      <c r="I123" s="180">
        <f t="shared" si="4"/>
        <v>97500</v>
      </c>
      <c r="J123" s="408" t="s">
        <v>434</v>
      </c>
      <c r="K123" s="183">
        <f t="shared" si="5"/>
        <v>75000</v>
      </c>
      <c r="L123" s="408" t="s">
        <v>56</v>
      </c>
      <c r="M123" s="181">
        <f t="shared" si="6"/>
        <v>0</v>
      </c>
      <c r="N123" s="181">
        <f t="shared" si="7"/>
        <v>172500</v>
      </c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5"/>
      <c r="BI123" s="175"/>
      <c r="BJ123" s="175"/>
      <c r="BK123" s="175"/>
      <c r="BL123" s="175"/>
      <c r="BM123" s="175"/>
      <c r="BN123" s="175"/>
      <c r="BO123" s="175"/>
      <c r="BP123" s="175"/>
      <c r="BQ123" s="175"/>
      <c r="BR123" s="175"/>
      <c r="BS123" s="175"/>
      <c r="BT123" s="175"/>
      <c r="BU123" s="175"/>
      <c r="BV123" s="175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175"/>
      <c r="DE123" s="175"/>
      <c r="DF123" s="175"/>
      <c r="DG123" s="175"/>
      <c r="DH123" s="175"/>
      <c r="DI123" s="175"/>
      <c r="DJ123" s="175"/>
      <c r="DK123" s="175"/>
      <c r="DL123" s="175"/>
      <c r="DM123" s="175"/>
      <c r="DN123" s="175"/>
      <c r="DO123" s="175"/>
      <c r="DP123" s="175"/>
      <c r="DQ123" s="175"/>
      <c r="DR123" s="175"/>
      <c r="DS123" s="175"/>
      <c r="DT123" s="175"/>
      <c r="DU123" s="175"/>
      <c r="DV123" s="175"/>
      <c r="DW123" s="175"/>
      <c r="DX123" s="175"/>
      <c r="DY123" s="175"/>
      <c r="DZ123" s="175"/>
      <c r="EA123" s="175"/>
      <c r="EB123" s="175"/>
      <c r="EC123" s="175"/>
      <c r="ED123" s="175"/>
      <c r="EE123" s="175"/>
      <c r="EF123" s="175"/>
      <c r="EG123" s="175"/>
      <c r="EH123" s="175"/>
      <c r="EI123" s="175"/>
      <c r="EJ123" s="175"/>
      <c r="EK123" s="175"/>
      <c r="EL123" s="175"/>
      <c r="EM123" s="175"/>
      <c r="EN123" s="175"/>
      <c r="EO123" s="175"/>
      <c r="EP123" s="175"/>
      <c r="EQ123" s="175"/>
      <c r="ER123" s="175"/>
      <c r="ES123" s="175"/>
      <c r="ET123" s="175"/>
      <c r="EU123" s="175"/>
      <c r="EV123" s="175"/>
      <c r="EW123" s="175"/>
      <c r="EX123" s="175"/>
      <c r="EY123" s="175"/>
      <c r="EZ123" s="175"/>
      <c r="FA123" s="175"/>
      <c r="FB123" s="175"/>
      <c r="FC123" s="175"/>
      <c r="FD123" s="175"/>
      <c r="FE123" s="175"/>
      <c r="FF123" s="175"/>
      <c r="FG123" s="175"/>
      <c r="FH123" s="175"/>
      <c r="FI123" s="175"/>
      <c r="FJ123" s="175"/>
      <c r="FK123" s="175"/>
      <c r="FL123" s="175"/>
      <c r="FM123" s="175"/>
      <c r="FN123" s="175"/>
      <c r="FO123" s="175"/>
      <c r="FP123" s="175"/>
      <c r="FQ123" s="175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  <c r="HN123" s="175"/>
      <c r="HO123" s="175"/>
      <c r="HP123" s="175"/>
      <c r="HQ123" s="175"/>
      <c r="HR123" s="175"/>
      <c r="HS123" s="175"/>
      <c r="HT123" s="175"/>
      <c r="HU123" s="175"/>
      <c r="HV123" s="175"/>
      <c r="HW123" s="175"/>
      <c r="HX123" s="175"/>
      <c r="HY123" s="175"/>
      <c r="HZ123" s="175"/>
      <c r="IA123" s="175"/>
      <c r="IB123" s="175"/>
      <c r="IC123" s="175"/>
      <c r="ID123" s="175"/>
      <c r="IE123" s="175"/>
      <c r="IF123" s="175"/>
      <c r="IG123" s="175"/>
      <c r="IH123" s="175"/>
      <c r="II123" s="175"/>
      <c r="IJ123" s="175"/>
      <c r="IK123" s="175"/>
      <c r="IL123" s="175"/>
      <c r="IM123" s="175"/>
      <c r="IN123" s="175"/>
      <c r="IO123" s="175"/>
      <c r="IP123" s="175"/>
      <c r="IQ123" s="175"/>
    </row>
    <row r="124" spans="1:251" s="146" customFormat="1" ht="21.75" customHeight="1">
      <c r="A124" s="179">
        <v>117</v>
      </c>
      <c r="B124" s="458" t="s">
        <v>227</v>
      </c>
      <c r="C124" s="459" t="s">
        <v>202</v>
      </c>
      <c r="D124" s="460">
        <v>23</v>
      </c>
      <c r="E124" s="460"/>
      <c r="F124" s="459" t="s">
        <v>231</v>
      </c>
      <c r="G124" s="460" t="s">
        <v>182</v>
      </c>
      <c r="H124" s="407" t="s">
        <v>183</v>
      </c>
      <c r="I124" s="180">
        <f t="shared" si="4"/>
        <v>97500</v>
      </c>
      <c r="J124" s="408" t="s">
        <v>436</v>
      </c>
      <c r="K124" s="183">
        <f t="shared" si="5"/>
        <v>75000</v>
      </c>
      <c r="L124" s="408" t="s">
        <v>56</v>
      </c>
      <c r="M124" s="181">
        <f t="shared" si="6"/>
        <v>0</v>
      </c>
      <c r="N124" s="181">
        <f t="shared" si="7"/>
        <v>172500</v>
      </c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  <c r="BT124" s="175"/>
      <c r="BU124" s="175"/>
      <c r="BV124" s="175"/>
      <c r="BW124" s="175"/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5"/>
      <c r="CU124" s="175"/>
      <c r="CV124" s="175"/>
      <c r="CW124" s="175"/>
      <c r="CX124" s="175"/>
      <c r="CY124" s="175"/>
      <c r="CZ124" s="175"/>
      <c r="DA124" s="175"/>
      <c r="DB124" s="175"/>
      <c r="DC124" s="175"/>
      <c r="DD124" s="175"/>
      <c r="DE124" s="175"/>
      <c r="DF124" s="175"/>
      <c r="DG124" s="175"/>
      <c r="DH124" s="175"/>
      <c r="DI124" s="175"/>
      <c r="DJ124" s="175"/>
      <c r="DK124" s="175"/>
      <c r="DL124" s="175"/>
      <c r="DM124" s="175"/>
      <c r="DN124" s="175"/>
      <c r="DO124" s="175"/>
      <c r="DP124" s="175"/>
      <c r="DQ124" s="175"/>
      <c r="DR124" s="175"/>
      <c r="DS124" s="175"/>
      <c r="DT124" s="175"/>
      <c r="DU124" s="175"/>
      <c r="DV124" s="175"/>
      <c r="DW124" s="175"/>
      <c r="DX124" s="175"/>
      <c r="DY124" s="175"/>
      <c r="DZ124" s="175"/>
      <c r="EA124" s="175"/>
      <c r="EB124" s="175"/>
      <c r="EC124" s="175"/>
      <c r="ED124" s="175"/>
      <c r="EE124" s="175"/>
      <c r="EF124" s="175"/>
      <c r="EG124" s="175"/>
      <c r="EH124" s="175"/>
      <c r="EI124" s="175"/>
      <c r="EJ124" s="175"/>
      <c r="EK124" s="175"/>
      <c r="EL124" s="175"/>
      <c r="EM124" s="175"/>
      <c r="EN124" s="175"/>
      <c r="EO124" s="175"/>
      <c r="EP124" s="175"/>
      <c r="EQ124" s="175"/>
      <c r="ER124" s="175"/>
      <c r="ES124" s="175"/>
      <c r="ET124" s="175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5"/>
      <c r="FF124" s="175"/>
      <c r="FG124" s="175"/>
      <c r="FH124" s="175"/>
      <c r="FI124" s="175"/>
      <c r="FJ124" s="175"/>
      <c r="FK124" s="175"/>
      <c r="FL124" s="175"/>
      <c r="FM124" s="175"/>
      <c r="FN124" s="175"/>
      <c r="FO124" s="175"/>
      <c r="FP124" s="175"/>
      <c r="FQ124" s="175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  <c r="HN124" s="175"/>
      <c r="HO124" s="175"/>
      <c r="HP124" s="175"/>
      <c r="HQ124" s="175"/>
      <c r="HR124" s="175"/>
      <c r="HS124" s="175"/>
      <c r="HT124" s="175"/>
      <c r="HU124" s="175"/>
      <c r="HV124" s="175"/>
      <c r="HW124" s="175"/>
      <c r="HX124" s="175"/>
      <c r="HY124" s="175"/>
      <c r="HZ124" s="175"/>
      <c r="IA124" s="175"/>
      <c r="IB124" s="175"/>
      <c r="IC124" s="175"/>
      <c r="ID124" s="175"/>
      <c r="IE124" s="175"/>
      <c r="IF124" s="175"/>
      <c r="IG124" s="175"/>
      <c r="IH124" s="175"/>
      <c r="II124" s="175"/>
      <c r="IJ124" s="175"/>
      <c r="IK124" s="175"/>
      <c r="IL124" s="175"/>
      <c r="IM124" s="175"/>
      <c r="IN124" s="175"/>
      <c r="IO124" s="175"/>
      <c r="IP124" s="175"/>
      <c r="IQ124" s="175"/>
    </row>
    <row r="125" spans="1:251" s="146" customFormat="1" ht="21.75" customHeight="1">
      <c r="A125" s="179">
        <v>118</v>
      </c>
      <c r="B125" s="458" t="s">
        <v>227</v>
      </c>
      <c r="C125" s="459" t="s">
        <v>373</v>
      </c>
      <c r="D125" s="460">
        <v>58</v>
      </c>
      <c r="E125" s="460"/>
      <c r="F125" s="459" t="s">
        <v>248</v>
      </c>
      <c r="G125" s="460" t="s">
        <v>461</v>
      </c>
      <c r="H125" s="407" t="s">
        <v>134</v>
      </c>
      <c r="I125" s="180">
        <f t="shared" si="4"/>
        <v>97500</v>
      </c>
      <c r="J125" s="408" t="s">
        <v>435</v>
      </c>
      <c r="K125" s="183">
        <f t="shared" si="5"/>
        <v>75000</v>
      </c>
      <c r="L125" s="408" t="s">
        <v>56</v>
      </c>
      <c r="M125" s="181">
        <f t="shared" si="6"/>
        <v>0</v>
      </c>
      <c r="N125" s="181">
        <f t="shared" si="7"/>
        <v>172500</v>
      </c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  <c r="BT125" s="175"/>
      <c r="BU125" s="175"/>
      <c r="BV125" s="175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175"/>
      <c r="DC125" s="175"/>
      <c r="DD125" s="175"/>
      <c r="DE125" s="175"/>
      <c r="DF125" s="175"/>
      <c r="DG125" s="175"/>
      <c r="DH125" s="175"/>
      <c r="DI125" s="175"/>
      <c r="DJ125" s="175"/>
      <c r="DK125" s="175"/>
      <c r="DL125" s="175"/>
      <c r="DM125" s="175"/>
      <c r="DN125" s="175"/>
      <c r="DO125" s="175"/>
      <c r="DP125" s="175"/>
      <c r="DQ125" s="175"/>
      <c r="DR125" s="175"/>
      <c r="DS125" s="175"/>
      <c r="DT125" s="175"/>
      <c r="DU125" s="175"/>
      <c r="DV125" s="175"/>
      <c r="DW125" s="175"/>
      <c r="DX125" s="175"/>
      <c r="DY125" s="175"/>
      <c r="DZ125" s="175"/>
      <c r="EA125" s="175"/>
      <c r="EB125" s="175"/>
      <c r="EC125" s="175"/>
      <c r="ED125" s="175"/>
      <c r="EE125" s="175"/>
      <c r="EF125" s="175"/>
      <c r="EG125" s="175"/>
      <c r="EH125" s="175"/>
      <c r="EI125" s="175"/>
      <c r="EJ125" s="175"/>
      <c r="EK125" s="175"/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5"/>
      <c r="FF125" s="175"/>
      <c r="FG125" s="175"/>
      <c r="FH125" s="175"/>
      <c r="FI125" s="175"/>
      <c r="FJ125" s="175"/>
      <c r="FK125" s="175"/>
      <c r="FL125" s="175"/>
      <c r="FM125" s="175"/>
      <c r="FN125" s="175"/>
      <c r="FO125" s="175"/>
      <c r="FP125" s="175"/>
      <c r="FQ125" s="175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  <c r="HN125" s="175"/>
      <c r="HO125" s="175"/>
      <c r="HP125" s="175"/>
      <c r="HQ125" s="175"/>
      <c r="HR125" s="175"/>
      <c r="HS125" s="175"/>
      <c r="HT125" s="175"/>
      <c r="HU125" s="175"/>
      <c r="HV125" s="175"/>
      <c r="HW125" s="175"/>
      <c r="HX125" s="175"/>
      <c r="HY125" s="175"/>
      <c r="HZ125" s="175"/>
      <c r="IA125" s="175"/>
      <c r="IB125" s="175"/>
      <c r="IC125" s="175"/>
      <c r="ID125" s="175"/>
      <c r="IE125" s="175"/>
      <c r="IF125" s="175"/>
      <c r="IG125" s="175"/>
      <c r="IH125" s="175"/>
      <c r="II125" s="175"/>
      <c r="IJ125" s="175"/>
      <c r="IK125" s="175"/>
      <c r="IL125" s="175"/>
      <c r="IM125" s="175"/>
      <c r="IN125" s="175"/>
      <c r="IO125" s="175"/>
      <c r="IP125" s="175"/>
      <c r="IQ125" s="175"/>
    </row>
    <row r="126" spans="1:251" s="146" customFormat="1" ht="21.75" customHeight="1">
      <c r="A126" s="179">
        <v>119</v>
      </c>
      <c r="B126" s="458" t="s">
        <v>238</v>
      </c>
      <c r="C126" s="459" t="s">
        <v>247</v>
      </c>
      <c r="D126" s="460"/>
      <c r="E126" s="460">
        <v>63</v>
      </c>
      <c r="F126" s="459" t="s">
        <v>248</v>
      </c>
      <c r="G126" s="460" t="s">
        <v>182</v>
      </c>
      <c r="H126" s="407" t="s">
        <v>134</v>
      </c>
      <c r="I126" s="180">
        <f t="shared" si="4"/>
        <v>97500</v>
      </c>
      <c r="J126" s="408" t="s">
        <v>436</v>
      </c>
      <c r="K126" s="183">
        <f t="shared" si="5"/>
        <v>75000</v>
      </c>
      <c r="L126" s="408" t="s">
        <v>56</v>
      </c>
      <c r="M126" s="181">
        <f t="shared" si="6"/>
        <v>0</v>
      </c>
      <c r="N126" s="181">
        <f t="shared" si="7"/>
        <v>172500</v>
      </c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  <c r="BT126" s="175"/>
      <c r="BU126" s="175"/>
      <c r="BV126" s="175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5"/>
      <c r="CU126" s="175"/>
      <c r="CV126" s="175"/>
      <c r="CW126" s="175"/>
      <c r="CX126" s="175"/>
      <c r="CY126" s="175"/>
      <c r="CZ126" s="175"/>
      <c r="DA126" s="175"/>
      <c r="DB126" s="175"/>
      <c r="DC126" s="175"/>
      <c r="DD126" s="175"/>
      <c r="DE126" s="175"/>
      <c r="DF126" s="175"/>
      <c r="DG126" s="175"/>
      <c r="DH126" s="175"/>
      <c r="DI126" s="175"/>
      <c r="DJ126" s="175"/>
      <c r="DK126" s="175"/>
      <c r="DL126" s="175"/>
      <c r="DM126" s="175"/>
      <c r="DN126" s="175"/>
      <c r="DO126" s="175"/>
      <c r="DP126" s="175"/>
      <c r="DQ126" s="175"/>
      <c r="DR126" s="175"/>
      <c r="DS126" s="175"/>
      <c r="DT126" s="175"/>
      <c r="DU126" s="175"/>
      <c r="DV126" s="175"/>
      <c r="DW126" s="175"/>
      <c r="DX126" s="175"/>
      <c r="DY126" s="175"/>
      <c r="DZ126" s="175"/>
      <c r="EA126" s="175"/>
      <c r="EB126" s="175"/>
      <c r="EC126" s="175"/>
      <c r="ED126" s="175"/>
      <c r="EE126" s="175"/>
      <c r="EF126" s="175"/>
      <c r="EG126" s="175"/>
      <c r="EH126" s="175"/>
      <c r="EI126" s="175"/>
      <c r="EJ126" s="175"/>
      <c r="EK126" s="175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175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  <c r="HN126" s="175"/>
      <c r="HO126" s="175"/>
      <c r="HP126" s="175"/>
      <c r="HQ126" s="175"/>
      <c r="HR126" s="175"/>
      <c r="HS126" s="175"/>
      <c r="HT126" s="175"/>
      <c r="HU126" s="175"/>
      <c r="HV126" s="175"/>
      <c r="HW126" s="175"/>
      <c r="HX126" s="175"/>
      <c r="HY126" s="175"/>
      <c r="HZ126" s="175"/>
      <c r="IA126" s="175"/>
      <c r="IB126" s="175"/>
      <c r="IC126" s="175"/>
      <c r="ID126" s="175"/>
      <c r="IE126" s="175"/>
      <c r="IF126" s="175"/>
      <c r="IG126" s="175"/>
      <c r="IH126" s="175"/>
      <c r="II126" s="175"/>
      <c r="IJ126" s="175"/>
      <c r="IK126" s="175"/>
      <c r="IL126" s="175"/>
      <c r="IM126" s="175"/>
      <c r="IN126" s="175"/>
      <c r="IO126" s="175"/>
      <c r="IP126" s="175"/>
      <c r="IQ126" s="175"/>
    </row>
    <row r="127" spans="1:251" s="146" customFormat="1" ht="21.75" customHeight="1">
      <c r="A127" s="179">
        <v>120</v>
      </c>
      <c r="B127" s="458" t="s">
        <v>238</v>
      </c>
      <c r="C127" s="459" t="s">
        <v>184</v>
      </c>
      <c r="D127" s="460"/>
      <c r="E127" s="460">
        <v>62</v>
      </c>
      <c r="F127" s="459" t="s">
        <v>249</v>
      </c>
      <c r="G127" s="460" t="s">
        <v>182</v>
      </c>
      <c r="H127" s="407" t="s">
        <v>159</v>
      </c>
      <c r="I127" s="180">
        <f t="shared" si="4"/>
        <v>97500</v>
      </c>
      <c r="J127" s="408" t="s">
        <v>134</v>
      </c>
      <c r="K127" s="183">
        <f t="shared" si="5"/>
        <v>75000</v>
      </c>
      <c r="L127" s="408" t="s">
        <v>56</v>
      </c>
      <c r="M127" s="181">
        <f t="shared" si="6"/>
        <v>0</v>
      </c>
      <c r="N127" s="181">
        <f t="shared" si="7"/>
        <v>172500</v>
      </c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5"/>
      <c r="CI127" s="175"/>
      <c r="CJ127" s="175"/>
      <c r="CK127" s="175"/>
      <c r="CL127" s="175"/>
      <c r="CM127" s="175"/>
      <c r="CN127" s="175"/>
      <c r="CO127" s="175"/>
      <c r="CP127" s="175"/>
      <c r="CQ127" s="175"/>
      <c r="CR127" s="175"/>
      <c r="CS127" s="175"/>
      <c r="CT127" s="175"/>
      <c r="CU127" s="175"/>
      <c r="CV127" s="175"/>
      <c r="CW127" s="175"/>
      <c r="CX127" s="175"/>
      <c r="CY127" s="175"/>
      <c r="CZ127" s="175"/>
      <c r="DA127" s="175"/>
      <c r="DB127" s="175"/>
      <c r="DC127" s="175"/>
      <c r="DD127" s="175"/>
      <c r="DE127" s="175"/>
      <c r="DF127" s="175"/>
      <c r="DG127" s="175"/>
      <c r="DH127" s="175"/>
      <c r="DI127" s="175"/>
      <c r="DJ127" s="175"/>
      <c r="DK127" s="175"/>
      <c r="DL127" s="175"/>
      <c r="DM127" s="175"/>
      <c r="DN127" s="175"/>
      <c r="DO127" s="175"/>
      <c r="DP127" s="175"/>
      <c r="DQ127" s="175"/>
      <c r="DR127" s="175"/>
      <c r="DS127" s="175"/>
      <c r="DT127" s="175"/>
      <c r="DU127" s="175"/>
      <c r="DV127" s="175"/>
      <c r="DW127" s="175"/>
      <c r="DX127" s="175"/>
      <c r="DY127" s="175"/>
      <c r="DZ127" s="175"/>
      <c r="EA127" s="175"/>
      <c r="EB127" s="175"/>
      <c r="EC127" s="175"/>
      <c r="ED127" s="175"/>
      <c r="EE127" s="175"/>
      <c r="EF127" s="175"/>
      <c r="EG127" s="175"/>
      <c r="EH127" s="175"/>
      <c r="EI127" s="175"/>
      <c r="EJ127" s="175"/>
      <c r="EK127" s="175"/>
      <c r="EL127" s="175"/>
      <c r="EM127" s="175"/>
      <c r="EN127" s="175"/>
      <c r="EO127" s="175"/>
      <c r="EP127" s="175"/>
      <c r="EQ127" s="175"/>
      <c r="ER127" s="175"/>
      <c r="ES127" s="175"/>
      <c r="ET127" s="175"/>
      <c r="EU127" s="175"/>
      <c r="EV127" s="175"/>
      <c r="EW127" s="175"/>
      <c r="EX127" s="175"/>
      <c r="EY127" s="175"/>
      <c r="EZ127" s="175"/>
      <c r="FA127" s="175"/>
      <c r="FB127" s="175"/>
      <c r="FC127" s="175"/>
      <c r="FD127" s="175"/>
      <c r="FE127" s="175"/>
      <c r="FF127" s="175"/>
      <c r="FG127" s="175"/>
      <c r="FH127" s="175"/>
      <c r="FI127" s="175"/>
      <c r="FJ127" s="175"/>
      <c r="FK127" s="175"/>
      <c r="FL127" s="175"/>
      <c r="FM127" s="175"/>
      <c r="FN127" s="175"/>
      <c r="FO127" s="175"/>
      <c r="FP127" s="175"/>
      <c r="FQ127" s="175"/>
      <c r="FR127" s="175"/>
      <c r="FS127" s="175"/>
      <c r="FT127" s="17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  <c r="HN127" s="175"/>
      <c r="HO127" s="175"/>
      <c r="HP127" s="175"/>
      <c r="HQ127" s="175"/>
      <c r="HR127" s="175"/>
      <c r="HS127" s="175"/>
      <c r="HT127" s="175"/>
      <c r="HU127" s="175"/>
      <c r="HV127" s="175"/>
      <c r="HW127" s="175"/>
      <c r="HX127" s="175"/>
      <c r="HY127" s="175"/>
      <c r="HZ127" s="175"/>
      <c r="IA127" s="175"/>
      <c r="IB127" s="175"/>
      <c r="IC127" s="175"/>
      <c r="ID127" s="175"/>
      <c r="IE127" s="175"/>
      <c r="IF127" s="175"/>
      <c r="IG127" s="175"/>
      <c r="IH127" s="175"/>
      <c r="II127" s="175"/>
      <c r="IJ127" s="175"/>
      <c r="IK127" s="175"/>
      <c r="IL127" s="175"/>
      <c r="IM127" s="175"/>
      <c r="IN127" s="175"/>
      <c r="IO127" s="175"/>
      <c r="IP127" s="175"/>
      <c r="IQ127" s="175"/>
    </row>
    <row r="128" spans="1:251" s="146" customFormat="1" ht="21.75" customHeight="1">
      <c r="A128" s="179">
        <v>121</v>
      </c>
      <c r="B128" s="458" t="s">
        <v>250</v>
      </c>
      <c r="C128" s="459" t="s">
        <v>253</v>
      </c>
      <c r="D128" s="460">
        <v>34</v>
      </c>
      <c r="E128" s="460"/>
      <c r="F128" s="459" t="s">
        <v>248</v>
      </c>
      <c r="G128" s="460" t="s">
        <v>182</v>
      </c>
      <c r="H128" s="407" t="s">
        <v>190</v>
      </c>
      <c r="I128" s="180">
        <f t="shared" ref="I128:I179" si="8">IF(G128="DTDB",420000,IF(G128="TTDB",420000,IF(G128="DT1",187500,IF(G128="TT1",187500,IF(G128="DT2",97500,IF(G128="TT2",97500,IF(G128="DT3",75000,75000)))))))</f>
        <v>97500</v>
      </c>
      <c r="J128" s="408" t="s">
        <v>183</v>
      </c>
      <c r="K128" s="183">
        <f t="shared" ref="K128:K179" si="9">IF(G128="DTDB",300000,IF(G128="TTDB",300000,IF(G128="DT1",135000,IF(G128="TT1",135000,IF(G128="DT2",75000,IF(G128="TT2",75000,IF(G128="DT3",45000,45000)))))))</f>
        <v>75000</v>
      </c>
      <c r="L128" s="408" t="s">
        <v>56</v>
      </c>
      <c r="M128" s="181">
        <f t="shared" ref="M128:M179" si="10">IF(L128="-",0,IF(G128="DTDB",300000,IF(G128="TTDB",300000,IF(G128="DT1",135000,IF(G128="TT1",135000,IF(G128="DT2",75000,IF(G128="TT2",75000,IF(G128="DT3",45000,45000))))))))</f>
        <v>0</v>
      </c>
      <c r="N128" s="181">
        <f t="shared" ref="N128:N179" si="11">I128+K128+M128</f>
        <v>172500</v>
      </c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  <c r="BB128" s="175"/>
      <c r="BC128" s="175"/>
      <c r="BD128" s="175"/>
      <c r="BE128" s="175"/>
      <c r="BF128" s="175"/>
      <c r="BG128" s="175"/>
      <c r="BH128" s="175"/>
      <c r="BI128" s="175"/>
      <c r="BJ128" s="175"/>
      <c r="BK128" s="175"/>
      <c r="BL128" s="175"/>
      <c r="BM128" s="175"/>
      <c r="BN128" s="175"/>
      <c r="BO128" s="175"/>
      <c r="BP128" s="17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175"/>
      <c r="CF128" s="175"/>
      <c r="CG128" s="175"/>
      <c r="CH128" s="175"/>
      <c r="CI128" s="175"/>
      <c r="CJ128" s="175"/>
      <c r="CK128" s="175"/>
      <c r="CL128" s="175"/>
      <c r="CM128" s="175"/>
      <c r="CN128" s="175"/>
      <c r="CO128" s="175"/>
      <c r="CP128" s="175"/>
      <c r="CQ128" s="175"/>
      <c r="CR128" s="175"/>
      <c r="CS128" s="175"/>
      <c r="CT128" s="175"/>
      <c r="CU128" s="175"/>
      <c r="CV128" s="175"/>
      <c r="CW128" s="175"/>
      <c r="CX128" s="175"/>
      <c r="CY128" s="175"/>
      <c r="CZ128" s="175"/>
      <c r="DA128" s="175"/>
      <c r="DB128" s="175"/>
      <c r="DC128" s="175"/>
      <c r="DD128" s="175"/>
      <c r="DE128" s="175"/>
      <c r="DF128" s="175"/>
      <c r="DG128" s="175"/>
      <c r="DH128" s="175"/>
      <c r="DI128" s="175"/>
      <c r="DJ128" s="175"/>
      <c r="DK128" s="175"/>
      <c r="DL128" s="175"/>
      <c r="DM128" s="175"/>
      <c r="DN128" s="175"/>
      <c r="DO128" s="175"/>
      <c r="DP128" s="175"/>
      <c r="DQ128" s="175"/>
      <c r="DR128" s="175"/>
      <c r="DS128" s="175"/>
      <c r="DT128" s="175"/>
      <c r="DU128" s="175"/>
      <c r="DV128" s="175"/>
      <c r="DW128" s="175"/>
      <c r="DX128" s="175"/>
      <c r="DY128" s="175"/>
      <c r="DZ128" s="175"/>
      <c r="EA128" s="175"/>
      <c r="EB128" s="175"/>
      <c r="EC128" s="175"/>
      <c r="ED128" s="175"/>
      <c r="EE128" s="175"/>
      <c r="EF128" s="175"/>
      <c r="EG128" s="175"/>
      <c r="EH128" s="175"/>
      <c r="EI128" s="175"/>
      <c r="EJ128" s="175"/>
      <c r="EK128" s="175"/>
      <c r="EL128" s="175"/>
      <c r="EM128" s="175"/>
      <c r="EN128" s="175"/>
      <c r="EO128" s="175"/>
      <c r="EP128" s="175"/>
      <c r="EQ128" s="175"/>
      <c r="ER128" s="175"/>
      <c r="ES128" s="175"/>
      <c r="ET128" s="175"/>
      <c r="EU128" s="175"/>
      <c r="EV128" s="175"/>
      <c r="EW128" s="175"/>
      <c r="EX128" s="175"/>
      <c r="EY128" s="175"/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175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  <c r="HN128" s="175"/>
      <c r="HO128" s="175"/>
      <c r="HP128" s="175"/>
      <c r="HQ128" s="175"/>
      <c r="HR128" s="175"/>
      <c r="HS128" s="175"/>
      <c r="HT128" s="175"/>
      <c r="HU128" s="175"/>
      <c r="HV128" s="175"/>
      <c r="HW128" s="175"/>
      <c r="HX128" s="175"/>
      <c r="HY128" s="175"/>
      <c r="HZ128" s="175"/>
      <c r="IA128" s="175"/>
      <c r="IB128" s="175"/>
      <c r="IC128" s="175"/>
      <c r="ID128" s="175"/>
      <c r="IE128" s="175"/>
      <c r="IF128" s="175"/>
      <c r="IG128" s="175"/>
      <c r="IH128" s="175"/>
      <c r="II128" s="175"/>
      <c r="IJ128" s="175"/>
      <c r="IK128" s="175"/>
      <c r="IL128" s="175"/>
      <c r="IM128" s="175"/>
      <c r="IN128" s="175"/>
      <c r="IO128" s="175"/>
      <c r="IP128" s="175"/>
      <c r="IQ128" s="175"/>
    </row>
    <row r="129" spans="1:251" s="146" customFormat="1" ht="21.75" customHeight="1">
      <c r="A129" s="179">
        <v>122</v>
      </c>
      <c r="B129" s="458" t="s">
        <v>250</v>
      </c>
      <c r="C129" s="459" t="s">
        <v>254</v>
      </c>
      <c r="D129" s="460"/>
      <c r="E129" s="460">
        <v>73</v>
      </c>
      <c r="F129" s="459" t="s">
        <v>181</v>
      </c>
      <c r="G129" s="460" t="s">
        <v>182</v>
      </c>
      <c r="H129" s="407" t="s">
        <v>190</v>
      </c>
      <c r="I129" s="180">
        <f t="shared" si="8"/>
        <v>97500</v>
      </c>
      <c r="J129" s="408" t="s">
        <v>430</v>
      </c>
      <c r="K129" s="183">
        <f t="shared" si="9"/>
        <v>75000</v>
      </c>
      <c r="L129" s="408" t="s">
        <v>56</v>
      </c>
      <c r="M129" s="181">
        <f t="shared" si="10"/>
        <v>0</v>
      </c>
      <c r="N129" s="181">
        <f t="shared" si="11"/>
        <v>172500</v>
      </c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5"/>
      <c r="BR129" s="175"/>
      <c r="BS129" s="175"/>
      <c r="BT129" s="175"/>
      <c r="BU129" s="175"/>
      <c r="BV129" s="175"/>
      <c r="BW129" s="175"/>
      <c r="BX129" s="175"/>
      <c r="BY129" s="175"/>
      <c r="BZ129" s="175"/>
      <c r="CA129" s="175"/>
      <c r="CB129" s="175"/>
      <c r="CC129" s="175"/>
      <c r="CD129" s="175"/>
      <c r="CE129" s="175"/>
      <c r="CF129" s="175"/>
      <c r="CG129" s="175"/>
      <c r="CH129" s="175"/>
      <c r="CI129" s="175"/>
      <c r="CJ129" s="175"/>
      <c r="CK129" s="175"/>
      <c r="CL129" s="175"/>
      <c r="CM129" s="175"/>
      <c r="CN129" s="175"/>
      <c r="CO129" s="175"/>
      <c r="CP129" s="175"/>
      <c r="CQ129" s="175"/>
      <c r="CR129" s="175"/>
      <c r="CS129" s="175"/>
      <c r="CT129" s="175"/>
      <c r="CU129" s="175"/>
      <c r="CV129" s="175"/>
      <c r="CW129" s="175"/>
      <c r="CX129" s="175"/>
      <c r="CY129" s="175"/>
      <c r="CZ129" s="175"/>
      <c r="DA129" s="175"/>
      <c r="DB129" s="175"/>
      <c r="DC129" s="175"/>
      <c r="DD129" s="175"/>
      <c r="DE129" s="175"/>
      <c r="DF129" s="175"/>
      <c r="DG129" s="175"/>
      <c r="DH129" s="175"/>
      <c r="DI129" s="175"/>
      <c r="DJ129" s="175"/>
      <c r="DK129" s="175"/>
      <c r="DL129" s="175"/>
      <c r="DM129" s="175"/>
      <c r="DN129" s="175"/>
      <c r="DO129" s="175"/>
      <c r="DP129" s="175"/>
      <c r="DQ129" s="175"/>
      <c r="DR129" s="175"/>
      <c r="DS129" s="175"/>
      <c r="DT129" s="175"/>
      <c r="DU129" s="175"/>
      <c r="DV129" s="175"/>
      <c r="DW129" s="175"/>
      <c r="DX129" s="175"/>
      <c r="DY129" s="175"/>
      <c r="DZ129" s="175"/>
      <c r="EA129" s="175"/>
      <c r="EB129" s="175"/>
      <c r="EC129" s="175"/>
      <c r="ED129" s="175"/>
      <c r="EE129" s="175"/>
      <c r="EF129" s="175"/>
      <c r="EG129" s="175"/>
      <c r="EH129" s="175"/>
      <c r="EI129" s="175"/>
      <c r="EJ129" s="175"/>
      <c r="EK129" s="175"/>
      <c r="EL129" s="175"/>
      <c r="EM129" s="175"/>
      <c r="EN129" s="175"/>
      <c r="EO129" s="175"/>
      <c r="EP129" s="175"/>
      <c r="EQ129" s="175"/>
      <c r="ER129" s="175"/>
      <c r="ES129" s="175"/>
      <c r="ET129" s="175"/>
      <c r="EU129" s="175"/>
      <c r="EV129" s="175"/>
      <c r="EW129" s="175"/>
      <c r="EX129" s="175"/>
      <c r="EY129" s="175"/>
      <c r="EZ129" s="175"/>
      <c r="FA129" s="175"/>
      <c r="FB129" s="175"/>
      <c r="FC129" s="175"/>
      <c r="FD129" s="175"/>
      <c r="FE129" s="175"/>
      <c r="FF129" s="175"/>
      <c r="FG129" s="175"/>
      <c r="FH129" s="175"/>
      <c r="FI129" s="175"/>
      <c r="FJ129" s="175"/>
      <c r="FK129" s="175"/>
      <c r="FL129" s="175"/>
      <c r="FM129" s="175"/>
      <c r="FN129" s="175"/>
      <c r="FO129" s="175"/>
      <c r="FP129" s="175"/>
      <c r="FQ129" s="175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  <c r="HN129" s="175"/>
      <c r="HO129" s="175"/>
      <c r="HP129" s="175"/>
      <c r="HQ129" s="175"/>
      <c r="HR129" s="175"/>
      <c r="HS129" s="175"/>
      <c r="HT129" s="175"/>
      <c r="HU129" s="175"/>
      <c r="HV129" s="175"/>
      <c r="HW129" s="175"/>
      <c r="HX129" s="175"/>
      <c r="HY129" s="175"/>
      <c r="HZ129" s="175"/>
      <c r="IA129" s="175"/>
      <c r="IB129" s="175"/>
      <c r="IC129" s="175"/>
      <c r="ID129" s="175"/>
      <c r="IE129" s="175"/>
      <c r="IF129" s="175"/>
      <c r="IG129" s="175"/>
      <c r="IH129" s="175"/>
      <c r="II129" s="175"/>
      <c r="IJ129" s="175"/>
      <c r="IK129" s="175"/>
      <c r="IL129" s="175"/>
      <c r="IM129" s="175"/>
      <c r="IN129" s="175"/>
      <c r="IO129" s="175"/>
      <c r="IP129" s="175"/>
      <c r="IQ129" s="175"/>
    </row>
    <row r="130" spans="1:251" s="146" customFormat="1" ht="21.75" customHeight="1">
      <c r="A130" s="179">
        <v>123</v>
      </c>
      <c r="B130" s="458" t="s">
        <v>250</v>
      </c>
      <c r="C130" s="459" t="s">
        <v>255</v>
      </c>
      <c r="D130" s="460">
        <v>34</v>
      </c>
      <c r="E130" s="460"/>
      <c r="F130" s="459" t="s">
        <v>256</v>
      </c>
      <c r="G130" s="460" t="s">
        <v>182</v>
      </c>
      <c r="H130" s="407" t="s">
        <v>183</v>
      </c>
      <c r="I130" s="180">
        <f t="shared" si="8"/>
        <v>97500</v>
      </c>
      <c r="J130" s="408" t="s">
        <v>432</v>
      </c>
      <c r="K130" s="183">
        <f t="shared" si="9"/>
        <v>75000</v>
      </c>
      <c r="L130" s="408" t="s">
        <v>56</v>
      </c>
      <c r="M130" s="181">
        <f t="shared" si="10"/>
        <v>0</v>
      </c>
      <c r="N130" s="181">
        <f t="shared" si="11"/>
        <v>172500</v>
      </c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75"/>
      <c r="BS130" s="175"/>
      <c r="BT130" s="175"/>
      <c r="BU130" s="175"/>
      <c r="BV130" s="175"/>
      <c r="BW130" s="175"/>
      <c r="BX130" s="175"/>
      <c r="BY130" s="175"/>
      <c r="BZ130" s="175"/>
      <c r="CA130" s="175"/>
      <c r="CB130" s="175"/>
      <c r="CC130" s="175"/>
      <c r="CD130" s="175"/>
      <c r="CE130" s="175"/>
      <c r="CF130" s="175"/>
      <c r="CG130" s="175"/>
      <c r="CH130" s="175"/>
      <c r="CI130" s="175"/>
      <c r="CJ130" s="175"/>
      <c r="CK130" s="175"/>
      <c r="CL130" s="175"/>
      <c r="CM130" s="175"/>
      <c r="CN130" s="175"/>
      <c r="CO130" s="175"/>
      <c r="CP130" s="175"/>
      <c r="CQ130" s="175"/>
      <c r="CR130" s="175"/>
      <c r="CS130" s="175"/>
      <c r="CT130" s="175"/>
      <c r="CU130" s="175"/>
      <c r="CV130" s="175"/>
      <c r="CW130" s="175"/>
      <c r="CX130" s="175"/>
      <c r="CY130" s="175"/>
      <c r="CZ130" s="175"/>
      <c r="DA130" s="175"/>
      <c r="DB130" s="175"/>
      <c r="DC130" s="175"/>
      <c r="DD130" s="175"/>
      <c r="DE130" s="175"/>
      <c r="DF130" s="175"/>
      <c r="DG130" s="175"/>
      <c r="DH130" s="175"/>
      <c r="DI130" s="175"/>
      <c r="DJ130" s="175"/>
      <c r="DK130" s="175"/>
      <c r="DL130" s="175"/>
      <c r="DM130" s="175"/>
      <c r="DN130" s="175"/>
      <c r="DO130" s="175"/>
      <c r="DP130" s="175"/>
      <c r="DQ130" s="175"/>
      <c r="DR130" s="175"/>
      <c r="DS130" s="175"/>
      <c r="DT130" s="175"/>
      <c r="DU130" s="175"/>
      <c r="DV130" s="175"/>
      <c r="DW130" s="175"/>
      <c r="DX130" s="175"/>
      <c r="DY130" s="175"/>
      <c r="DZ130" s="175"/>
      <c r="EA130" s="175"/>
      <c r="EB130" s="175"/>
      <c r="EC130" s="175"/>
      <c r="ED130" s="175"/>
      <c r="EE130" s="175"/>
      <c r="EF130" s="175"/>
      <c r="EG130" s="175"/>
      <c r="EH130" s="175"/>
      <c r="EI130" s="175"/>
      <c r="EJ130" s="175"/>
      <c r="EK130" s="175"/>
      <c r="EL130" s="175"/>
      <c r="EM130" s="175"/>
      <c r="EN130" s="175"/>
      <c r="EO130" s="175"/>
      <c r="EP130" s="175"/>
      <c r="EQ130" s="175"/>
      <c r="ER130" s="175"/>
      <c r="ES130" s="175"/>
      <c r="ET130" s="175"/>
      <c r="EU130" s="175"/>
      <c r="EV130" s="175"/>
      <c r="EW130" s="175"/>
      <c r="EX130" s="175"/>
      <c r="EY130" s="175"/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175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  <c r="HN130" s="175"/>
      <c r="HO130" s="175"/>
      <c r="HP130" s="175"/>
      <c r="HQ130" s="175"/>
      <c r="HR130" s="175"/>
      <c r="HS130" s="175"/>
      <c r="HT130" s="175"/>
      <c r="HU130" s="175"/>
      <c r="HV130" s="175"/>
      <c r="HW130" s="175"/>
      <c r="HX130" s="175"/>
      <c r="HY130" s="175"/>
      <c r="HZ130" s="175"/>
      <c r="IA130" s="175"/>
      <c r="IB130" s="175"/>
      <c r="IC130" s="175"/>
      <c r="ID130" s="175"/>
      <c r="IE130" s="175"/>
      <c r="IF130" s="175"/>
      <c r="IG130" s="175"/>
      <c r="IH130" s="175"/>
      <c r="II130" s="175"/>
      <c r="IJ130" s="175"/>
      <c r="IK130" s="175"/>
      <c r="IL130" s="175"/>
      <c r="IM130" s="175"/>
      <c r="IN130" s="175"/>
      <c r="IO130" s="175"/>
      <c r="IP130" s="175"/>
      <c r="IQ130" s="175"/>
    </row>
    <row r="131" spans="1:251" s="146" customFormat="1" ht="21.75" customHeight="1">
      <c r="A131" s="179">
        <v>124</v>
      </c>
      <c r="B131" s="458" t="s">
        <v>250</v>
      </c>
      <c r="C131" s="459" t="s">
        <v>464</v>
      </c>
      <c r="D131" s="460">
        <v>24</v>
      </c>
      <c r="E131" s="460"/>
      <c r="F131" s="459" t="s">
        <v>256</v>
      </c>
      <c r="G131" s="460" t="s">
        <v>461</v>
      </c>
      <c r="H131" s="407" t="s">
        <v>183</v>
      </c>
      <c r="I131" s="180">
        <f t="shared" si="8"/>
        <v>97500</v>
      </c>
      <c r="J131" s="408" t="s">
        <v>190</v>
      </c>
      <c r="K131" s="183">
        <f t="shared" si="9"/>
        <v>75000</v>
      </c>
      <c r="L131" s="408" t="s">
        <v>56</v>
      </c>
      <c r="M131" s="181">
        <f t="shared" si="10"/>
        <v>0</v>
      </c>
      <c r="N131" s="181">
        <f t="shared" si="11"/>
        <v>172500</v>
      </c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5"/>
      <c r="BI131" s="175"/>
      <c r="BJ131" s="175"/>
      <c r="BK131" s="175"/>
      <c r="BL131" s="175"/>
      <c r="BM131" s="175"/>
      <c r="BN131" s="175"/>
      <c r="BO131" s="175"/>
      <c r="BP131" s="175"/>
      <c r="BQ131" s="175"/>
      <c r="BR131" s="175"/>
      <c r="BS131" s="175"/>
      <c r="BT131" s="175"/>
      <c r="BU131" s="175"/>
      <c r="BV131" s="175"/>
      <c r="BW131" s="175"/>
      <c r="BX131" s="175"/>
      <c r="BY131" s="175"/>
      <c r="BZ131" s="175"/>
      <c r="CA131" s="175"/>
      <c r="CB131" s="175"/>
      <c r="CC131" s="175"/>
      <c r="CD131" s="175"/>
      <c r="CE131" s="175"/>
      <c r="CF131" s="175"/>
      <c r="CG131" s="175"/>
      <c r="CH131" s="175"/>
      <c r="CI131" s="175"/>
      <c r="CJ131" s="175"/>
      <c r="CK131" s="175"/>
      <c r="CL131" s="175"/>
      <c r="CM131" s="175"/>
      <c r="CN131" s="175"/>
      <c r="CO131" s="175"/>
      <c r="CP131" s="175"/>
      <c r="CQ131" s="175"/>
      <c r="CR131" s="175"/>
      <c r="CS131" s="175"/>
      <c r="CT131" s="175"/>
      <c r="CU131" s="175"/>
      <c r="CV131" s="175"/>
      <c r="CW131" s="175"/>
      <c r="CX131" s="175"/>
      <c r="CY131" s="175"/>
      <c r="CZ131" s="175"/>
      <c r="DA131" s="175"/>
      <c r="DB131" s="175"/>
      <c r="DC131" s="175"/>
      <c r="DD131" s="175"/>
      <c r="DE131" s="175"/>
      <c r="DF131" s="175"/>
      <c r="DG131" s="175"/>
      <c r="DH131" s="175"/>
      <c r="DI131" s="175"/>
      <c r="DJ131" s="175"/>
      <c r="DK131" s="175"/>
      <c r="DL131" s="175"/>
      <c r="DM131" s="175"/>
      <c r="DN131" s="175"/>
      <c r="DO131" s="175"/>
      <c r="DP131" s="175"/>
      <c r="DQ131" s="175"/>
      <c r="DR131" s="175"/>
      <c r="DS131" s="175"/>
      <c r="DT131" s="175"/>
      <c r="DU131" s="175"/>
      <c r="DV131" s="175"/>
      <c r="DW131" s="175"/>
      <c r="DX131" s="175"/>
      <c r="DY131" s="175"/>
      <c r="DZ131" s="175"/>
      <c r="EA131" s="175"/>
      <c r="EB131" s="175"/>
      <c r="EC131" s="175"/>
      <c r="ED131" s="175"/>
      <c r="EE131" s="175"/>
      <c r="EF131" s="175"/>
      <c r="EG131" s="175"/>
      <c r="EH131" s="175"/>
      <c r="EI131" s="175"/>
      <c r="EJ131" s="175"/>
      <c r="EK131" s="175"/>
      <c r="EL131" s="175"/>
      <c r="EM131" s="175"/>
      <c r="EN131" s="175"/>
      <c r="EO131" s="175"/>
      <c r="EP131" s="175"/>
      <c r="EQ131" s="175"/>
      <c r="ER131" s="175"/>
      <c r="ES131" s="175"/>
      <c r="ET131" s="175"/>
      <c r="EU131" s="175"/>
      <c r="EV131" s="175"/>
      <c r="EW131" s="175"/>
      <c r="EX131" s="175"/>
      <c r="EY131" s="175"/>
      <c r="EZ131" s="175"/>
      <c r="FA131" s="175"/>
      <c r="FB131" s="175"/>
      <c r="FC131" s="175"/>
      <c r="FD131" s="175"/>
      <c r="FE131" s="175"/>
      <c r="FF131" s="175"/>
      <c r="FG131" s="175"/>
      <c r="FH131" s="175"/>
      <c r="FI131" s="175"/>
      <c r="FJ131" s="175"/>
      <c r="FK131" s="175"/>
      <c r="FL131" s="175"/>
      <c r="FM131" s="175"/>
      <c r="FN131" s="175"/>
      <c r="FO131" s="175"/>
      <c r="FP131" s="175"/>
      <c r="FQ131" s="175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  <c r="HN131" s="175"/>
      <c r="HO131" s="175"/>
      <c r="HP131" s="175"/>
      <c r="HQ131" s="175"/>
      <c r="HR131" s="175"/>
      <c r="HS131" s="175"/>
      <c r="HT131" s="175"/>
      <c r="HU131" s="175"/>
      <c r="HV131" s="175"/>
      <c r="HW131" s="175"/>
      <c r="HX131" s="175"/>
      <c r="HY131" s="175"/>
      <c r="HZ131" s="175"/>
      <c r="IA131" s="175"/>
      <c r="IB131" s="175"/>
      <c r="IC131" s="175"/>
      <c r="ID131" s="175"/>
      <c r="IE131" s="175"/>
      <c r="IF131" s="175"/>
      <c r="IG131" s="175"/>
      <c r="IH131" s="175"/>
      <c r="II131" s="175"/>
      <c r="IJ131" s="175"/>
      <c r="IK131" s="175"/>
      <c r="IL131" s="175"/>
      <c r="IM131" s="175"/>
      <c r="IN131" s="175"/>
      <c r="IO131" s="175"/>
      <c r="IP131" s="175"/>
      <c r="IQ131" s="175"/>
    </row>
    <row r="132" spans="1:251" s="146" customFormat="1" ht="21.75" customHeight="1">
      <c r="A132" s="179">
        <v>125</v>
      </c>
      <c r="B132" s="458" t="s">
        <v>264</v>
      </c>
      <c r="C132" s="459" t="s">
        <v>265</v>
      </c>
      <c r="D132" s="460"/>
      <c r="E132" s="460">
        <v>56</v>
      </c>
      <c r="F132" s="459" t="s">
        <v>256</v>
      </c>
      <c r="G132" s="460" t="s">
        <v>182</v>
      </c>
      <c r="H132" s="407" t="s">
        <v>134</v>
      </c>
      <c r="I132" s="180">
        <f t="shared" si="8"/>
        <v>97500</v>
      </c>
      <c r="J132" s="408" t="s">
        <v>432</v>
      </c>
      <c r="K132" s="183">
        <f t="shared" si="9"/>
        <v>75000</v>
      </c>
      <c r="L132" s="408" t="s">
        <v>56</v>
      </c>
      <c r="M132" s="181">
        <f t="shared" si="10"/>
        <v>0</v>
      </c>
      <c r="N132" s="181">
        <f t="shared" si="11"/>
        <v>172500</v>
      </c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  <c r="AT132" s="175"/>
      <c r="AU132" s="175"/>
      <c r="AV132" s="175"/>
      <c r="AW132" s="175"/>
      <c r="AX132" s="175"/>
      <c r="AY132" s="175"/>
      <c r="AZ132" s="175"/>
      <c r="BA132" s="175"/>
      <c r="BB132" s="175"/>
      <c r="BC132" s="175"/>
      <c r="BD132" s="175"/>
      <c r="BE132" s="175"/>
      <c r="BF132" s="175"/>
      <c r="BG132" s="175"/>
      <c r="BH132" s="175"/>
      <c r="BI132" s="175"/>
      <c r="BJ132" s="175"/>
      <c r="BK132" s="175"/>
      <c r="BL132" s="175"/>
      <c r="BM132" s="175"/>
      <c r="BN132" s="175"/>
      <c r="BO132" s="175"/>
      <c r="BP132" s="175"/>
      <c r="BQ132" s="175"/>
      <c r="BR132" s="175"/>
      <c r="BS132" s="175"/>
      <c r="BT132" s="175"/>
      <c r="BU132" s="175"/>
      <c r="BV132" s="175"/>
      <c r="BW132" s="175"/>
      <c r="BX132" s="175"/>
      <c r="BY132" s="175"/>
      <c r="BZ132" s="175"/>
      <c r="CA132" s="175"/>
      <c r="CB132" s="175"/>
      <c r="CC132" s="175"/>
      <c r="CD132" s="175"/>
      <c r="CE132" s="175"/>
      <c r="CF132" s="175"/>
      <c r="CG132" s="175"/>
      <c r="CH132" s="175"/>
      <c r="CI132" s="175"/>
      <c r="CJ132" s="175"/>
      <c r="CK132" s="175"/>
      <c r="CL132" s="175"/>
      <c r="CM132" s="175"/>
      <c r="CN132" s="175"/>
      <c r="CO132" s="175"/>
      <c r="CP132" s="175"/>
      <c r="CQ132" s="175"/>
      <c r="CR132" s="175"/>
      <c r="CS132" s="175"/>
      <c r="CT132" s="175"/>
      <c r="CU132" s="175"/>
      <c r="CV132" s="175"/>
      <c r="CW132" s="175"/>
      <c r="CX132" s="175"/>
      <c r="CY132" s="175"/>
      <c r="CZ132" s="175"/>
      <c r="DA132" s="175"/>
      <c r="DB132" s="175"/>
      <c r="DC132" s="175"/>
      <c r="DD132" s="175"/>
      <c r="DE132" s="175"/>
      <c r="DF132" s="175"/>
      <c r="DG132" s="175"/>
      <c r="DH132" s="175"/>
      <c r="DI132" s="175"/>
      <c r="DJ132" s="175"/>
      <c r="DK132" s="175"/>
      <c r="DL132" s="175"/>
      <c r="DM132" s="175"/>
      <c r="DN132" s="175"/>
      <c r="DO132" s="175"/>
      <c r="DP132" s="175"/>
      <c r="DQ132" s="175"/>
      <c r="DR132" s="175"/>
      <c r="DS132" s="175"/>
      <c r="DT132" s="175"/>
      <c r="DU132" s="175"/>
      <c r="DV132" s="175"/>
      <c r="DW132" s="175"/>
      <c r="DX132" s="175"/>
      <c r="DY132" s="175"/>
      <c r="DZ132" s="175"/>
      <c r="EA132" s="175"/>
      <c r="EB132" s="175"/>
      <c r="EC132" s="175"/>
      <c r="ED132" s="175"/>
      <c r="EE132" s="175"/>
      <c r="EF132" s="175"/>
      <c r="EG132" s="175"/>
      <c r="EH132" s="175"/>
      <c r="EI132" s="175"/>
      <c r="EJ132" s="175"/>
      <c r="EK132" s="175"/>
      <c r="EL132" s="175"/>
      <c r="EM132" s="175"/>
      <c r="EN132" s="175"/>
      <c r="EO132" s="175"/>
      <c r="EP132" s="175"/>
      <c r="EQ132" s="175"/>
      <c r="ER132" s="175"/>
      <c r="ES132" s="175"/>
      <c r="ET132" s="175"/>
      <c r="EU132" s="175"/>
      <c r="EV132" s="175"/>
      <c r="EW132" s="175"/>
      <c r="EX132" s="175"/>
      <c r="EY132" s="175"/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175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  <c r="HN132" s="175"/>
      <c r="HO132" s="175"/>
      <c r="HP132" s="175"/>
      <c r="HQ132" s="175"/>
      <c r="HR132" s="175"/>
      <c r="HS132" s="175"/>
      <c r="HT132" s="175"/>
      <c r="HU132" s="175"/>
      <c r="HV132" s="175"/>
      <c r="HW132" s="175"/>
      <c r="HX132" s="175"/>
      <c r="HY132" s="175"/>
      <c r="HZ132" s="175"/>
      <c r="IA132" s="175"/>
      <c r="IB132" s="175"/>
      <c r="IC132" s="175"/>
      <c r="ID132" s="175"/>
      <c r="IE132" s="175"/>
      <c r="IF132" s="175"/>
      <c r="IG132" s="175"/>
      <c r="IH132" s="175"/>
      <c r="II132" s="175"/>
      <c r="IJ132" s="175"/>
      <c r="IK132" s="175"/>
      <c r="IL132" s="175"/>
      <c r="IM132" s="175"/>
      <c r="IN132" s="175"/>
      <c r="IO132" s="175"/>
      <c r="IP132" s="175"/>
      <c r="IQ132" s="175"/>
    </row>
    <row r="133" spans="1:251" s="146" customFormat="1" ht="21.75" customHeight="1">
      <c r="A133" s="179">
        <v>126</v>
      </c>
      <c r="B133" s="458" t="s">
        <v>268</v>
      </c>
      <c r="C133" s="459" t="s">
        <v>184</v>
      </c>
      <c r="D133" s="460"/>
      <c r="E133" s="460">
        <v>62</v>
      </c>
      <c r="F133" s="459" t="s">
        <v>249</v>
      </c>
      <c r="G133" s="460" t="s">
        <v>182</v>
      </c>
      <c r="H133" s="407" t="s">
        <v>159</v>
      </c>
      <c r="I133" s="180">
        <f t="shared" si="8"/>
        <v>97500</v>
      </c>
      <c r="J133" s="408" t="s">
        <v>183</v>
      </c>
      <c r="K133" s="183">
        <f t="shared" si="9"/>
        <v>75000</v>
      </c>
      <c r="L133" s="408" t="s">
        <v>56</v>
      </c>
      <c r="M133" s="181">
        <f t="shared" si="10"/>
        <v>0</v>
      </c>
      <c r="N133" s="181">
        <f t="shared" si="11"/>
        <v>172500</v>
      </c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5"/>
      <c r="BI133" s="175"/>
      <c r="BJ133" s="175"/>
      <c r="BK133" s="175"/>
      <c r="BL133" s="175"/>
      <c r="BM133" s="175"/>
      <c r="BN133" s="175"/>
      <c r="BO133" s="175"/>
      <c r="BP133" s="175"/>
      <c r="BQ133" s="175"/>
      <c r="BR133" s="175"/>
      <c r="BS133" s="175"/>
      <c r="BT133" s="175"/>
      <c r="BU133" s="175"/>
      <c r="BV133" s="175"/>
      <c r="BW133" s="175"/>
      <c r="BX133" s="175"/>
      <c r="BY133" s="175"/>
      <c r="BZ133" s="175"/>
      <c r="CA133" s="175"/>
      <c r="CB133" s="175"/>
      <c r="CC133" s="175"/>
      <c r="CD133" s="175"/>
      <c r="CE133" s="175"/>
      <c r="CF133" s="175"/>
      <c r="CG133" s="175"/>
      <c r="CH133" s="175"/>
      <c r="CI133" s="175"/>
      <c r="CJ133" s="175"/>
      <c r="CK133" s="175"/>
      <c r="CL133" s="175"/>
      <c r="CM133" s="175"/>
      <c r="CN133" s="175"/>
      <c r="CO133" s="175"/>
      <c r="CP133" s="175"/>
      <c r="CQ133" s="175"/>
      <c r="CR133" s="175"/>
      <c r="CS133" s="175"/>
      <c r="CT133" s="175"/>
      <c r="CU133" s="175"/>
      <c r="CV133" s="175"/>
      <c r="CW133" s="175"/>
      <c r="CX133" s="175"/>
      <c r="CY133" s="175"/>
      <c r="CZ133" s="175"/>
      <c r="DA133" s="175"/>
      <c r="DB133" s="175"/>
      <c r="DC133" s="175"/>
      <c r="DD133" s="175"/>
      <c r="DE133" s="175"/>
      <c r="DF133" s="175"/>
      <c r="DG133" s="175"/>
      <c r="DH133" s="175"/>
      <c r="DI133" s="175"/>
      <c r="DJ133" s="175"/>
      <c r="DK133" s="175"/>
      <c r="DL133" s="175"/>
      <c r="DM133" s="175"/>
      <c r="DN133" s="175"/>
      <c r="DO133" s="175"/>
      <c r="DP133" s="175"/>
      <c r="DQ133" s="175"/>
      <c r="DR133" s="175"/>
      <c r="DS133" s="175"/>
      <c r="DT133" s="175"/>
      <c r="DU133" s="175"/>
      <c r="DV133" s="175"/>
      <c r="DW133" s="175"/>
      <c r="DX133" s="175"/>
      <c r="DY133" s="175"/>
      <c r="DZ133" s="175"/>
      <c r="EA133" s="175"/>
      <c r="EB133" s="175"/>
      <c r="EC133" s="175"/>
      <c r="ED133" s="175"/>
      <c r="EE133" s="175"/>
      <c r="EF133" s="175"/>
      <c r="EG133" s="175"/>
      <c r="EH133" s="175"/>
      <c r="EI133" s="175"/>
      <c r="EJ133" s="175"/>
      <c r="EK133" s="175"/>
      <c r="EL133" s="175"/>
      <c r="EM133" s="175"/>
      <c r="EN133" s="175"/>
      <c r="EO133" s="175"/>
      <c r="EP133" s="175"/>
      <c r="EQ133" s="175"/>
      <c r="ER133" s="175"/>
      <c r="ES133" s="175"/>
      <c r="ET133" s="175"/>
      <c r="EU133" s="175"/>
      <c r="EV133" s="175"/>
      <c r="EW133" s="175"/>
      <c r="EX133" s="175"/>
      <c r="EY133" s="175"/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175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  <c r="HN133" s="175"/>
      <c r="HO133" s="175"/>
      <c r="HP133" s="175"/>
      <c r="HQ133" s="175"/>
      <c r="HR133" s="175"/>
      <c r="HS133" s="175"/>
      <c r="HT133" s="175"/>
      <c r="HU133" s="175"/>
      <c r="HV133" s="175"/>
      <c r="HW133" s="175"/>
      <c r="HX133" s="175"/>
      <c r="HY133" s="175"/>
      <c r="HZ133" s="175"/>
      <c r="IA133" s="175"/>
      <c r="IB133" s="175"/>
      <c r="IC133" s="175"/>
      <c r="ID133" s="175"/>
      <c r="IE133" s="175"/>
      <c r="IF133" s="175"/>
      <c r="IG133" s="175"/>
      <c r="IH133" s="175"/>
      <c r="II133" s="175"/>
      <c r="IJ133" s="175"/>
      <c r="IK133" s="175"/>
      <c r="IL133" s="175"/>
      <c r="IM133" s="175"/>
      <c r="IN133" s="175"/>
      <c r="IO133" s="175"/>
      <c r="IP133" s="175"/>
      <c r="IQ133" s="175"/>
    </row>
    <row r="134" spans="1:251" s="146" customFormat="1" ht="21.75" customHeight="1">
      <c r="A134" s="179">
        <v>127</v>
      </c>
      <c r="B134" s="458" t="s">
        <v>273</v>
      </c>
      <c r="C134" s="459" t="s">
        <v>274</v>
      </c>
      <c r="D134" s="460">
        <v>17</v>
      </c>
      <c r="E134" s="460"/>
      <c r="F134" s="459" t="s">
        <v>231</v>
      </c>
      <c r="G134" s="460" t="s">
        <v>182</v>
      </c>
      <c r="H134" s="407" t="s">
        <v>183</v>
      </c>
      <c r="I134" s="180">
        <f t="shared" si="8"/>
        <v>97500</v>
      </c>
      <c r="J134" s="408" t="s">
        <v>430</v>
      </c>
      <c r="K134" s="183">
        <f t="shared" si="9"/>
        <v>75000</v>
      </c>
      <c r="L134" s="408" t="s">
        <v>56</v>
      </c>
      <c r="M134" s="181">
        <f t="shared" si="10"/>
        <v>0</v>
      </c>
      <c r="N134" s="181">
        <f t="shared" si="11"/>
        <v>172500</v>
      </c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5"/>
      <c r="BR134" s="175"/>
      <c r="BS134" s="175"/>
      <c r="BT134" s="175"/>
      <c r="BU134" s="175"/>
      <c r="BV134" s="175"/>
      <c r="BW134" s="175"/>
      <c r="BX134" s="175"/>
      <c r="BY134" s="175"/>
      <c r="BZ134" s="175"/>
      <c r="CA134" s="175"/>
      <c r="CB134" s="175"/>
      <c r="CC134" s="175"/>
      <c r="CD134" s="175"/>
      <c r="CE134" s="175"/>
      <c r="CF134" s="175"/>
      <c r="CG134" s="175"/>
      <c r="CH134" s="175"/>
      <c r="CI134" s="175"/>
      <c r="CJ134" s="175"/>
      <c r="CK134" s="175"/>
      <c r="CL134" s="175"/>
      <c r="CM134" s="175"/>
      <c r="CN134" s="175"/>
      <c r="CO134" s="175"/>
      <c r="CP134" s="175"/>
      <c r="CQ134" s="175"/>
      <c r="CR134" s="175"/>
      <c r="CS134" s="175"/>
      <c r="CT134" s="175"/>
      <c r="CU134" s="175"/>
      <c r="CV134" s="175"/>
      <c r="CW134" s="175"/>
      <c r="CX134" s="175"/>
      <c r="CY134" s="175"/>
      <c r="CZ134" s="175"/>
      <c r="DA134" s="175"/>
      <c r="DB134" s="175"/>
      <c r="DC134" s="175"/>
      <c r="DD134" s="175"/>
      <c r="DE134" s="175"/>
      <c r="DF134" s="175"/>
      <c r="DG134" s="175"/>
      <c r="DH134" s="175"/>
      <c r="DI134" s="175"/>
      <c r="DJ134" s="175"/>
      <c r="DK134" s="175"/>
      <c r="DL134" s="175"/>
      <c r="DM134" s="175"/>
      <c r="DN134" s="175"/>
      <c r="DO134" s="175"/>
      <c r="DP134" s="175"/>
      <c r="DQ134" s="175"/>
      <c r="DR134" s="175"/>
      <c r="DS134" s="175"/>
      <c r="DT134" s="175"/>
      <c r="DU134" s="175"/>
      <c r="DV134" s="175"/>
      <c r="DW134" s="175"/>
      <c r="DX134" s="175"/>
      <c r="DY134" s="175"/>
      <c r="DZ134" s="175"/>
      <c r="EA134" s="175"/>
      <c r="EB134" s="175"/>
      <c r="EC134" s="175"/>
      <c r="ED134" s="175"/>
      <c r="EE134" s="175"/>
      <c r="EF134" s="175"/>
      <c r="EG134" s="175"/>
      <c r="EH134" s="175"/>
      <c r="EI134" s="175"/>
      <c r="EJ134" s="175"/>
      <c r="EK134" s="175"/>
      <c r="EL134" s="175"/>
      <c r="EM134" s="175"/>
      <c r="EN134" s="175"/>
      <c r="EO134" s="175"/>
      <c r="EP134" s="175"/>
      <c r="EQ134" s="175"/>
      <c r="ER134" s="175"/>
      <c r="ES134" s="175"/>
      <c r="ET134" s="175"/>
      <c r="EU134" s="175"/>
      <c r="EV134" s="175"/>
      <c r="EW134" s="175"/>
      <c r="EX134" s="175"/>
      <c r="EY134" s="175"/>
      <c r="EZ134" s="175"/>
      <c r="FA134" s="175"/>
      <c r="FB134" s="175"/>
      <c r="FC134" s="175"/>
      <c r="FD134" s="175"/>
      <c r="FE134" s="175"/>
      <c r="FF134" s="175"/>
      <c r="FG134" s="175"/>
      <c r="FH134" s="175"/>
      <c r="FI134" s="175"/>
      <c r="FJ134" s="175"/>
      <c r="FK134" s="175"/>
      <c r="FL134" s="175"/>
      <c r="FM134" s="175"/>
      <c r="FN134" s="175"/>
      <c r="FO134" s="175"/>
      <c r="FP134" s="175"/>
      <c r="FQ134" s="175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  <c r="HN134" s="175"/>
      <c r="HO134" s="175"/>
      <c r="HP134" s="175"/>
      <c r="HQ134" s="175"/>
      <c r="HR134" s="175"/>
      <c r="HS134" s="175"/>
      <c r="HT134" s="175"/>
      <c r="HU134" s="175"/>
      <c r="HV134" s="175"/>
      <c r="HW134" s="175"/>
      <c r="HX134" s="175"/>
      <c r="HY134" s="175"/>
      <c r="HZ134" s="175"/>
      <c r="IA134" s="175"/>
      <c r="IB134" s="175"/>
      <c r="IC134" s="175"/>
      <c r="ID134" s="175"/>
      <c r="IE134" s="175"/>
      <c r="IF134" s="175"/>
      <c r="IG134" s="175"/>
      <c r="IH134" s="175"/>
      <c r="II134" s="175"/>
      <c r="IJ134" s="175"/>
      <c r="IK134" s="175"/>
      <c r="IL134" s="175"/>
      <c r="IM134" s="175"/>
      <c r="IN134" s="175"/>
      <c r="IO134" s="175"/>
      <c r="IP134" s="175"/>
      <c r="IQ134" s="175"/>
    </row>
    <row r="135" spans="1:251" s="146" customFormat="1" ht="21.75" customHeight="1">
      <c r="A135" s="179">
        <v>128</v>
      </c>
      <c r="B135" s="458" t="s">
        <v>273</v>
      </c>
      <c r="C135" s="459" t="s">
        <v>280</v>
      </c>
      <c r="D135" s="460"/>
      <c r="E135" s="460">
        <v>16</v>
      </c>
      <c r="F135" s="459" t="s">
        <v>231</v>
      </c>
      <c r="G135" s="460" t="s">
        <v>182</v>
      </c>
      <c r="H135" s="407" t="s">
        <v>183</v>
      </c>
      <c r="I135" s="180">
        <f t="shared" si="8"/>
        <v>97500</v>
      </c>
      <c r="J135" s="408" t="s">
        <v>431</v>
      </c>
      <c r="K135" s="183">
        <f t="shared" si="9"/>
        <v>75000</v>
      </c>
      <c r="L135" s="408" t="s">
        <v>56</v>
      </c>
      <c r="M135" s="181">
        <f t="shared" si="10"/>
        <v>0</v>
      </c>
      <c r="N135" s="181">
        <f t="shared" si="11"/>
        <v>172500</v>
      </c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5"/>
      <c r="BI135" s="175"/>
      <c r="BJ135" s="175"/>
      <c r="BK135" s="175"/>
      <c r="BL135" s="175"/>
      <c r="BM135" s="175"/>
      <c r="BN135" s="175"/>
      <c r="BO135" s="175"/>
      <c r="BP135" s="175"/>
      <c r="BQ135" s="175"/>
      <c r="BR135" s="175"/>
      <c r="BS135" s="175"/>
      <c r="BT135" s="175"/>
      <c r="BU135" s="175"/>
      <c r="BV135" s="175"/>
      <c r="BW135" s="175"/>
      <c r="BX135" s="175"/>
      <c r="BY135" s="175"/>
      <c r="BZ135" s="175"/>
      <c r="CA135" s="175"/>
      <c r="CB135" s="175"/>
      <c r="CC135" s="175"/>
      <c r="CD135" s="175"/>
      <c r="CE135" s="175"/>
      <c r="CF135" s="175"/>
      <c r="CG135" s="175"/>
      <c r="CH135" s="175"/>
      <c r="CI135" s="175"/>
      <c r="CJ135" s="175"/>
      <c r="CK135" s="175"/>
      <c r="CL135" s="175"/>
      <c r="CM135" s="175"/>
      <c r="CN135" s="175"/>
      <c r="CO135" s="175"/>
      <c r="CP135" s="175"/>
      <c r="CQ135" s="175"/>
      <c r="CR135" s="175"/>
      <c r="CS135" s="175"/>
      <c r="CT135" s="175"/>
      <c r="CU135" s="175"/>
      <c r="CV135" s="175"/>
      <c r="CW135" s="175"/>
      <c r="CX135" s="175"/>
      <c r="CY135" s="175"/>
      <c r="CZ135" s="175"/>
      <c r="DA135" s="175"/>
      <c r="DB135" s="175"/>
      <c r="DC135" s="175"/>
      <c r="DD135" s="175"/>
      <c r="DE135" s="175"/>
      <c r="DF135" s="175"/>
      <c r="DG135" s="175"/>
      <c r="DH135" s="175"/>
      <c r="DI135" s="175"/>
      <c r="DJ135" s="175"/>
      <c r="DK135" s="175"/>
      <c r="DL135" s="175"/>
      <c r="DM135" s="175"/>
      <c r="DN135" s="175"/>
      <c r="DO135" s="175"/>
      <c r="DP135" s="175"/>
      <c r="DQ135" s="175"/>
      <c r="DR135" s="175"/>
      <c r="DS135" s="175"/>
      <c r="DT135" s="175"/>
      <c r="DU135" s="175"/>
      <c r="DV135" s="175"/>
      <c r="DW135" s="175"/>
      <c r="DX135" s="175"/>
      <c r="DY135" s="175"/>
      <c r="DZ135" s="175"/>
      <c r="EA135" s="175"/>
      <c r="EB135" s="175"/>
      <c r="EC135" s="175"/>
      <c r="ED135" s="175"/>
      <c r="EE135" s="175"/>
      <c r="EF135" s="175"/>
      <c r="EG135" s="175"/>
      <c r="EH135" s="175"/>
      <c r="EI135" s="175"/>
      <c r="EJ135" s="175"/>
      <c r="EK135" s="175"/>
      <c r="EL135" s="175"/>
      <c r="EM135" s="175"/>
      <c r="EN135" s="175"/>
      <c r="EO135" s="175"/>
      <c r="EP135" s="175"/>
      <c r="EQ135" s="175"/>
      <c r="ER135" s="175"/>
      <c r="ES135" s="175"/>
      <c r="ET135" s="175"/>
      <c r="EU135" s="175"/>
      <c r="EV135" s="175"/>
      <c r="EW135" s="175"/>
      <c r="EX135" s="175"/>
      <c r="EY135" s="175"/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175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  <c r="HN135" s="175"/>
      <c r="HO135" s="175"/>
      <c r="HP135" s="175"/>
      <c r="HQ135" s="175"/>
      <c r="HR135" s="175"/>
      <c r="HS135" s="175"/>
      <c r="HT135" s="175"/>
      <c r="HU135" s="175"/>
      <c r="HV135" s="175"/>
      <c r="HW135" s="175"/>
      <c r="HX135" s="175"/>
      <c r="HY135" s="175"/>
      <c r="HZ135" s="175"/>
      <c r="IA135" s="175"/>
      <c r="IB135" s="175"/>
      <c r="IC135" s="175"/>
      <c r="ID135" s="175"/>
      <c r="IE135" s="175"/>
      <c r="IF135" s="175"/>
      <c r="IG135" s="175"/>
      <c r="IH135" s="175"/>
      <c r="II135" s="175"/>
      <c r="IJ135" s="175"/>
      <c r="IK135" s="175"/>
      <c r="IL135" s="175"/>
      <c r="IM135" s="175"/>
      <c r="IN135" s="175"/>
      <c r="IO135" s="175"/>
      <c r="IP135" s="175"/>
      <c r="IQ135" s="175"/>
    </row>
    <row r="136" spans="1:251" s="146" customFormat="1" ht="21.75" customHeight="1">
      <c r="A136" s="179">
        <v>129</v>
      </c>
      <c r="B136" s="458" t="s">
        <v>273</v>
      </c>
      <c r="C136" s="459" t="s">
        <v>284</v>
      </c>
      <c r="D136" s="460"/>
      <c r="E136" s="460">
        <v>72</v>
      </c>
      <c r="F136" s="459" t="s">
        <v>249</v>
      </c>
      <c r="G136" s="460" t="s">
        <v>182</v>
      </c>
      <c r="H136" s="407" t="s">
        <v>183</v>
      </c>
      <c r="I136" s="180">
        <f t="shared" si="8"/>
        <v>97500</v>
      </c>
      <c r="J136" s="408" t="s">
        <v>432</v>
      </c>
      <c r="K136" s="183">
        <f t="shared" si="9"/>
        <v>75000</v>
      </c>
      <c r="L136" s="408" t="s">
        <v>56</v>
      </c>
      <c r="M136" s="181">
        <f t="shared" si="10"/>
        <v>0</v>
      </c>
      <c r="N136" s="181">
        <f t="shared" si="11"/>
        <v>172500</v>
      </c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5"/>
      <c r="BC136" s="175"/>
      <c r="BD136" s="175"/>
      <c r="BE136" s="175"/>
      <c r="BF136" s="175"/>
      <c r="BG136" s="175"/>
      <c r="BH136" s="175"/>
      <c r="BI136" s="175"/>
      <c r="BJ136" s="175"/>
      <c r="BK136" s="175"/>
      <c r="BL136" s="175"/>
      <c r="BM136" s="175"/>
      <c r="BN136" s="175"/>
      <c r="BO136" s="175"/>
      <c r="BP136" s="175"/>
      <c r="BQ136" s="175"/>
      <c r="BR136" s="175"/>
      <c r="BS136" s="175"/>
      <c r="BT136" s="175"/>
      <c r="BU136" s="175"/>
      <c r="BV136" s="175"/>
      <c r="BW136" s="175"/>
      <c r="BX136" s="175"/>
      <c r="BY136" s="175"/>
      <c r="BZ136" s="175"/>
      <c r="CA136" s="175"/>
      <c r="CB136" s="175"/>
      <c r="CC136" s="175"/>
      <c r="CD136" s="175"/>
      <c r="CE136" s="175"/>
      <c r="CF136" s="175"/>
      <c r="CG136" s="175"/>
      <c r="CH136" s="175"/>
      <c r="CI136" s="175"/>
      <c r="CJ136" s="175"/>
      <c r="CK136" s="175"/>
      <c r="CL136" s="175"/>
      <c r="CM136" s="175"/>
      <c r="CN136" s="175"/>
      <c r="CO136" s="175"/>
      <c r="CP136" s="175"/>
      <c r="CQ136" s="175"/>
      <c r="CR136" s="175"/>
      <c r="CS136" s="175"/>
      <c r="CT136" s="175"/>
      <c r="CU136" s="175"/>
      <c r="CV136" s="175"/>
      <c r="CW136" s="175"/>
      <c r="CX136" s="175"/>
      <c r="CY136" s="175"/>
      <c r="CZ136" s="175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5"/>
      <c r="DL136" s="175"/>
      <c r="DM136" s="175"/>
      <c r="DN136" s="175"/>
      <c r="DO136" s="175"/>
      <c r="DP136" s="175"/>
      <c r="DQ136" s="175"/>
      <c r="DR136" s="175"/>
      <c r="DS136" s="175"/>
      <c r="DT136" s="175"/>
      <c r="DU136" s="175"/>
      <c r="DV136" s="175"/>
      <c r="DW136" s="175"/>
      <c r="DX136" s="175"/>
      <c r="DY136" s="175"/>
      <c r="DZ136" s="175"/>
      <c r="EA136" s="175"/>
      <c r="EB136" s="175"/>
      <c r="EC136" s="175"/>
      <c r="ED136" s="175"/>
      <c r="EE136" s="175"/>
      <c r="EF136" s="175"/>
      <c r="EG136" s="175"/>
      <c r="EH136" s="175"/>
      <c r="EI136" s="175"/>
      <c r="EJ136" s="175"/>
      <c r="EK136" s="175"/>
      <c r="EL136" s="175"/>
      <c r="EM136" s="175"/>
      <c r="EN136" s="175"/>
      <c r="EO136" s="175"/>
      <c r="EP136" s="175"/>
      <c r="EQ136" s="175"/>
      <c r="ER136" s="175"/>
      <c r="ES136" s="175"/>
      <c r="ET136" s="175"/>
      <c r="EU136" s="175"/>
      <c r="EV136" s="175"/>
      <c r="EW136" s="175"/>
      <c r="EX136" s="175"/>
      <c r="EY136" s="175"/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175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  <c r="HN136" s="175"/>
      <c r="HO136" s="175"/>
      <c r="HP136" s="175"/>
      <c r="HQ136" s="175"/>
      <c r="HR136" s="175"/>
      <c r="HS136" s="175"/>
      <c r="HT136" s="175"/>
      <c r="HU136" s="175"/>
      <c r="HV136" s="175"/>
      <c r="HW136" s="175"/>
      <c r="HX136" s="175"/>
      <c r="HY136" s="175"/>
      <c r="HZ136" s="175"/>
      <c r="IA136" s="175"/>
      <c r="IB136" s="175"/>
      <c r="IC136" s="175"/>
      <c r="ID136" s="175"/>
      <c r="IE136" s="175"/>
      <c r="IF136" s="175"/>
      <c r="IG136" s="175"/>
      <c r="IH136" s="175"/>
      <c r="II136" s="175"/>
      <c r="IJ136" s="175"/>
      <c r="IK136" s="175"/>
      <c r="IL136" s="175"/>
      <c r="IM136" s="175"/>
      <c r="IN136" s="175"/>
      <c r="IO136" s="175"/>
      <c r="IP136" s="175"/>
      <c r="IQ136" s="175"/>
    </row>
    <row r="137" spans="1:251" s="146" customFormat="1" ht="21.75" customHeight="1">
      <c r="A137" s="179">
        <v>130</v>
      </c>
      <c r="B137" s="458" t="s">
        <v>288</v>
      </c>
      <c r="C137" s="459" t="s">
        <v>289</v>
      </c>
      <c r="D137" s="460"/>
      <c r="E137" s="460">
        <v>62</v>
      </c>
      <c r="F137" s="459" t="s">
        <v>290</v>
      </c>
      <c r="G137" s="460" t="s">
        <v>182</v>
      </c>
      <c r="H137" s="407" t="s">
        <v>190</v>
      </c>
      <c r="I137" s="180">
        <f t="shared" si="8"/>
        <v>97500</v>
      </c>
      <c r="J137" s="408" t="s">
        <v>434</v>
      </c>
      <c r="K137" s="183">
        <f t="shared" si="9"/>
        <v>75000</v>
      </c>
      <c r="L137" s="408" t="s">
        <v>56</v>
      </c>
      <c r="M137" s="181">
        <f t="shared" si="10"/>
        <v>0</v>
      </c>
      <c r="N137" s="181">
        <f t="shared" si="11"/>
        <v>172500</v>
      </c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  <c r="BT137" s="175"/>
      <c r="BU137" s="175"/>
      <c r="BV137" s="175"/>
      <c r="BW137" s="175"/>
      <c r="BX137" s="175"/>
      <c r="BY137" s="175"/>
      <c r="BZ137" s="175"/>
      <c r="CA137" s="175"/>
      <c r="CB137" s="175"/>
      <c r="CC137" s="175"/>
      <c r="CD137" s="175"/>
      <c r="CE137" s="175"/>
      <c r="CF137" s="175"/>
      <c r="CG137" s="175"/>
      <c r="CH137" s="175"/>
      <c r="CI137" s="175"/>
      <c r="CJ137" s="175"/>
      <c r="CK137" s="175"/>
      <c r="CL137" s="175"/>
      <c r="CM137" s="175"/>
      <c r="CN137" s="175"/>
      <c r="CO137" s="175"/>
      <c r="CP137" s="175"/>
      <c r="CQ137" s="175"/>
      <c r="CR137" s="175"/>
      <c r="CS137" s="175"/>
      <c r="CT137" s="175"/>
      <c r="CU137" s="175"/>
      <c r="CV137" s="175"/>
      <c r="CW137" s="175"/>
      <c r="CX137" s="175"/>
      <c r="CY137" s="175"/>
      <c r="CZ137" s="175"/>
      <c r="DA137" s="175"/>
      <c r="DB137" s="175"/>
      <c r="DC137" s="175"/>
      <c r="DD137" s="175"/>
      <c r="DE137" s="175"/>
      <c r="DF137" s="175"/>
      <c r="DG137" s="175"/>
      <c r="DH137" s="175"/>
      <c r="DI137" s="175"/>
      <c r="DJ137" s="175"/>
      <c r="DK137" s="175"/>
      <c r="DL137" s="175"/>
      <c r="DM137" s="175"/>
      <c r="DN137" s="175"/>
      <c r="DO137" s="175"/>
      <c r="DP137" s="175"/>
      <c r="DQ137" s="175"/>
      <c r="DR137" s="175"/>
      <c r="DS137" s="175"/>
      <c r="DT137" s="175"/>
      <c r="DU137" s="175"/>
      <c r="DV137" s="175"/>
      <c r="DW137" s="175"/>
      <c r="DX137" s="175"/>
      <c r="DY137" s="175"/>
      <c r="DZ137" s="175"/>
      <c r="EA137" s="175"/>
      <c r="EB137" s="175"/>
      <c r="EC137" s="175"/>
      <c r="ED137" s="175"/>
      <c r="EE137" s="175"/>
      <c r="EF137" s="175"/>
      <c r="EG137" s="175"/>
      <c r="EH137" s="175"/>
      <c r="EI137" s="175"/>
      <c r="EJ137" s="175"/>
      <c r="EK137" s="175"/>
      <c r="EL137" s="175"/>
      <c r="EM137" s="175"/>
      <c r="EN137" s="175"/>
      <c r="EO137" s="175"/>
      <c r="EP137" s="175"/>
      <c r="EQ137" s="175"/>
      <c r="ER137" s="175"/>
      <c r="ES137" s="175"/>
      <c r="ET137" s="175"/>
      <c r="EU137" s="175"/>
      <c r="EV137" s="175"/>
      <c r="EW137" s="175"/>
      <c r="EX137" s="175"/>
      <c r="EY137" s="175"/>
      <c r="EZ137" s="175"/>
      <c r="FA137" s="175"/>
      <c r="FB137" s="175"/>
      <c r="FC137" s="175"/>
      <c r="FD137" s="175"/>
      <c r="FE137" s="175"/>
      <c r="FF137" s="175"/>
      <c r="FG137" s="175"/>
      <c r="FH137" s="175"/>
      <c r="FI137" s="175"/>
      <c r="FJ137" s="175"/>
      <c r="FK137" s="175"/>
      <c r="FL137" s="175"/>
      <c r="FM137" s="175"/>
      <c r="FN137" s="175"/>
      <c r="FO137" s="175"/>
      <c r="FP137" s="175"/>
      <c r="FQ137" s="175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  <c r="HN137" s="175"/>
      <c r="HO137" s="175"/>
      <c r="HP137" s="175"/>
      <c r="HQ137" s="175"/>
      <c r="HR137" s="175"/>
      <c r="HS137" s="175"/>
      <c r="HT137" s="175"/>
      <c r="HU137" s="175"/>
      <c r="HV137" s="175"/>
      <c r="HW137" s="175"/>
      <c r="HX137" s="175"/>
      <c r="HY137" s="175"/>
      <c r="HZ137" s="175"/>
      <c r="IA137" s="175"/>
      <c r="IB137" s="175"/>
      <c r="IC137" s="175"/>
      <c r="ID137" s="175"/>
      <c r="IE137" s="175"/>
      <c r="IF137" s="175"/>
      <c r="IG137" s="175"/>
      <c r="IH137" s="175"/>
      <c r="II137" s="175"/>
      <c r="IJ137" s="175"/>
      <c r="IK137" s="175"/>
      <c r="IL137" s="175"/>
      <c r="IM137" s="175"/>
      <c r="IN137" s="175"/>
      <c r="IO137" s="175"/>
      <c r="IP137" s="175"/>
      <c r="IQ137" s="175"/>
    </row>
    <row r="138" spans="1:251" s="146" customFormat="1" ht="21.75" customHeight="1">
      <c r="A138" s="179">
        <v>131</v>
      </c>
      <c r="B138" s="458" t="s">
        <v>288</v>
      </c>
      <c r="C138" s="459" t="s">
        <v>263</v>
      </c>
      <c r="D138" s="460"/>
      <c r="E138" s="460">
        <v>62</v>
      </c>
      <c r="F138" s="459" t="s">
        <v>249</v>
      </c>
      <c r="G138" s="460" t="s">
        <v>461</v>
      </c>
      <c r="H138" s="407" t="s">
        <v>159</v>
      </c>
      <c r="I138" s="180">
        <f t="shared" si="8"/>
        <v>97500</v>
      </c>
      <c r="J138" s="408" t="s">
        <v>134</v>
      </c>
      <c r="K138" s="183">
        <f t="shared" si="9"/>
        <v>75000</v>
      </c>
      <c r="L138" s="408" t="s">
        <v>56</v>
      </c>
      <c r="M138" s="181">
        <f t="shared" si="10"/>
        <v>0</v>
      </c>
      <c r="N138" s="181">
        <f t="shared" si="11"/>
        <v>172500</v>
      </c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  <c r="AT138" s="175"/>
      <c r="AU138" s="175"/>
      <c r="AV138" s="175"/>
      <c r="AW138" s="175"/>
      <c r="AX138" s="175"/>
      <c r="AY138" s="175"/>
      <c r="AZ138" s="175"/>
      <c r="BA138" s="175"/>
      <c r="BB138" s="175"/>
      <c r="BC138" s="175"/>
      <c r="BD138" s="175"/>
      <c r="BE138" s="175"/>
      <c r="BF138" s="175"/>
      <c r="BG138" s="175"/>
      <c r="BH138" s="175"/>
      <c r="BI138" s="175"/>
      <c r="BJ138" s="175"/>
      <c r="BK138" s="175"/>
      <c r="BL138" s="175"/>
      <c r="BM138" s="175"/>
      <c r="BN138" s="175"/>
      <c r="BO138" s="175"/>
      <c r="BP138" s="175"/>
      <c r="BQ138" s="175"/>
      <c r="BR138" s="175"/>
      <c r="BS138" s="175"/>
      <c r="BT138" s="175"/>
      <c r="BU138" s="175"/>
      <c r="BV138" s="175"/>
      <c r="BW138" s="175"/>
      <c r="BX138" s="175"/>
      <c r="BY138" s="175"/>
      <c r="BZ138" s="175"/>
      <c r="CA138" s="175"/>
      <c r="CB138" s="175"/>
      <c r="CC138" s="175"/>
      <c r="CD138" s="175"/>
      <c r="CE138" s="175"/>
      <c r="CF138" s="175"/>
      <c r="CG138" s="175"/>
      <c r="CH138" s="175"/>
      <c r="CI138" s="175"/>
      <c r="CJ138" s="175"/>
      <c r="CK138" s="175"/>
      <c r="CL138" s="175"/>
      <c r="CM138" s="175"/>
      <c r="CN138" s="175"/>
      <c r="CO138" s="175"/>
      <c r="CP138" s="175"/>
      <c r="CQ138" s="175"/>
      <c r="CR138" s="175"/>
      <c r="CS138" s="175"/>
      <c r="CT138" s="175"/>
      <c r="CU138" s="175"/>
      <c r="CV138" s="175"/>
      <c r="CW138" s="175"/>
      <c r="CX138" s="175"/>
      <c r="CY138" s="175"/>
      <c r="CZ138" s="175"/>
      <c r="DA138" s="175"/>
      <c r="DB138" s="175"/>
      <c r="DC138" s="175"/>
      <c r="DD138" s="175"/>
      <c r="DE138" s="175"/>
      <c r="DF138" s="175"/>
      <c r="DG138" s="175"/>
      <c r="DH138" s="175"/>
      <c r="DI138" s="175"/>
      <c r="DJ138" s="175"/>
      <c r="DK138" s="175"/>
      <c r="DL138" s="175"/>
      <c r="DM138" s="175"/>
      <c r="DN138" s="175"/>
      <c r="DO138" s="175"/>
      <c r="DP138" s="175"/>
      <c r="DQ138" s="175"/>
      <c r="DR138" s="175"/>
      <c r="DS138" s="175"/>
      <c r="DT138" s="175"/>
      <c r="DU138" s="175"/>
      <c r="DV138" s="175"/>
      <c r="DW138" s="175"/>
      <c r="DX138" s="175"/>
      <c r="DY138" s="175"/>
      <c r="DZ138" s="175"/>
      <c r="EA138" s="175"/>
      <c r="EB138" s="175"/>
      <c r="EC138" s="175"/>
      <c r="ED138" s="175"/>
      <c r="EE138" s="175"/>
      <c r="EF138" s="175"/>
      <c r="EG138" s="175"/>
      <c r="EH138" s="175"/>
      <c r="EI138" s="175"/>
      <c r="EJ138" s="175"/>
      <c r="EK138" s="175"/>
      <c r="EL138" s="175"/>
      <c r="EM138" s="175"/>
      <c r="EN138" s="175"/>
      <c r="EO138" s="175"/>
      <c r="EP138" s="175"/>
      <c r="EQ138" s="175"/>
      <c r="ER138" s="175"/>
      <c r="ES138" s="175"/>
      <c r="ET138" s="175"/>
      <c r="EU138" s="175"/>
      <c r="EV138" s="175"/>
      <c r="EW138" s="175"/>
      <c r="EX138" s="175"/>
      <c r="EY138" s="175"/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175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  <c r="HN138" s="175"/>
      <c r="HO138" s="175"/>
      <c r="HP138" s="175"/>
      <c r="HQ138" s="175"/>
      <c r="HR138" s="175"/>
      <c r="HS138" s="175"/>
      <c r="HT138" s="175"/>
      <c r="HU138" s="175"/>
      <c r="HV138" s="175"/>
      <c r="HW138" s="175"/>
      <c r="HX138" s="175"/>
      <c r="HY138" s="175"/>
      <c r="HZ138" s="175"/>
      <c r="IA138" s="175"/>
      <c r="IB138" s="175"/>
      <c r="IC138" s="175"/>
      <c r="ID138" s="175"/>
      <c r="IE138" s="175"/>
      <c r="IF138" s="175"/>
      <c r="IG138" s="175"/>
      <c r="IH138" s="175"/>
      <c r="II138" s="175"/>
      <c r="IJ138" s="175"/>
      <c r="IK138" s="175"/>
      <c r="IL138" s="175"/>
      <c r="IM138" s="175"/>
      <c r="IN138" s="175"/>
      <c r="IO138" s="175"/>
      <c r="IP138" s="175"/>
      <c r="IQ138" s="175"/>
    </row>
    <row r="139" spans="1:251" s="146" customFormat="1" ht="21.75" customHeight="1">
      <c r="A139" s="179">
        <v>132</v>
      </c>
      <c r="B139" s="458" t="s">
        <v>288</v>
      </c>
      <c r="C139" s="459" t="s">
        <v>296</v>
      </c>
      <c r="D139" s="460"/>
      <c r="E139" s="460">
        <v>40</v>
      </c>
      <c r="F139" s="459" t="s">
        <v>249</v>
      </c>
      <c r="G139" s="460" t="s">
        <v>182</v>
      </c>
      <c r="H139" s="407" t="s">
        <v>134</v>
      </c>
      <c r="I139" s="180">
        <f t="shared" si="8"/>
        <v>97500</v>
      </c>
      <c r="J139" s="408" t="s">
        <v>431</v>
      </c>
      <c r="K139" s="183">
        <f t="shared" si="9"/>
        <v>75000</v>
      </c>
      <c r="L139" s="408" t="s">
        <v>56</v>
      </c>
      <c r="M139" s="181">
        <f t="shared" si="10"/>
        <v>0</v>
      </c>
      <c r="N139" s="181">
        <f t="shared" si="11"/>
        <v>172500</v>
      </c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5"/>
      <c r="BI139" s="175"/>
      <c r="BJ139" s="175"/>
      <c r="BK139" s="175"/>
      <c r="BL139" s="175"/>
      <c r="BM139" s="175"/>
      <c r="BN139" s="175"/>
      <c r="BO139" s="175"/>
      <c r="BP139" s="175"/>
      <c r="BQ139" s="175"/>
      <c r="BR139" s="175"/>
      <c r="BS139" s="175"/>
      <c r="BT139" s="175"/>
      <c r="BU139" s="175"/>
      <c r="BV139" s="175"/>
      <c r="BW139" s="175"/>
      <c r="BX139" s="175"/>
      <c r="BY139" s="175"/>
      <c r="BZ139" s="175"/>
      <c r="CA139" s="175"/>
      <c r="CB139" s="175"/>
      <c r="CC139" s="175"/>
      <c r="CD139" s="175"/>
      <c r="CE139" s="175"/>
      <c r="CF139" s="175"/>
      <c r="CG139" s="175"/>
      <c r="CH139" s="175"/>
      <c r="CI139" s="175"/>
      <c r="CJ139" s="175"/>
      <c r="CK139" s="175"/>
      <c r="CL139" s="175"/>
      <c r="CM139" s="175"/>
      <c r="CN139" s="175"/>
      <c r="CO139" s="175"/>
      <c r="CP139" s="175"/>
      <c r="CQ139" s="175"/>
      <c r="CR139" s="175"/>
      <c r="CS139" s="175"/>
      <c r="CT139" s="175"/>
      <c r="CU139" s="175"/>
      <c r="CV139" s="175"/>
      <c r="CW139" s="175"/>
      <c r="CX139" s="175"/>
      <c r="CY139" s="175"/>
      <c r="CZ139" s="175"/>
      <c r="DA139" s="175"/>
      <c r="DB139" s="175"/>
      <c r="DC139" s="175"/>
      <c r="DD139" s="175"/>
      <c r="DE139" s="175"/>
      <c r="DF139" s="175"/>
      <c r="DG139" s="175"/>
      <c r="DH139" s="175"/>
      <c r="DI139" s="175"/>
      <c r="DJ139" s="175"/>
      <c r="DK139" s="175"/>
      <c r="DL139" s="175"/>
      <c r="DM139" s="175"/>
      <c r="DN139" s="175"/>
      <c r="DO139" s="175"/>
      <c r="DP139" s="175"/>
      <c r="DQ139" s="175"/>
      <c r="DR139" s="175"/>
      <c r="DS139" s="175"/>
      <c r="DT139" s="175"/>
      <c r="DU139" s="175"/>
      <c r="DV139" s="175"/>
      <c r="DW139" s="175"/>
      <c r="DX139" s="175"/>
      <c r="DY139" s="175"/>
      <c r="DZ139" s="175"/>
      <c r="EA139" s="175"/>
      <c r="EB139" s="175"/>
      <c r="EC139" s="175"/>
      <c r="ED139" s="175"/>
      <c r="EE139" s="175"/>
      <c r="EF139" s="175"/>
      <c r="EG139" s="175"/>
      <c r="EH139" s="175"/>
      <c r="EI139" s="175"/>
      <c r="EJ139" s="175"/>
      <c r="EK139" s="175"/>
      <c r="EL139" s="175"/>
      <c r="EM139" s="175"/>
      <c r="EN139" s="175"/>
      <c r="EO139" s="175"/>
      <c r="EP139" s="175"/>
      <c r="EQ139" s="175"/>
      <c r="ER139" s="175"/>
      <c r="ES139" s="175"/>
      <c r="ET139" s="175"/>
      <c r="EU139" s="175"/>
      <c r="EV139" s="175"/>
      <c r="EW139" s="175"/>
      <c r="EX139" s="175"/>
      <c r="EY139" s="175"/>
      <c r="EZ139" s="175"/>
      <c r="FA139" s="175"/>
      <c r="FB139" s="175"/>
      <c r="FC139" s="175"/>
      <c r="FD139" s="175"/>
      <c r="FE139" s="175"/>
      <c r="FF139" s="175"/>
      <c r="FG139" s="175"/>
      <c r="FH139" s="175"/>
      <c r="FI139" s="175"/>
      <c r="FJ139" s="175"/>
      <c r="FK139" s="175"/>
      <c r="FL139" s="175"/>
      <c r="FM139" s="175"/>
      <c r="FN139" s="175"/>
      <c r="FO139" s="175"/>
      <c r="FP139" s="175"/>
      <c r="FQ139" s="175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  <c r="HN139" s="175"/>
      <c r="HO139" s="175"/>
      <c r="HP139" s="175"/>
      <c r="HQ139" s="175"/>
      <c r="HR139" s="175"/>
      <c r="HS139" s="175"/>
      <c r="HT139" s="175"/>
      <c r="HU139" s="175"/>
      <c r="HV139" s="175"/>
      <c r="HW139" s="175"/>
      <c r="HX139" s="175"/>
      <c r="HY139" s="175"/>
      <c r="HZ139" s="175"/>
      <c r="IA139" s="175"/>
      <c r="IB139" s="175"/>
      <c r="IC139" s="175"/>
      <c r="ID139" s="175"/>
      <c r="IE139" s="175"/>
      <c r="IF139" s="175"/>
      <c r="IG139" s="175"/>
      <c r="IH139" s="175"/>
      <c r="II139" s="175"/>
      <c r="IJ139" s="175"/>
      <c r="IK139" s="175"/>
      <c r="IL139" s="175"/>
      <c r="IM139" s="175"/>
      <c r="IN139" s="175"/>
      <c r="IO139" s="175"/>
      <c r="IP139" s="175"/>
      <c r="IQ139" s="175"/>
    </row>
    <row r="140" spans="1:251" s="146" customFormat="1" ht="21.75" customHeight="1">
      <c r="A140" s="179">
        <v>133</v>
      </c>
      <c r="B140" s="458" t="s">
        <v>288</v>
      </c>
      <c r="C140" s="459" t="s">
        <v>184</v>
      </c>
      <c r="D140" s="460"/>
      <c r="E140" s="460">
        <v>62</v>
      </c>
      <c r="F140" s="459" t="s">
        <v>249</v>
      </c>
      <c r="G140" s="460" t="s">
        <v>461</v>
      </c>
      <c r="H140" s="407" t="s">
        <v>159</v>
      </c>
      <c r="I140" s="180">
        <f t="shared" si="8"/>
        <v>97500</v>
      </c>
      <c r="J140" s="408" t="s">
        <v>134</v>
      </c>
      <c r="K140" s="183">
        <f t="shared" si="9"/>
        <v>75000</v>
      </c>
      <c r="L140" s="408" t="s">
        <v>56</v>
      </c>
      <c r="M140" s="181">
        <f t="shared" si="10"/>
        <v>0</v>
      </c>
      <c r="N140" s="181">
        <f t="shared" si="11"/>
        <v>172500</v>
      </c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  <c r="AT140" s="175"/>
      <c r="AU140" s="175"/>
      <c r="AV140" s="175"/>
      <c r="AW140" s="175"/>
      <c r="AX140" s="175"/>
      <c r="AY140" s="175"/>
      <c r="AZ140" s="175"/>
      <c r="BA140" s="175"/>
      <c r="BB140" s="175"/>
      <c r="BC140" s="175"/>
      <c r="BD140" s="175"/>
      <c r="BE140" s="175"/>
      <c r="BF140" s="175"/>
      <c r="BG140" s="175"/>
      <c r="BH140" s="175"/>
      <c r="BI140" s="175"/>
      <c r="BJ140" s="175"/>
      <c r="BK140" s="175"/>
      <c r="BL140" s="175"/>
      <c r="BM140" s="175"/>
      <c r="BN140" s="175"/>
      <c r="BO140" s="175"/>
      <c r="BP140" s="175"/>
      <c r="BQ140" s="175"/>
      <c r="BR140" s="175"/>
      <c r="BS140" s="175"/>
      <c r="BT140" s="175"/>
      <c r="BU140" s="175"/>
      <c r="BV140" s="175"/>
      <c r="BW140" s="175"/>
      <c r="BX140" s="175"/>
      <c r="BY140" s="175"/>
      <c r="BZ140" s="175"/>
      <c r="CA140" s="175"/>
      <c r="CB140" s="175"/>
      <c r="CC140" s="175"/>
      <c r="CD140" s="175"/>
      <c r="CE140" s="175"/>
      <c r="CF140" s="175"/>
      <c r="CG140" s="175"/>
      <c r="CH140" s="175"/>
      <c r="CI140" s="175"/>
      <c r="CJ140" s="175"/>
      <c r="CK140" s="175"/>
      <c r="CL140" s="175"/>
      <c r="CM140" s="175"/>
      <c r="CN140" s="175"/>
      <c r="CO140" s="175"/>
      <c r="CP140" s="175"/>
      <c r="CQ140" s="175"/>
      <c r="CR140" s="175"/>
      <c r="CS140" s="175"/>
      <c r="CT140" s="175"/>
      <c r="CU140" s="175"/>
      <c r="CV140" s="175"/>
      <c r="CW140" s="175"/>
      <c r="CX140" s="175"/>
      <c r="CY140" s="175"/>
      <c r="CZ140" s="175"/>
      <c r="DA140" s="175"/>
      <c r="DB140" s="175"/>
      <c r="DC140" s="175"/>
      <c r="DD140" s="175"/>
      <c r="DE140" s="175"/>
      <c r="DF140" s="175"/>
      <c r="DG140" s="175"/>
      <c r="DH140" s="175"/>
      <c r="DI140" s="175"/>
      <c r="DJ140" s="175"/>
      <c r="DK140" s="175"/>
      <c r="DL140" s="175"/>
      <c r="DM140" s="175"/>
      <c r="DN140" s="175"/>
      <c r="DO140" s="175"/>
      <c r="DP140" s="175"/>
      <c r="DQ140" s="175"/>
      <c r="DR140" s="175"/>
      <c r="DS140" s="175"/>
      <c r="DT140" s="175"/>
      <c r="DU140" s="175"/>
      <c r="DV140" s="175"/>
      <c r="DW140" s="175"/>
      <c r="DX140" s="175"/>
      <c r="DY140" s="175"/>
      <c r="DZ140" s="175"/>
      <c r="EA140" s="175"/>
      <c r="EB140" s="175"/>
      <c r="EC140" s="175"/>
      <c r="ED140" s="175"/>
      <c r="EE140" s="175"/>
      <c r="EF140" s="175"/>
      <c r="EG140" s="175"/>
      <c r="EH140" s="175"/>
      <c r="EI140" s="175"/>
      <c r="EJ140" s="175"/>
      <c r="EK140" s="175"/>
      <c r="EL140" s="175"/>
      <c r="EM140" s="175"/>
      <c r="EN140" s="175"/>
      <c r="EO140" s="175"/>
      <c r="EP140" s="175"/>
      <c r="EQ140" s="175"/>
      <c r="ER140" s="175"/>
      <c r="ES140" s="175"/>
      <c r="ET140" s="175"/>
      <c r="EU140" s="175"/>
      <c r="EV140" s="175"/>
      <c r="EW140" s="175"/>
      <c r="EX140" s="175"/>
      <c r="EY140" s="175"/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175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  <c r="HN140" s="175"/>
      <c r="HO140" s="175"/>
      <c r="HP140" s="175"/>
      <c r="HQ140" s="175"/>
      <c r="HR140" s="175"/>
      <c r="HS140" s="175"/>
      <c r="HT140" s="175"/>
      <c r="HU140" s="175"/>
      <c r="HV140" s="175"/>
      <c r="HW140" s="175"/>
      <c r="HX140" s="175"/>
      <c r="HY140" s="175"/>
      <c r="HZ140" s="175"/>
      <c r="IA140" s="175"/>
      <c r="IB140" s="175"/>
      <c r="IC140" s="175"/>
      <c r="ID140" s="175"/>
      <c r="IE140" s="175"/>
      <c r="IF140" s="175"/>
      <c r="IG140" s="175"/>
      <c r="IH140" s="175"/>
      <c r="II140" s="175"/>
      <c r="IJ140" s="175"/>
      <c r="IK140" s="175"/>
      <c r="IL140" s="175"/>
      <c r="IM140" s="175"/>
      <c r="IN140" s="175"/>
      <c r="IO140" s="175"/>
      <c r="IP140" s="175"/>
      <c r="IQ140" s="175"/>
    </row>
    <row r="141" spans="1:251" s="146" customFormat="1" ht="21.75" customHeight="1">
      <c r="A141" s="179">
        <v>134</v>
      </c>
      <c r="B141" s="458" t="s">
        <v>288</v>
      </c>
      <c r="C141" s="459" t="s">
        <v>191</v>
      </c>
      <c r="D141" s="460">
        <v>55</v>
      </c>
      <c r="E141" s="460"/>
      <c r="F141" s="459" t="s">
        <v>249</v>
      </c>
      <c r="G141" s="460" t="s">
        <v>461</v>
      </c>
      <c r="H141" s="407" t="s">
        <v>190</v>
      </c>
      <c r="I141" s="180">
        <f t="shared" si="8"/>
        <v>97500</v>
      </c>
      <c r="J141" s="408" t="s">
        <v>434</v>
      </c>
      <c r="K141" s="183">
        <f t="shared" si="9"/>
        <v>75000</v>
      </c>
      <c r="L141" s="408" t="s">
        <v>56</v>
      </c>
      <c r="M141" s="181">
        <f t="shared" si="10"/>
        <v>0</v>
      </c>
      <c r="N141" s="181">
        <f t="shared" si="11"/>
        <v>172500</v>
      </c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/>
      <c r="BK141" s="175"/>
      <c r="BL141" s="175"/>
      <c r="BM141" s="175"/>
      <c r="BN141" s="175"/>
      <c r="BO141" s="175"/>
      <c r="BP141" s="175"/>
      <c r="BQ141" s="175"/>
      <c r="BR141" s="175"/>
      <c r="BS141" s="175"/>
      <c r="BT141" s="175"/>
      <c r="BU141" s="175"/>
      <c r="BV141" s="175"/>
      <c r="BW141" s="175"/>
      <c r="BX141" s="175"/>
      <c r="BY141" s="175"/>
      <c r="BZ141" s="175"/>
      <c r="CA141" s="175"/>
      <c r="CB141" s="175"/>
      <c r="CC141" s="175"/>
      <c r="CD141" s="175"/>
      <c r="CE141" s="175"/>
      <c r="CF141" s="175"/>
      <c r="CG141" s="175"/>
      <c r="CH141" s="175"/>
      <c r="CI141" s="175"/>
      <c r="CJ141" s="175"/>
      <c r="CK141" s="175"/>
      <c r="CL141" s="175"/>
      <c r="CM141" s="175"/>
      <c r="CN141" s="175"/>
      <c r="CO141" s="175"/>
      <c r="CP141" s="175"/>
      <c r="CQ141" s="175"/>
      <c r="CR141" s="175"/>
      <c r="CS141" s="175"/>
      <c r="CT141" s="175"/>
      <c r="CU141" s="175"/>
      <c r="CV141" s="175"/>
      <c r="CW141" s="175"/>
      <c r="CX141" s="175"/>
      <c r="CY141" s="175"/>
      <c r="CZ141" s="175"/>
      <c r="DA141" s="175"/>
      <c r="DB141" s="175"/>
      <c r="DC141" s="175"/>
      <c r="DD141" s="175"/>
      <c r="DE141" s="175"/>
      <c r="DF141" s="175"/>
      <c r="DG141" s="175"/>
      <c r="DH141" s="175"/>
      <c r="DI141" s="175"/>
      <c r="DJ141" s="175"/>
      <c r="DK141" s="175"/>
      <c r="DL141" s="175"/>
      <c r="DM141" s="175"/>
      <c r="DN141" s="175"/>
      <c r="DO141" s="175"/>
      <c r="DP141" s="175"/>
      <c r="DQ141" s="175"/>
      <c r="DR141" s="175"/>
      <c r="DS141" s="175"/>
      <c r="DT141" s="175"/>
      <c r="DU141" s="175"/>
      <c r="DV141" s="175"/>
      <c r="DW141" s="175"/>
      <c r="DX141" s="175"/>
      <c r="DY141" s="175"/>
      <c r="DZ141" s="175"/>
      <c r="EA141" s="175"/>
      <c r="EB141" s="175"/>
      <c r="EC141" s="175"/>
      <c r="ED141" s="175"/>
      <c r="EE141" s="175"/>
      <c r="EF141" s="175"/>
      <c r="EG141" s="175"/>
      <c r="EH141" s="175"/>
      <c r="EI141" s="175"/>
      <c r="EJ141" s="175"/>
      <c r="EK141" s="175"/>
      <c r="EL141" s="175"/>
      <c r="EM141" s="175"/>
      <c r="EN141" s="175"/>
      <c r="EO141" s="175"/>
      <c r="EP141" s="175"/>
      <c r="EQ141" s="175"/>
      <c r="ER141" s="175"/>
      <c r="ES141" s="175"/>
      <c r="ET141" s="175"/>
      <c r="EU141" s="175"/>
      <c r="EV141" s="175"/>
      <c r="EW141" s="175"/>
      <c r="EX141" s="175"/>
      <c r="EY141" s="175"/>
      <c r="EZ141" s="175"/>
      <c r="FA141" s="175"/>
      <c r="FB141" s="175"/>
      <c r="FC141" s="175"/>
      <c r="FD141" s="175"/>
      <c r="FE141" s="175"/>
      <c r="FF141" s="175"/>
      <c r="FG141" s="175"/>
      <c r="FH141" s="175"/>
      <c r="FI141" s="175"/>
      <c r="FJ141" s="175"/>
      <c r="FK141" s="175"/>
      <c r="FL141" s="175"/>
      <c r="FM141" s="175"/>
      <c r="FN141" s="175"/>
      <c r="FO141" s="175"/>
      <c r="FP141" s="175"/>
      <c r="FQ141" s="175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  <c r="HN141" s="175"/>
      <c r="HO141" s="175"/>
      <c r="HP141" s="175"/>
      <c r="HQ141" s="175"/>
      <c r="HR141" s="175"/>
      <c r="HS141" s="175"/>
      <c r="HT141" s="175"/>
      <c r="HU141" s="175"/>
      <c r="HV141" s="175"/>
      <c r="HW141" s="175"/>
      <c r="HX141" s="175"/>
      <c r="HY141" s="175"/>
      <c r="HZ141" s="175"/>
      <c r="IA141" s="175"/>
      <c r="IB141" s="175"/>
      <c r="IC141" s="175"/>
      <c r="ID141" s="175"/>
      <c r="IE141" s="175"/>
      <c r="IF141" s="175"/>
      <c r="IG141" s="175"/>
      <c r="IH141" s="175"/>
      <c r="II141" s="175"/>
      <c r="IJ141" s="175"/>
      <c r="IK141" s="175"/>
      <c r="IL141" s="175"/>
      <c r="IM141" s="175"/>
      <c r="IN141" s="175"/>
      <c r="IO141" s="175"/>
      <c r="IP141" s="175"/>
      <c r="IQ141" s="175"/>
    </row>
    <row r="142" spans="1:251" s="146" customFormat="1" ht="21.75" customHeight="1">
      <c r="A142" s="179">
        <v>135</v>
      </c>
      <c r="B142" s="458" t="s">
        <v>288</v>
      </c>
      <c r="C142" s="459" t="s">
        <v>297</v>
      </c>
      <c r="D142" s="460">
        <v>57</v>
      </c>
      <c r="E142" s="460"/>
      <c r="F142" s="459" t="s">
        <v>256</v>
      </c>
      <c r="G142" s="460" t="s">
        <v>182</v>
      </c>
      <c r="H142" s="407" t="s">
        <v>159</v>
      </c>
      <c r="I142" s="180">
        <f t="shared" si="8"/>
        <v>97500</v>
      </c>
      <c r="J142" s="408" t="s">
        <v>190</v>
      </c>
      <c r="K142" s="183">
        <f t="shared" si="9"/>
        <v>75000</v>
      </c>
      <c r="L142" s="408" t="s">
        <v>56</v>
      </c>
      <c r="M142" s="181">
        <f t="shared" si="10"/>
        <v>0</v>
      </c>
      <c r="N142" s="181">
        <f t="shared" si="11"/>
        <v>172500</v>
      </c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  <c r="AT142" s="175"/>
      <c r="AU142" s="175"/>
      <c r="AV142" s="175"/>
      <c r="AW142" s="175"/>
      <c r="AX142" s="175"/>
      <c r="AY142" s="175"/>
      <c r="AZ142" s="175"/>
      <c r="BA142" s="175"/>
      <c r="BB142" s="175"/>
      <c r="BC142" s="175"/>
      <c r="BD142" s="175"/>
      <c r="BE142" s="175"/>
      <c r="BF142" s="175"/>
      <c r="BG142" s="175"/>
      <c r="BH142" s="175"/>
      <c r="BI142" s="175"/>
      <c r="BJ142" s="175"/>
      <c r="BK142" s="175"/>
      <c r="BL142" s="175"/>
      <c r="BM142" s="175"/>
      <c r="BN142" s="175"/>
      <c r="BO142" s="175"/>
      <c r="BP142" s="175"/>
      <c r="BQ142" s="175"/>
      <c r="BR142" s="175"/>
      <c r="BS142" s="175"/>
      <c r="BT142" s="175"/>
      <c r="BU142" s="175"/>
      <c r="BV142" s="175"/>
      <c r="BW142" s="175"/>
      <c r="BX142" s="175"/>
      <c r="BY142" s="175"/>
      <c r="BZ142" s="175"/>
      <c r="CA142" s="175"/>
      <c r="CB142" s="175"/>
      <c r="CC142" s="175"/>
      <c r="CD142" s="175"/>
      <c r="CE142" s="175"/>
      <c r="CF142" s="175"/>
      <c r="CG142" s="175"/>
      <c r="CH142" s="175"/>
      <c r="CI142" s="175"/>
      <c r="CJ142" s="175"/>
      <c r="CK142" s="175"/>
      <c r="CL142" s="175"/>
      <c r="CM142" s="175"/>
      <c r="CN142" s="175"/>
      <c r="CO142" s="175"/>
      <c r="CP142" s="175"/>
      <c r="CQ142" s="175"/>
      <c r="CR142" s="175"/>
      <c r="CS142" s="175"/>
      <c r="CT142" s="175"/>
      <c r="CU142" s="175"/>
      <c r="CV142" s="175"/>
      <c r="CW142" s="175"/>
      <c r="CX142" s="175"/>
      <c r="CY142" s="175"/>
      <c r="CZ142" s="175"/>
      <c r="DA142" s="175"/>
      <c r="DB142" s="175"/>
      <c r="DC142" s="175"/>
      <c r="DD142" s="175"/>
      <c r="DE142" s="175"/>
      <c r="DF142" s="175"/>
      <c r="DG142" s="175"/>
      <c r="DH142" s="175"/>
      <c r="DI142" s="175"/>
      <c r="DJ142" s="175"/>
      <c r="DK142" s="175"/>
      <c r="DL142" s="175"/>
      <c r="DM142" s="175"/>
      <c r="DN142" s="175"/>
      <c r="DO142" s="175"/>
      <c r="DP142" s="175"/>
      <c r="DQ142" s="175"/>
      <c r="DR142" s="175"/>
      <c r="DS142" s="175"/>
      <c r="DT142" s="175"/>
      <c r="DU142" s="175"/>
      <c r="DV142" s="175"/>
      <c r="DW142" s="175"/>
      <c r="DX142" s="175"/>
      <c r="DY142" s="175"/>
      <c r="DZ142" s="175"/>
      <c r="EA142" s="175"/>
      <c r="EB142" s="175"/>
      <c r="EC142" s="175"/>
      <c r="ED142" s="175"/>
      <c r="EE142" s="175"/>
      <c r="EF142" s="175"/>
      <c r="EG142" s="175"/>
      <c r="EH142" s="175"/>
      <c r="EI142" s="175"/>
      <c r="EJ142" s="175"/>
      <c r="EK142" s="175"/>
      <c r="EL142" s="175"/>
      <c r="EM142" s="175"/>
      <c r="EN142" s="175"/>
      <c r="EO142" s="175"/>
      <c r="EP142" s="175"/>
      <c r="EQ142" s="175"/>
      <c r="ER142" s="175"/>
      <c r="ES142" s="175"/>
      <c r="ET142" s="175"/>
      <c r="EU142" s="175"/>
      <c r="EV142" s="175"/>
      <c r="EW142" s="175"/>
      <c r="EX142" s="175"/>
      <c r="EY142" s="175"/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175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  <c r="HN142" s="175"/>
      <c r="HO142" s="175"/>
      <c r="HP142" s="175"/>
      <c r="HQ142" s="175"/>
      <c r="HR142" s="175"/>
      <c r="HS142" s="175"/>
      <c r="HT142" s="175"/>
      <c r="HU142" s="175"/>
      <c r="HV142" s="175"/>
      <c r="HW142" s="175"/>
      <c r="HX142" s="175"/>
      <c r="HY142" s="175"/>
      <c r="HZ142" s="175"/>
      <c r="IA142" s="175"/>
      <c r="IB142" s="175"/>
      <c r="IC142" s="175"/>
      <c r="ID142" s="175"/>
      <c r="IE142" s="175"/>
      <c r="IF142" s="175"/>
      <c r="IG142" s="175"/>
      <c r="IH142" s="175"/>
      <c r="II142" s="175"/>
      <c r="IJ142" s="175"/>
      <c r="IK142" s="175"/>
      <c r="IL142" s="175"/>
      <c r="IM142" s="175"/>
      <c r="IN142" s="175"/>
      <c r="IO142" s="175"/>
      <c r="IP142" s="175"/>
      <c r="IQ142" s="175"/>
    </row>
    <row r="143" spans="1:251" s="146" customFormat="1" ht="21.75" customHeight="1">
      <c r="A143" s="179">
        <v>136</v>
      </c>
      <c r="B143" s="458" t="s">
        <v>288</v>
      </c>
      <c r="C143" s="459" t="s">
        <v>297</v>
      </c>
      <c r="D143" s="460">
        <v>57</v>
      </c>
      <c r="E143" s="460"/>
      <c r="F143" s="459" t="s">
        <v>298</v>
      </c>
      <c r="G143" s="460" t="s">
        <v>182</v>
      </c>
      <c r="H143" s="407" t="s">
        <v>190</v>
      </c>
      <c r="I143" s="180">
        <f t="shared" si="8"/>
        <v>97500</v>
      </c>
      <c r="J143" s="408" t="s">
        <v>159</v>
      </c>
      <c r="K143" s="183">
        <f t="shared" si="9"/>
        <v>75000</v>
      </c>
      <c r="L143" s="408" t="s">
        <v>56</v>
      </c>
      <c r="M143" s="181">
        <f t="shared" si="10"/>
        <v>0</v>
      </c>
      <c r="N143" s="181">
        <f t="shared" si="11"/>
        <v>172500</v>
      </c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5"/>
      <c r="BI143" s="175"/>
      <c r="BJ143" s="175"/>
      <c r="BK143" s="175"/>
      <c r="BL143" s="175"/>
      <c r="BM143" s="175"/>
      <c r="BN143" s="175"/>
      <c r="BO143" s="175"/>
      <c r="BP143" s="175"/>
      <c r="BQ143" s="175"/>
      <c r="BR143" s="175"/>
      <c r="BS143" s="175"/>
      <c r="BT143" s="175"/>
      <c r="BU143" s="175"/>
      <c r="BV143" s="175"/>
      <c r="BW143" s="175"/>
      <c r="BX143" s="175"/>
      <c r="BY143" s="175"/>
      <c r="BZ143" s="175"/>
      <c r="CA143" s="175"/>
      <c r="CB143" s="175"/>
      <c r="CC143" s="175"/>
      <c r="CD143" s="175"/>
      <c r="CE143" s="175"/>
      <c r="CF143" s="175"/>
      <c r="CG143" s="175"/>
      <c r="CH143" s="175"/>
      <c r="CI143" s="175"/>
      <c r="CJ143" s="175"/>
      <c r="CK143" s="175"/>
      <c r="CL143" s="175"/>
      <c r="CM143" s="175"/>
      <c r="CN143" s="175"/>
      <c r="CO143" s="175"/>
      <c r="CP143" s="175"/>
      <c r="CQ143" s="175"/>
      <c r="CR143" s="175"/>
      <c r="CS143" s="175"/>
      <c r="CT143" s="175"/>
      <c r="CU143" s="175"/>
      <c r="CV143" s="175"/>
      <c r="CW143" s="175"/>
      <c r="CX143" s="175"/>
      <c r="CY143" s="175"/>
      <c r="CZ143" s="175"/>
      <c r="DA143" s="175"/>
      <c r="DB143" s="175"/>
      <c r="DC143" s="175"/>
      <c r="DD143" s="175"/>
      <c r="DE143" s="175"/>
      <c r="DF143" s="175"/>
      <c r="DG143" s="175"/>
      <c r="DH143" s="175"/>
      <c r="DI143" s="175"/>
      <c r="DJ143" s="175"/>
      <c r="DK143" s="175"/>
      <c r="DL143" s="175"/>
      <c r="DM143" s="175"/>
      <c r="DN143" s="175"/>
      <c r="DO143" s="175"/>
      <c r="DP143" s="175"/>
      <c r="DQ143" s="175"/>
      <c r="DR143" s="175"/>
      <c r="DS143" s="175"/>
      <c r="DT143" s="175"/>
      <c r="DU143" s="175"/>
      <c r="DV143" s="175"/>
      <c r="DW143" s="175"/>
      <c r="DX143" s="175"/>
      <c r="DY143" s="175"/>
      <c r="DZ143" s="175"/>
      <c r="EA143" s="175"/>
      <c r="EB143" s="175"/>
      <c r="EC143" s="175"/>
      <c r="ED143" s="175"/>
      <c r="EE143" s="175"/>
      <c r="EF143" s="175"/>
      <c r="EG143" s="175"/>
      <c r="EH143" s="175"/>
      <c r="EI143" s="175"/>
      <c r="EJ143" s="175"/>
      <c r="EK143" s="175"/>
      <c r="EL143" s="175"/>
      <c r="EM143" s="175"/>
      <c r="EN143" s="175"/>
      <c r="EO143" s="175"/>
      <c r="EP143" s="175"/>
      <c r="EQ143" s="175"/>
      <c r="ER143" s="175"/>
      <c r="ES143" s="175"/>
      <c r="ET143" s="175"/>
      <c r="EU143" s="175"/>
      <c r="EV143" s="175"/>
      <c r="EW143" s="175"/>
      <c r="EX143" s="175"/>
      <c r="EY143" s="175"/>
      <c r="EZ143" s="175"/>
      <c r="FA143" s="175"/>
      <c r="FB143" s="175"/>
      <c r="FC143" s="175"/>
      <c r="FD143" s="175"/>
      <c r="FE143" s="175"/>
      <c r="FF143" s="175"/>
      <c r="FG143" s="175"/>
      <c r="FH143" s="175"/>
      <c r="FI143" s="175"/>
      <c r="FJ143" s="175"/>
      <c r="FK143" s="175"/>
      <c r="FL143" s="175"/>
      <c r="FM143" s="175"/>
      <c r="FN143" s="175"/>
      <c r="FO143" s="175"/>
      <c r="FP143" s="175"/>
      <c r="FQ143" s="175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  <c r="HN143" s="175"/>
      <c r="HO143" s="175"/>
      <c r="HP143" s="175"/>
      <c r="HQ143" s="175"/>
      <c r="HR143" s="175"/>
      <c r="HS143" s="175"/>
      <c r="HT143" s="175"/>
      <c r="HU143" s="175"/>
      <c r="HV143" s="175"/>
      <c r="HW143" s="175"/>
      <c r="HX143" s="175"/>
      <c r="HY143" s="175"/>
      <c r="HZ143" s="175"/>
      <c r="IA143" s="175"/>
      <c r="IB143" s="175"/>
      <c r="IC143" s="175"/>
      <c r="ID143" s="175"/>
      <c r="IE143" s="175"/>
      <c r="IF143" s="175"/>
      <c r="IG143" s="175"/>
      <c r="IH143" s="175"/>
      <c r="II143" s="175"/>
      <c r="IJ143" s="175"/>
      <c r="IK143" s="175"/>
      <c r="IL143" s="175"/>
      <c r="IM143" s="175"/>
      <c r="IN143" s="175"/>
      <c r="IO143" s="175"/>
      <c r="IP143" s="175"/>
      <c r="IQ143" s="175"/>
    </row>
    <row r="144" spans="1:251" s="146" customFormat="1" ht="21.75" customHeight="1">
      <c r="A144" s="179">
        <v>137</v>
      </c>
      <c r="B144" s="458" t="s">
        <v>299</v>
      </c>
      <c r="C144" s="459" t="s">
        <v>465</v>
      </c>
      <c r="D144" s="460"/>
      <c r="E144" s="460">
        <v>46</v>
      </c>
      <c r="F144" s="459" t="s">
        <v>290</v>
      </c>
      <c r="G144" s="460" t="s">
        <v>461</v>
      </c>
      <c r="H144" s="407" t="s">
        <v>183</v>
      </c>
      <c r="I144" s="180">
        <f t="shared" si="8"/>
        <v>97500</v>
      </c>
      <c r="J144" s="408" t="s">
        <v>428</v>
      </c>
      <c r="K144" s="183">
        <f t="shared" si="9"/>
        <v>75000</v>
      </c>
      <c r="L144" s="408" t="s">
        <v>56</v>
      </c>
      <c r="M144" s="181">
        <f t="shared" si="10"/>
        <v>0</v>
      </c>
      <c r="N144" s="181">
        <f t="shared" si="11"/>
        <v>172500</v>
      </c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  <c r="AQ144" s="175"/>
      <c r="AR144" s="175"/>
      <c r="AS144" s="175"/>
      <c r="AT144" s="175"/>
      <c r="AU144" s="175"/>
      <c r="AV144" s="175"/>
      <c r="AW144" s="175"/>
      <c r="AX144" s="175"/>
      <c r="AY144" s="175"/>
      <c r="AZ144" s="175"/>
      <c r="BA144" s="175"/>
      <c r="BB144" s="175"/>
      <c r="BC144" s="175"/>
      <c r="BD144" s="175"/>
      <c r="BE144" s="175"/>
      <c r="BF144" s="175"/>
      <c r="BG144" s="175"/>
      <c r="BH144" s="175"/>
      <c r="BI144" s="175"/>
      <c r="BJ144" s="175"/>
      <c r="BK144" s="175"/>
      <c r="BL144" s="175"/>
      <c r="BM144" s="175"/>
      <c r="BN144" s="175"/>
      <c r="BO144" s="175"/>
      <c r="BP144" s="175"/>
      <c r="BQ144" s="175"/>
      <c r="BR144" s="175"/>
      <c r="BS144" s="175"/>
      <c r="BT144" s="175"/>
      <c r="BU144" s="175"/>
      <c r="BV144" s="175"/>
      <c r="BW144" s="175"/>
      <c r="BX144" s="175"/>
      <c r="BY144" s="175"/>
      <c r="BZ144" s="175"/>
      <c r="CA144" s="175"/>
      <c r="CB144" s="175"/>
      <c r="CC144" s="175"/>
      <c r="CD144" s="175"/>
      <c r="CE144" s="175"/>
      <c r="CF144" s="175"/>
      <c r="CG144" s="175"/>
      <c r="CH144" s="175"/>
      <c r="CI144" s="175"/>
      <c r="CJ144" s="175"/>
      <c r="CK144" s="175"/>
      <c r="CL144" s="175"/>
      <c r="CM144" s="175"/>
      <c r="CN144" s="175"/>
      <c r="CO144" s="175"/>
      <c r="CP144" s="175"/>
      <c r="CQ144" s="175"/>
      <c r="CR144" s="175"/>
      <c r="CS144" s="175"/>
      <c r="CT144" s="175"/>
      <c r="CU144" s="175"/>
      <c r="CV144" s="175"/>
      <c r="CW144" s="175"/>
      <c r="CX144" s="175"/>
      <c r="CY144" s="175"/>
      <c r="CZ144" s="175"/>
      <c r="DA144" s="175"/>
      <c r="DB144" s="175"/>
      <c r="DC144" s="175"/>
      <c r="DD144" s="175"/>
      <c r="DE144" s="175"/>
      <c r="DF144" s="175"/>
      <c r="DG144" s="175"/>
      <c r="DH144" s="175"/>
      <c r="DI144" s="175"/>
      <c r="DJ144" s="175"/>
      <c r="DK144" s="175"/>
      <c r="DL144" s="175"/>
      <c r="DM144" s="175"/>
      <c r="DN144" s="175"/>
      <c r="DO144" s="175"/>
      <c r="DP144" s="175"/>
      <c r="DQ144" s="175"/>
      <c r="DR144" s="175"/>
      <c r="DS144" s="175"/>
      <c r="DT144" s="175"/>
      <c r="DU144" s="175"/>
      <c r="DV144" s="175"/>
      <c r="DW144" s="175"/>
      <c r="DX144" s="175"/>
      <c r="DY144" s="175"/>
      <c r="DZ144" s="175"/>
      <c r="EA144" s="175"/>
      <c r="EB144" s="175"/>
      <c r="EC144" s="175"/>
      <c r="ED144" s="175"/>
      <c r="EE144" s="175"/>
      <c r="EF144" s="175"/>
      <c r="EG144" s="175"/>
      <c r="EH144" s="175"/>
      <c r="EI144" s="175"/>
      <c r="EJ144" s="175"/>
      <c r="EK144" s="175"/>
      <c r="EL144" s="175"/>
      <c r="EM144" s="175"/>
      <c r="EN144" s="175"/>
      <c r="EO144" s="175"/>
      <c r="EP144" s="175"/>
      <c r="EQ144" s="175"/>
      <c r="ER144" s="175"/>
      <c r="ES144" s="175"/>
      <c r="ET144" s="175"/>
      <c r="EU144" s="175"/>
      <c r="EV144" s="175"/>
      <c r="EW144" s="175"/>
      <c r="EX144" s="175"/>
      <c r="EY144" s="175"/>
      <c r="EZ144" s="175"/>
      <c r="FA144" s="175"/>
      <c r="FB144" s="175"/>
      <c r="FC144" s="175"/>
      <c r="FD144" s="175"/>
      <c r="FE144" s="175"/>
      <c r="FF144" s="175"/>
      <c r="FG144" s="175"/>
      <c r="FH144" s="175"/>
      <c r="FI144" s="175"/>
      <c r="FJ144" s="175"/>
      <c r="FK144" s="175"/>
      <c r="FL144" s="175"/>
      <c r="FM144" s="175"/>
      <c r="FN144" s="175"/>
      <c r="FO144" s="175"/>
      <c r="FP144" s="175"/>
      <c r="FQ144" s="175"/>
      <c r="FR144" s="175"/>
      <c r="FS144" s="175"/>
      <c r="FT144" s="175"/>
      <c r="FU144" s="175"/>
      <c r="FV144" s="175"/>
      <c r="FW144" s="175"/>
      <c r="FX144" s="175"/>
      <c r="FY144" s="175"/>
      <c r="FZ144" s="175"/>
      <c r="GA144" s="175"/>
      <c r="GB144" s="175"/>
      <c r="GC144" s="175"/>
      <c r="GD144" s="175"/>
      <c r="GE144" s="175"/>
      <c r="GF144" s="175"/>
      <c r="GG144" s="175"/>
      <c r="GH144" s="175"/>
      <c r="GI144" s="175"/>
      <c r="GJ144" s="175"/>
      <c r="GK144" s="175"/>
      <c r="GL144" s="175"/>
      <c r="GM144" s="175"/>
      <c r="GN144" s="175"/>
      <c r="GO144" s="175"/>
      <c r="GP144" s="175"/>
      <c r="GQ144" s="175"/>
      <c r="GR144" s="175"/>
      <c r="GS144" s="175"/>
      <c r="GT144" s="175"/>
      <c r="GU144" s="175"/>
      <c r="GV144" s="175"/>
      <c r="GW144" s="175"/>
      <c r="GX144" s="175"/>
      <c r="GY144" s="175"/>
      <c r="GZ144" s="175"/>
      <c r="HA144" s="175"/>
      <c r="HB144" s="175"/>
      <c r="HC144" s="175"/>
      <c r="HD144" s="175"/>
      <c r="HE144" s="175"/>
      <c r="HF144" s="175"/>
      <c r="HG144" s="175"/>
      <c r="HH144" s="175"/>
      <c r="HI144" s="175"/>
      <c r="HJ144" s="175"/>
      <c r="HK144" s="175"/>
      <c r="HL144" s="175"/>
      <c r="HM144" s="175"/>
      <c r="HN144" s="175"/>
      <c r="HO144" s="175"/>
      <c r="HP144" s="175"/>
      <c r="HQ144" s="175"/>
      <c r="HR144" s="175"/>
      <c r="HS144" s="175"/>
      <c r="HT144" s="175"/>
      <c r="HU144" s="175"/>
      <c r="HV144" s="175"/>
      <c r="HW144" s="175"/>
      <c r="HX144" s="175"/>
      <c r="HY144" s="175"/>
      <c r="HZ144" s="175"/>
      <c r="IA144" s="175"/>
      <c r="IB144" s="175"/>
      <c r="IC144" s="175"/>
      <c r="ID144" s="175"/>
      <c r="IE144" s="175"/>
      <c r="IF144" s="175"/>
      <c r="IG144" s="175"/>
      <c r="IH144" s="175"/>
      <c r="II144" s="175"/>
      <c r="IJ144" s="175"/>
      <c r="IK144" s="175"/>
      <c r="IL144" s="175"/>
      <c r="IM144" s="175"/>
      <c r="IN144" s="175"/>
      <c r="IO144" s="175"/>
      <c r="IP144" s="175"/>
      <c r="IQ144" s="175"/>
    </row>
    <row r="145" spans="1:251" s="146" customFormat="1" ht="21.75" customHeight="1">
      <c r="A145" s="179">
        <v>138</v>
      </c>
      <c r="B145" s="458" t="s">
        <v>308</v>
      </c>
      <c r="C145" s="459" t="s">
        <v>311</v>
      </c>
      <c r="D145" s="460">
        <v>48</v>
      </c>
      <c r="E145" s="460"/>
      <c r="F145" s="459" t="s">
        <v>249</v>
      </c>
      <c r="G145" s="460" t="s">
        <v>182</v>
      </c>
      <c r="H145" s="407" t="s">
        <v>190</v>
      </c>
      <c r="I145" s="180">
        <f t="shared" si="8"/>
        <v>97500</v>
      </c>
      <c r="J145" s="408" t="s">
        <v>428</v>
      </c>
      <c r="K145" s="183">
        <f t="shared" si="9"/>
        <v>75000</v>
      </c>
      <c r="L145" s="408" t="s">
        <v>56</v>
      </c>
      <c r="M145" s="181">
        <f t="shared" si="10"/>
        <v>0</v>
      </c>
      <c r="N145" s="181">
        <f t="shared" si="11"/>
        <v>172500</v>
      </c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  <c r="AT145" s="175"/>
      <c r="AU145" s="175"/>
      <c r="AV145" s="175"/>
      <c r="AW145" s="175"/>
      <c r="AX145" s="175"/>
      <c r="AY145" s="175"/>
      <c r="AZ145" s="175"/>
      <c r="BA145" s="175"/>
      <c r="BB145" s="175"/>
      <c r="BC145" s="175"/>
      <c r="BD145" s="175"/>
      <c r="BE145" s="175"/>
      <c r="BF145" s="175"/>
      <c r="BG145" s="175"/>
      <c r="BH145" s="175"/>
      <c r="BI145" s="175"/>
      <c r="BJ145" s="175"/>
      <c r="BK145" s="175"/>
      <c r="BL145" s="175"/>
      <c r="BM145" s="175"/>
      <c r="BN145" s="175"/>
      <c r="BO145" s="175"/>
      <c r="BP145" s="175"/>
      <c r="BQ145" s="175"/>
      <c r="BR145" s="175"/>
      <c r="BS145" s="175"/>
      <c r="BT145" s="175"/>
      <c r="BU145" s="175"/>
      <c r="BV145" s="175"/>
      <c r="BW145" s="175"/>
      <c r="BX145" s="175"/>
      <c r="BY145" s="175"/>
      <c r="BZ145" s="175"/>
      <c r="CA145" s="175"/>
      <c r="CB145" s="175"/>
      <c r="CC145" s="175"/>
      <c r="CD145" s="175"/>
      <c r="CE145" s="175"/>
      <c r="CF145" s="175"/>
      <c r="CG145" s="175"/>
      <c r="CH145" s="175"/>
      <c r="CI145" s="175"/>
      <c r="CJ145" s="175"/>
      <c r="CK145" s="175"/>
      <c r="CL145" s="175"/>
      <c r="CM145" s="175"/>
      <c r="CN145" s="175"/>
      <c r="CO145" s="175"/>
      <c r="CP145" s="175"/>
      <c r="CQ145" s="175"/>
      <c r="CR145" s="175"/>
      <c r="CS145" s="175"/>
      <c r="CT145" s="175"/>
      <c r="CU145" s="175"/>
      <c r="CV145" s="175"/>
      <c r="CW145" s="175"/>
      <c r="CX145" s="175"/>
      <c r="CY145" s="175"/>
      <c r="CZ145" s="175"/>
      <c r="DA145" s="175"/>
      <c r="DB145" s="175"/>
      <c r="DC145" s="175"/>
      <c r="DD145" s="175"/>
      <c r="DE145" s="175"/>
      <c r="DF145" s="175"/>
      <c r="DG145" s="175"/>
      <c r="DH145" s="175"/>
      <c r="DI145" s="175"/>
      <c r="DJ145" s="175"/>
      <c r="DK145" s="175"/>
      <c r="DL145" s="175"/>
      <c r="DM145" s="175"/>
      <c r="DN145" s="175"/>
      <c r="DO145" s="175"/>
      <c r="DP145" s="175"/>
      <c r="DQ145" s="175"/>
      <c r="DR145" s="175"/>
      <c r="DS145" s="175"/>
      <c r="DT145" s="175"/>
      <c r="DU145" s="175"/>
      <c r="DV145" s="175"/>
      <c r="DW145" s="175"/>
      <c r="DX145" s="175"/>
      <c r="DY145" s="175"/>
      <c r="DZ145" s="175"/>
      <c r="EA145" s="175"/>
      <c r="EB145" s="175"/>
      <c r="EC145" s="175"/>
      <c r="ED145" s="175"/>
      <c r="EE145" s="175"/>
      <c r="EF145" s="175"/>
      <c r="EG145" s="175"/>
      <c r="EH145" s="175"/>
      <c r="EI145" s="175"/>
      <c r="EJ145" s="175"/>
      <c r="EK145" s="175"/>
      <c r="EL145" s="175"/>
      <c r="EM145" s="175"/>
      <c r="EN145" s="175"/>
      <c r="EO145" s="175"/>
      <c r="EP145" s="175"/>
      <c r="EQ145" s="175"/>
      <c r="ER145" s="175"/>
      <c r="ES145" s="175"/>
      <c r="ET145" s="175"/>
      <c r="EU145" s="175"/>
      <c r="EV145" s="175"/>
      <c r="EW145" s="175"/>
      <c r="EX145" s="175"/>
      <c r="EY145" s="175"/>
      <c r="EZ145" s="175"/>
      <c r="FA145" s="175"/>
      <c r="FB145" s="175"/>
      <c r="FC145" s="175"/>
      <c r="FD145" s="175"/>
      <c r="FE145" s="175"/>
      <c r="FF145" s="175"/>
      <c r="FG145" s="175"/>
      <c r="FH145" s="175"/>
      <c r="FI145" s="175"/>
      <c r="FJ145" s="175"/>
      <c r="FK145" s="175"/>
      <c r="FL145" s="175"/>
      <c r="FM145" s="175"/>
      <c r="FN145" s="175"/>
      <c r="FO145" s="175"/>
      <c r="FP145" s="175"/>
      <c r="FQ145" s="175"/>
      <c r="FR145" s="175"/>
      <c r="FS145" s="175"/>
      <c r="FT145" s="175"/>
      <c r="FU145" s="175"/>
      <c r="FV145" s="175"/>
      <c r="FW145" s="175"/>
      <c r="FX145" s="175"/>
      <c r="FY145" s="175"/>
      <c r="FZ145" s="175"/>
      <c r="GA145" s="175"/>
      <c r="GB145" s="175"/>
      <c r="GC145" s="175"/>
      <c r="GD145" s="175"/>
      <c r="GE145" s="175"/>
      <c r="GF145" s="175"/>
      <c r="GG145" s="175"/>
      <c r="GH145" s="175"/>
      <c r="GI145" s="175"/>
      <c r="GJ145" s="175"/>
      <c r="GK145" s="175"/>
      <c r="GL145" s="175"/>
      <c r="GM145" s="175"/>
      <c r="GN145" s="175"/>
      <c r="GO145" s="175"/>
      <c r="GP145" s="175"/>
      <c r="GQ145" s="175"/>
      <c r="GR145" s="175"/>
      <c r="GS145" s="175"/>
      <c r="GT145" s="175"/>
      <c r="GU145" s="175"/>
      <c r="GV145" s="175"/>
      <c r="GW145" s="175"/>
      <c r="GX145" s="175"/>
      <c r="GY145" s="175"/>
      <c r="GZ145" s="175"/>
      <c r="HA145" s="175"/>
      <c r="HB145" s="175"/>
      <c r="HC145" s="175"/>
      <c r="HD145" s="175"/>
      <c r="HE145" s="175"/>
      <c r="HF145" s="175"/>
      <c r="HG145" s="175"/>
      <c r="HH145" s="175"/>
      <c r="HI145" s="175"/>
      <c r="HJ145" s="175"/>
      <c r="HK145" s="175"/>
      <c r="HL145" s="175"/>
      <c r="HM145" s="175"/>
      <c r="HN145" s="175"/>
      <c r="HO145" s="175"/>
      <c r="HP145" s="175"/>
      <c r="HQ145" s="175"/>
      <c r="HR145" s="175"/>
      <c r="HS145" s="175"/>
      <c r="HT145" s="175"/>
      <c r="HU145" s="175"/>
      <c r="HV145" s="175"/>
      <c r="HW145" s="175"/>
      <c r="HX145" s="175"/>
      <c r="HY145" s="175"/>
      <c r="HZ145" s="175"/>
      <c r="IA145" s="175"/>
      <c r="IB145" s="175"/>
      <c r="IC145" s="175"/>
      <c r="ID145" s="175"/>
      <c r="IE145" s="175"/>
      <c r="IF145" s="175"/>
      <c r="IG145" s="175"/>
      <c r="IH145" s="175"/>
      <c r="II145" s="175"/>
      <c r="IJ145" s="175"/>
      <c r="IK145" s="175"/>
      <c r="IL145" s="175"/>
      <c r="IM145" s="175"/>
      <c r="IN145" s="175"/>
      <c r="IO145" s="175"/>
      <c r="IP145" s="175"/>
      <c r="IQ145" s="175"/>
    </row>
    <row r="146" spans="1:251" s="146" customFormat="1" ht="21.75" customHeight="1">
      <c r="A146" s="179">
        <v>139</v>
      </c>
      <c r="B146" s="458" t="s">
        <v>308</v>
      </c>
      <c r="C146" s="459" t="s">
        <v>312</v>
      </c>
      <c r="D146" s="460"/>
      <c r="E146" s="460">
        <v>58</v>
      </c>
      <c r="F146" s="459" t="s">
        <v>249</v>
      </c>
      <c r="G146" s="460" t="s">
        <v>182</v>
      </c>
      <c r="H146" s="407" t="s">
        <v>190</v>
      </c>
      <c r="I146" s="180">
        <f t="shared" si="8"/>
        <v>97500</v>
      </c>
      <c r="J146" s="408" t="s">
        <v>428</v>
      </c>
      <c r="K146" s="183">
        <f t="shared" si="9"/>
        <v>75000</v>
      </c>
      <c r="L146" s="408" t="s">
        <v>56</v>
      </c>
      <c r="M146" s="181">
        <f t="shared" si="10"/>
        <v>0</v>
      </c>
      <c r="N146" s="181">
        <f t="shared" si="11"/>
        <v>172500</v>
      </c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  <c r="AT146" s="175"/>
      <c r="AU146" s="175"/>
      <c r="AV146" s="175"/>
      <c r="AW146" s="175"/>
      <c r="AX146" s="175"/>
      <c r="AY146" s="175"/>
      <c r="AZ146" s="175"/>
      <c r="BA146" s="175"/>
      <c r="BB146" s="175"/>
      <c r="BC146" s="175"/>
      <c r="BD146" s="175"/>
      <c r="BE146" s="175"/>
      <c r="BF146" s="175"/>
      <c r="BG146" s="175"/>
      <c r="BH146" s="175"/>
      <c r="BI146" s="175"/>
      <c r="BJ146" s="175"/>
      <c r="BK146" s="175"/>
      <c r="BL146" s="175"/>
      <c r="BM146" s="175"/>
      <c r="BN146" s="175"/>
      <c r="BO146" s="175"/>
      <c r="BP146" s="175"/>
      <c r="BQ146" s="175"/>
      <c r="BR146" s="175"/>
      <c r="BS146" s="175"/>
      <c r="BT146" s="175"/>
      <c r="BU146" s="175"/>
      <c r="BV146" s="175"/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175"/>
      <c r="DC146" s="175"/>
      <c r="DD146" s="175"/>
      <c r="DE146" s="175"/>
      <c r="DF146" s="175"/>
      <c r="DG146" s="175"/>
      <c r="DH146" s="175"/>
      <c r="DI146" s="175"/>
      <c r="DJ146" s="175"/>
      <c r="DK146" s="175"/>
      <c r="DL146" s="175"/>
      <c r="DM146" s="175"/>
      <c r="DN146" s="175"/>
      <c r="DO146" s="175"/>
      <c r="DP146" s="175"/>
      <c r="DQ146" s="175"/>
      <c r="DR146" s="175"/>
      <c r="DS146" s="175"/>
      <c r="DT146" s="175"/>
      <c r="DU146" s="175"/>
      <c r="DV146" s="175"/>
      <c r="DW146" s="175"/>
      <c r="DX146" s="175"/>
      <c r="DY146" s="175"/>
      <c r="DZ146" s="175"/>
      <c r="EA146" s="175"/>
      <c r="EB146" s="175"/>
      <c r="EC146" s="175"/>
      <c r="ED146" s="175"/>
      <c r="EE146" s="175"/>
      <c r="EF146" s="175"/>
      <c r="EG146" s="175"/>
      <c r="EH146" s="175"/>
      <c r="EI146" s="175"/>
      <c r="EJ146" s="175"/>
      <c r="EK146" s="175"/>
      <c r="EL146" s="175"/>
      <c r="EM146" s="175"/>
      <c r="EN146" s="175"/>
      <c r="EO146" s="175"/>
      <c r="EP146" s="175"/>
      <c r="EQ146" s="175"/>
      <c r="ER146" s="175"/>
      <c r="ES146" s="175"/>
      <c r="ET146" s="175"/>
      <c r="EU146" s="175"/>
      <c r="EV146" s="175"/>
      <c r="EW146" s="175"/>
      <c r="EX146" s="175"/>
      <c r="EY146" s="175"/>
      <c r="EZ146" s="175"/>
      <c r="FA146" s="175"/>
      <c r="FB146" s="175"/>
      <c r="FC146" s="175"/>
      <c r="FD146" s="175"/>
      <c r="FE146" s="175"/>
      <c r="FF146" s="175"/>
      <c r="FG146" s="175"/>
      <c r="FH146" s="175"/>
      <c r="FI146" s="175"/>
      <c r="FJ146" s="175"/>
      <c r="FK146" s="175"/>
      <c r="FL146" s="175"/>
      <c r="FM146" s="175"/>
      <c r="FN146" s="175"/>
      <c r="FO146" s="175"/>
      <c r="FP146" s="175"/>
      <c r="FQ146" s="175"/>
      <c r="FR146" s="175"/>
      <c r="FS146" s="175"/>
      <c r="FT146" s="175"/>
      <c r="FU146" s="175"/>
      <c r="FV146" s="175"/>
      <c r="FW146" s="175"/>
      <c r="FX146" s="175"/>
      <c r="FY146" s="175"/>
      <c r="FZ146" s="175"/>
      <c r="GA146" s="175"/>
      <c r="GB146" s="175"/>
      <c r="GC146" s="175"/>
      <c r="GD146" s="175"/>
      <c r="GE146" s="175"/>
      <c r="GF146" s="175"/>
      <c r="GG146" s="175"/>
      <c r="GH146" s="175"/>
      <c r="GI146" s="175"/>
      <c r="GJ146" s="175"/>
      <c r="GK146" s="175"/>
      <c r="GL146" s="175"/>
      <c r="GM146" s="175"/>
      <c r="GN146" s="175"/>
      <c r="GO146" s="175"/>
      <c r="GP146" s="175"/>
      <c r="GQ146" s="175"/>
      <c r="GR146" s="175"/>
      <c r="GS146" s="175"/>
      <c r="GT146" s="175"/>
      <c r="GU146" s="175"/>
      <c r="GV146" s="175"/>
      <c r="GW146" s="175"/>
      <c r="GX146" s="175"/>
      <c r="GY146" s="175"/>
      <c r="GZ146" s="175"/>
      <c r="HA146" s="175"/>
      <c r="HB146" s="175"/>
      <c r="HC146" s="175"/>
      <c r="HD146" s="175"/>
      <c r="HE146" s="175"/>
      <c r="HF146" s="175"/>
      <c r="HG146" s="175"/>
      <c r="HH146" s="175"/>
      <c r="HI146" s="175"/>
      <c r="HJ146" s="175"/>
      <c r="HK146" s="175"/>
      <c r="HL146" s="175"/>
      <c r="HM146" s="175"/>
      <c r="HN146" s="175"/>
      <c r="HO146" s="175"/>
      <c r="HP146" s="175"/>
      <c r="HQ146" s="175"/>
      <c r="HR146" s="175"/>
      <c r="HS146" s="175"/>
      <c r="HT146" s="175"/>
      <c r="HU146" s="175"/>
      <c r="HV146" s="175"/>
      <c r="HW146" s="175"/>
      <c r="HX146" s="175"/>
      <c r="HY146" s="175"/>
      <c r="HZ146" s="175"/>
      <c r="IA146" s="175"/>
      <c r="IB146" s="175"/>
      <c r="IC146" s="175"/>
      <c r="ID146" s="175"/>
      <c r="IE146" s="175"/>
      <c r="IF146" s="175"/>
      <c r="IG146" s="175"/>
      <c r="IH146" s="175"/>
      <c r="II146" s="175"/>
      <c r="IJ146" s="175"/>
      <c r="IK146" s="175"/>
      <c r="IL146" s="175"/>
      <c r="IM146" s="175"/>
      <c r="IN146" s="175"/>
      <c r="IO146" s="175"/>
      <c r="IP146" s="175"/>
      <c r="IQ146" s="175"/>
    </row>
    <row r="147" spans="1:251" s="146" customFormat="1" ht="21.75" customHeight="1">
      <c r="A147" s="179">
        <v>140</v>
      </c>
      <c r="B147" s="458" t="s">
        <v>313</v>
      </c>
      <c r="C147" s="459" t="s">
        <v>314</v>
      </c>
      <c r="D147" s="460"/>
      <c r="E147" s="460">
        <v>59</v>
      </c>
      <c r="F147" s="459" t="s">
        <v>249</v>
      </c>
      <c r="G147" s="460" t="s">
        <v>182</v>
      </c>
      <c r="H147" s="407" t="s">
        <v>134</v>
      </c>
      <c r="I147" s="180">
        <f t="shared" si="8"/>
        <v>97500</v>
      </c>
      <c r="J147" s="408" t="s">
        <v>432</v>
      </c>
      <c r="K147" s="183">
        <f t="shared" si="9"/>
        <v>75000</v>
      </c>
      <c r="L147" s="408" t="s">
        <v>56</v>
      </c>
      <c r="M147" s="181">
        <f t="shared" si="10"/>
        <v>0</v>
      </c>
      <c r="N147" s="181">
        <f t="shared" si="11"/>
        <v>172500</v>
      </c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  <c r="AK147" s="175"/>
      <c r="AL147" s="175"/>
      <c r="AM147" s="175"/>
      <c r="AN147" s="175"/>
      <c r="AO147" s="175"/>
      <c r="AP147" s="175"/>
      <c r="AQ147" s="175"/>
      <c r="AR147" s="175"/>
      <c r="AS147" s="175"/>
      <c r="AT147" s="175"/>
      <c r="AU147" s="175"/>
      <c r="AV147" s="175"/>
      <c r="AW147" s="175"/>
      <c r="AX147" s="175"/>
      <c r="AY147" s="175"/>
      <c r="AZ147" s="175"/>
      <c r="BA147" s="175"/>
      <c r="BB147" s="175"/>
      <c r="BC147" s="175"/>
      <c r="BD147" s="175"/>
      <c r="BE147" s="175"/>
      <c r="BF147" s="175"/>
      <c r="BG147" s="175"/>
      <c r="BH147" s="175"/>
      <c r="BI147" s="175"/>
      <c r="BJ147" s="175"/>
      <c r="BK147" s="175"/>
      <c r="BL147" s="175"/>
      <c r="BM147" s="175"/>
      <c r="BN147" s="175"/>
      <c r="BO147" s="175"/>
      <c r="BP147" s="175"/>
      <c r="BQ147" s="175"/>
      <c r="BR147" s="175"/>
      <c r="BS147" s="175"/>
      <c r="BT147" s="175"/>
      <c r="BU147" s="175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175"/>
      <c r="DC147" s="175"/>
      <c r="DD147" s="175"/>
      <c r="DE147" s="175"/>
      <c r="DF147" s="175"/>
      <c r="DG147" s="175"/>
      <c r="DH147" s="175"/>
      <c r="DI147" s="175"/>
      <c r="DJ147" s="175"/>
      <c r="DK147" s="175"/>
      <c r="DL147" s="175"/>
      <c r="DM147" s="175"/>
      <c r="DN147" s="175"/>
      <c r="DO147" s="175"/>
      <c r="DP147" s="175"/>
      <c r="DQ147" s="175"/>
      <c r="DR147" s="175"/>
      <c r="DS147" s="175"/>
      <c r="DT147" s="175"/>
      <c r="DU147" s="175"/>
      <c r="DV147" s="175"/>
      <c r="DW147" s="175"/>
      <c r="DX147" s="175"/>
      <c r="DY147" s="175"/>
      <c r="DZ147" s="175"/>
      <c r="EA147" s="175"/>
      <c r="EB147" s="175"/>
      <c r="EC147" s="175"/>
      <c r="ED147" s="175"/>
      <c r="EE147" s="175"/>
      <c r="EF147" s="175"/>
      <c r="EG147" s="175"/>
      <c r="EH147" s="175"/>
      <c r="EI147" s="175"/>
      <c r="EJ147" s="175"/>
      <c r="EK147" s="175"/>
      <c r="EL147" s="175"/>
      <c r="EM147" s="175"/>
      <c r="EN147" s="175"/>
      <c r="EO147" s="175"/>
      <c r="EP147" s="175"/>
      <c r="EQ147" s="175"/>
      <c r="ER147" s="175"/>
      <c r="ES147" s="175"/>
      <c r="ET147" s="175"/>
      <c r="EU147" s="175"/>
      <c r="EV147" s="175"/>
      <c r="EW147" s="175"/>
      <c r="EX147" s="175"/>
      <c r="EY147" s="175"/>
      <c r="EZ147" s="175"/>
      <c r="FA147" s="175"/>
      <c r="FB147" s="175"/>
      <c r="FC147" s="175"/>
      <c r="FD147" s="175"/>
      <c r="FE147" s="175"/>
      <c r="FF147" s="175"/>
      <c r="FG147" s="175"/>
      <c r="FH147" s="175"/>
      <c r="FI147" s="175"/>
      <c r="FJ147" s="175"/>
      <c r="FK147" s="175"/>
      <c r="FL147" s="175"/>
      <c r="FM147" s="175"/>
      <c r="FN147" s="175"/>
      <c r="FO147" s="175"/>
      <c r="FP147" s="175"/>
      <c r="FQ147" s="175"/>
      <c r="FR147" s="175"/>
      <c r="FS147" s="175"/>
      <c r="FT147" s="175"/>
      <c r="FU147" s="175"/>
      <c r="FV147" s="175"/>
      <c r="FW147" s="175"/>
      <c r="FX147" s="175"/>
      <c r="FY147" s="175"/>
      <c r="FZ147" s="175"/>
      <c r="GA147" s="175"/>
      <c r="GB147" s="175"/>
      <c r="GC147" s="175"/>
      <c r="GD147" s="175"/>
      <c r="GE147" s="175"/>
      <c r="GF147" s="175"/>
      <c r="GG147" s="175"/>
      <c r="GH147" s="175"/>
      <c r="GI147" s="175"/>
      <c r="GJ147" s="175"/>
      <c r="GK147" s="175"/>
      <c r="GL147" s="175"/>
      <c r="GM147" s="175"/>
      <c r="GN147" s="175"/>
      <c r="GO147" s="175"/>
      <c r="GP147" s="175"/>
      <c r="GQ147" s="175"/>
      <c r="GR147" s="175"/>
      <c r="GS147" s="175"/>
      <c r="GT147" s="175"/>
      <c r="GU147" s="175"/>
      <c r="GV147" s="175"/>
      <c r="GW147" s="175"/>
      <c r="GX147" s="175"/>
      <c r="GY147" s="175"/>
      <c r="GZ147" s="175"/>
      <c r="HA147" s="175"/>
      <c r="HB147" s="175"/>
      <c r="HC147" s="175"/>
      <c r="HD147" s="175"/>
      <c r="HE147" s="175"/>
      <c r="HF147" s="175"/>
      <c r="HG147" s="175"/>
      <c r="HH147" s="175"/>
      <c r="HI147" s="175"/>
      <c r="HJ147" s="175"/>
      <c r="HK147" s="175"/>
      <c r="HL147" s="175"/>
      <c r="HM147" s="175"/>
      <c r="HN147" s="175"/>
      <c r="HO147" s="175"/>
      <c r="HP147" s="175"/>
      <c r="HQ147" s="175"/>
      <c r="HR147" s="175"/>
      <c r="HS147" s="175"/>
      <c r="HT147" s="175"/>
      <c r="HU147" s="175"/>
      <c r="HV147" s="175"/>
      <c r="HW147" s="175"/>
      <c r="HX147" s="175"/>
      <c r="HY147" s="175"/>
      <c r="HZ147" s="175"/>
      <c r="IA147" s="175"/>
      <c r="IB147" s="175"/>
      <c r="IC147" s="175"/>
      <c r="ID147" s="175"/>
      <c r="IE147" s="175"/>
      <c r="IF147" s="175"/>
      <c r="IG147" s="175"/>
      <c r="IH147" s="175"/>
      <c r="II147" s="175"/>
      <c r="IJ147" s="175"/>
      <c r="IK147" s="175"/>
      <c r="IL147" s="175"/>
      <c r="IM147" s="175"/>
      <c r="IN147" s="175"/>
      <c r="IO147" s="175"/>
      <c r="IP147" s="175"/>
      <c r="IQ147" s="175"/>
    </row>
    <row r="148" spans="1:251" s="146" customFormat="1" ht="21.75" customHeight="1">
      <c r="A148" s="179">
        <v>141</v>
      </c>
      <c r="B148" s="458" t="s">
        <v>322</v>
      </c>
      <c r="C148" s="459" t="s">
        <v>323</v>
      </c>
      <c r="D148" s="460">
        <v>34</v>
      </c>
      <c r="E148" s="460"/>
      <c r="F148" s="459" t="s">
        <v>246</v>
      </c>
      <c r="G148" s="460" t="s">
        <v>182</v>
      </c>
      <c r="H148" s="407" t="s">
        <v>159</v>
      </c>
      <c r="I148" s="180">
        <f t="shared" si="8"/>
        <v>97500</v>
      </c>
      <c r="J148" s="408" t="s">
        <v>190</v>
      </c>
      <c r="K148" s="183">
        <f t="shared" si="9"/>
        <v>75000</v>
      </c>
      <c r="L148" s="408" t="s">
        <v>56</v>
      </c>
      <c r="M148" s="181">
        <f t="shared" si="10"/>
        <v>0</v>
      </c>
      <c r="N148" s="181">
        <f t="shared" si="11"/>
        <v>172500</v>
      </c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  <c r="AQ148" s="175"/>
      <c r="AR148" s="175"/>
      <c r="AS148" s="175"/>
      <c r="AT148" s="175"/>
      <c r="AU148" s="175"/>
      <c r="AV148" s="175"/>
      <c r="AW148" s="175"/>
      <c r="AX148" s="175"/>
      <c r="AY148" s="175"/>
      <c r="AZ148" s="175"/>
      <c r="BA148" s="175"/>
      <c r="BB148" s="175"/>
      <c r="BC148" s="175"/>
      <c r="BD148" s="175"/>
      <c r="BE148" s="175"/>
      <c r="BF148" s="175"/>
      <c r="BG148" s="175"/>
      <c r="BH148" s="175"/>
      <c r="BI148" s="175"/>
      <c r="BJ148" s="175"/>
      <c r="BK148" s="175"/>
      <c r="BL148" s="175"/>
      <c r="BM148" s="175"/>
      <c r="BN148" s="175"/>
      <c r="BO148" s="175"/>
      <c r="BP148" s="175"/>
      <c r="BQ148" s="175"/>
      <c r="BR148" s="175"/>
      <c r="BS148" s="175"/>
      <c r="BT148" s="175"/>
      <c r="BU148" s="175"/>
      <c r="BV148" s="175"/>
      <c r="BW148" s="175"/>
      <c r="BX148" s="175"/>
      <c r="BY148" s="175"/>
      <c r="BZ148" s="175"/>
      <c r="CA148" s="175"/>
      <c r="CB148" s="175"/>
      <c r="CC148" s="175"/>
      <c r="CD148" s="175"/>
      <c r="CE148" s="175"/>
      <c r="CF148" s="175"/>
      <c r="CG148" s="175"/>
      <c r="CH148" s="175"/>
      <c r="CI148" s="175"/>
      <c r="CJ148" s="175"/>
      <c r="CK148" s="175"/>
      <c r="CL148" s="175"/>
      <c r="CM148" s="175"/>
      <c r="CN148" s="175"/>
      <c r="CO148" s="175"/>
      <c r="CP148" s="175"/>
      <c r="CQ148" s="175"/>
      <c r="CR148" s="175"/>
      <c r="CS148" s="175"/>
      <c r="CT148" s="175"/>
      <c r="CU148" s="175"/>
      <c r="CV148" s="175"/>
      <c r="CW148" s="175"/>
      <c r="CX148" s="175"/>
      <c r="CY148" s="175"/>
      <c r="CZ148" s="175"/>
      <c r="DA148" s="175"/>
      <c r="DB148" s="175"/>
      <c r="DC148" s="175"/>
      <c r="DD148" s="175"/>
      <c r="DE148" s="175"/>
      <c r="DF148" s="175"/>
      <c r="DG148" s="175"/>
      <c r="DH148" s="175"/>
      <c r="DI148" s="175"/>
      <c r="DJ148" s="175"/>
      <c r="DK148" s="175"/>
      <c r="DL148" s="175"/>
      <c r="DM148" s="175"/>
      <c r="DN148" s="175"/>
      <c r="DO148" s="175"/>
      <c r="DP148" s="175"/>
      <c r="DQ148" s="175"/>
      <c r="DR148" s="175"/>
      <c r="DS148" s="175"/>
      <c r="DT148" s="175"/>
      <c r="DU148" s="175"/>
      <c r="DV148" s="175"/>
      <c r="DW148" s="175"/>
      <c r="DX148" s="175"/>
      <c r="DY148" s="175"/>
      <c r="DZ148" s="175"/>
      <c r="EA148" s="175"/>
      <c r="EB148" s="175"/>
      <c r="EC148" s="175"/>
      <c r="ED148" s="175"/>
      <c r="EE148" s="175"/>
      <c r="EF148" s="175"/>
      <c r="EG148" s="175"/>
      <c r="EH148" s="175"/>
      <c r="EI148" s="175"/>
      <c r="EJ148" s="175"/>
      <c r="EK148" s="175"/>
      <c r="EL148" s="175"/>
      <c r="EM148" s="175"/>
      <c r="EN148" s="175"/>
      <c r="EO148" s="175"/>
      <c r="EP148" s="175"/>
      <c r="EQ148" s="175"/>
      <c r="ER148" s="175"/>
      <c r="ES148" s="175"/>
      <c r="ET148" s="175"/>
      <c r="EU148" s="175"/>
      <c r="EV148" s="175"/>
      <c r="EW148" s="175"/>
      <c r="EX148" s="175"/>
      <c r="EY148" s="175"/>
      <c r="EZ148" s="175"/>
      <c r="FA148" s="175"/>
      <c r="FB148" s="175"/>
      <c r="FC148" s="175"/>
      <c r="FD148" s="175"/>
      <c r="FE148" s="175"/>
      <c r="FF148" s="175"/>
      <c r="FG148" s="175"/>
      <c r="FH148" s="175"/>
      <c r="FI148" s="175"/>
      <c r="FJ148" s="175"/>
      <c r="FK148" s="175"/>
      <c r="FL148" s="175"/>
      <c r="FM148" s="175"/>
      <c r="FN148" s="175"/>
      <c r="FO148" s="175"/>
      <c r="FP148" s="175"/>
      <c r="FQ148" s="175"/>
      <c r="FR148" s="175"/>
      <c r="FS148" s="175"/>
      <c r="FT148" s="175"/>
      <c r="FU148" s="175"/>
      <c r="FV148" s="175"/>
      <c r="FW148" s="175"/>
      <c r="FX148" s="175"/>
      <c r="FY148" s="175"/>
      <c r="FZ148" s="175"/>
      <c r="GA148" s="175"/>
      <c r="GB148" s="175"/>
      <c r="GC148" s="175"/>
      <c r="GD148" s="175"/>
      <c r="GE148" s="175"/>
      <c r="GF148" s="175"/>
      <c r="GG148" s="175"/>
      <c r="GH148" s="175"/>
      <c r="GI148" s="175"/>
      <c r="GJ148" s="175"/>
      <c r="GK148" s="175"/>
      <c r="GL148" s="175"/>
      <c r="GM148" s="175"/>
      <c r="GN148" s="175"/>
      <c r="GO148" s="175"/>
      <c r="GP148" s="175"/>
      <c r="GQ148" s="175"/>
      <c r="GR148" s="175"/>
      <c r="GS148" s="175"/>
      <c r="GT148" s="175"/>
      <c r="GU148" s="175"/>
      <c r="GV148" s="175"/>
      <c r="GW148" s="175"/>
      <c r="GX148" s="175"/>
      <c r="GY148" s="175"/>
      <c r="GZ148" s="175"/>
      <c r="HA148" s="175"/>
      <c r="HB148" s="175"/>
      <c r="HC148" s="175"/>
      <c r="HD148" s="175"/>
      <c r="HE148" s="175"/>
      <c r="HF148" s="175"/>
      <c r="HG148" s="175"/>
      <c r="HH148" s="175"/>
      <c r="HI148" s="175"/>
      <c r="HJ148" s="175"/>
      <c r="HK148" s="175"/>
      <c r="HL148" s="175"/>
      <c r="HM148" s="175"/>
      <c r="HN148" s="175"/>
      <c r="HO148" s="175"/>
      <c r="HP148" s="175"/>
      <c r="HQ148" s="175"/>
      <c r="HR148" s="175"/>
      <c r="HS148" s="175"/>
      <c r="HT148" s="175"/>
      <c r="HU148" s="175"/>
      <c r="HV148" s="175"/>
      <c r="HW148" s="175"/>
      <c r="HX148" s="175"/>
      <c r="HY148" s="175"/>
      <c r="HZ148" s="175"/>
      <c r="IA148" s="175"/>
      <c r="IB148" s="175"/>
      <c r="IC148" s="175"/>
      <c r="ID148" s="175"/>
      <c r="IE148" s="175"/>
      <c r="IF148" s="175"/>
      <c r="IG148" s="175"/>
      <c r="IH148" s="175"/>
      <c r="II148" s="175"/>
      <c r="IJ148" s="175"/>
      <c r="IK148" s="175"/>
      <c r="IL148" s="175"/>
      <c r="IM148" s="175"/>
      <c r="IN148" s="175"/>
      <c r="IO148" s="175"/>
      <c r="IP148" s="175"/>
      <c r="IQ148" s="175"/>
    </row>
    <row r="149" spans="1:251" s="146" customFormat="1" ht="21.75" customHeight="1">
      <c r="A149" s="179">
        <v>142</v>
      </c>
      <c r="B149" s="458" t="s">
        <v>322</v>
      </c>
      <c r="C149" s="459" t="s">
        <v>284</v>
      </c>
      <c r="D149" s="460"/>
      <c r="E149" s="460">
        <v>72</v>
      </c>
      <c r="F149" s="459" t="s">
        <v>249</v>
      </c>
      <c r="G149" s="460" t="s">
        <v>461</v>
      </c>
      <c r="H149" s="407" t="s">
        <v>183</v>
      </c>
      <c r="I149" s="180">
        <f t="shared" si="8"/>
        <v>97500</v>
      </c>
      <c r="J149" s="408" t="s">
        <v>434</v>
      </c>
      <c r="K149" s="183">
        <f t="shared" si="9"/>
        <v>75000</v>
      </c>
      <c r="L149" s="408" t="s">
        <v>56</v>
      </c>
      <c r="M149" s="181">
        <f t="shared" si="10"/>
        <v>0</v>
      </c>
      <c r="N149" s="181">
        <f t="shared" si="11"/>
        <v>172500</v>
      </c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  <c r="AQ149" s="175"/>
      <c r="AR149" s="175"/>
      <c r="AS149" s="175"/>
      <c r="AT149" s="175"/>
      <c r="AU149" s="175"/>
      <c r="AV149" s="175"/>
      <c r="AW149" s="175"/>
      <c r="AX149" s="175"/>
      <c r="AY149" s="175"/>
      <c r="AZ149" s="175"/>
      <c r="BA149" s="175"/>
      <c r="BB149" s="175"/>
      <c r="BC149" s="175"/>
      <c r="BD149" s="175"/>
      <c r="BE149" s="175"/>
      <c r="BF149" s="175"/>
      <c r="BG149" s="175"/>
      <c r="BH149" s="175"/>
      <c r="BI149" s="175"/>
      <c r="BJ149" s="175"/>
      <c r="BK149" s="175"/>
      <c r="BL149" s="175"/>
      <c r="BM149" s="175"/>
      <c r="BN149" s="175"/>
      <c r="BO149" s="175"/>
      <c r="BP149" s="175"/>
      <c r="BQ149" s="175"/>
      <c r="BR149" s="175"/>
      <c r="BS149" s="175"/>
      <c r="BT149" s="175"/>
      <c r="BU149" s="175"/>
      <c r="BV149" s="175"/>
      <c r="BW149" s="175"/>
      <c r="BX149" s="175"/>
      <c r="BY149" s="175"/>
      <c r="BZ149" s="175"/>
      <c r="CA149" s="175"/>
      <c r="CB149" s="175"/>
      <c r="CC149" s="175"/>
      <c r="CD149" s="175"/>
      <c r="CE149" s="175"/>
      <c r="CF149" s="175"/>
      <c r="CG149" s="175"/>
      <c r="CH149" s="175"/>
      <c r="CI149" s="175"/>
      <c r="CJ149" s="175"/>
      <c r="CK149" s="175"/>
      <c r="CL149" s="175"/>
      <c r="CM149" s="175"/>
      <c r="CN149" s="175"/>
      <c r="CO149" s="175"/>
      <c r="CP149" s="175"/>
      <c r="CQ149" s="175"/>
      <c r="CR149" s="175"/>
      <c r="CS149" s="175"/>
      <c r="CT149" s="175"/>
      <c r="CU149" s="175"/>
      <c r="CV149" s="175"/>
      <c r="CW149" s="175"/>
      <c r="CX149" s="175"/>
      <c r="CY149" s="175"/>
      <c r="CZ149" s="175"/>
      <c r="DA149" s="175"/>
      <c r="DB149" s="175"/>
      <c r="DC149" s="175"/>
      <c r="DD149" s="175"/>
      <c r="DE149" s="175"/>
      <c r="DF149" s="175"/>
      <c r="DG149" s="175"/>
      <c r="DH149" s="175"/>
      <c r="DI149" s="175"/>
      <c r="DJ149" s="175"/>
      <c r="DK149" s="175"/>
      <c r="DL149" s="175"/>
      <c r="DM149" s="175"/>
      <c r="DN149" s="175"/>
      <c r="DO149" s="175"/>
      <c r="DP149" s="175"/>
      <c r="DQ149" s="175"/>
      <c r="DR149" s="175"/>
      <c r="DS149" s="175"/>
      <c r="DT149" s="175"/>
      <c r="DU149" s="175"/>
      <c r="DV149" s="175"/>
      <c r="DW149" s="175"/>
      <c r="DX149" s="175"/>
      <c r="DY149" s="175"/>
      <c r="DZ149" s="175"/>
      <c r="EA149" s="175"/>
      <c r="EB149" s="175"/>
      <c r="EC149" s="175"/>
      <c r="ED149" s="175"/>
      <c r="EE149" s="175"/>
      <c r="EF149" s="175"/>
      <c r="EG149" s="175"/>
      <c r="EH149" s="175"/>
      <c r="EI149" s="175"/>
      <c r="EJ149" s="175"/>
      <c r="EK149" s="175"/>
      <c r="EL149" s="175"/>
      <c r="EM149" s="175"/>
      <c r="EN149" s="175"/>
      <c r="EO149" s="175"/>
      <c r="EP149" s="175"/>
      <c r="EQ149" s="175"/>
      <c r="ER149" s="175"/>
      <c r="ES149" s="175"/>
      <c r="ET149" s="175"/>
      <c r="EU149" s="175"/>
      <c r="EV149" s="175"/>
      <c r="EW149" s="175"/>
      <c r="EX149" s="175"/>
      <c r="EY149" s="175"/>
      <c r="EZ149" s="175"/>
      <c r="FA149" s="175"/>
      <c r="FB149" s="175"/>
      <c r="FC149" s="175"/>
      <c r="FD149" s="175"/>
      <c r="FE149" s="175"/>
      <c r="FF149" s="175"/>
      <c r="FG149" s="175"/>
      <c r="FH149" s="175"/>
      <c r="FI149" s="175"/>
      <c r="FJ149" s="175"/>
      <c r="FK149" s="175"/>
      <c r="FL149" s="175"/>
      <c r="FM149" s="175"/>
      <c r="FN149" s="175"/>
      <c r="FO149" s="175"/>
      <c r="FP149" s="175"/>
      <c r="FQ149" s="175"/>
      <c r="FR149" s="175"/>
      <c r="FS149" s="175"/>
      <c r="FT149" s="175"/>
      <c r="FU149" s="175"/>
      <c r="FV149" s="175"/>
      <c r="FW149" s="175"/>
      <c r="FX149" s="175"/>
      <c r="FY149" s="175"/>
      <c r="FZ149" s="175"/>
      <c r="GA149" s="175"/>
      <c r="GB149" s="175"/>
      <c r="GC149" s="175"/>
      <c r="GD149" s="175"/>
      <c r="GE149" s="175"/>
      <c r="GF149" s="175"/>
      <c r="GG149" s="175"/>
      <c r="GH149" s="175"/>
      <c r="GI149" s="175"/>
      <c r="GJ149" s="175"/>
      <c r="GK149" s="175"/>
      <c r="GL149" s="175"/>
      <c r="GM149" s="175"/>
      <c r="GN149" s="175"/>
      <c r="GO149" s="175"/>
      <c r="GP149" s="175"/>
      <c r="GQ149" s="175"/>
      <c r="GR149" s="175"/>
      <c r="GS149" s="175"/>
      <c r="GT149" s="175"/>
      <c r="GU149" s="175"/>
      <c r="GV149" s="175"/>
      <c r="GW149" s="175"/>
      <c r="GX149" s="175"/>
      <c r="GY149" s="175"/>
      <c r="GZ149" s="175"/>
      <c r="HA149" s="175"/>
      <c r="HB149" s="175"/>
      <c r="HC149" s="175"/>
      <c r="HD149" s="175"/>
      <c r="HE149" s="175"/>
      <c r="HF149" s="175"/>
      <c r="HG149" s="175"/>
      <c r="HH149" s="175"/>
      <c r="HI149" s="175"/>
      <c r="HJ149" s="175"/>
      <c r="HK149" s="175"/>
      <c r="HL149" s="175"/>
      <c r="HM149" s="175"/>
      <c r="HN149" s="175"/>
      <c r="HO149" s="175"/>
      <c r="HP149" s="175"/>
      <c r="HQ149" s="175"/>
      <c r="HR149" s="175"/>
      <c r="HS149" s="175"/>
      <c r="HT149" s="175"/>
      <c r="HU149" s="175"/>
      <c r="HV149" s="175"/>
      <c r="HW149" s="175"/>
      <c r="HX149" s="175"/>
      <c r="HY149" s="175"/>
      <c r="HZ149" s="175"/>
      <c r="IA149" s="175"/>
      <c r="IB149" s="175"/>
      <c r="IC149" s="175"/>
      <c r="ID149" s="175"/>
      <c r="IE149" s="175"/>
      <c r="IF149" s="175"/>
      <c r="IG149" s="175"/>
      <c r="IH149" s="175"/>
      <c r="II149" s="175"/>
      <c r="IJ149" s="175"/>
      <c r="IK149" s="175"/>
      <c r="IL149" s="175"/>
      <c r="IM149" s="175"/>
      <c r="IN149" s="175"/>
      <c r="IO149" s="175"/>
      <c r="IP149" s="175"/>
      <c r="IQ149" s="175"/>
    </row>
    <row r="150" spans="1:251" s="146" customFormat="1" ht="21.75" customHeight="1">
      <c r="A150" s="179">
        <v>143</v>
      </c>
      <c r="B150" s="458" t="s">
        <v>322</v>
      </c>
      <c r="C150" s="459" t="s">
        <v>296</v>
      </c>
      <c r="D150" s="460"/>
      <c r="E150" s="460">
        <v>40</v>
      </c>
      <c r="F150" s="459" t="s">
        <v>325</v>
      </c>
      <c r="G150" s="460" t="s">
        <v>182</v>
      </c>
      <c r="H150" s="407" t="s">
        <v>134</v>
      </c>
      <c r="I150" s="180">
        <f t="shared" si="8"/>
        <v>97500</v>
      </c>
      <c r="J150" s="408" t="s">
        <v>432</v>
      </c>
      <c r="K150" s="183">
        <f t="shared" si="9"/>
        <v>75000</v>
      </c>
      <c r="L150" s="408" t="s">
        <v>56</v>
      </c>
      <c r="M150" s="181">
        <f t="shared" si="10"/>
        <v>0</v>
      </c>
      <c r="N150" s="181">
        <f t="shared" si="11"/>
        <v>172500</v>
      </c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  <c r="AQ150" s="175"/>
      <c r="AR150" s="175"/>
      <c r="AS150" s="175"/>
      <c r="AT150" s="175"/>
      <c r="AU150" s="175"/>
      <c r="AV150" s="175"/>
      <c r="AW150" s="175"/>
      <c r="AX150" s="175"/>
      <c r="AY150" s="175"/>
      <c r="AZ150" s="175"/>
      <c r="BA150" s="175"/>
      <c r="BB150" s="175"/>
      <c r="BC150" s="175"/>
      <c r="BD150" s="175"/>
      <c r="BE150" s="175"/>
      <c r="BF150" s="175"/>
      <c r="BG150" s="175"/>
      <c r="BH150" s="175"/>
      <c r="BI150" s="175"/>
      <c r="BJ150" s="175"/>
      <c r="BK150" s="175"/>
      <c r="BL150" s="175"/>
      <c r="BM150" s="175"/>
      <c r="BN150" s="175"/>
      <c r="BO150" s="175"/>
      <c r="BP150" s="175"/>
      <c r="BQ150" s="175"/>
      <c r="BR150" s="175"/>
      <c r="BS150" s="175"/>
      <c r="BT150" s="175"/>
      <c r="BU150" s="175"/>
      <c r="BV150" s="175"/>
      <c r="BW150" s="175"/>
      <c r="BX150" s="175"/>
      <c r="BY150" s="175"/>
      <c r="BZ150" s="175"/>
      <c r="CA150" s="175"/>
      <c r="CB150" s="175"/>
      <c r="CC150" s="175"/>
      <c r="CD150" s="175"/>
      <c r="CE150" s="175"/>
      <c r="CF150" s="175"/>
      <c r="CG150" s="175"/>
      <c r="CH150" s="175"/>
      <c r="CI150" s="175"/>
      <c r="CJ150" s="175"/>
      <c r="CK150" s="175"/>
      <c r="CL150" s="175"/>
      <c r="CM150" s="175"/>
      <c r="CN150" s="175"/>
      <c r="CO150" s="175"/>
      <c r="CP150" s="175"/>
      <c r="CQ150" s="175"/>
      <c r="CR150" s="175"/>
      <c r="CS150" s="175"/>
      <c r="CT150" s="175"/>
      <c r="CU150" s="175"/>
      <c r="CV150" s="175"/>
      <c r="CW150" s="175"/>
      <c r="CX150" s="175"/>
      <c r="CY150" s="175"/>
      <c r="CZ150" s="175"/>
      <c r="DA150" s="175"/>
      <c r="DB150" s="175"/>
      <c r="DC150" s="175"/>
      <c r="DD150" s="175"/>
      <c r="DE150" s="175"/>
      <c r="DF150" s="175"/>
      <c r="DG150" s="175"/>
      <c r="DH150" s="175"/>
      <c r="DI150" s="175"/>
      <c r="DJ150" s="175"/>
      <c r="DK150" s="175"/>
      <c r="DL150" s="175"/>
      <c r="DM150" s="175"/>
      <c r="DN150" s="175"/>
      <c r="DO150" s="175"/>
      <c r="DP150" s="175"/>
      <c r="DQ150" s="175"/>
      <c r="DR150" s="175"/>
      <c r="DS150" s="175"/>
      <c r="DT150" s="175"/>
      <c r="DU150" s="175"/>
      <c r="DV150" s="175"/>
      <c r="DW150" s="175"/>
      <c r="DX150" s="175"/>
      <c r="DY150" s="175"/>
      <c r="DZ150" s="175"/>
      <c r="EA150" s="175"/>
      <c r="EB150" s="175"/>
      <c r="EC150" s="175"/>
      <c r="ED150" s="175"/>
      <c r="EE150" s="175"/>
      <c r="EF150" s="175"/>
      <c r="EG150" s="175"/>
      <c r="EH150" s="175"/>
      <c r="EI150" s="175"/>
      <c r="EJ150" s="175"/>
      <c r="EK150" s="175"/>
      <c r="EL150" s="175"/>
      <c r="EM150" s="175"/>
      <c r="EN150" s="175"/>
      <c r="EO150" s="175"/>
      <c r="EP150" s="175"/>
      <c r="EQ150" s="175"/>
      <c r="ER150" s="175"/>
      <c r="ES150" s="175"/>
      <c r="ET150" s="175"/>
      <c r="EU150" s="175"/>
      <c r="EV150" s="175"/>
      <c r="EW150" s="175"/>
      <c r="EX150" s="175"/>
      <c r="EY150" s="175"/>
      <c r="EZ150" s="175"/>
      <c r="FA150" s="175"/>
      <c r="FB150" s="175"/>
      <c r="FC150" s="175"/>
      <c r="FD150" s="175"/>
      <c r="FE150" s="175"/>
      <c r="FF150" s="175"/>
      <c r="FG150" s="175"/>
      <c r="FH150" s="175"/>
      <c r="FI150" s="175"/>
      <c r="FJ150" s="175"/>
      <c r="FK150" s="175"/>
      <c r="FL150" s="175"/>
      <c r="FM150" s="175"/>
      <c r="FN150" s="175"/>
      <c r="FO150" s="175"/>
      <c r="FP150" s="175"/>
      <c r="FQ150" s="175"/>
      <c r="FR150" s="175"/>
      <c r="FS150" s="175"/>
      <c r="FT150" s="175"/>
      <c r="FU150" s="175"/>
      <c r="FV150" s="175"/>
      <c r="FW150" s="175"/>
      <c r="FX150" s="175"/>
      <c r="FY150" s="175"/>
      <c r="FZ150" s="175"/>
      <c r="GA150" s="175"/>
      <c r="GB150" s="175"/>
      <c r="GC150" s="175"/>
      <c r="GD150" s="175"/>
      <c r="GE150" s="175"/>
      <c r="GF150" s="175"/>
      <c r="GG150" s="175"/>
      <c r="GH150" s="175"/>
      <c r="GI150" s="175"/>
      <c r="GJ150" s="175"/>
      <c r="GK150" s="175"/>
      <c r="GL150" s="175"/>
      <c r="GM150" s="175"/>
      <c r="GN150" s="175"/>
      <c r="GO150" s="175"/>
      <c r="GP150" s="175"/>
      <c r="GQ150" s="175"/>
      <c r="GR150" s="175"/>
      <c r="GS150" s="175"/>
      <c r="GT150" s="175"/>
      <c r="GU150" s="175"/>
      <c r="GV150" s="175"/>
      <c r="GW150" s="175"/>
      <c r="GX150" s="175"/>
      <c r="GY150" s="175"/>
      <c r="GZ150" s="175"/>
      <c r="HA150" s="175"/>
      <c r="HB150" s="175"/>
      <c r="HC150" s="175"/>
      <c r="HD150" s="175"/>
      <c r="HE150" s="175"/>
      <c r="HF150" s="175"/>
      <c r="HG150" s="175"/>
      <c r="HH150" s="175"/>
      <c r="HI150" s="175"/>
      <c r="HJ150" s="175"/>
      <c r="HK150" s="175"/>
      <c r="HL150" s="175"/>
      <c r="HM150" s="175"/>
      <c r="HN150" s="175"/>
      <c r="HO150" s="175"/>
      <c r="HP150" s="175"/>
      <c r="HQ150" s="175"/>
      <c r="HR150" s="175"/>
      <c r="HS150" s="175"/>
      <c r="HT150" s="175"/>
      <c r="HU150" s="175"/>
      <c r="HV150" s="175"/>
      <c r="HW150" s="175"/>
      <c r="HX150" s="175"/>
      <c r="HY150" s="175"/>
      <c r="HZ150" s="175"/>
      <c r="IA150" s="175"/>
      <c r="IB150" s="175"/>
      <c r="IC150" s="175"/>
      <c r="ID150" s="175"/>
      <c r="IE150" s="175"/>
      <c r="IF150" s="175"/>
      <c r="IG150" s="175"/>
      <c r="IH150" s="175"/>
      <c r="II150" s="175"/>
      <c r="IJ150" s="175"/>
      <c r="IK150" s="175"/>
      <c r="IL150" s="175"/>
      <c r="IM150" s="175"/>
      <c r="IN150" s="175"/>
      <c r="IO150" s="175"/>
      <c r="IP150" s="175"/>
      <c r="IQ150" s="175"/>
    </row>
    <row r="151" spans="1:251" s="146" customFormat="1" ht="21.75" customHeight="1">
      <c r="A151" s="179">
        <v>144</v>
      </c>
      <c r="B151" s="458" t="s">
        <v>322</v>
      </c>
      <c r="C151" s="459" t="s">
        <v>329</v>
      </c>
      <c r="D151" s="460"/>
      <c r="E151" s="460">
        <v>33</v>
      </c>
      <c r="F151" s="459" t="s">
        <v>246</v>
      </c>
      <c r="G151" s="460" t="s">
        <v>182</v>
      </c>
      <c r="H151" s="407" t="s">
        <v>134</v>
      </c>
      <c r="I151" s="180">
        <f t="shared" si="8"/>
        <v>97500</v>
      </c>
      <c r="J151" s="408" t="s">
        <v>434</v>
      </c>
      <c r="K151" s="183">
        <f t="shared" si="9"/>
        <v>75000</v>
      </c>
      <c r="L151" s="408" t="s">
        <v>56</v>
      </c>
      <c r="M151" s="181">
        <f t="shared" si="10"/>
        <v>0</v>
      </c>
      <c r="N151" s="181">
        <f t="shared" si="11"/>
        <v>172500</v>
      </c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  <c r="AT151" s="175"/>
      <c r="AU151" s="175"/>
      <c r="AV151" s="175"/>
      <c r="AW151" s="175"/>
      <c r="AX151" s="175"/>
      <c r="AY151" s="175"/>
      <c r="AZ151" s="175"/>
      <c r="BA151" s="175"/>
      <c r="BB151" s="175"/>
      <c r="BC151" s="175"/>
      <c r="BD151" s="175"/>
      <c r="BE151" s="175"/>
      <c r="BF151" s="175"/>
      <c r="BG151" s="175"/>
      <c r="BH151" s="175"/>
      <c r="BI151" s="175"/>
      <c r="BJ151" s="175"/>
      <c r="BK151" s="175"/>
      <c r="BL151" s="175"/>
      <c r="BM151" s="175"/>
      <c r="BN151" s="175"/>
      <c r="BO151" s="175"/>
      <c r="BP151" s="175"/>
      <c r="BQ151" s="175"/>
      <c r="BR151" s="175"/>
      <c r="BS151" s="175"/>
      <c r="BT151" s="175"/>
      <c r="BU151" s="175"/>
      <c r="BV151" s="175"/>
      <c r="BW151" s="175"/>
      <c r="BX151" s="175"/>
      <c r="BY151" s="175"/>
      <c r="BZ151" s="175"/>
      <c r="CA151" s="175"/>
      <c r="CB151" s="175"/>
      <c r="CC151" s="175"/>
      <c r="CD151" s="175"/>
      <c r="CE151" s="175"/>
      <c r="CF151" s="175"/>
      <c r="CG151" s="175"/>
      <c r="CH151" s="175"/>
      <c r="CI151" s="175"/>
      <c r="CJ151" s="175"/>
      <c r="CK151" s="175"/>
      <c r="CL151" s="175"/>
      <c r="CM151" s="175"/>
      <c r="CN151" s="175"/>
      <c r="CO151" s="175"/>
      <c r="CP151" s="175"/>
      <c r="CQ151" s="175"/>
      <c r="CR151" s="175"/>
      <c r="CS151" s="175"/>
      <c r="CT151" s="175"/>
      <c r="CU151" s="175"/>
      <c r="CV151" s="175"/>
      <c r="CW151" s="175"/>
      <c r="CX151" s="175"/>
      <c r="CY151" s="175"/>
      <c r="CZ151" s="175"/>
      <c r="DA151" s="175"/>
      <c r="DB151" s="175"/>
      <c r="DC151" s="175"/>
      <c r="DD151" s="175"/>
      <c r="DE151" s="175"/>
      <c r="DF151" s="175"/>
      <c r="DG151" s="175"/>
      <c r="DH151" s="175"/>
      <c r="DI151" s="175"/>
      <c r="DJ151" s="175"/>
      <c r="DK151" s="175"/>
      <c r="DL151" s="175"/>
      <c r="DM151" s="175"/>
      <c r="DN151" s="175"/>
      <c r="DO151" s="175"/>
      <c r="DP151" s="175"/>
      <c r="DQ151" s="175"/>
      <c r="DR151" s="175"/>
      <c r="DS151" s="175"/>
      <c r="DT151" s="175"/>
      <c r="DU151" s="175"/>
      <c r="DV151" s="175"/>
      <c r="DW151" s="175"/>
      <c r="DX151" s="175"/>
      <c r="DY151" s="175"/>
      <c r="DZ151" s="175"/>
      <c r="EA151" s="175"/>
      <c r="EB151" s="175"/>
      <c r="EC151" s="175"/>
      <c r="ED151" s="175"/>
      <c r="EE151" s="175"/>
      <c r="EF151" s="175"/>
      <c r="EG151" s="175"/>
      <c r="EH151" s="175"/>
      <c r="EI151" s="175"/>
      <c r="EJ151" s="175"/>
      <c r="EK151" s="175"/>
      <c r="EL151" s="175"/>
      <c r="EM151" s="175"/>
      <c r="EN151" s="175"/>
      <c r="EO151" s="175"/>
      <c r="EP151" s="175"/>
      <c r="EQ151" s="175"/>
      <c r="ER151" s="175"/>
      <c r="ES151" s="175"/>
      <c r="ET151" s="175"/>
      <c r="EU151" s="175"/>
      <c r="EV151" s="175"/>
      <c r="EW151" s="175"/>
      <c r="EX151" s="175"/>
      <c r="EY151" s="175"/>
      <c r="EZ151" s="175"/>
      <c r="FA151" s="175"/>
      <c r="FB151" s="175"/>
      <c r="FC151" s="175"/>
      <c r="FD151" s="175"/>
      <c r="FE151" s="175"/>
      <c r="FF151" s="175"/>
      <c r="FG151" s="175"/>
      <c r="FH151" s="175"/>
      <c r="FI151" s="175"/>
      <c r="FJ151" s="175"/>
      <c r="FK151" s="175"/>
      <c r="FL151" s="175"/>
      <c r="FM151" s="175"/>
      <c r="FN151" s="175"/>
      <c r="FO151" s="175"/>
      <c r="FP151" s="175"/>
      <c r="FQ151" s="175"/>
      <c r="FR151" s="175"/>
      <c r="FS151" s="175"/>
      <c r="FT151" s="175"/>
      <c r="FU151" s="175"/>
      <c r="FV151" s="175"/>
      <c r="FW151" s="175"/>
      <c r="FX151" s="175"/>
      <c r="FY151" s="175"/>
      <c r="FZ151" s="175"/>
      <c r="GA151" s="175"/>
      <c r="GB151" s="175"/>
      <c r="GC151" s="175"/>
      <c r="GD151" s="175"/>
      <c r="GE151" s="175"/>
      <c r="GF151" s="175"/>
      <c r="GG151" s="175"/>
      <c r="GH151" s="175"/>
      <c r="GI151" s="175"/>
      <c r="GJ151" s="175"/>
      <c r="GK151" s="175"/>
      <c r="GL151" s="175"/>
      <c r="GM151" s="175"/>
      <c r="GN151" s="175"/>
      <c r="GO151" s="175"/>
      <c r="GP151" s="175"/>
      <c r="GQ151" s="175"/>
      <c r="GR151" s="175"/>
      <c r="GS151" s="175"/>
      <c r="GT151" s="175"/>
      <c r="GU151" s="175"/>
      <c r="GV151" s="175"/>
      <c r="GW151" s="175"/>
      <c r="GX151" s="175"/>
      <c r="GY151" s="175"/>
      <c r="GZ151" s="175"/>
      <c r="HA151" s="175"/>
      <c r="HB151" s="175"/>
      <c r="HC151" s="175"/>
      <c r="HD151" s="175"/>
      <c r="HE151" s="175"/>
      <c r="HF151" s="175"/>
      <c r="HG151" s="175"/>
      <c r="HH151" s="175"/>
      <c r="HI151" s="175"/>
      <c r="HJ151" s="175"/>
      <c r="HK151" s="175"/>
      <c r="HL151" s="175"/>
      <c r="HM151" s="175"/>
      <c r="HN151" s="175"/>
      <c r="HO151" s="175"/>
      <c r="HP151" s="175"/>
      <c r="HQ151" s="175"/>
      <c r="HR151" s="175"/>
      <c r="HS151" s="175"/>
      <c r="HT151" s="175"/>
      <c r="HU151" s="175"/>
      <c r="HV151" s="175"/>
      <c r="HW151" s="175"/>
      <c r="HX151" s="175"/>
      <c r="HY151" s="175"/>
      <c r="HZ151" s="175"/>
      <c r="IA151" s="175"/>
      <c r="IB151" s="175"/>
      <c r="IC151" s="175"/>
      <c r="ID151" s="175"/>
      <c r="IE151" s="175"/>
      <c r="IF151" s="175"/>
      <c r="IG151" s="175"/>
      <c r="IH151" s="175"/>
      <c r="II151" s="175"/>
      <c r="IJ151" s="175"/>
      <c r="IK151" s="175"/>
      <c r="IL151" s="175"/>
      <c r="IM151" s="175"/>
      <c r="IN151" s="175"/>
      <c r="IO151" s="175"/>
      <c r="IP151" s="175"/>
      <c r="IQ151" s="175"/>
    </row>
    <row r="152" spans="1:251" s="146" customFormat="1" ht="21.75" customHeight="1">
      <c r="A152" s="179">
        <v>145</v>
      </c>
      <c r="B152" s="458" t="s">
        <v>330</v>
      </c>
      <c r="C152" s="459" t="s">
        <v>334</v>
      </c>
      <c r="D152" s="460">
        <v>21</v>
      </c>
      <c r="E152" s="460"/>
      <c r="F152" s="459" t="s">
        <v>246</v>
      </c>
      <c r="G152" s="460" t="s">
        <v>182</v>
      </c>
      <c r="H152" s="407" t="s">
        <v>212</v>
      </c>
      <c r="I152" s="180">
        <f t="shared" si="8"/>
        <v>97500</v>
      </c>
      <c r="J152" s="408" t="s">
        <v>430</v>
      </c>
      <c r="K152" s="183">
        <f t="shared" si="9"/>
        <v>75000</v>
      </c>
      <c r="L152" s="408" t="s">
        <v>56</v>
      </c>
      <c r="M152" s="181">
        <f t="shared" si="10"/>
        <v>0</v>
      </c>
      <c r="N152" s="181">
        <f t="shared" si="11"/>
        <v>172500</v>
      </c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  <c r="AQ152" s="175"/>
      <c r="AR152" s="175"/>
      <c r="AS152" s="175"/>
      <c r="AT152" s="175"/>
      <c r="AU152" s="175"/>
      <c r="AV152" s="175"/>
      <c r="AW152" s="175"/>
      <c r="AX152" s="175"/>
      <c r="AY152" s="175"/>
      <c r="AZ152" s="175"/>
      <c r="BA152" s="175"/>
      <c r="BB152" s="175"/>
      <c r="BC152" s="175"/>
      <c r="BD152" s="175"/>
      <c r="BE152" s="175"/>
      <c r="BF152" s="175"/>
      <c r="BG152" s="175"/>
      <c r="BH152" s="175"/>
      <c r="BI152" s="175"/>
      <c r="BJ152" s="175"/>
      <c r="BK152" s="175"/>
      <c r="BL152" s="175"/>
      <c r="BM152" s="175"/>
      <c r="BN152" s="175"/>
      <c r="BO152" s="175"/>
      <c r="BP152" s="175"/>
      <c r="BQ152" s="175"/>
      <c r="BR152" s="175"/>
      <c r="BS152" s="175"/>
      <c r="BT152" s="175"/>
      <c r="BU152" s="175"/>
      <c r="BV152" s="175"/>
      <c r="BW152" s="175"/>
      <c r="BX152" s="175"/>
      <c r="BY152" s="175"/>
      <c r="BZ152" s="175"/>
      <c r="CA152" s="175"/>
      <c r="CB152" s="175"/>
      <c r="CC152" s="175"/>
      <c r="CD152" s="175"/>
      <c r="CE152" s="175"/>
      <c r="CF152" s="175"/>
      <c r="CG152" s="175"/>
      <c r="CH152" s="175"/>
      <c r="CI152" s="175"/>
      <c r="CJ152" s="175"/>
      <c r="CK152" s="175"/>
      <c r="CL152" s="175"/>
      <c r="CM152" s="175"/>
      <c r="CN152" s="175"/>
      <c r="CO152" s="175"/>
      <c r="CP152" s="175"/>
      <c r="CQ152" s="175"/>
      <c r="CR152" s="175"/>
      <c r="CS152" s="175"/>
      <c r="CT152" s="175"/>
      <c r="CU152" s="175"/>
      <c r="CV152" s="175"/>
      <c r="CW152" s="175"/>
      <c r="CX152" s="175"/>
      <c r="CY152" s="175"/>
      <c r="CZ152" s="175"/>
      <c r="DA152" s="175"/>
      <c r="DB152" s="175"/>
      <c r="DC152" s="175"/>
      <c r="DD152" s="175"/>
      <c r="DE152" s="175"/>
      <c r="DF152" s="175"/>
      <c r="DG152" s="175"/>
      <c r="DH152" s="175"/>
      <c r="DI152" s="175"/>
      <c r="DJ152" s="175"/>
      <c r="DK152" s="175"/>
      <c r="DL152" s="175"/>
      <c r="DM152" s="175"/>
      <c r="DN152" s="175"/>
      <c r="DO152" s="175"/>
      <c r="DP152" s="175"/>
      <c r="DQ152" s="175"/>
      <c r="DR152" s="175"/>
      <c r="DS152" s="175"/>
      <c r="DT152" s="175"/>
      <c r="DU152" s="175"/>
      <c r="DV152" s="175"/>
      <c r="DW152" s="175"/>
      <c r="DX152" s="175"/>
      <c r="DY152" s="175"/>
      <c r="DZ152" s="175"/>
      <c r="EA152" s="175"/>
      <c r="EB152" s="175"/>
      <c r="EC152" s="175"/>
      <c r="ED152" s="175"/>
      <c r="EE152" s="175"/>
      <c r="EF152" s="175"/>
      <c r="EG152" s="175"/>
      <c r="EH152" s="175"/>
      <c r="EI152" s="175"/>
      <c r="EJ152" s="175"/>
      <c r="EK152" s="175"/>
      <c r="EL152" s="175"/>
      <c r="EM152" s="175"/>
      <c r="EN152" s="175"/>
      <c r="EO152" s="175"/>
      <c r="EP152" s="175"/>
      <c r="EQ152" s="175"/>
      <c r="ER152" s="175"/>
      <c r="ES152" s="175"/>
      <c r="ET152" s="175"/>
      <c r="EU152" s="175"/>
      <c r="EV152" s="175"/>
      <c r="EW152" s="175"/>
      <c r="EX152" s="175"/>
      <c r="EY152" s="175"/>
      <c r="EZ152" s="175"/>
      <c r="FA152" s="175"/>
      <c r="FB152" s="175"/>
      <c r="FC152" s="175"/>
      <c r="FD152" s="175"/>
      <c r="FE152" s="175"/>
      <c r="FF152" s="175"/>
      <c r="FG152" s="175"/>
      <c r="FH152" s="175"/>
      <c r="FI152" s="175"/>
      <c r="FJ152" s="175"/>
      <c r="FK152" s="175"/>
      <c r="FL152" s="175"/>
      <c r="FM152" s="175"/>
      <c r="FN152" s="175"/>
      <c r="FO152" s="175"/>
      <c r="FP152" s="175"/>
      <c r="FQ152" s="175"/>
      <c r="FR152" s="175"/>
      <c r="FS152" s="175"/>
      <c r="FT152" s="175"/>
      <c r="FU152" s="175"/>
      <c r="FV152" s="175"/>
      <c r="FW152" s="175"/>
      <c r="FX152" s="175"/>
      <c r="FY152" s="175"/>
      <c r="FZ152" s="175"/>
      <c r="GA152" s="175"/>
      <c r="GB152" s="175"/>
      <c r="GC152" s="175"/>
      <c r="GD152" s="175"/>
      <c r="GE152" s="175"/>
      <c r="GF152" s="175"/>
      <c r="GG152" s="175"/>
      <c r="GH152" s="175"/>
      <c r="GI152" s="175"/>
      <c r="GJ152" s="175"/>
      <c r="GK152" s="175"/>
      <c r="GL152" s="175"/>
      <c r="GM152" s="175"/>
      <c r="GN152" s="175"/>
      <c r="GO152" s="175"/>
      <c r="GP152" s="175"/>
      <c r="GQ152" s="175"/>
      <c r="GR152" s="175"/>
      <c r="GS152" s="175"/>
      <c r="GT152" s="175"/>
      <c r="GU152" s="175"/>
      <c r="GV152" s="175"/>
      <c r="GW152" s="175"/>
      <c r="GX152" s="175"/>
      <c r="GY152" s="175"/>
      <c r="GZ152" s="175"/>
      <c r="HA152" s="175"/>
      <c r="HB152" s="175"/>
      <c r="HC152" s="175"/>
      <c r="HD152" s="175"/>
      <c r="HE152" s="175"/>
      <c r="HF152" s="175"/>
      <c r="HG152" s="175"/>
      <c r="HH152" s="175"/>
      <c r="HI152" s="175"/>
      <c r="HJ152" s="175"/>
      <c r="HK152" s="175"/>
      <c r="HL152" s="175"/>
      <c r="HM152" s="175"/>
      <c r="HN152" s="175"/>
      <c r="HO152" s="175"/>
      <c r="HP152" s="175"/>
      <c r="HQ152" s="175"/>
      <c r="HR152" s="175"/>
      <c r="HS152" s="175"/>
      <c r="HT152" s="175"/>
      <c r="HU152" s="175"/>
      <c r="HV152" s="175"/>
      <c r="HW152" s="175"/>
      <c r="HX152" s="175"/>
      <c r="HY152" s="175"/>
      <c r="HZ152" s="175"/>
      <c r="IA152" s="175"/>
      <c r="IB152" s="175"/>
      <c r="IC152" s="175"/>
      <c r="ID152" s="175"/>
      <c r="IE152" s="175"/>
      <c r="IF152" s="175"/>
      <c r="IG152" s="175"/>
      <c r="IH152" s="175"/>
      <c r="II152" s="175"/>
      <c r="IJ152" s="175"/>
      <c r="IK152" s="175"/>
      <c r="IL152" s="175"/>
      <c r="IM152" s="175"/>
      <c r="IN152" s="175"/>
      <c r="IO152" s="175"/>
      <c r="IP152" s="175"/>
      <c r="IQ152" s="175"/>
    </row>
    <row r="153" spans="1:251" s="146" customFormat="1" ht="21.75" customHeight="1">
      <c r="A153" s="179">
        <v>146</v>
      </c>
      <c r="B153" s="458" t="s">
        <v>330</v>
      </c>
      <c r="C153" s="459" t="s">
        <v>340</v>
      </c>
      <c r="D153" s="460">
        <v>30</v>
      </c>
      <c r="E153" s="460"/>
      <c r="F153" s="459" t="s">
        <v>246</v>
      </c>
      <c r="G153" s="460" t="s">
        <v>182</v>
      </c>
      <c r="H153" s="407" t="s">
        <v>294</v>
      </c>
      <c r="I153" s="180">
        <f t="shared" si="8"/>
        <v>97500</v>
      </c>
      <c r="J153" s="408" t="s">
        <v>430</v>
      </c>
      <c r="K153" s="183">
        <f t="shared" si="9"/>
        <v>75000</v>
      </c>
      <c r="L153" s="408" t="s">
        <v>56</v>
      </c>
      <c r="M153" s="181">
        <f t="shared" si="10"/>
        <v>0</v>
      </c>
      <c r="N153" s="181">
        <f t="shared" si="11"/>
        <v>172500</v>
      </c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  <c r="AQ153" s="175"/>
      <c r="AR153" s="175"/>
      <c r="AS153" s="175"/>
      <c r="AT153" s="175"/>
      <c r="AU153" s="175"/>
      <c r="AV153" s="175"/>
      <c r="AW153" s="175"/>
      <c r="AX153" s="175"/>
      <c r="AY153" s="175"/>
      <c r="AZ153" s="175"/>
      <c r="BA153" s="175"/>
      <c r="BB153" s="175"/>
      <c r="BC153" s="175"/>
      <c r="BD153" s="175"/>
      <c r="BE153" s="175"/>
      <c r="BF153" s="175"/>
      <c r="BG153" s="175"/>
      <c r="BH153" s="175"/>
      <c r="BI153" s="175"/>
      <c r="BJ153" s="175"/>
      <c r="BK153" s="175"/>
      <c r="BL153" s="175"/>
      <c r="BM153" s="175"/>
      <c r="BN153" s="175"/>
      <c r="BO153" s="175"/>
      <c r="BP153" s="175"/>
      <c r="BQ153" s="175"/>
      <c r="BR153" s="175"/>
      <c r="BS153" s="175"/>
      <c r="BT153" s="175"/>
      <c r="BU153" s="175"/>
      <c r="BV153" s="175"/>
      <c r="BW153" s="175"/>
      <c r="BX153" s="175"/>
      <c r="BY153" s="175"/>
      <c r="BZ153" s="175"/>
      <c r="CA153" s="175"/>
      <c r="CB153" s="175"/>
      <c r="CC153" s="175"/>
      <c r="CD153" s="175"/>
      <c r="CE153" s="175"/>
      <c r="CF153" s="175"/>
      <c r="CG153" s="175"/>
      <c r="CH153" s="175"/>
      <c r="CI153" s="175"/>
      <c r="CJ153" s="175"/>
      <c r="CK153" s="175"/>
      <c r="CL153" s="175"/>
      <c r="CM153" s="175"/>
      <c r="CN153" s="175"/>
      <c r="CO153" s="175"/>
      <c r="CP153" s="175"/>
      <c r="CQ153" s="175"/>
      <c r="CR153" s="175"/>
      <c r="CS153" s="175"/>
      <c r="CT153" s="175"/>
      <c r="CU153" s="175"/>
      <c r="CV153" s="175"/>
      <c r="CW153" s="175"/>
      <c r="CX153" s="175"/>
      <c r="CY153" s="175"/>
      <c r="CZ153" s="175"/>
      <c r="DA153" s="175"/>
      <c r="DB153" s="175"/>
      <c r="DC153" s="175"/>
      <c r="DD153" s="175"/>
      <c r="DE153" s="175"/>
      <c r="DF153" s="175"/>
      <c r="DG153" s="175"/>
      <c r="DH153" s="175"/>
      <c r="DI153" s="175"/>
      <c r="DJ153" s="175"/>
      <c r="DK153" s="175"/>
      <c r="DL153" s="175"/>
      <c r="DM153" s="175"/>
      <c r="DN153" s="175"/>
      <c r="DO153" s="175"/>
      <c r="DP153" s="175"/>
      <c r="DQ153" s="175"/>
      <c r="DR153" s="175"/>
      <c r="DS153" s="175"/>
      <c r="DT153" s="175"/>
      <c r="DU153" s="175"/>
      <c r="DV153" s="175"/>
      <c r="DW153" s="175"/>
      <c r="DX153" s="175"/>
      <c r="DY153" s="175"/>
      <c r="DZ153" s="175"/>
      <c r="EA153" s="175"/>
      <c r="EB153" s="175"/>
      <c r="EC153" s="175"/>
      <c r="ED153" s="175"/>
      <c r="EE153" s="175"/>
      <c r="EF153" s="175"/>
      <c r="EG153" s="175"/>
      <c r="EH153" s="175"/>
      <c r="EI153" s="175"/>
      <c r="EJ153" s="175"/>
      <c r="EK153" s="175"/>
      <c r="EL153" s="175"/>
      <c r="EM153" s="175"/>
      <c r="EN153" s="175"/>
      <c r="EO153" s="175"/>
      <c r="EP153" s="175"/>
      <c r="EQ153" s="175"/>
      <c r="ER153" s="175"/>
      <c r="ES153" s="175"/>
      <c r="ET153" s="175"/>
      <c r="EU153" s="175"/>
      <c r="EV153" s="175"/>
      <c r="EW153" s="175"/>
      <c r="EX153" s="175"/>
      <c r="EY153" s="175"/>
      <c r="EZ153" s="175"/>
      <c r="FA153" s="175"/>
      <c r="FB153" s="175"/>
      <c r="FC153" s="175"/>
      <c r="FD153" s="175"/>
      <c r="FE153" s="175"/>
      <c r="FF153" s="175"/>
      <c r="FG153" s="175"/>
      <c r="FH153" s="175"/>
      <c r="FI153" s="175"/>
      <c r="FJ153" s="175"/>
      <c r="FK153" s="175"/>
      <c r="FL153" s="175"/>
      <c r="FM153" s="175"/>
      <c r="FN153" s="175"/>
      <c r="FO153" s="175"/>
      <c r="FP153" s="175"/>
      <c r="FQ153" s="175"/>
      <c r="FR153" s="175"/>
      <c r="FS153" s="175"/>
      <c r="FT153" s="175"/>
      <c r="FU153" s="175"/>
      <c r="FV153" s="175"/>
      <c r="FW153" s="175"/>
      <c r="FX153" s="175"/>
      <c r="FY153" s="175"/>
      <c r="FZ153" s="175"/>
      <c r="GA153" s="175"/>
      <c r="GB153" s="175"/>
      <c r="GC153" s="175"/>
      <c r="GD153" s="175"/>
      <c r="GE153" s="175"/>
      <c r="GF153" s="175"/>
      <c r="GG153" s="175"/>
      <c r="GH153" s="175"/>
      <c r="GI153" s="175"/>
      <c r="GJ153" s="175"/>
      <c r="GK153" s="175"/>
      <c r="GL153" s="175"/>
      <c r="GM153" s="175"/>
      <c r="GN153" s="175"/>
      <c r="GO153" s="175"/>
      <c r="GP153" s="175"/>
      <c r="GQ153" s="175"/>
      <c r="GR153" s="175"/>
      <c r="GS153" s="175"/>
      <c r="GT153" s="175"/>
      <c r="GU153" s="175"/>
      <c r="GV153" s="175"/>
      <c r="GW153" s="175"/>
      <c r="GX153" s="175"/>
      <c r="GY153" s="175"/>
      <c r="GZ153" s="175"/>
      <c r="HA153" s="175"/>
      <c r="HB153" s="175"/>
      <c r="HC153" s="175"/>
      <c r="HD153" s="175"/>
      <c r="HE153" s="175"/>
      <c r="HF153" s="175"/>
      <c r="HG153" s="175"/>
      <c r="HH153" s="175"/>
      <c r="HI153" s="175"/>
      <c r="HJ153" s="175"/>
      <c r="HK153" s="175"/>
      <c r="HL153" s="175"/>
      <c r="HM153" s="175"/>
      <c r="HN153" s="175"/>
      <c r="HO153" s="175"/>
      <c r="HP153" s="175"/>
      <c r="HQ153" s="175"/>
      <c r="HR153" s="175"/>
      <c r="HS153" s="175"/>
      <c r="HT153" s="175"/>
      <c r="HU153" s="175"/>
      <c r="HV153" s="175"/>
      <c r="HW153" s="175"/>
      <c r="HX153" s="175"/>
      <c r="HY153" s="175"/>
      <c r="HZ153" s="175"/>
      <c r="IA153" s="175"/>
      <c r="IB153" s="175"/>
      <c r="IC153" s="175"/>
      <c r="ID153" s="175"/>
      <c r="IE153" s="175"/>
      <c r="IF153" s="175"/>
      <c r="IG153" s="175"/>
      <c r="IH153" s="175"/>
      <c r="II153" s="175"/>
      <c r="IJ153" s="175"/>
      <c r="IK153" s="175"/>
      <c r="IL153" s="175"/>
      <c r="IM153" s="175"/>
      <c r="IN153" s="175"/>
      <c r="IO153" s="175"/>
      <c r="IP153" s="175"/>
      <c r="IQ153" s="175"/>
    </row>
    <row r="154" spans="1:251" s="146" customFormat="1" ht="21.75" customHeight="1">
      <c r="A154" s="179">
        <v>147</v>
      </c>
      <c r="B154" s="458" t="s">
        <v>330</v>
      </c>
      <c r="C154" s="459" t="s">
        <v>466</v>
      </c>
      <c r="D154" s="460">
        <v>38</v>
      </c>
      <c r="E154" s="460"/>
      <c r="F154" s="459" t="s">
        <v>246</v>
      </c>
      <c r="G154" s="460" t="s">
        <v>461</v>
      </c>
      <c r="H154" s="407" t="s">
        <v>159</v>
      </c>
      <c r="I154" s="180">
        <f t="shared" si="8"/>
        <v>97500</v>
      </c>
      <c r="J154" s="408" t="s">
        <v>212</v>
      </c>
      <c r="K154" s="183">
        <f t="shared" si="9"/>
        <v>75000</v>
      </c>
      <c r="L154" s="408" t="s">
        <v>56</v>
      </c>
      <c r="M154" s="181">
        <f t="shared" si="10"/>
        <v>0</v>
      </c>
      <c r="N154" s="181">
        <f t="shared" si="11"/>
        <v>172500</v>
      </c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  <c r="AJ154" s="175"/>
      <c r="AK154" s="175"/>
      <c r="AL154" s="175"/>
      <c r="AM154" s="175"/>
      <c r="AN154" s="175"/>
      <c r="AO154" s="175"/>
      <c r="AP154" s="175"/>
      <c r="AQ154" s="175"/>
      <c r="AR154" s="175"/>
      <c r="AS154" s="175"/>
      <c r="AT154" s="175"/>
      <c r="AU154" s="175"/>
      <c r="AV154" s="175"/>
      <c r="AW154" s="175"/>
      <c r="AX154" s="175"/>
      <c r="AY154" s="175"/>
      <c r="AZ154" s="175"/>
      <c r="BA154" s="175"/>
      <c r="BB154" s="175"/>
      <c r="BC154" s="175"/>
      <c r="BD154" s="175"/>
      <c r="BE154" s="175"/>
      <c r="BF154" s="175"/>
      <c r="BG154" s="175"/>
      <c r="BH154" s="175"/>
      <c r="BI154" s="175"/>
      <c r="BJ154" s="175"/>
      <c r="BK154" s="175"/>
      <c r="BL154" s="175"/>
      <c r="BM154" s="175"/>
      <c r="BN154" s="175"/>
      <c r="BO154" s="175"/>
      <c r="BP154" s="175"/>
      <c r="BQ154" s="175"/>
      <c r="BR154" s="175"/>
      <c r="BS154" s="175"/>
      <c r="BT154" s="175"/>
      <c r="BU154" s="175"/>
      <c r="BV154" s="175"/>
      <c r="BW154" s="175"/>
      <c r="BX154" s="175"/>
      <c r="BY154" s="175"/>
      <c r="BZ154" s="175"/>
      <c r="CA154" s="175"/>
      <c r="CB154" s="175"/>
      <c r="CC154" s="175"/>
      <c r="CD154" s="175"/>
      <c r="CE154" s="175"/>
      <c r="CF154" s="175"/>
      <c r="CG154" s="175"/>
      <c r="CH154" s="175"/>
      <c r="CI154" s="175"/>
      <c r="CJ154" s="175"/>
      <c r="CK154" s="175"/>
      <c r="CL154" s="175"/>
      <c r="CM154" s="175"/>
      <c r="CN154" s="175"/>
      <c r="CO154" s="175"/>
      <c r="CP154" s="175"/>
      <c r="CQ154" s="175"/>
      <c r="CR154" s="175"/>
      <c r="CS154" s="175"/>
      <c r="CT154" s="175"/>
      <c r="CU154" s="175"/>
      <c r="CV154" s="175"/>
      <c r="CW154" s="175"/>
      <c r="CX154" s="175"/>
      <c r="CY154" s="175"/>
      <c r="CZ154" s="175"/>
      <c r="DA154" s="175"/>
      <c r="DB154" s="175"/>
      <c r="DC154" s="175"/>
      <c r="DD154" s="175"/>
      <c r="DE154" s="175"/>
      <c r="DF154" s="175"/>
      <c r="DG154" s="175"/>
      <c r="DH154" s="175"/>
      <c r="DI154" s="175"/>
      <c r="DJ154" s="175"/>
      <c r="DK154" s="175"/>
      <c r="DL154" s="175"/>
      <c r="DM154" s="175"/>
      <c r="DN154" s="175"/>
      <c r="DO154" s="175"/>
      <c r="DP154" s="175"/>
      <c r="DQ154" s="175"/>
      <c r="DR154" s="175"/>
      <c r="DS154" s="175"/>
      <c r="DT154" s="175"/>
      <c r="DU154" s="175"/>
      <c r="DV154" s="175"/>
      <c r="DW154" s="175"/>
      <c r="DX154" s="175"/>
      <c r="DY154" s="175"/>
      <c r="DZ154" s="175"/>
      <c r="EA154" s="175"/>
      <c r="EB154" s="175"/>
      <c r="EC154" s="175"/>
      <c r="ED154" s="175"/>
      <c r="EE154" s="175"/>
      <c r="EF154" s="175"/>
      <c r="EG154" s="175"/>
      <c r="EH154" s="175"/>
      <c r="EI154" s="175"/>
      <c r="EJ154" s="175"/>
      <c r="EK154" s="175"/>
      <c r="EL154" s="175"/>
      <c r="EM154" s="175"/>
      <c r="EN154" s="175"/>
      <c r="EO154" s="175"/>
      <c r="EP154" s="175"/>
      <c r="EQ154" s="175"/>
      <c r="ER154" s="175"/>
      <c r="ES154" s="175"/>
      <c r="ET154" s="175"/>
      <c r="EU154" s="175"/>
      <c r="EV154" s="175"/>
      <c r="EW154" s="175"/>
      <c r="EX154" s="175"/>
      <c r="EY154" s="175"/>
      <c r="EZ154" s="175"/>
      <c r="FA154" s="175"/>
      <c r="FB154" s="175"/>
      <c r="FC154" s="175"/>
      <c r="FD154" s="175"/>
      <c r="FE154" s="175"/>
      <c r="FF154" s="175"/>
      <c r="FG154" s="175"/>
      <c r="FH154" s="175"/>
      <c r="FI154" s="175"/>
      <c r="FJ154" s="175"/>
      <c r="FK154" s="175"/>
      <c r="FL154" s="175"/>
      <c r="FM154" s="175"/>
      <c r="FN154" s="175"/>
      <c r="FO154" s="175"/>
      <c r="FP154" s="175"/>
      <c r="FQ154" s="175"/>
      <c r="FR154" s="175"/>
      <c r="FS154" s="175"/>
      <c r="FT154" s="175"/>
      <c r="FU154" s="175"/>
      <c r="FV154" s="175"/>
      <c r="FW154" s="175"/>
      <c r="FX154" s="175"/>
      <c r="FY154" s="175"/>
      <c r="FZ154" s="175"/>
      <c r="GA154" s="175"/>
      <c r="GB154" s="175"/>
      <c r="GC154" s="175"/>
      <c r="GD154" s="175"/>
      <c r="GE154" s="175"/>
      <c r="GF154" s="175"/>
      <c r="GG154" s="175"/>
      <c r="GH154" s="175"/>
      <c r="GI154" s="175"/>
      <c r="GJ154" s="175"/>
      <c r="GK154" s="175"/>
      <c r="GL154" s="175"/>
      <c r="GM154" s="175"/>
      <c r="GN154" s="175"/>
      <c r="GO154" s="175"/>
      <c r="GP154" s="175"/>
      <c r="GQ154" s="175"/>
      <c r="GR154" s="175"/>
      <c r="GS154" s="175"/>
      <c r="GT154" s="175"/>
      <c r="GU154" s="175"/>
      <c r="GV154" s="175"/>
      <c r="GW154" s="175"/>
      <c r="GX154" s="175"/>
      <c r="GY154" s="175"/>
      <c r="GZ154" s="175"/>
      <c r="HA154" s="175"/>
      <c r="HB154" s="175"/>
      <c r="HC154" s="175"/>
      <c r="HD154" s="175"/>
      <c r="HE154" s="175"/>
      <c r="HF154" s="175"/>
      <c r="HG154" s="175"/>
      <c r="HH154" s="175"/>
      <c r="HI154" s="175"/>
      <c r="HJ154" s="175"/>
      <c r="HK154" s="175"/>
      <c r="HL154" s="175"/>
      <c r="HM154" s="175"/>
      <c r="HN154" s="175"/>
      <c r="HO154" s="175"/>
      <c r="HP154" s="175"/>
      <c r="HQ154" s="175"/>
      <c r="HR154" s="175"/>
      <c r="HS154" s="175"/>
      <c r="HT154" s="175"/>
      <c r="HU154" s="175"/>
      <c r="HV154" s="175"/>
      <c r="HW154" s="175"/>
      <c r="HX154" s="175"/>
      <c r="HY154" s="175"/>
      <c r="HZ154" s="175"/>
      <c r="IA154" s="175"/>
      <c r="IB154" s="175"/>
      <c r="IC154" s="175"/>
      <c r="ID154" s="175"/>
      <c r="IE154" s="175"/>
      <c r="IF154" s="175"/>
      <c r="IG154" s="175"/>
      <c r="IH154" s="175"/>
      <c r="II154" s="175"/>
      <c r="IJ154" s="175"/>
      <c r="IK154" s="175"/>
      <c r="IL154" s="175"/>
      <c r="IM154" s="175"/>
      <c r="IN154" s="175"/>
      <c r="IO154" s="175"/>
      <c r="IP154" s="175"/>
      <c r="IQ154" s="175"/>
    </row>
    <row r="155" spans="1:251" s="146" customFormat="1" ht="21.75" customHeight="1">
      <c r="A155" s="179">
        <v>148</v>
      </c>
      <c r="B155" s="458" t="s">
        <v>330</v>
      </c>
      <c r="C155" s="459" t="s">
        <v>341</v>
      </c>
      <c r="D155" s="460">
        <v>17</v>
      </c>
      <c r="E155" s="460"/>
      <c r="F155" s="459" t="s">
        <v>246</v>
      </c>
      <c r="G155" s="460" t="s">
        <v>182</v>
      </c>
      <c r="H155" s="407" t="s">
        <v>212</v>
      </c>
      <c r="I155" s="180">
        <f t="shared" si="8"/>
        <v>97500</v>
      </c>
      <c r="J155" s="408" t="s">
        <v>428</v>
      </c>
      <c r="K155" s="183">
        <f t="shared" si="9"/>
        <v>75000</v>
      </c>
      <c r="L155" s="408" t="s">
        <v>56</v>
      </c>
      <c r="M155" s="181">
        <f t="shared" si="10"/>
        <v>0</v>
      </c>
      <c r="N155" s="181">
        <f t="shared" si="11"/>
        <v>172500</v>
      </c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  <c r="AQ155" s="175"/>
      <c r="AR155" s="175"/>
      <c r="AS155" s="175"/>
      <c r="AT155" s="175"/>
      <c r="AU155" s="175"/>
      <c r="AV155" s="175"/>
      <c r="AW155" s="175"/>
      <c r="AX155" s="175"/>
      <c r="AY155" s="175"/>
      <c r="AZ155" s="175"/>
      <c r="BA155" s="175"/>
      <c r="BB155" s="175"/>
      <c r="BC155" s="175"/>
      <c r="BD155" s="175"/>
      <c r="BE155" s="175"/>
      <c r="BF155" s="175"/>
      <c r="BG155" s="175"/>
      <c r="BH155" s="175"/>
      <c r="BI155" s="175"/>
      <c r="BJ155" s="175"/>
      <c r="BK155" s="175"/>
      <c r="BL155" s="175"/>
      <c r="BM155" s="175"/>
      <c r="BN155" s="175"/>
      <c r="BO155" s="175"/>
      <c r="BP155" s="175"/>
      <c r="BQ155" s="175"/>
      <c r="BR155" s="175"/>
      <c r="BS155" s="175"/>
      <c r="BT155" s="175"/>
      <c r="BU155" s="175"/>
      <c r="BV155" s="175"/>
      <c r="BW155" s="175"/>
      <c r="BX155" s="175"/>
      <c r="BY155" s="175"/>
      <c r="BZ155" s="175"/>
      <c r="CA155" s="175"/>
      <c r="CB155" s="175"/>
      <c r="CC155" s="175"/>
      <c r="CD155" s="175"/>
      <c r="CE155" s="175"/>
      <c r="CF155" s="175"/>
      <c r="CG155" s="175"/>
      <c r="CH155" s="175"/>
      <c r="CI155" s="175"/>
      <c r="CJ155" s="175"/>
      <c r="CK155" s="175"/>
      <c r="CL155" s="175"/>
      <c r="CM155" s="175"/>
      <c r="CN155" s="175"/>
      <c r="CO155" s="175"/>
      <c r="CP155" s="175"/>
      <c r="CQ155" s="175"/>
      <c r="CR155" s="175"/>
      <c r="CS155" s="175"/>
      <c r="CT155" s="175"/>
      <c r="CU155" s="175"/>
      <c r="CV155" s="175"/>
      <c r="CW155" s="175"/>
      <c r="CX155" s="175"/>
      <c r="CY155" s="175"/>
      <c r="CZ155" s="175"/>
      <c r="DA155" s="175"/>
      <c r="DB155" s="175"/>
      <c r="DC155" s="175"/>
      <c r="DD155" s="175"/>
      <c r="DE155" s="175"/>
      <c r="DF155" s="175"/>
      <c r="DG155" s="175"/>
      <c r="DH155" s="175"/>
      <c r="DI155" s="175"/>
      <c r="DJ155" s="175"/>
      <c r="DK155" s="175"/>
      <c r="DL155" s="175"/>
      <c r="DM155" s="175"/>
      <c r="DN155" s="175"/>
      <c r="DO155" s="175"/>
      <c r="DP155" s="175"/>
      <c r="DQ155" s="175"/>
      <c r="DR155" s="175"/>
      <c r="DS155" s="175"/>
      <c r="DT155" s="175"/>
      <c r="DU155" s="175"/>
      <c r="DV155" s="175"/>
      <c r="DW155" s="175"/>
      <c r="DX155" s="175"/>
      <c r="DY155" s="175"/>
      <c r="DZ155" s="175"/>
      <c r="EA155" s="175"/>
      <c r="EB155" s="175"/>
      <c r="EC155" s="175"/>
      <c r="ED155" s="175"/>
      <c r="EE155" s="175"/>
      <c r="EF155" s="175"/>
      <c r="EG155" s="175"/>
      <c r="EH155" s="175"/>
      <c r="EI155" s="175"/>
      <c r="EJ155" s="175"/>
      <c r="EK155" s="175"/>
      <c r="EL155" s="175"/>
      <c r="EM155" s="175"/>
      <c r="EN155" s="175"/>
      <c r="EO155" s="175"/>
      <c r="EP155" s="175"/>
      <c r="EQ155" s="175"/>
      <c r="ER155" s="175"/>
      <c r="ES155" s="175"/>
      <c r="ET155" s="175"/>
      <c r="EU155" s="175"/>
      <c r="EV155" s="175"/>
      <c r="EW155" s="175"/>
      <c r="EX155" s="175"/>
      <c r="EY155" s="175"/>
      <c r="EZ155" s="175"/>
      <c r="FA155" s="175"/>
      <c r="FB155" s="175"/>
      <c r="FC155" s="175"/>
      <c r="FD155" s="175"/>
      <c r="FE155" s="175"/>
      <c r="FF155" s="175"/>
      <c r="FG155" s="175"/>
      <c r="FH155" s="175"/>
      <c r="FI155" s="175"/>
      <c r="FJ155" s="175"/>
      <c r="FK155" s="175"/>
      <c r="FL155" s="175"/>
      <c r="FM155" s="175"/>
      <c r="FN155" s="175"/>
      <c r="FO155" s="175"/>
      <c r="FP155" s="175"/>
      <c r="FQ155" s="175"/>
      <c r="FR155" s="175"/>
      <c r="FS155" s="175"/>
      <c r="FT155" s="175"/>
      <c r="FU155" s="175"/>
      <c r="FV155" s="175"/>
      <c r="FW155" s="175"/>
      <c r="FX155" s="175"/>
      <c r="FY155" s="175"/>
      <c r="FZ155" s="175"/>
      <c r="GA155" s="175"/>
      <c r="GB155" s="175"/>
      <c r="GC155" s="175"/>
      <c r="GD155" s="175"/>
      <c r="GE155" s="175"/>
      <c r="GF155" s="175"/>
      <c r="GG155" s="175"/>
      <c r="GH155" s="175"/>
      <c r="GI155" s="175"/>
      <c r="GJ155" s="175"/>
      <c r="GK155" s="175"/>
      <c r="GL155" s="175"/>
      <c r="GM155" s="175"/>
      <c r="GN155" s="175"/>
      <c r="GO155" s="175"/>
      <c r="GP155" s="175"/>
      <c r="GQ155" s="175"/>
      <c r="GR155" s="175"/>
      <c r="GS155" s="175"/>
      <c r="GT155" s="175"/>
      <c r="GU155" s="175"/>
      <c r="GV155" s="175"/>
      <c r="GW155" s="175"/>
      <c r="GX155" s="175"/>
      <c r="GY155" s="175"/>
      <c r="GZ155" s="175"/>
      <c r="HA155" s="175"/>
      <c r="HB155" s="175"/>
      <c r="HC155" s="175"/>
      <c r="HD155" s="175"/>
      <c r="HE155" s="175"/>
      <c r="HF155" s="175"/>
      <c r="HG155" s="175"/>
      <c r="HH155" s="175"/>
      <c r="HI155" s="175"/>
      <c r="HJ155" s="175"/>
      <c r="HK155" s="175"/>
      <c r="HL155" s="175"/>
      <c r="HM155" s="175"/>
      <c r="HN155" s="175"/>
      <c r="HO155" s="175"/>
      <c r="HP155" s="175"/>
      <c r="HQ155" s="175"/>
      <c r="HR155" s="175"/>
      <c r="HS155" s="175"/>
      <c r="HT155" s="175"/>
      <c r="HU155" s="175"/>
      <c r="HV155" s="175"/>
      <c r="HW155" s="175"/>
      <c r="HX155" s="175"/>
      <c r="HY155" s="175"/>
      <c r="HZ155" s="175"/>
      <c r="IA155" s="175"/>
      <c r="IB155" s="175"/>
      <c r="IC155" s="175"/>
      <c r="ID155" s="175"/>
      <c r="IE155" s="175"/>
      <c r="IF155" s="175"/>
      <c r="IG155" s="175"/>
      <c r="IH155" s="175"/>
      <c r="II155" s="175"/>
      <c r="IJ155" s="175"/>
      <c r="IK155" s="175"/>
      <c r="IL155" s="175"/>
      <c r="IM155" s="175"/>
      <c r="IN155" s="175"/>
      <c r="IO155" s="175"/>
      <c r="IP155" s="175"/>
      <c r="IQ155" s="175"/>
    </row>
    <row r="156" spans="1:251" s="146" customFormat="1" ht="21.75" customHeight="1">
      <c r="A156" s="179">
        <v>149</v>
      </c>
      <c r="B156" s="458" t="s">
        <v>330</v>
      </c>
      <c r="C156" s="459" t="s">
        <v>342</v>
      </c>
      <c r="D156" s="460"/>
      <c r="E156" s="460">
        <v>45</v>
      </c>
      <c r="F156" s="459" t="s">
        <v>246</v>
      </c>
      <c r="G156" s="460" t="s">
        <v>182</v>
      </c>
      <c r="H156" s="407" t="s">
        <v>159</v>
      </c>
      <c r="I156" s="180">
        <f t="shared" si="8"/>
        <v>97500</v>
      </c>
      <c r="J156" s="408" t="s">
        <v>212</v>
      </c>
      <c r="K156" s="183">
        <f t="shared" si="9"/>
        <v>75000</v>
      </c>
      <c r="L156" s="408" t="s">
        <v>56</v>
      </c>
      <c r="M156" s="181">
        <f t="shared" si="10"/>
        <v>0</v>
      </c>
      <c r="N156" s="181">
        <f t="shared" si="11"/>
        <v>172500</v>
      </c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  <c r="AQ156" s="175"/>
      <c r="AR156" s="175"/>
      <c r="AS156" s="175"/>
      <c r="AT156" s="175"/>
      <c r="AU156" s="175"/>
      <c r="AV156" s="175"/>
      <c r="AW156" s="175"/>
      <c r="AX156" s="175"/>
      <c r="AY156" s="175"/>
      <c r="AZ156" s="175"/>
      <c r="BA156" s="175"/>
      <c r="BB156" s="175"/>
      <c r="BC156" s="175"/>
      <c r="BD156" s="175"/>
      <c r="BE156" s="175"/>
      <c r="BF156" s="175"/>
      <c r="BG156" s="175"/>
      <c r="BH156" s="175"/>
      <c r="BI156" s="175"/>
      <c r="BJ156" s="175"/>
      <c r="BK156" s="175"/>
      <c r="BL156" s="175"/>
      <c r="BM156" s="175"/>
      <c r="BN156" s="175"/>
      <c r="BO156" s="175"/>
      <c r="BP156" s="175"/>
      <c r="BQ156" s="175"/>
      <c r="BR156" s="175"/>
      <c r="BS156" s="175"/>
      <c r="BT156" s="175"/>
      <c r="BU156" s="175"/>
      <c r="BV156" s="175"/>
      <c r="BW156" s="175"/>
      <c r="BX156" s="175"/>
      <c r="BY156" s="175"/>
      <c r="BZ156" s="175"/>
      <c r="CA156" s="175"/>
      <c r="CB156" s="175"/>
      <c r="CC156" s="175"/>
      <c r="CD156" s="175"/>
      <c r="CE156" s="175"/>
      <c r="CF156" s="175"/>
      <c r="CG156" s="175"/>
      <c r="CH156" s="175"/>
      <c r="CI156" s="175"/>
      <c r="CJ156" s="175"/>
      <c r="CK156" s="175"/>
      <c r="CL156" s="175"/>
      <c r="CM156" s="175"/>
      <c r="CN156" s="175"/>
      <c r="CO156" s="175"/>
      <c r="CP156" s="175"/>
      <c r="CQ156" s="175"/>
      <c r="CR156" s="175"/>
      <c r="CS156" s="175"/>
      <c r="CT156" s="175"/>
      <c r="CU156" s="175"/>
      <c r="CV156" s="175"/>
      <c r="CW156" s="175"/>
      <c r="CX156" s="175"/>
      <c r="CY156" s="175"/>
      <c r="CZ156" s="175"/>
      <c r="DA156" s="175"/>
      <c r="DB156" s="175"/>
      <c r="DC156" s="175"/>
      <c r="DD156" s="175"/>
      <c r="DE156" s="175"/>
      <c r="DF156" s="175"/>
      <c r="DG156" s="175"/>
      <c r="DH156" s="175"/>
      <c r="DI156" s="175"/>
      <c r="DJ156" s="175"/>
      <c r="DK156" s="175"/>
      <c r="DL156" s="175"/>
      <c r="DM156" s="175"/>
      <c r="DN156" s="175"/>
      <c r="DO156" s="175"/>
      <c r="DP156" s="175"/>
      <c r="DQ156" s="175"/>
      <c r="DR156" s="175"/>
      <c r="DS156" s="175"/>
      <c r="DT156" s="175"/>
      <c r="DU156" s="175"/>
      <c r="DV156" s="175"/>
      <c r="DW156" s="175"/>
      <c r="DX156" s="175"/>
      <c r="DY156" s="175"/>
      <c r="DZ156" s="175"/>
      <c r="EA156" s="175"/>
      <c r="EB156" s="175"/>
      <c r="EC156" s="175"/>
      <c r="ED156" s="175"/>
      <c r="EE156" s="175"/>
      <c r="EF156" s="175"/>
      <c r="EG156" s="175"/>
      <c r="EH156" s="175"/>
      <c r="EI156" s="175"/>
      <c r="EJ156" s="175"/>
      <c r="EK156" s="175"/>
      <c r="EL156" s="175"/>
      <c r="EM156" s="175"/>
      <c r="EN156" s="175"/>
      <c r="EO156" s="175"/>
      <c r="EP156" s="175"/>
      <c r="EQ156" s="175"/>
      <c r="ER156" s="175"/>
      <c r="ES156" s="175"/>
      <c r="ET156" s="175"/>
      <c r="EU156" s="175"/>
      <c r="EV156" s="175"/>
      <c r="EW156" s="175"/>
      <c r="EX156" s="175"/>
      <c r="EY156" s="175"/>
      <c r="EZ156" s="175"/>
      <c r="FA156" s="175"/>
      <c r="FB156" s="175"/>
      <c r="FC156" s="175"/>
      <c r="FD156" s="175"/>
      <c r="FE156" s="175"/>
      <c r="FF156" s="175"/>
      <c r="FG156" s="175"/>
      <c r="FH156" s="175"/>
      <c r="FI156" s="175"/>
      <c r="FJ156" s="175"/>
      <c r="FK156" s="175"/>
      <c r="FL156" s="175"/>
      <c r="FM156" s="175"/>
      <c r="FN156" s="175"/>
      <c r="FO156" s="175"/>
      <c r="FP156" s="175"/>
      <c r="FQ156" s="175"/>
      <c r="FR156" s="175"/>
      <c r="FS156" s="175"/>
      <c r="FT156" s="175"/>
      <c r="FU156" s="175"/>
      <c r="FV156" s="175"/>
      <c r="FW156" s="175"/>
      <c r="FX156" s="175"/>
      <c r="FY156" s="175"/>
      <c r="FZ156" s="175"/>
      <c r="GA156" s="175"/>
      <c r="GB156" s="175"/>
      <c r="GC156" s="175"/>
      <c r="GD156" s="175"/>
      <c r="GE156" s="175"/>
      <c r="GF156" s="175"/>
      <c r="GG156" s="175"/>
      <c r="GH156" s="175"/>
      <c r="GI156" s="175"/>
      <c r="GJ156" s="175"/>
      <c r="GK156" s="175"/>
      <c r="GL156" s="175"/>
      <c r="GM156" s="175"/>
      <c r="GN156" s="175"/>
      <c r="GO156" s="175"/>
      <c r="GP156" s="175"/>
      <c r="GQ156" s="175"/>
      <c r="GR156" s="175"/>
      <c r="GS156" s="175"/>
      <c r="GT156" s="175"/>
      <c r="GU156" s="175"/>
      <c r="GV156" s="175"/>
      <c r="GW156" s="175"/>
      <c r="GX156" s="175"/>
      <c r="GY156" s="175"/>
      <c r="GZ156" s="175"/>
      <c r="HA156" s="175"/>
      <c r="HB156" s="175"/>
      <c r="HC156" s="175"/>
      <c r="HD156" s="175"/>
      <c r="HE156" s="175"/>
      <c r="HF156" s="175"/>
      <c r="HG156" s="175"/>
      <c r="HH156" s="175"/>
      <c r="HI156" s="175"/>
      <c r="HJ156" s="175"/>
      <c r="HK156" s="175"/>
      <c r="HL156" s="175"/>
      <c r="HM156" s="175"/>
      <c r="HN156" s="175"/>
      <c r="HO156" s="175"/>
      <c r="HP156" s="175"/>
      <c r="HQ156" s="175"/>
      <c r="HR156" s="175"/>
      <c r="HS156" s="175"/>
      <c r="HT156" s="175"/>
      <c r="HU156" s="175"/>
      <c r="HV156" s="175"/>
      <c r="HW156" s="175"/>
      <c r="HX156" s="175"/>
      <c r="HY156" s="175"/>
      <c r="HZ156" s="175"/>
      <c r="IA156" s="175"/>
      <c r="IB156" s="175"/>
      <c r="IC156" s="175"/>
      <c r="ID156" s="175"/>
      <c r="IE156" s="175"/>
      <c r="IF156" s="175"/>
      <c r="IG156" s="175"/>
      <c r="IH156" s="175"/>
      <c r="II156" s="175"/>
      <c r="IJ156" s="175"/>
      <c r="IK156" s="175"/>
      <c r="IL156" s="175"/>
      <c r="IM156" s="175"/>
      <c r="IN156" s="175"/>
      <c r="IO156" s="175"/>
      <c r="IP156" s="175"/>
      <c r="IQ156" s="175"/>
    </row>
    <row r="157" spans="1:251" s="146" customFormat="1" ht="21.75" customHeight="1">
      <c r="A157" s="179">
        <v>150</v>
      </c>
      <c r="B157" s="458" t="s">
        <v>343</v>
      </c>
      <c r="C157" s="459" t="s">
        <v>348</v>
      </c>
      <c r="D157" s="460">
        <v>37</v>
      </c>
      <c r="E157" s="460"/>
      <c r="F157" s="459" t="s">
        <v>249</v>
      </c>
      <c r="G157" s="460" t="s">
        <v>182</v>
      </c>
      <c r="H157" s="407" t="s">
        <v>190</v>
      </c>
      <c r="I157" s="180">
        <f t="shared" si="8"/>
        <v>97500</v>
      </c>
      <c r="J157" s="408" t="s">
        <v>430</v>
      </c>
      <c r="K157" s="183">
        <f t="shared" si="9"/>
        <v>75000</v>
      </c>
      <c r="L157" s="408" t="s">
        <v>56</v>
      </c>
      <c r="M157" s="181">
        <f t="shared" si="10"/>
        <v>0</v>
      </c>
      <c r="N157" s="181">
        <f t="shared" si="11"/>
        <v>172500</v>
      </c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  <c r="AU157" s="175"/>
      <c r="AV157" s="175"/>
      <c r="AW157" s="175"/>
      <c r="AX157" s="175"/>
      <c r="AY157" s="175"/>
      <c r="AZ157" s="175"/>
      <c r="BA157" s="175"/>
      <c r="BB157" s="175"/>
      <c r="BC157" s="175"/>
      <c r="BD157" s="175"/>
      <c r="BE157" s="175"/>
      <c r="BF157" s="175"/>
      <c r="BG157" s="175"/>
      <c r="BH157" s="175"/>
      <c r="BI157" s="175"/>
      <c r="BJ157" s="175"/>
      <c r="BK157" s="175"/>
      <c r="BL157" s="175"/>
      <c r="BM157" s="175"/>
      <c r="BN157" s="175"/>
      <c r="BO157" s="175"/>
      <c r="BP157" s="175"/>
      <c r="BQ157" s="175"/>
      <c r="BR157" s="175"/>
      <c r="BS157" s="175"/>
      <c r="BT157" s="175"/>
      <c r="BU157" s="175"/>
      <c r="BV157" s="175"/>
      <c r="BW157" s="175"/>
      <c r="BX157" s="175"/>
      <c r="BY157" s="175"/>
      <c r="BZ157" s="175"/>
      <c r="CA157" s="175"/>
      <c r="CB157" s="175"/>
      <c r="CC157" s="175"/>
      <c r="CD157" s="175"/>
      <c r="CE157" s="175"/>
      <c r="CF157" s="175"/>
      <c r="CG157" s="175"/>
      <c r="CH157" s="175"/>
      <c r="CI157" s="175"/>
      <c r="CJ157" s="175"/>
      <c r="CK157" s="175"/>
      <c r="CL157" s="175"/>
      <c r="CM157" s="175"/>
      <c r="CN157" s="175"/>
      <c r="CO157" s="175"/>
      <c r="CP157" s="175"/>
      <c r="CQ157" s="175"/>
      <c r="CR157" s="175"/>
      <c r="CS157" s="175"/>
      <c r="CT157" s="175"/>
      <c r="CU157" s="175"/>
      <c r="CV157" s="175"/>
      <c r="CW157" s="175"/>
      <c r="CX157" s="175"/>
      <c r="CY157" s="175"/>
      <c r="CZ157" s="175"/>
      <c r="DA157" s="175"/>
      <c r="DB157" s="175"/>
      <c r="DC157" s="175"/>
      <c r="DD157" s="175"/>
      <c r="DE157" s="175"/>
      <c r="DF157" s="175"/>
      <c r="DG157" s="175"/>
      <c r="DH157" s="175"/>
      <c r="DI157" s="175"/>
      <c r="DJ157" s="175"/>
      <c r="DK157" s="175"/>
      <c r="DL157" s="175"/>
      <c r="DM157" s="175"/>
      <c r="DN157" s="175"/>
      <c r="DO157" s="175"/>
      <c r="DP157" s="175"/>
      <c r="DQ157" s="175"/>
      <c r="DR157" s="175"/>
      <c r="DS157" s="175"/>
      <c r="DT157" s="175"/>
      <c r="DU157" s="175"/>
      <c r="DV157" s="175"/>
      <c r="DW157" s="175"/>
      <c r="DX157" s="175"/>
      <c r="DY157" s="175"/>
      <c r="DZ157" s="175"/>
      <c r="EA157" s="175"/>
      <c r="EB157" s="175"/>
      <c r="EC157" s="175"/>
      <c r="ED157" s="175"/>
      <c r="EE157" s="175"/>
      <c r="EF157" s="175"/>
      <c r="EG157" s="175"/>
      <c r="EH157" s="175"/>
      <c r="EI157" s="175"/>
      <c r="EJ157" s="175"/>
      <c r="EK157" s="175"/>
      <c r="EL157" s="175"/>
      <c r="EM157" s="175"/>
      <c r="EN157" s="175"/>
      <c r="EO157" s="175"/>
      <c r="EP157" s="175"/>
      <c r="EQ157" s="175"/>
      <c r="ER157" s="175"/>
      <c r="ES157" s="175"/>
      <c r="ET157" s="175"/>
      <c r="EU157" s="175"/>
      <c r="EV157" s="175"/>
      <c r="EW157" s="175"/>
      <c r="EX157" s="175"/>
      <c r="EY157" s="175"/>
      <c r="EZ157" s="175"/>
      <c r="FA157" s="175"/>
      <c r="FB157" s="175"/>
      <c r="FC157" s="175"/>
      <c r="FD157" s="175"/>
      <c r="FE157" s="175"/>
      <c r="FF157" s="175"/>
      <c r="FG157" s="175"/>
      <c r="FH157" s="175"/>
      <c r="FI157" s="175"/>
      <c r="FJ157" s="175"/>
      <c r="FK157" s="175"/>
      <c r="FL157" s="175"/>
      <c r="FM157" s="175"/>
      <c r="FN157" s="175"/>
      <c r="FO157" s="175"/>
      <c r="FP157" s="175"/>
      <c r="FQ157" s="175"/>
      <c r="FR157" s="175"/>
      <c r="FS157" s="175"/>
      <c r="FT157" s="175"/>
      <c r="FU157" s="175"/>
      <c r="FV157" s="175"/>
      <c r="FW157" s="175"/>
      <c r="FX157" s="175"/>
      <c r="FY157" s="175"/>
      <c r="FZ157" s="175"/>
      <c r="GA157" s="175"/>
      <c r="GB157" s="175"/>
      <c r="GC157" s="175"/>
      <c r="GD157" s="175"/>
      <c r="GE157" s="175"/>
      <c r="GF157" s="175"/>
      <c r="GG157" s="175"/>
      <c r="GH157" s="175"/>
      <c r="GI157" s="175"/>
      <c r="GJ157" s="175"/>
      <c r="GK157" s="175"/>
      <c r="GL157" s="175"/>
      <c r="GM157" s="175"/>
      <c r="GN157" s="175"/>
      <c r="GO157" s="175"/>
      <c r="GP157" s="175"/>
      <c r="GQ157" s="175"/>
      <c r="GR157" s="175"/>
      <c r="GS157" s="175"/>
      <c r="GT157" s="175"/>
      <c r="GU157" s="175"/>
      <c r="GV157" s="175"/>
      <c r="GW157" s="175"/>
      <c r="GX157" s="175"/>
      <c r="GY157" s="175"/>
      <c r="GZ157" s="175"/>
      <c r="HA157" s="175"/>
      <c r="HB157" s="175"/>
      <c r="HC157" s="175"/>
      <c r="HD157" s="175"/>
      <c r="HE157" s="175"/>
      <c r="HF157" s="175"/>
      <c r="HG157" s="175"/>
      <c r="HH157" s="175"/>
      <c r="HI157" s="175"/>
      <c r="HJ157" s="175"/>
      <c r="HK157" s="175"/>
      <c r="HL157" s="175"/>
      <c r="HM157" s="175"/>
      <c r="HN157" s="175"/>
      <c r="HO157" s="175"/>
      <c r="HP157" s="175"/>
      <c r="HQ157" s="175"/>
      <c r="HR157" s="175"/>
      <c r="HS157" s="175"/>
      <c r="HT157" s="175"/>
      <c r="HU157" s="175"/>
      <c r="HV157" s="175"/>
      <c r="HW157" s="175"/>
      <c r="HX157" s="175"/>
      <c r="HY157" s="175"/>
      <c r="HZ157" s="175"/>
      <c r="IA157" s="175"/>
      <c r="IB157" s="175"/>
      <c r="IC157" s="175"/>
      <c r="ID157" s="175"/>
      <c r="IE157" s="175"/>
      <c r="IF157" s="175"/>
      <c r="IG157" s="175"/>
      <c r="IH157" s="175"/>
      <c r="II157" s="175"/>
      <c r="IJ157" s="175"/>
      <c r="IK157" s="175"/>
      <c r="IL157" s="175"/>
      <c r="IM157" s="175"/>
      <c r="IN157" s="175"/>
      <c r="IO157" s="175"/>
      <c r="IP157" s="175"/>
      <c r="IQ157" s="175"/>
    </row>
    <row r="158" spans="1:251" s="146" customFormat="1" ht="21.75" customHeight="1">
      <c r="A158" s="179">
        <v>151</v>
      </c>
      <c r="B158" s="458" t="s">
        <v>343</v>
      </c>
      <c r="C158" s="459" t="s">
        <v>349</v>
      </c>
      <c r="D158" s="460">
        <v>54</v>
      </c>
      <c r="E158" s="460"/>
      <c r="F158" s="459" t="s">
        <v>249</v>
      </c>
      <c r="G158" s="460" t="s">
        <v>182</v>
      </c>
      <c r="H158" s="407" t="s">
        <v>190</v>
      </c>
      <c r="I158" s="180">
        <f t="shared" si="8"/>
        <v>97500</v>
      </c>
      <c r="J158" s="408" t="s">
        <v>430</v>
      </c>
      <c r="K158" s="183">
        <f t="shared" si="9"/>
        <v>75000</v>
      </c>
      <c r="L158" s="408" t="s">
        <v>56</v>
      </c>
      <c r="M158" s="181">
        <f t="shared" si="10"/>
        <v>0</v>
      </c>
      <c r="N158" s="181">
        <f t="shared" si="11"/>
        <v>172500</v>
      </c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  <c r="AQ158" s="175"/>
      <c r="AR158" s="175"/>
      <c r="AS158" s="175"/>
      <c r="AT158" s="175"/>
      <c r="AU158" s="175"/>
      <c r="AV158" s="175"/>
      <c r="AW158" s="175"/>
      <c r="AX158" s="175"/>
      <c r="AY158" s="175"/>
      <c r="AZ158" s="175"/>
      <c r="BA158" s="175"/>
      <c r="BB158" s="175"/>
      <c r="BC158" s="175"/>
      <c r="BD158" s="175"/>
      <c r="BE158" s="175"/>
      <c r="BF158" s="175"/>
      <c r="BG158" s="175"/>
      <c r="BH158" s="175"/>
      <c r="BI158" s="175"/>
      <c r="BJ158" s="175"/>
      <c r="BK158" s="175"/>
      <c r="BL158" s="175"/>
      <c r="BM158" s="175"/>
      <c r="BN158" s="175"/>
      <c r="BO158" s="175"/>
      <c r="BP158" s="175"/>
      <c r="BQ158" s="175"/>
      <c r="BR158" s="175"/>
      <c r="BS158" s="175"/>
      <c r="BT158" s="175"/>
      <c r="BU158" s="175"/>
      <c r="BV158" s="175"/>
      <c r="BW158" s="175"/>
      <c r="BX158" s="175"/>
      <c r="BY158" s="175"/>
      <c r="BZ158" s="175"/>
      <c r="CA158" s="175"/>
      <c r="CB158" s="175"/>
      <c r="CC158" s="175"/>
      <c r="CD158" s="175"/>
      <c r="CE158" s="175"/>
      <c r="CF158" s="175"/>
      <c r="CG158" s="175"/>
      <c r="CH158" s="175"/>
      <c r="CI158" s="175"/>
      <c r="CJ158" s="175"/>
      <c r="CK158" s="175"/>
      <c r="CL158" s="175"/>
      <c r="CM158" s="175"/>
      <c r="CN158" s="175"/>
      <c r="CO158" s="175"/>
      <c r="CP158" s="175"/>
      <c r="CQ158" s="175"/>
      <c r="CR158" s="175"/>
      <c r="CS158" s="175"/>
      <c r="CT158" s="175"/>
      <c r="CU158" s="175"/>
      <c r="CV158" s="175"/>
      <c r="CW158" s="175"/>
      <c r="CX158" s="175"/>
      <c r="CY158" s="175"/>
      <c r="CZ158" s="175"/>
      <c r="DA158" s="175"/>
      <c r="DB158" s="175"/>
      <c r="DC158" s="175"/>
      <c r="DD158" s="175"/>
      <c r="DE158" s="175"/>
      <c r="DF158" s="175"/>
      <c r="DG158" s="175"/>
      <c r="DH158" s="175"/>
      <c r="DI158" s="175"/>
      <c r="DJ158" s="175"/>
      <c r="DK158" s="175"/>
      <c r="DL158" s="175"/>
      <c r="DM158" s="175"/>
      <c r="DN158" s="175"/>
      <c r="DO158" s="175"/>
      <c r="DP158" s="175"/>
      <c r="DQ158" s="175"/>
      <c r="DR158" s="175"/>
      <c r="DS158" s="175"/>
      <c r="DT158" s="175"/>
      <c r="DU158" s="175"/>
      <c r="DV158" s="175"/>
      <c r="DW158" s="175"/>
      <c r="DX158" s="175"/>
      <c r="DY158" s="175"/>
      <c r="DZ158" s="175"/>
      <c r="EA158" s="175"/>
      <c r="EB158" s="175"/>
      <c r="EC158" s="175"/>
      <c r="ED158" s="175"/>
      <c r="EE158" s="175"/>
      <c r="EF158" s="175"/>
      <c r="EG158" s="175"/>
      <c r="EH158" s="175"/>
      <c r="EI158" s="175"/>
      <c r="EJ158" s="175"/>
      <c r="EK158" s="175"/>
      <c r="EL158" s="175"/>
      <c r="EM158" s="175"/>
      <c r="EN158" s="175"/>
      <c r="EO158" s="175"/>
      <c r="EP158" s="175"/>
      <c r="EQ158" s="175"/>
      <c r="ER158" s="175"/>
      <c r="ES158" s="175"/>
      <c r="ET158" s="175"/>
      <c r="EU158" s="175"/>
      <c r="EV158" s="175"/>
      <c r="EW158" s="175"/>
      <c r="EX158" s="175"/>
      <c r="EY158" s="175"/>
      <c r="EZ158" s="175"/>
      <c r="FA158" s="175"/>
      <c r="FB158" s="175"/>
      <c r="FC158" s="175"/>
      <c r="FD158" s="175"/>
      <c r="FE158" s="175"/>
      <c r="FF158" s="175"/>
      <c r="FG158" s="175"/>
      <c r="FH158" s="175"/>
      <c r="FI158" s="175"/>
      <c r="FJ158" s="175"/>
      <c r="FK158" s="175"/>
      <c r="FL158" s="175"/>
      <c r="FM158" s="175"/>
      <c r="FN158" s="175"/>
      <c r="FO158" s="175"/>
      <c r="FP158" s="175"/>
      <c r="FQ158" s="175"/>
      <c r="FR158" s="175"/>
      <c r="FS158" s="175"/>
      <c r="FT158" s="175"/>
      <c r="FU158" s="175"/>
      <c r="FV158" s="175"/>
      <c r="FW158" s="175"/>
      <c r="FX158" s="175"/>
      <c r="FY158" s="175"/>
      <c r="FZ158" s="175"/>
      <c r="GA158" s="175"/>
      <c r="GB158" s="175"/>
      <c r="GC158" s="175"/>
      <c r="GD158" s="175"/>
      <c r="GE158" s="175"/>
      <c r="GF158" s="175"/>
      <c r="GG158" s="175"/>
      <c r="GH158" s="175"/>
      <c r="GI158" s="175"/>
      <c r="GJ158" s="175"/>
      <c r="GK158" s="175"/>
      <c r="GL158" s="175"/>
      <c r="GM158" s="175"/>
      <c r="GN158" s="175"/>
      <c r="GO158" s="175"/>
      <c r="GP158" s="175"/>
      <c r="GQ158" s="175"/>
      <c r="GR158" s="175"/>
      <c r="GS158" s="175"/>
      <c r="GT158" s="175"/>
      <c r="GU158" s="175"/>
      <c r="GV158" s="175"/>
      <c r="GW158" s="175"/>
      <c r="GX158" s="175"/>
      <c r="GY158" s="175"/>
      <c r="GZ158" s="175"/>
      <c r="HA158" s="175"/>
      <c r="HB158" s="175"/>
      <c r="HC158" s="175"/>
      <c r="HD158" s="175"/>
      <c r="HE158" s="175"/>
      <c r="HF158" s="175"/>
      <c r="HG158" s="175"/>
      <c r="HH158" s="175"/>
      <c r="HI158" s="175"/>
      <c r="HJ158" s="175"/>
      <c r="HK158" s="175"/>
      <c r="HL158" s="175"/>
      <c r="HM158" s="175"/>
      <c r="HN158" s="175"/>
      <c r="HO158" s="175"/>
      <c r="HP158" s="175"/>
      <c r="HQ158" s="175"/>
      <c r="HR158" s="175"/>
      <c r="HS158" s="175"/>
      <c r="HT158" s="175"/>
      <c r="HU158" s="175"/>
      <c r="HV158" s="175"/>
      <c r="HW158" s="175"/>
      <c r="HX158" s="175"/>
      <c r="HY158" s="175"/>
      <c r="HZ158" s="175"/>
      <c r="IA158" s="175"/>
      <c r="IB158" s="175"/>
      <c r="IC158" s="175"/>
      <c r="ID158" s="175"/>
      <c r="IE158" s="175"/>
      <c r="IF158" s="175"/>
      <c r="IG158" s="175"/>
      <c r="IH158" s="175"/>
      <c r="II158" s="175"/>
      <c r="IJ158" s="175"/>
      <c r="IK158" s="175"/>
      <c r="IL158" s="175"/>
      <c r="IM158" s="175"/>
      <c r="IN158" s="175"/>
      <c r="IO158" s="175"/>
      <c r="IP158" s="175"/>
      <c r="IQ158" s="175"/>
    </row>
    <row r="159" spans="1:251" s="146" customFormat="1" ht="21.75" customHeight="1">
      <c r="A159" s="179">
        <v>152</v>
      </c>
      <c r="B159" s="458" t="s">
        <v>354</v>
      </c>
      <c r="C159" s="459" t="s">
        <v>355</v>
      </c>
      <c r="D159" s="460">
        <v>72</v>
      </c>
      <c r="E159" s="460"/>
      <c r="F159" s="459" t="s">
        <v>249</v>
      </c>
      <c r="G159" s="460" t="s">
        <v>182</v>
      </c>
      <c r="H159" s="407" t="s">
        <v>183</v>
      </c>
      <c r="I159" s="180">
        <f t="shared" si="8"/>
        <v>97500</v>
      </c>
      <c r="J159" s="408" t="s">
        <v>212</v>
      </c>
      <c r="K159" s="183">
        <f t="shared" si="9"/>
        <v>75000</v>
      </c>
      <c r="L159" s="408" t="s">
        <v>56</v>
      </c>
      <c r="M159" s="181">
        <f t="shared" si="10"/>
        <v>0</v>
      </c>
      <c r="N159" s="181">
        <f t="shared" si="11"/>
        <v>172500</v>
      </c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  <c r="AQ159" s="175"/>
      <c r="AR159" s="175"/>
      <c r="AS159" s="175"/>
      <c r="AT159" s="175"/>
      <c r="AU159" s="175"/>
      <c r="AV159" s="175"/>
      <c r="AW159" s="175"/>
      <c r="AX159" s="175"/>
      <c r="AY159" s="175"/>
      <c r="AZ159" s="175"/>
      <c r="BA159" s="175"/>
      <c r="BB159" s="175"/>
      <c r="BC159" s="175"/>
      <c r="BD159" s="175"/>
      <c r="BE159" s="175"/>
      <c r="BF159" s="175"/>
      <c r="BG159" s="175"/>
      <c r="BH159" s="175"/>
      <c r="BI159" s="175"/>
      <c r="BJ159" s="175"/>
      <c r="BK159" s="175"/>
      <c r="BL159" s="175"/>
      <c r="BM159" s="175"/>
      <c r="BN159" s="175"/>
      <c r="BO159" s="175"/>
      <c r="BP159" s="175"/>
      <c r="BQ159" s="175"/>
      <c r="BR159" s="175"/>
      <c r="BS159" s="175"/>
      <c r="BT159" s="175"/>
      <c r="BU159" s="175"/>
      <c r="BV159" s="175"/>
      <c r="BW159" s="175"/>
      <c r="BX159" s="175"/>
      <c r="BY159" s="175"/>
      <c r="BZ159" s="175"/>
      <c r="CA159" s="175"/>
      <c r="CB159" s="175"/>
      <c r="CC159" s="175"/>
      <c r="CD159" s="175"/>
      <c r="CE159" s="175"/>
      <c r="CF159" s="175"/>
      <c r="CG159" s="175"/>
      <c r="CH159" s="175"/>
      <c r="CI159" s="175"/>
      <c r="CJ159" s="175"/>
      <c r="CK159" s="175"/>
      <c r="CL159" s="175"/>
      <c r="CM159" s="175"/>
      <c r="CN159" s="175"/>
      <c r="CO159" s="175"/>
      <c r="CP159" s="175"/>
      <c r="CQ159" s="175"/>
      <c r="CR159" s="175"/>
      <c r="CS159" s="175"/>
      <c r="CT159" s="175"/>
      <c r="CU159" s="175"/>
      <c r="CV159" s="175"/>
      <c r="CW159" s="175"/>
      <c r="CX159" s="175"/>
      <c r="CY159" s="175"/>
      <c r="CZ159" s="175"/>
      <c r="DA159" s="175"/>
      <c r="DB159" s="175"/>
      <c r="DC159" s="175"/>
      <c r="DD159" s="175"/>
      <c r="DE159" s="175"/>
      <c r="DF159" s="175"/>
      <c r="DG159" s="175"/>
      <c r="DH159" s="175"/>
      <c r="DI159" s="175"/>
      <c r="DJ159" s="175"/>
      <c r="DK159" s="175"/>
      <c r="DL159" s="175"/>
      <c r="DM159" s="175"/>
      <c r="DN159" s="175"/>
      <c r="DO159" s="175"/>
      <c r="DP159" s="175"/>
      <c r="DQ159" s="175"/>
      <c r="DR159" s="175"/>
      <c r="DS159" s="175"/>
      <c r="DT159" s="175"/>
      <c r="DU159" s="175"/>
      <c r="DV159" s="175"/>
      <c r="DW159" s="175"/>
      <c r="DX159" s="175"/>
      <c r="DY159" s="175"/>
      <c r="DZ159" s="175"/>
      <c r="EA159" s="175"/>
      <c r="EB159" s="175"/>
      <c r="EC159" s="175"/>
      <c r="ED159" s="175"/>
      <c r="EE159" s="175"/>
      <c r="EF159" s="175"/>
      <c r="EG159" s="175"/>
      <c r="EH159" s="175"/>
      <c r="EI159" s="175"/>
      <c r="EJ159" s="175"/>
      <c r="EK159" s="175"/>
      <c r="EL159" s="175"/>
      <c r="EM159" s="175"/>
      <c r="EN159" s="175"/>
      <c r="EO159" s="175"/>
      <c r="EP159" s="175"/>
      <c r="EQ159" s="175"/>
      <c r="ER159" s="175"/>
      <c r="ES159" s="175"/>
      <c r="ET159" s="175"/>
      <c r="EU159" s="175"/>
      <c r="EV159" s="175"/>
      <c r="EW159" s="175"/>
      <c r="EX159" s="175"/>
      <c r="EY159" s="175"/>
      <c r="EZ159" s="175"/>
      <c r="FA159" s="175"/>
      <c r="FB159" s="175"/>
      <c r="FC159" s="175"/>
      <c r="FD159" s="175"/>
      <c r="FE159" s="175"/>
      <c r="FF159" s="175"/>
      <c r="FG159" s="175"/>
      <c r="FH159" s="175"/>
      <c r="FI159" s="175"/>
      <c r="FJ159" s="175"/>
      <c r="FK159" s="175"/>
      <c r="FL159" s="175"/>
      <c r="FM159" s="175"/>
      <c r="FN159" s="175"/>
      <c r="FO159" s="175"/>
      <c r="FP159" s="175"/>
      <c r="FQ159" s="175"/>
      <c r="FR159" s="175"/>
      <c r="FS159" s="175"/>
      <c r="FT159" s="175"/>
      <c r="FU159" s="175"/>
      <c r="FV159" s="175"/>
      <c r="FW159" s="175"/>
      <c r="FX159" s="175"/>
      <c r="FY159" s="175"/>
      <c r="FZ159" s="175"/>
      <c r="GA159" s="175"/>
      <c r="GB159" s="175"/>
      <c r="GC159" s="175"/>
      <c r="GD159" s="175"/>
      <c r="GE159" s="175"/>
      <c r="GF159" s="175"/>
      <c r="GG159" s="175"/>
      <c r="GH159" s="175"/>
      <c r="GI159" s="175"/>
      <c r="GJ159" s="175"/>
      <c r="GK159" s="175"/>
      <c r="GL159" s="175"/>
      <c r="GM159" s="175"/>
      <c r="GN159" s="175"/>
      <c r="GO159" s="175"/>
      <c r="GP159" s="175"/>
      <c r="GQ159" s="175"/>
      <c r="GR159" s="175"/>
      <c r="GS159" s="175"/>
      <c r="GT159" s="175"/>
      <c r="GU159" s="175"/>
      <c r="GV159" s="175"/>
      <c r="GW159" s="175"/>
      <c r="GX159" s="175"/>
      <c r="GY159" s="175"/>
      <c r="GZ159" s="175"/>
      <c r="HA159" s="175"/>
      <c r="HB159" s="175"/>
      <c r="HC159" s="175"/>
      <c r="HD159" s="175"/>
      <c r="HE159" s="175"/>
      <c r="HF159" s="175"/>
      <c r="HG159" s="175"/>
      <c r="HH159" s="175"/>
      <c r="HI159" s="175"/>
      <c r="HJ159" s="175"/>
      <c r="HK159" s="175"/>
      <c r="HL159" s="175"/>
      <c r="HM159" s="175"/>
      <c r="HN159" s="175"/>
      <c r="HO159" s="175"/>
      <c r="HP159" s="175"/>
      <c r="HQ159" s="175"/>
      <c r="HR159" s="175"/>
      <c r="HS159" s="175"/>
      <c r="HT159" s="175"/>
      <c r="HU159" s="175"/>
      <c r="HV159" s="175"/>
      <c r="HW159" s="175"/>
      <c r="HX159" s="175"/>
      <c r="HY159" s="175"/>
      <c r="HZ159" s="175"/>
      <c r="IA159" s="175"/>
      <c r="IB159" s="175"/>
      <c r="IC159" s="175"/>
      <c r="ID159" s="175"/>
      <c r="IE159" s="175"/>
      <c r="IF159" s="175"/>
      <c r="IG159" s="175"/>
      <c r="IH159" s="175"/>
      <c r="II159" s="175"/>
      <c r="IJ159" s="175"/>
      <c r="IK159" s="175"/>
      <c r="IL159" s="175"/>
      <c r="IM159" s="175"/>
      <c r="IN159" s="175"/>
      <c r="IO159" s="175"/>
      <c r="IP159" s="175"/>
      <c r="IQ159" s="175"/>
    </row>
    <row r="160" spans="1:251" s="146" customFormat="1" ht="21.75" customHeight="1">
      <c r="A160" s="179">
        <v>153</v>
      </c>
      <c r="B160" s="458" t="s">
        <v>354</v>
      </c>
      <c r="C160" s="459" t="s">
        <v>359</v>
      </c>
      <c r="D160" s="460"/>
      <c r="E160" s="460">
        <v>42</v>
      </c>
      <c r="F160" s="459" t="s">
        <v>246</v>
      </c>
      <c r="G160" s="460" t="s">
        <v>182</v>
      </c>
      <c r="H160" s="407" t="s">
        <v>190</v>
      </c>
      <c r="I160" s="180">
        <f t="shared" si="8"/>
        <v>97500</v>
      </c>
      <c r="J160" s="408" t="s">
        <v>436</v>
      </c>
      <c r="K160" s="183">
        <f t="shared" si="9"/>
        <v>75000</v>
      </c>
      <c r="L160" s="408" t="s">
        <v>56</v>
      </c>
      <c r="M160" s="181">
        <f t="shared" si="10"/>
        <v>0</v>
      </c>
      <c r="N160" s="181">
        <f t="shared" si="11"/>
        <v>172500</v>
      </c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175"/>
      <c r="AP160" s="175"/>
      <c r="AQ160" s="175"/>
      <c r="AR160" s="175"/>
      <c r="AS160" s="175"/>
      <c r="AT160" s="175"/>
      <c r="AU160" s="175"/>
      <c r="AV160" s="175"/>
      <c r="AW160" s="175"/>
      <c r="AX160" s="175"/>
      <c r="AY160" s="175"/>
      <c r="AZ160" s="175"/>
      <c r="BA160" s="175"/>
      <c r="BB160" s="175"/>
      <c r="BC160" s="175"/>
      <c r="BD160" s="175"/>
      <c r="BE160" s="175"/>
      <c r="BF160" s="175"/>
      <c r="BG160" s="175"/>
      <c r="BH160" s="175"/>
      <c r="BI160" s="175"/>
      <c r="BJ160" s="175"/>
      <c r="BK160" s="175"/>
      <c r="BL160" s="175"/>
      <c r="BM160" s="175"/>
      <c r="BN160" s="175"/>
      <c r="BO160" s="175"/>
      <c r="BP160" s="175"/>
      <c r="BQ160" s="175"/>
      <c r="BR160" s="175"/>
      <c r="BS160" s="175"/>
      <c r="BT160" s="175"/>
      <c r="BU160" s="175"/>
      <c r="BV160" s="175"/>
      <c r="BW160" s="175"/>
      <c r="BX160" s="175"/>
      <c r="BY160" s="175"/>
      <c r="BZ160" s="175"/>
      <c r="CA160" s="175"/>
      <c r="CB160" s="175"/>
      <c r="CC160" s="175"/>
      <c r="CD160" s="175"/>
      <c r="CE160" s="175"/>
      <c r="CF160" s="175"/>
      <c r="CG160" s="175"/>
      <c r="CH160" s="175"/>
      <c r="CI160" s="175"/>
      <c r="CJ160" s="175"/>
      <c r="CK160" s="175"/>
      <c r="CL160" s="175"/>
      <c r="CM160" s="175"/>
      <c r="CN160" s="175"/>
      <c r="CO160" s="175"/>
      <c r="CP160" s="175"/>
      <c r="CQ160" s="175"/>
      <c r="CR160" s="175"/>
      <c r="CS160" s="175"/>
      <c r="CT160" s="175"/>
      <c r="CU160" s="175"/>
      <c r="CV160" s="175"/>
      <c r="CW160" s="175"/>
      <c r="CX160" s="175"/>
      <c r="CY160" s="175"/>
      <c r="CZ160" s="175"/>
      <c r="DA160" s="175"/>
      <c r="DB160" s="175"/>
      <c r="DC160" s="175"/>
      <c r="DD160" s="175"/>
      <c r="DE160" s="175"/>
      <c r="DF160" s="175"/>
      <c r="DG160" s="175"/>
      <c r="DH160" s="175"/>
      <c r="DI160" s="175"/>
      <c r="DJ160" s="175"/>
      <c r="DK160" s="175"/>
      <c r="DL160" s="175"/>
      <c r="DM160" s="175"/>
      <c r="DN160" s="175"/>
      <c r="DO160" s="175"/>
      <c r="DP160" s="175"/>
      <c r="DQ160" s="175"/>
      <c r="DR160" s="175"/>
      <c r="DS160" s="175"/>
      <c r="DT160" s="175"/>
      <c r="DU160" s="175"/>
      <c r="DV160" s="175"/>
      <c r="DW160" s="175"/>
      <c r="DX160" s="175"/>
      <c r="DY160" s="175"/>
      <c r="DZ160" s="175"/>
      <c r="EA160" s="175"/>
      <c r="EB160" s="175"/>
      <c r="EC160" s="175"/>
      <c r="ED160" s="175"/>
      <c r="EE160" s="175"/>
      <c r="EF160" s="175"/>
      <c r="EG160" s="175"/>
      <c r="EH160" s="175"/>
      <c r="EI160" s="175"/>
      <c r="EJ160" s="175"/>
      <c r="EK160" s="175"/>
      <c r="EL160" s="175"/>
      <c r="EM160" s="175"/>
      <c r="EN160" s="175"/>
      <c r="EO160" s="175"/>
      <c r="EP160" s="175"/>
      <c r="EQ160" s="175"/>
      <c r="ER160" s="175"/>
      <c r="ES160" s="175"/>
      <c r="ET160" s="175"/>
      <c r="EU160" s="175"/>
      <c r="EV160" s="175"/>
      <c r="EW160" s="175"/>
      <c r="EX160" s="175"/>
      <c r="EY160" s="175"/>
      <c r="EZ160" s="175"/>
      <c r="FA160" s="175"/>
      <c r="FB160" s="175"/>
      <c r="FC160" s="175"/>
      <c r="FD160" s="175"/>
      <c r="FE160" s="175"/>
      <c r="FF160" s="175"/>
      <c r="FG160" s="175"/>
      <c r="FH160" s="175"/>
      <c r="FI160" s="175"/>
      <c r="FJ160" s="175"/>
      <c r="FK160" s="175"/>
      <c r="FL160" s="175"/>
      <c r="FM160" s="175"/>
      <c r="FN160" s="175"/>
      <c r="FO160" s="175"/>
      <c r="FP160" s="175"/>
      <c r="FQ160" s="175"/>
      <c r="FR160" s="175"/>
      <c r="FS160" s="175"/>
      <c r="FT160" s="175"/>
      <c r="FU160" s="175"/>
      <c r="FV160" s="175"/>
      <c r="FW160" s="175"/>
      <c r="FX160" s="175"/>
      <c r="FY160" s="175"/>
      <c r="FZ160" s="175"/>
      <c r="GA160" s="175"/>
      <c r="GB160" s="175"/>
      <c r="GC160" s="175"/>
      <c r="GD160" s="175"/>
      <c r="GE160" s="175"/>
      <c r="GF160" s="175"/>
      <c r="GG160" s="175"/>
      <c r="GH160" s="175"/>
      <c r="GI160" s="175"/>
      <c r="GJ160" s="175"/>
      <c r="GK160" s="175"/>
      <c r="GL160" s="175"/>
      <c r="GM160" s="175"/>
      <c r="GN160" s="175"/>
      <c r="GO160" s="175"/>
      <c r="GP160" s="175"/>
      <c r="GQ160" s="175"/>
      <c r="GR160" s="175"/>
      <c r="GS160" s="175"/>
      <c r="GT160" s="175"/>
      <c r="GU160" s="175"/>
      <c r="GV160" s="175"/>
      <c r="GW160" s="175"/>
      <c r="GX160" s="175"/>
      <c r="GY160" s="175"/>
      <c r="GZ160" s="175"/>
      <c r="HA160" s="175"/>
      <c r="HB160" s="175"/>
      <c r="HC160" s="175"/>
      <c r="HD160" s="175"/>
      <c r="HE160" s="175"/>
      <c r="HF160" s="175"/>
      <c r="HG160" s="175"/>
      <c r="HH160" s="175"/>
      <c r="HI160" s="175"/>
      <c r="HJ160" s="175"/>
      <c r="HK160" s="175"/>
      <c r="HL160" s="175"/>
      <c r="HM160" s="175"/>
      <c r="HN160" s="175"/>
      <c r="HO160" s="175"/>
      <c r="HP160" s="175"/>
      <c r="HQ160" s="175"/>
      <c r="HR160" s="175"/>
      <c r="HS160" s="175"/>
      <c r="HT160" s="175"/>
      <c r="HU160" s="175"/>
      <c r="HV160" s="175"/>
      <c r="HW160" s="175"/>
      <c r="HX160" s="175"/>
      <c r="HY160" s="175"/>
      <c r="HZ160" s="175"/>
      <c r="IA160" s="175"/>
      <c r="IB160" s="175"/>
      <c r="IC160" s="175"/>
      <c r="ID160" s="175"/>
      <c r="IE160" s="175"/>
      <c r="IF160" s="175"/>
      <c r="IG160" s="175"/>
      <c r="IH160" s="175"/>
      <c r="II160" s="175"/>
      <c r="IJ160" s="175"/>
      <c r="IK160" s="175"/>
      <c r="IL160" s="175"/>
      <c r="IM160" s="175"/>
      <c r="IN160" s="175"/>
      <c r="IO160" s="175"/>
      <c r="IP160" s="175"/>
      <c r="IQ160" s="175"/>
    </row>
    <row r="161" spans="1:251" s="146" customFormat="1" ht="21.75" customHeight="1">
      <c r="A161" s="179">
        <v>154</v>
      </c>
      <c r="B161" s="458" t="s">
        <v>354</v>
      </c>
      <c r="C161" s="459" t="s">
        <v>467</v>
      </c>
      <c r="D161" s="460">
        <v>33</v>
      </c>
      <c r="E161" s="460"/>
      <c r="F161" s="459" t="s">
        <v>249</v>
      </c>
      <c r="G161" s="460" t="s">
        <v>461</v>
      </c>
      <c r="H161" s="407" t="s">
        <v>212</v>
      </c>
      <c r="I161" s="180">
        <f t="shared" si="8"/>
        <v>97500</v>
      </c>
      <c r="J161" s="408" t="s">
        <v>428</v>
      </c>
      <c r="K161" s="183">
        <f t="shared" si="9"/>
        <v>75000</v>
      </c>
      <c r="L161" s="408" t="s">
        <v>56</v>
      </c>
      <c r="M161" s="181">
        <f t="shared" si="10"/>
        <v>0</v>
      </c>
      <c r="N161" s="181">
        <f t="shared" si="11"/>
        <v>172500</v>
      </c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  <c r="AQ161" s="175"/>
      <c r="AR161" s="175"/>
      <c r="AS161" s="175"/>
      <c r="AT161" s="175"/>
      <c r="AU161" s="175"/>
      <c r="AV161" s="175"/>
      <c r="AW161" s="175"/>
      <c r="AX161" s="175"/>
      <c r="AY161" s="175"/>
      <c r="AZ161" s="175"/>
      <c r="BA161" s="175"/>
      <c r="BB161" s="175"/>
      <c r="BC161" s="175"/>
      <c r="BD161" s="175"/>
      <c r="BE161" s="175"/>
      <c r="BF161" s="175"/>
      <c r="BG161" s="175"/>
      <c r="BH161" s="175"/>
      <c r="BI161" s="175"/>
      <c r="BJ161" s="175"/>
      <c r="BK161" s="175"/>
      <c r="BL161" s="175"/>
      <c r="BM161" s="175"/>
      <c r="BN161" s="175"/>
      <c r="BO161" s="175"/>
      <c r="BP161" s="175"/>
      <c r="BQ161" s="175"/>
      <c r="BR161" s="175"/>
      <c r="BS161" s="175"/>
      <c r="BT161" s="175"/>
      <c r="BU161" s="175"/>
      <c r="BV161" s="175"/>
      <c r="BW161" s="175"/>
      <c r="BX161" s="175"/>
      <c r="BY161" s="175"/>
      <c r="BZ161" s="175"/>
      <c r="CA161" s="175"/>
      <c r="CB161" s="175"/>
      <c r="CC161" s="175"/>
      <c r="CD161" s="175"/>
      <c r="CE161" s="175"/>
      <c r="CF161" s="175"/>
      <c r="CG161" s="175"/>
      <c r="CH161" s="175"/>
      <c r="CI161" s="175"/>
      <c r="CJ161" s="175"/>
      <c r="CK161" s="175"/>
      <c r="CL161" s="175"/>
      <c r="CM161" s="175"/>
      <c r="CN161" s="175"/>
      <c r="CO161" s="175"/>
      <c r="CP161" s="175"/>
      <c r="CQ161" s="175"/>
      <c r="CR161" s="175"/>
      <c r="CS161" s="175"/>
      <c r="CT161" s="175"/>
      <c r="CU161" s="175"/>
      <c r="CV161" s="175"/>
      <c r="CW161" s="175"/>
      <c r="CX161" s="175"/>
      <c r="CY161" s="175"/>
      <c r="CZ161" s="175"/>
      <c r="DA161" s="175"/>
      <c r="DB161" s="175"/>
      <c r="DC161" s="175"/>
      <c r="DD161" s="175"/>
      <c r="DE161" s="175"/>
      <c r="DF161" s="175"/>
      <c r="DG161" s="175"/>
      <c r="DH161" s="175"/>
      <c r="DI161" s="175"/>
      <c r="DJ161" s="175"/>
      <c r="DK161" s="175"/>
      <c r="DL161" s="175"/>
      <c r="DM161" s="175"/>
      <c r="DN161" s="175"/>
      <c r="DO161" s="175"/>
      <c r="DP161" s="175"/>
      <c r="DQ161" s="175"/>
      <c r="DR161" s="175"/>
      <c r="DS161" s="175"/>
      <c r="DT161" s="175"/>
      <c r="DU161" s="175"/>
      <c r="DV161" s="175"/>
      <c r="DW161" s="175"/>
      <c r="DX161" s="175"/>
      <c r="DY161" s="175"/>
      <c r="DZ161" s="175"/>
      <c r="EA161" s="175"/>
      <c r="EB161" s="175"/>
      <c r="EC161" s="175"/>
      <c r="ED161" s="175"/>
      <c r="EE161" s="175"/>
      <c r="EF161" s="175"/>
      <c r="EG161" s="175"/>
      <c r="EH161" s="175"/>
      <c r="EI161" s="175"/>
      <c r="EJ161" s="175"/>
      <c r="EK161" s="175"/>
      <c r="EL161" s="175"/>
      <c r="EM161" s="175"/>
      <c r="EN161" s="175"/>
      <c r="EO161" s="175"/>
      <c r="EP161" s="175"/>
      <c r="EQ161" s="175"/>
      <c r="ER161" s="175"/>
      <c r="ES161" s="175"/>
      <c r="ET161" s="175"/>
      <c r="EU161" s="175"/>
      <c r="EV161" s="175"/>
      <c r="EW161" s="175"/>
      <c r="EX161" s="175"/>
      <c r="EY161" s="175"/>
      <c r="EZ161" s="175"/>
      <c r="FA161" s="175"/>
      <c r="FB161" s="175"/>
      <c r="FC161" s="175"/>
      <c r="FD161" s="175"/>
      <c r="FE161" s="175"/>
      <c r="FF161" s="175"/>
      <c r="FG161" s="175"/>
      <c r="FH161" s="175"/>
      <c r="FI161" s="175"/>
      <c r="FJ161" s="175"/>
      <c r="FK161" s="175"/>
      <c r="FL161" s="175"/>
      <c r="FM161" s="175"/>
      <c r="FN161" s="175"/>
      <c r="FO161" s="175"/>
      <c r="FP161" s="175"/>
      <c r="FQ161" s="175"/>
      <c r="FR161" s="175"/>
      <c r="FS161" s="175"/>
      <c r="FT161" s="175"/>
      <c r="FU161" s="175"/>
      <c r="FV161" s="175"/>
      <c r="FW161" s="175"/>
      <c r="FX161" s="175"/>
      <c r="FY161" s="175"/>
      <c r="FZ161" s="175"/>
      <c r="GA161" s="175"/>
      <c r="GB161" s="175"/>
      <c r="GC161" s="175"/>
      <c r="GD161" s="175"/>
      <c r="GE161" s="175"/>
      <c r="GF161" s="175"/>
      <c r="GG161" s="175"/>
      <c r="GH161" s="175"/>
      <c r="GI161" s="175"/>
      <c r="GJ161" s="175"/>
      <c r="GK161" s="175"/>
      <c r="GL161" s="175"/>
      <c r="GM161" s="175"/>
      <c r="GN161" s="175"/>
      <c r="GO161" s="175"/>
      <c r="GP161" s="175"/>
      <c r="GQ161" s="175"/>
      <c r="GR161" s="175"/>
      <c r="GS161" s="175"/>
      <c r="GT161" s="175"/>
      <c r="GU161" s="175"/>
      <c r="GV161" s="175"/>
      <c r="GW161" s="175"/>
      <c r="GX161" s="175"/>
      <c r="GY161" s="175"/>
      <c r="GZ161" s="175"/>
      <c r="HA161" s="175"/>
      <c r="HB161" s="175"/>
      <c r="HC161" s="175"/>
      <c r="HD161" s="175"/>
      <c r="HE161" s="175"/>
      <c r="HF161" s="175"/>
      <c r="HG161" s="175"/>
      <c r="HH161" s="175"/>
      <c r="HI161" s="175"/>
      <c r="HJ161" s="175"/>
      <c r="HK161" s="175"/>
      <c r="HL161" s="175"/>
      <c r="HM161" s="175"/>
      <c r="HN161" s="175"/>
      <c r="HO161" s="175"/>
      <c r="HP161" s="175"/>
      <c r="HQ161" s="175"/>
      <c r="HR161" s="175"/>
      <c r="HS161" s="175"/>
      <c r="HT161" s="175"/>
      <c r="HU161" s="175"/>
      <c r="HV161" s="175"/>
      <c r="HW161" s="175"/>
      <c r="HX161" s="175"/>
      <c r="HY161" s="175"/>
      <c r="HZ161" s="175"/>
      <c r="IA161" s="175"/>
      <c r="IB161" s="175"/>
      <c r="IC161" s="175"/>
      <c r="ID161" s="175"/>
      <c r="IE161" s="175"/>
      <c r="IF161" s="175"/>
      <c r="IG161" s="175"/>
      <c r="IH161" s="175"/>
      <c r="II161" s="175"/>
      <c r="IJ161" s="175"/>
      <c r="IK161" s="175"/>
      <c r="IL161" s="175"/>
      <c r="IM161" s="175"/>
      <c r="IN161" s="175"/>
      <c r="IO161" s="175"/>
      <c r="IP161" s="175"/>
      <c r="IQ161" s="175"/>
    </row>
    <row r="162" spans="1:251" s="146" customFormat="1" ht="21.75" customHeight="1">
      <c r="A162" s="179">
        <v>155</v>
      </c>
      <c r="B162" s="458" t="s">
        <v>368</v>
      </c>
      <c r="C162" s="459" t="s">
        <v>369</v>
      </c>
      <c r="D162" s="460">
        <v>18</v>
      </c>
      <c r="E162" s="460"/>
      <c r="F162" s="459" t="s">
        <v>246</v>
      </c>
      <c r="G162" s="460" t="s">
        <v>182</v>
      </c>
      <c r="H162" s="407" t="s">
        <v>190</v>
      </c>
      <c r="I162" s="180">
        <f t="shared" si="8"/>
        <v>97500</v>
      </c>
      <c r="J162" s="408" t="s">
        <v>430</v>
      </c>
      <c r="K162" s="183">
        <f t="shared" si="9"/>
        <v>75000</v>
      </c>
      <c r="L162" s="408" t="s">
        <v>56</v>
      </c>
      <c r="M162" s="181">
        <f t="shared" si="10"/>
        <v>0</v>
      </c>
      <c r="N162" s="181">
        <f t="shared" si="11"/>
        <v>172500</v>
      </c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  <c r="AJ162" s="175"/>
      <c r="AK162" s="175"/>
      <c r="AL162" s="175"/>
      <c r="AM162" s="175"/>
      <c r="AN162" s="175"/>
      <c r="AO162" s="175"/>
      <c r="AP162" s="175"/>
      <c r="AQ162" s="175"/>
      <c r="AR162" s="175"/>
      <c r="AS162" s="175"/>
      <c r="AT162" s="175"/>
      <c r="AU162" s="175"/>
      <c r="AV162" s="175"/>
      <c r="AW162" s="175"/>
      <c r="AX162" s="175"/>
      <c r="AY162" s="175"/>
      <c r="AZ162" s="175"/>
      <c r="BA162" s="175"/>
      <c r="BB162" s="175"/>
      <c r="BC162" s="175"/>
      <c r="BD162" s="175"/>
      <c r="BE162" s="175"/>
      <c r="BF162" s="175"/>
      <c r="BG162" s="175"/>
      <c r="BH162" s="175"/>
      <c r="BI162" s="175"/>
      <c r="BJ162" s="175"/>
      <c r="BK162" s="175"/>
      <c r="BL162" s="175"/>
      <c r="BM162" s="175"/>
      <c r="BN162" s="175"/>
      <c r="BO162" s="175"/>
      <c r="BP162" s="175"/>
      <c r="BQ162" s="175"/>
      <c r="BR162" s="175"/>
      <c r="BS162" s="175"/>
      <c r="BT162" s="175"/>
      <c r="BU162" s="175"/>
      <c r="BV162" s="175"/>
      <c r="BW162" s="175"/>
      <c r="BX162" s="175"/>
      <c r="BY162" s="175"/>
      <c r="BZ162" s="175"/>
      <c r="CA162" s="175"/>
      <c r="CB162" s="175"/>
      <c r="CC162" s="175"/>
      <c r="CD162" s="175"/>
      <c r="CE162" s="175"/>
      <c r="CF162" s="175"/>
      <c r="CG162" s="175"/>
      <c r="CH162" s="175"/>
      <c r="CI162" s="175"/>
      <c r="CJ162" s="175"/>
      <c r="CK162" s="175"/>
      <c r="CL162" s="175"/>
      <c r="CM162" s="175"/>
      <c r="CN162" s="175"/>
      <c r="CO162" s="175"/>
      <c r="CP162" s="175"/>
      <c r="CQ162" s="175"/>
      <c r="CR162" s="175"/>
      <c r="CS162" s="175"/>
      <c r="CT162" s="175"/>
      <c r="CU162" s="175"/>
      <c r="CV162" s="175"/>
      <c r="CW162" s="175"/>
      <c r="CX162" s="175"/>
      <c r="CY162" s="175"/>
      <c r="CZ162" s="175"/>
      <c r="DA162" s="175"/>
      <c r="DB162" s="175"/>
      <c r="DC162" s="175"/>
      <c r="DD162" s="175"/>
      <c r="DE162" s="175"/>
      <c r="DF162" s="175"/>
      <c r="DG162" s="175"/>
      <c r="DH162" s="175"/>
      <c r="DI162" s="175"/>
      <c r="DJ162" s="175"/>
      <c r="DK162" s="175"/>
      <c r="DL162" s="175"/>
      <c r="DM162" s="175"/>
      <c r="DN162" s="175"/>
      <c r="DO162" s="175"/>
      <c r="DP162" s="175"/>
      <c r="DQ162" s="175"/>
      <c r="DR162" s="175"/>
      <c r="DS162" s="175"/>
      <c r="DT162" s="175"/>
      <c r="DU162" s="175"/>
      <c r="DV162" s="175"/>
      <c r="DW162" s="175"/>
      <c r="DX162" s="175"/>
      <c r="DY162" s="175"/>
      <c r="DZ162" s="175"/>
      <c r="EA162" s="175"/>
      <c r="EB162" s="175"/>
      <c r="EC162" s="175"/>
      <c r="ED162" s="175"/>
      <c r="EE162" s="175"/>
      <c r="EF162" s="175"/>
      <c r="EG162" s="175"/>
      <c r="EH162" s="175"/>
      <c r="EI162" s="175"/>
      <c r="EJ162" s="175"/>
      <c r="EK162" s="175"/>
      <c r="EL162" s="175"/>
      <c r="EM162" s="175"/>
      <c r="EN162" s="175"/>
      <c r="EO162" s="175"/>
      <c r="EP162" s="175"/>
      <c r="EQ162" s="175"/>
      <c r="ER162" s="175"/>
      <c r="ES162" s="175"/>
      <c r="ET162" s="175"/>
      <c r="EU162" s="175"/>
      <c r="EV162" s="175"/>
      <c r="EW162" s="175"/>
      <c r="EX162" s="175"/>
      <c r="EY162" s="175"/>
      <c r="EZ162" s="175"/>
      <c r="FA162" s="175"/>
      <c r="FB162" s="175"/>
      <c r="FC162" s="175"/>
      <c r="FD162" s="175"/>
      <c r="FE162" s="175"/>
      <c r="FF162" s="175"/>
      <c r="FG162" s="175"/>
      <c r="FH162" s="175"/>
      <c r="FI162" s="175"/>
      <c r="FJ162" s="175"/>
      <c r="FK162" s="175"/>
      <c r="FL162" s="175"/>
      <c r="FM162" s="175"/>
      <c r="FN162" s="175"/>
      <c r="FO162" s="175"/>
      <c r="FP162" s="175"/>
      <c r="FQ162" s="175"/>
      <c r="FR162" s="175"/>
      <c r="FS162" s="175"/>
      <c r="FT162" s="175"/>
      <c r="FU162" s="175"/>
      <c r="FV162" s="175"/>
      <c r="FW162" s="175"/>
      <c r="FX162" s="175"/>
      <c r="FY162" s="175"/>
      <c r="FZ162" s="175"/>
      <c r="GA162" s="175"/>
      <c r="GB162" s="175"/>
      <c r="GC162" s="175"/>
      <c r="GD162" s="175"/>
      <c r="GE162" s="175"/>
      <c r="GF162" s="175"/>
      <c r="GG162" s="175"/>
      <c r="GH162" s="175"/>
      <c r="GI162" s="175"/>
      <c r="GJ162" s="175"/>
      <c r="GK162" s="175"/>
      <c r="GL162" s="175"/>
      <c r="GM162" s="175"/>
      <c r="GN162" s="175"/>
      <c r="GO162" s="175"/>
      <c r="GP162" s="175"/>
      <c r="GQ162" s="175"/>
      <c r="GR162" s="175"/>
      <c r="GS162" s="175"/>
      <c r="GT162" s="175"/>
      <c r="GU162" s="175"/>
      <c r="GV162" s="175"/>
      <c r="GW162" s="175"/>
      <c r="GX162" s="175"/>
      <c r="GY162" s="175"/>
      <c r="GZ162" s="175"/>
      <c r="HA162" s="175"/>
      <c r="HB162" s="175"/>
      <c r="HC162" s="175"/>
      <c r="HD162" s="175"/>
      <c r="HE162" s="175"/>
      <c r="HF162" s="175"/>
      <c r="HG162" s="175"/>
      <c r="HH162" s="175"/>
      <c r="HI162" s="175"/>
      <c r="HJ162" s="175"/>
      <c r="HK162" s="175"/>
      <c r="HL162" s="175"/>
      <c r="HM162" s="175"/>
      <c r="HN162" s="175"/>
      <c r="HO162" s="175"/>
      <c r="HP162" s="175"/>
      <c r="HQ162" s="175"/>
      <c r="HR162" s="175"/>
      <c r="HS162" s="175"/>
      <c r="HT162" s="175"/>
      <c r="HU162" s="175"/>
      <c r="HV162" s="175"/>
      <c r="HW162" s="175"/>
      <c r="HX162" s="175"/>
      <c r="HY162" s="175"/>
      <c r="HZ162" s="175"/>
      <c r="IA162" s="175"/>
      <c r="IB162" s="175"/>
      <c r="IC162" s="175"/>
      <c r="ID162" s="175"/>
      <c r="IE162" s="175"/>
      <c r="IF162" s="175"/>
      <c r="IG162" s="175"/>
      <c r="IH162" s="175"/>
      <c r="II162" s="175"/>
      <c r="IJ162" s="175"/>
      <c r="IK162" s="175"/>
      <c r="IL162" s="175"/>
      <c r="IM162" s="175"/>
      <c r="IN162" s="175"/>
      <c r="IO162" s="175"/>
      <c r="IP162" s="175"/>
      <c r="IQ162" s="175"/>
    </row>
    <row r="163" spans="1:251" s="146" customFormat="1" ht="21.75" customHeight="1">
      <c r="A163" s="179">
        <v>156</v>
      </c>
      <c r="B163" s="458" t="s">
        <v>368</v>
      </c>
      <c r="C163" s="459" t="s">
        <v>370</v>
      </c>
      <c r="D163" s="460">
        <v>63</v>
      </c>
      <c r="E163" s="460"/>
      <c r="F163" s="459" t="s">
        <v>248</v>
      </c>
      <c r="G163" s="460" t="s">
        <v>182</v>
      </c>
      <c r="H163" s="407" t="s">
        <v>134</v>
      </c>
      <c r="I163" s="180">
        <f t="shared" si="8"/>
        <v>97500</v>
      </c>
      <c r="J163" s="408" t="s">
        <v>432</v>
      </c>
      <c r="K163" s="183">
        <f t="shared" si="9"/>
        <v>75000</v>
      </c>
      <c r="L163" s="408" t="s">
        <v>56</v>
      </c>
      <c r="M163" s="181">
        <f t="shared" si="10"/>
        <v>0</v>
      </c>
      <c r="N163" s="181">
        <f t="shared" si="11"/>
        <v>172500</v>
      </c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5"/>
      <c r="AS163" s="175"/>
      <c r="AT163" s="175"/>
      <c r="AU163" s="175"/>
      <c r="AV163" s="175"/>
      <c r="AW163" s="175"/>
      <c r="AX163" s="175"/>
      <c r="AY163" s="175"/>
      <c r="AZ163" s="175"/>
      <c r="BA163" s="175"/>
      <c r="BB163" s="175"/>
      <c r="BC163" s="175"/>
      <c r="BD163" s="175"/>
      <c r="BE163" s="175"/>
      <c r="BF163" s="175"/>
      <c r="BG163" s="175"/>
      <c r="BH163" s="175"/>
      <c r="BI163" s="175"/>
      <c r="BJ163" s="175"/>
      <c r="BK163" s="175"/>
      <c r="BL163" s="175"/>
      <c r="BM163" s="175"/>
      <c r="BN163" s="175"/>
      <c r="BO163" s="175"/>
      <c r="BP163" s="175"/>
      <c r="BQ163" s="175"/>
      <c r="BR163" s="175"/>
      <c r="BS163" s="175"/>
      <c r="BT163" s="175"/>
      <c r="BU163" s="175"/>
      <c r="BV163" s="175"/>
      <c r="BW163" s="175"/>
      <c r="BX163" s="175"/>
      <c r="BY163" s="175"/>
      <c r="BZ163" s="175"/>
      <c r="CA163" s="175"/>
      <c r="CB163" s="175"/>
      <c r="CC163" s="175"/>
      <c r="CD163" s="175"/>
      <c r="CE163" s="175"/>
      <c r="CF163" s="175"/>
      <c r="CG163" s="175"/>
      <c r="CH163" s="175"/>
      <c r="CI163" s="175"/>
      <c r="CJ163" s="175"/>
      <c r="CK163" s="175"/>
      <c r="CL163" s="175"/>
      <c r="CM163" s="175"/>
      <c r="CN163" s="175"/>
      <c r="CO163" s="175"/>
      <c r="CP163" s="175"/>
      <c r="CQ163" s="175"/>
      <c r="CR163" s="175"/>
      <c r="CS163" s="175"/>
      <c r="CT163" s="175"/>
      <c r="CU163" s="175"/>
      <c r="CV163" s="175"/>
      <c r="CW163" s="175"/>
      <c r="CX163" s="175"/>
      <c r="CY163" s="175"/>
      <c r="CZ163" s="175"/>
      <c r="DA163" s="175"/>
      <c r="DB163" s="175"/>
      <c r="DC163" s="175"/>
      <c r="DD163" s="175"/>
      <c r="DE163" s="175"/>
      <c r="DF163" s="175"/>
      <c r="DG163" s="175"/>
      <c r="DH163" s="175"/>
      <c r="DI163" s="175"/>
      <c r="DJ163" s="175"/>
      <c r="DK163" s="175"/>
      <c r="DL163" s="175"/>
      <c r="DM163" s="175"/>
      <c r="DN163" s="175"/>
      <c r="DO163" s="175"/>
      <c r="DP163" s="175"/>
      <c r="DQ163" s="175"/>
      <c r="DR163" s="175"/>
      <c r="DS163" s="175"/>
      <c r="DT163" s="175"/>
      <c r="DU163" s="175"/>
      <c r="DV163" s="175"/>
      <c r="DW163" s="175"/>
      <c r="DX163" s="175"/>
      <c r="DY163" s="175"/>
      <c r="DZ163" s="175"/>
      <c r="EA163" s="175"/>
      <c r="EB163" s="175"/>
      <c r="EC163" s="175"/>
      <c r="ED163" s="175"/>
      <c r="EE163" s="175"/>
      <c r="EF163" s="175"/>
      <c r="EG163" s="175"/>
      <c r="EH163" s="175"/>
      <c r="EI163" s="175"/>
      <c r="EJ163" s="175"/>
      <c r="EK163" s="175"/>
      <c r="EL163" s="175"/>
      <c r="EM163" s="175"/>
      <c r="EN163" s="175"/>
      <c r="EO163" s="175"/>
      <c r="EP163" s="175"/>
      <c r="EQ163" s="175"/>
      <c r="ER163" s="175"/>
      <c r="ES163" s="175"/>
      <c r="ET163" s="175"/>
      <c r="EU163" s="175"/>
      <c r="EV163" s="175"/>
      <c r="EW163" s="175"/>
      <c r="EX163" s="175"/>
      <c r="EY163" s="175"/>
      <c r="EZ163" s="175"/>
      <c r="FA163" s="175"/>
      <c r="FB163" s="175"/>
      <c r="FC163" s="175"/>
      <c r="FD163" s="175"/>
      <c r="FE163" s="175"/>
      <c r="FF163" s="175"/>
      <c r="FG163" s="175"/>
      <c r="FH163" s="175"/>
      <c r="FI163" s="175"/>
      <c r="FJ163" s="175"/>
      <c r="FK163" s="175"/>
      <c r="FL163" s="175"/>
      <c r="FM163" s="175"/>
      <c r="FN163" s="175"/>
      <c r="FO163" s="175"/>
      <c r="FP163" s="175"/>
      <c r="FQ163" s="175"/>
      <c r="FR163" s="175"/>
      <c r="FS163" s="175"/>
      <c r="FT163" s="17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175"/>
      <c r="HL163" s="175"/>
      <c r="HM163" s="175"/>
      <c r="HN163" s="175"/>
      <c r="HO163" s="175"/>
      <c r="HP163" s="175"/>
      <c r="HQ163" s="175"/>
      <c r="HR163" s="175"/>
      <c r="HS163" s="175"/>
      <c r="HT163" s="175"/>
      <c r="HU163" s="175"/>
      <c r="HV163" s="175"/>
      <c r="HW163" s="175"/>
      <c r="HX163" s="175"/>
      <c r="HY163" s="175"/>
      <c r="HZ163" s="175"/>
      <c r="IA163" s="175"/>
      <c r="IB163" s="175"/>
      <c r="IC163" s="175"/>
      <c r="ID163" s="175"/>
      <c r="IE163" s="175"/>
      <c r="IF163" s="175"/>
      <c r="IG163" s="175"/>
      <c r="IH163" s="175"/>
      <c r="II163" s="175"/>
      <c r="IJ163" s="175"/>
      <c r="IK163" s="175"/>
      <c r="IL163" s="175"/>
      <c r="IM163" s="175"/>
      <c r="IN163" s="175"/>
      <c r="IO163" s="175"/>
      <c r="IP163" s="175"/>
      <c r="IQ163" s="175"/>
    </row>
    <row r="164" spans="1:251" s="146" customFormat="1" ht="21.75" customHeight="1">
      <c r="A164" s="179">
        <v>157</v>
      </c>
      <c r="B164" s="458" t="s">
        <v>368</v>
      </c>
      <c r="C164" s="459" t="s">
        <v>468</v>
      </c>
      <c r="D164" s="460">
        <v>18</v>
      </c>
      <c r="E164" s="460"/>
      <c r="F164" s="459" t="s">
        <v>469</v>
      </c>
      <c r="G164" s="460" t="s">
        <v>461</v>
      </c>
      <c r="H164" s="407" t="s">
        <v>190</v>
      </c>
      <c r="I164" s="180">
        <f t="shared" si="8"/>
        <v>97500</v>
      </c>
      <c r="J164" s="408" t="s">
        <v>435</v>
      </c>
      <c r="K164" s="183">
        <f t="shared" si="9"/>
        <v>75000</v>
      </c>
      <c r="L164" s="408" t="s">
        <v>56</v>
      </c>
      <c r="M164" s="181">
        <f t="shared" si="10"/>
        <v>0</v>
      </c>
      <c r="N164" s="181">
        <f t="shared" si="11"/>
        <v>172500</v>
      </c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5"/>
      <c r="AS164" s="175"/>
      <c r="AT164" s="175"/>
      <c r="AU164" s="175"/>
      <c r="AV164" s="175"/>
      <c r="AW164" s="175"/>
      <c r="AX164" s="175"/>
      <c r="AY164" s="175"/>
      <c r="AZ164" s="175"/>
      <c r="BA164" s="175"/>
      <c r="BB164" s="175"/>
      <c r="BC164" s="175"/>
      <c r="BD164" s="175"/>
      <c r="BE164" s="175"/>
      <c r="BF164" s="175"/>
      <c r="BG164" s="175"/>
      <c r="BH164" s="175"/>
      <c r="BI164" s="175"/>
      <c r="BJ164" s="175"/>
      <c r="BK164" s="175"/>
      <c r="BL164" s="175"/>
      <c r="BM164" s="175"/>
      <c r="BN164" s="175"/>
      <c r="BO164" s="175"/>
      <c r="BP164" s="175"/>
      <c r="BQ164" s="175"/>
      <c r="BR164" s="175"/>
      <c r="BS164" s="175"/>
      <c r="BT164" s="175"/>
      <c r="BU164" s="175"/>
      <c r="BV164" s="175"/>
      <c r="BW164" s="175"/>
      <c r="BX164" s="175"/>
      <c r="BY164" s="175"/>
      <c r="BZ164" s="175"/>
      <c r="CA164" s="175"/>
      <c r="CB164" s="175"/>
      <c r="CC164" s="175"/>
      <c r="CD164" s="175"/>
      <c r="CE164" s="175"/>
      <c r="CF164" s="175"/>
      <c r="CG164" s="175"/>
      <c r="CH164" s="175"/>
      <c r="CI164" s="175"/>
      <c r="CJ164" s="175"/>
      <c r="CK164" s="175"/>
      <c r="CL164" s="175"/>
      <c r="CM164" s="175"/>
      <c r="CN164" s="175"/>
      <c r="CO164" s="175"/>
      <c r="CP164" s="175"/>
      <c r="CQ164" s="175"/>
      <c r="CR164" s="175"/>
      <c r="CS164" s="175"/>
      <c r="CT164" s="175"/>
      <c r="CU164" s="175"/>
      <c r="CV164" s="175"/>
      <c r="CW164" s="175"/>
      <c r="CX164" s="175"/>
      <c r="CY164" s="175"/>
      <c r="CZ164" s="175"/>
      <c r="DA164" s="175"/>
      <c r="DB164" s="175"/>
      <c r="DC164" s="175"/>
      <c r="DD164" s="175"/>
      <c r="DE164" s="175"/>
      <c r="DF164" s="175"/>
      <c r="DG164" s="175"/>
      <c r="DH164" s="175"/>
      <c r="DI164" s="175"/>
      <c r="DJ164" s="175"/>
      <c r="DK164" s="175"/>
      <c r="DL164" s="175"/>
      <c r="DM164" s="175"/>
      <c r="DN164" s="175"/>
      <c r="DO164" s="175"/>
      <c r="DP164" s="175"/>
      <c r="DQ164" s="175"/>
      <c r="DR164" s="175"/>
      <c r="DS164" s="175"/>
      <c r="DT164" s="175"/>
      <c r="DU164" s="175"/>
      <c r="DV164" s="175"/>
      <c r="DW164" s="175"/>
      <c r="DX164" s="175"/>
      <c r="DY164" s="175"/>
      <c r="DZ164" s="175"/>
      <c r="EA164" s="175"/>
      <c r="EB164" s="175"/>
      <c r="EC164" s="175"/>
      <c r="ED164" s="175"/>
      <c r="EE164" s="175"/>
      <c r="EF164" s="175"/>
      <c r="EG164" s="175"/>
      <c r="EH164" s="175"/>
      <c r="EI164" s="175"/>
      <c r="EJ164" s="175"/>
      <c r="EK164" s="175"/>
      <c r="EL164" s="175"/>
      <c r="EM164" s="175"/>
      <c r="EN164" s="175"/>
      <c r="EO164" s="175"/>
      <c r="EP164" s="175"/>
      <c r="EQ164" s="175"/>
      <c r="ER164" s="175"/>
      <c r="ES164" s="175"/>
      <c r="ET164" s="175"/>
      <c r="EU164" s="175"/>
      <c r="EV164" s="175"/>
      <c r="EW164" s="175"/>
      <c r="EX164" s="175"/>
      <c r="EY164" s="175"/>
      <c r="EZ164" s="175"/>
      <c r="FA164" s="175"/>
      <c r="FB164" s="175"/>
      <c r="FC164" s="175"/>
      <c r="FD164" s="175"/>
      <c r="FE164" s="175"/>
      <c r="FF164" s="175"/>
      <c r="FG164" s="175"/>
      <c r="FH164" s="175"/>
      <c r="FI164" s="175"/>
      <c r="FJ164" s="175"/>
      <c r="FK164" s="175"/>
      <c r="FL164" s="175"/>
      <c r="FM164" s="175"/>
      <c r="FN164" s="175"/>
      <c r="FO164" s="175"/>
      <c r="FP164" s="175"/>
      <c r="FQ164" s="175"/>
      <c r="FR164" s="175"/>
      <c r="FS164" s="175"/>
      <c r="FT164" s="17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175"/>
      <c r="HL164" s="175"/>
      <c r="HM164" s="175"/>
      <c r="HN164" s="175"/>
      <c r="HO164" s="175"/>
      <c r="HP164" s="175"/>
      <c r="HQ164" s="175"/>
      <c r="HR164" s="175"/>
      <c r="HS164" s="175"/>
      <c r="HT164" s="175"/>
      <c r="HU164" s="175"/>
      <c r="HV164" s="175"/>
      <c r="HW164" s="175"/>
      <c r="HX164" s="175"/>
      <c r="HY164" s="175"/>
      <c r="HZ164" s="175"/>
      <c r="IA164" s="175"/>
      <c r="IB164" s="175"/>
      <c r="IC164" s="175"/>
      <c r="ID164" s="175"/>
      <c r="IE164" s="175"/>
      <c r="IF164" s="175"/>
      <c r="IG164" s="175"/>
      <c r="IH164" s="175"/>
      <c r="II164" s="175"/>
      <c r="IJ164" s="175"/>
      <c r="IK164" s="175"/>
      <c r="IL164" s="175"/>
      <c r="IM164" s="175"/>
      <c r="IN164" s="175"/>
      <c r="IO164" s="175"/>
      <c r="IP164" s="175"/>
      <c r="IQ164" s="175"/>
    </row>
    <row r="165" spans="1:251" s="146" customFormat="1" ht="21.75" customHeight="1">
      <c r="A165" s="179">
        <v>158</v>
      </c>
      <c r="B165" s="458" t="s">
        <v>374</v>
      </c>
      <c r="C165" s="459" t="s">
        <v>375</v>
      </c>
      <c r="D165" s="460">
        <v>53</v>
      </c>
      <c r="E165" s="460"/>
      <c r="F165" s="459" t="s">
        <v>246</v>
      </c>
      <c r="G165" s="460" t="s">
        <v>182</v>
      </c>
      <c r="H165" s="407" t="s">
        <v>159</v>
      </c>
      <c r="I165" s="180">
        <f t="shared" si="8"/>
        <v>97500</v>
      </c>
      <c r="J165" s="408" t="s">
        <v>431</v>
      </c>
      <c r="K165" s="183">
        <f t="shared" si="9"/>
        <v>75000</v>
      </c>
      <c r="L165" s="408" t="s">
        <v>56</v>
      </c>
      <c r="M165" s="181">
        <f t="shared" si="10"/>
        <v>0</v>
      </c>
      <c r="N165" s="181">
        <f t="shared" si="11"/>
        <v>172500</v>
      </c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  <c r="AT165" s="175"/>
      <c r="AU165" s="175"/>
      <c r="AV165" s="175"/>
      <c r="AW165" s="175"/>
      <c r="AX165" s="175"/>
      <c r="AY165" s="175"/>
      <c r="AZ165" s="175"/>
      <c r="BA165" s="175"/>
      <c r="BB165" s="175"/>
      <c r="BC165" s="175"/>
      <c r="BD165" s="175"/>
      <c r="BE165" s="175"/>
      <c r="BF165" s="175"/>
      <c r="BG165" s="175"/>
      <c r="BH165" s="175"/>
      <c r="BI165" s="175"/>
      <c r="BJ165" s="175"/>
      <c r="BK165" s="175"/>
      <c r="BL165" s="175"/>
      <c r="BM165" s="175"/>
      <c r="BN165" s="175"/>
      <c r="BO165" s="175"/>
      <c r="BP165" s="175"/>
      <c r="BQ165" s="175"/>
      <c r="BR165" s="175"/>
      <c r="BS165" s="175"/>
      <c r="BT165" s="175"/>
      <c r="BU165" s="175"/>
      <c r="BV165" s="175"/>
      <c r="BW165" s="175"/>
      <c r="BX165" s="175"/>
      <c r="BY165" s="175"/>
      <c r="BZ165" s="175"/>
      <c r="CA165" s="175"/>
      <c r="CB165" s="175"/>
      <c r="CC165" s="175"/>
      <c r="CD165" s="175"/>
      <c r="CE165" s="175"/>
      <c r="CF165" s="175"/>
      <c r="CG165" s="175"/>
      <c r="CH165" s="175"/>
      <c r="CI165" s="175"/>
      <c r="CJ165" s="175"/>
      <c r="CK165" s="175"/>
      <c r="CL165" s="175"/>
      <c r="CM165" s="175"/>
      <c r="CN165" s="175"/>
      <c r="CO165" s="175"/>
      <c r="CP165" s="175"/>
      <c r="CQ165" s="175"/>
      <c r="CR165" s="175"/>
      <c r="CS165" s="175"/>
      <c r="CT165" s="175"/>
      <c r="CU165" s="175"/>
      <c r="CV165" s="175"/>
      <c r="CW165" s="175"/>
      <c r="CX165" s="175"/>
      <c r="CY165" s="175"/>
      <c r="CZ165" s="175"/>
      <c r="DA165" s="175"/>
      <c r="DB165" s="175"/>
      <c r="DC165" s="175"/>
      <c r="DD165" s="175"/>
      <c r="DE165" s="175"/>
      <c r="DF165" s="175"/>
      <c r="DG165" s="175"/>
      <c r="DH165" s="175"/>
      <c r="DI165" s="175"/>
      <c r="DJ165" s="175"/>
      <c r="DK165" s="175"/>
      <c r="DL165" s="175"/>
      <c r="DM165" s="175"/>
      <c r="DN165" s="175"/>
      <c r="DO165" s="175"/>
      <c r="DP165" s="175"/>
      <c r="DQ165" s="175"/>
      <c r="DR165" s="175"/>
      <c r="DS165" s="175"/>
      <c r="DT165" s="175"/>
      <c r="DU165" s="175"/>
      <c r="DV165" s="175"/>
      <c r="DW165" s="175"/>
      <c r="DX165" s="175"/>
      <c r="DY165" s="175"/>
      <c r="DZ165" s="175"/>
      <c r="EA165" s="175"/>
      <c r="EB165" s="175"/>
      <c r="EC165" s="175"/>
      <c r="ED165" s="175"/>
      <c r="EE165" s="175"/>
      <c r="EF165" s="175"/>
      <c r="EG165" s="175"/>
      <c r="EH165" s="175"/>
      <c r="EI165" s="175"/>
      <c r="EJ165" s="175"/>
      <c r="EK165" s="175"/>
      <c r="EL165" s="175"/>
      <c r="EM165" s="175"/>
      <c r="EN165" s="175"/>
      <c r="EO165" s="175"/>
      <c r="EP165" s="175"/>
      <c r="EQ165" s="175"/>
      <c r="ER165" s="175"/>
      <c r="ES165" s="175"/>
      <c r="ET165" s="175"/>
      <c r="EU165" s="175"/>
      <c r="EV165" s="175"/>
      <c r="EW165" s="175"/>
      <c r="EX165" s="175"/>
      <c r="EY165" s="175"/>
      <c r="EZ165" s="175"/>
      <c r="FA165" s="175"/>
      <c r="FB165" s="175"/>
      <c r="FC165" s="175"/>
      <c r="FD165" s="175"/>
      <c r="FE165" s="175"/>
      <c r="FF165" s="175"/>
      <c r="FG165" s="175"/>
      <c r="FH165" s="175"/>
      <c r="FI165" s="175"/>
      <c r="FJ165" s="175"/>
      <c r="FK165" s="175"/>
      <c r="FL165" s="175"/>
      <c r="FM165" s="175"/>
      <c r="FN165" s="175"/>
      <c r="FO165" s="175"/>
      <c r="FP165" s="175"/>
      <c r="FQ165" s="175"/>
      <c r="FR165" s="175"/>
      <c r="FS165" s="175"/>
      <c r="FT165" s="175"/>
      <c r="FU165" s="175"/>
      <c r="FV165" s="175"/>
      <c r="FW165" s="175"/>
      <c r="FX165" s="175"/>
      <c r="FY165" s="175"/>
      <c r="FZ165" s="175"/>
      <c r="GA165" s="175"/>
      <c r="GB165" s="175"/>
      <c r="GC165" s="175"/>
      <c r="GD165" s="175"/>
      <c r="GE165" s="175"/>
      <c r="GF165" s="175"/>
      <c r="GG165" s="175"/>
      <c r="GH165" s="175"/>
      <c r="GI165" s="175"/>
      <c r="GJ165" s="175"/>
      <c r="GK165" s="175"/>
      <c r="GL165" s="175"/>
      <c r="GM165" s="175"/>
      <c r="GN165" s="175"/>
      <c r="GO165" s="175"/>
      <c r="GP165" s="175"/>
      <c r="GQ165" s="175"/>
      <c r="GR165" s="175"/>
      <c r="GS165" s="175"/>
      <c r="GT165" s="175"/>
      <c r="GU165" s="175"/>
      <c r="GV165" s="175"/>
      <c r="GW165" s="175"/>
      <c r="GX165" s="175"/>
      <c r="GY165" s="175"/>
      <c r="GZ165" s="175"/>
      <c r="HA165" s="175"/>
      <c r="HB165" s="175"/>
      <c r="HC165" s="175"/>
      <c r="HD165" s="175"/>
      <c r="HE165" s="175"/>
      <c r="HF165" s="175"/>
      <c r="HG165" s="175"/>
      <c r="HH165" s="175"/>
      <c r="HI165" s="175"/>
      <c r="HJ165" s="175"/>
      <c r="HK165" s="175"/>
      <c r="HL165" s="175"/>
      <c r="HM165" s="175"/>
      <c r="HN165" s="175"/>
      <c r="HO165" s="175"/>
      <c r="HP165" s="175"/>
      <c r="HQ165" s="175"/>
      <c r="HR165" s="175"/>
      <c r="HS165" s="175"/>
      <c r="HT165" s="175"/>
      <c r="HU165" s="175"/>
      <c r="HV165" s="175"/>
      <c r="HW165" s="175"/>
      <c r="HX165" s="175"/>
      <c r="HY165" s="175"/>
      <c r="HZ165" s="175"/>
      <c r="IA165" s="175"/>
      <c r="IB165" s="175"/>
      <c r="IC165" s="175"/>
      <c r="ID165" s="175"/>
      <c r="IE165" s="175"/>
      <c r="IF165" s="175"/>
      <c r="IG165" s="175"/>
      <c r="IH165" s="175"/>
      <c r="II165" s="175"/>
      <c r="IJ165" s="175"/>
      <c r="IK165" s="175"/>
      <c r="IL165" s="175"/>
      <c r="IM165" s="175"/>
      <c r="IN165" s="175"/>
      <c r="IO165" s="175"/>
      <c r="IP165" s="175"/>
      <c r="IQ165" s="175"/>
    </row>
    <row r="166" spans="1:251" s="146" customFormat="1" ht="21.75" customHeight="1">
      <c r="A166" s="179">
        <v>159</v>
      </c>
      <c r="B166" s="458" t="s">
        <v>389</v>
      </c>
      <c r="C166" s="459" t="s">
        <v>470</v>
      </c>
      <c r="D166" s="460">
        <v>58</v>
      </c>
      <c r="E166" s="460"/>
      <c r="F166" s="459" t="s">
        <v>471</v>
      </c>
      <c r="G166" s="460" t="s">
        <v>461</v>
      </c>
      <c r="H166" s="407" t="s">
        <v>294</v>
      </c>
      <c r="I166" s="180">
        <f t="shared" si="8"/>
        <v>97500</v>
      </c>
      <c r="J166" s="408" t="s">
        <v>434</v>
      </c>
      <c r="K166" s="183">
        <f t="shared" si="9"/>
        <v>75000</v>
      </c>
      <c r="L166" s="408" t="s">
        <v>56</v>
      </c>
      <c r="M166" s="181">
        <f t="shared" si="10"/>
        <v>0</v>
      </c>
      <c r="N166" s="181">
        <f t="shared" si="11"/>
        <v>172500</v>
      </c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  <c r="AU166" s="175"/>
      <c r="AV166" s="175"/>
      <c r="AW166" s="175"/>
      <c r="AX166" s="175"/>
      <c r="AY166" s="175"/>
      <c r="AZ166" s="175"/>
      <c r="BA166" s="175"/>
      <c r="BB166" s="175"/>
      <c r="BC166" s="175"/>
      <c r="BD166" s="175"/>
      <c r="BE166" s="175"/>
      <c r="BF166" s="175"/>
      <c r="BG166" s="175"/>
      <c r="BH166" s="175"/>
      <c r="BI166" s="175"/>
      <c r="BJ166" s="175"/>
      <c r="BK166" s="175"/>
      <c r="BL166" s="175"/>
      <c r="BM166" s="175"/>
      <c r="BN166" s="175"/>
      <c r="BO166" s="175"/>
      <c r="BP166" s="175"/>
      <c r="BQ166" s="175"/>
      <c r="BR166" s="175"/>
      <c r="BS166" s="175"/>
      <c r="BT166" s="175"/>
      <c r="BU166" s="175"/>
      <c r="BV166" s="175"/>
      <c r="BW166" s="175"/>
      <c r="BX166" s="175"/>
      <c r="BY166" s="175"/>
      <c r="BZ166" s="175"/>
      <c r="CA166" s="175"/>
      <c r="CB166" s="175"/>
      <c r="CC166" s="175"/>
      <c r="CD166" s="175"/>
      <c r="CE166" s="175"/>
      <c r="CF166" s="175"/>
      <c r="CG166" s="175"/>
      <c r="CH166" s="175"/>
      <c r="CI166" s="175"/>
      <c r="CJ166" s="175"/>
      <c r="CK166" s="175"/>
      <c r="CL166" s="175"/>
      <c r="CM166" s="175"/>
      <c r="CN166" s="175"/>
      <c r="CO166" s="175"/>
      <c r="CP166" s="175"/>
      <c r="CQ166" s="175"/>
      <c r="CR166" s="175"/>
      <c r="CS166" s="175"/>
      <c r="CT166" s="175"/>
      <c r="CU166" s="175"/>
      <c r="CV166" s="175"/>
      <c r="CW166" s="175"/>
      <c r="CX166" s="175"/>
      <c r="CY166" s="175"/>
      <c r="CZ166" s="175"/>
      <c r="DA166" s="175"/>
      <c r="DB166" s="175"/>
      <c r="DC166" s="175"/>
      <c r="DD166" s="175"/>
      <c r="DE166" s="175"/>
      <c r="DF166" s="175"/>
      <c r="DG166" s="175"/>
      <c r="DH166" s="175"/>
      <c r="DI166" s="175"/>
      <c r="DJ166" s="175"/>
      <c r="DK166" s="175"/>
      <c r="DL166" s="175"/>
      <c r="DM166" s="175"/>
      <c r="DN166" s="175"/>
      <c r="DO166" s="175"/>
      <c r="DP166" s="175"/>
      <c r="DQ166" s="175"/>
      <c r="DR166" s="175"/>
      <c r="DS166" s="175"/>
      <c r="DT166" s="175"/>
      <c r="DU166" s="175"/>
      <c r="DV166" s="175"/>
      <c r="DW166" s="175"/>
      <c r="DX166" s="175"/>
      <c r="DY166" s="175"/>
      <c r="DZ166" s="175"/>
      <c r="EA166" s="175"/>
      <c r="EB166" s="175"/>
      <c r="EC166" s="175"/>
      <c r="ED166" s="175"/>
      <c r="EE166" s="175"/>
      <c r="EF166" s="175"/>
      <c r="EG166" s="175"/>
      <c r="EH166" s="175"/>
      <c r="EI166" s="175"/>
      <c r="EJ166" s="175"/>
      <c r="EK166" s="175"/>
      <c r="EL166" s="175"/>
      <c r="EM166" s="175"/>
      <c r="EN166" s="175"/>
      <c r="EO166" s="175"/>
      <c r="EP166" s="175"/>
      <c r="EQ166" s="175"/>
      <c r="ER166" s="175"/>
      <c r="ES166" s="175"/>
      <c r="ET166" s="175"/>
      <c r="EU166" s="175"/>
      <c r="EV166" s="175"/>
      <c r="EW166" s="175"/>
      <c r="EX166" s="175"/>
      <c r="EY166" s="175"/>
      <c r="EZ166" s="175"/>
      <c r="FA166" s="175"/>
      <c r="FB166" s="175"/>
      <c r="FC166" s="175"/>
      <c r="FD166" s="175"/>
      <c r="FE166" s="175"/>
      <c r="FF166" s="175"/>
      <c r="FG166" s="175"/>
      <c r="FH166" s="175"/>
      <c r="FI166" s="175"/>
      <c r="FJ166" s="175"/>
      <c r="FK166" s="175"/>
      <c r="FL166" s="175"/>
      <c r="FM166" s="175"/>
      <c r="FN166" s="175"/>
      <c r="FO166" s="175"/>
      <c r="FP166" s="175"/>
      <c r="FQ166" s="175"/>
      <c r="FR166" s="175"/>
      <c r="FS166" s="175"/>
      <c r="FT166" s="175"/>
      <c r="FU166" s="175"/>
      <c r="FV166" s="175"/>
      <c r="FW166" s="175"/>
      <c r="FX166" s="175"/>
      <c r="FY166" s="175"/>
      <c r="FZ166" s="175"/>
      <c r="GA166" s="175"/>
      <c r="GB166" s="175"/>
      <c r="GC166" s="175"/>
      <c r="GD166" s="175"/>
      <c r="GE166" s="175"/>
      <c r="GF166" s="175"/>
      <c r="GG166" s="175"/>
      <c r="GH166" s="175"/>
      <c r="GI166" s="175"/>
      <c r="GJ166" s="175"/>
      <c r="GK166" s="175"/>
      <c r="GL166" s="175"/>
      <c r="GM166" s="175"/>
      <c r="GN166" s="175"/>
      <c r="GO166" s="175"/>
      <c r="GP166" s="175"/>
      <c r="GQ166" s="175"/>
      <c r="GR166" s="175"/>
      <c r="GS166" s="175"/>
      <c r="GT166" s="175"/>
      <c r="GU166" s="175"/>
      <c r="GV166" s="175"/>
      <c r="GW166" s="175"/>
      <c r="GX166" s="175"/>
      <c r="GY166" s="175"/>
      <c r="GZ166" s="175"/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/>
      <c r="HK166" s="175"/>
      <c r="HL166" s="175"/>
      <c r="HM166" s="175"/>
      <c r="HN166" s="175"/>
      <c r="HO166" s="175"/>
      <c r="HP166" s="175"/>
      <c r="HQ166" s="175"/>
      <c r="HR166" s="175"/>
      <c r="HS166" s="175"/>
      <c r="HT166" s="175"/>
      <c r="HU166" s="175"/>
      <c r="HV166" s="175"/>
      <c r="HW166" s="175"/>
      <c r="HX166" s="175"/>
      <c r="HY166" s="175"/>
      <c r="HZ166" s="175"/>
      <c r="IA166" s="175"/>
      <c r="IB166" s="175"/>
      <c r="IC166" s="175"/>
      <c r="ID166" s="175"/>
      <c r="IE166" s="175"/>
      <c r="IF166" s="175"/>
      <c r="IG166" s="175"/>
      <c r="IH166" s="175"/>
      <c r="II166" s="175"/>
      <c r="IJ166" s="175"/>
      <c r="IK166" s="175"/>
      <c r="IL166" s="175"/>
      <c r="IM166" s="175"/>
      <c r="IN166" s="175"/>
      <c r="IO166" s="175"/>
      <c r="IP166" s="175"/>
      <c r="IQ166" s="175"/>
    </row>
    <row r="167" spans="1:251" s="146" customFormat="1" ht="21.75" customHeight="1">
      <c r="A167" s="179">
        <v>160</v>
      </c>
      <c r="B167" s="458" t="s">
        <v>389</v>
      </c>
      <c r="C167" s="459" t="s">
        <v>468</v>
      </c>
      <c r="D167" s="460">
        <v>18</v>
      </c>
      <c r="E167" s="460"/>
      <c r="F167" s="459" t="s">
        <v>249</v>
      </c>
      <c r="G167" s="460" t="s">
        <v>461</v>
      </c>
      <c r="H167" s="407" t="s">
        <v>190</v>
      </c>
      <c r="I167" s="180">
        <f t="shared" si="8"/>
        <v>97500</v>
      </c>
      <c r="J167" s="408" t="s">
        <v>436</v>
      </c>
      <c r="K167" s="183">
        <f t="shared" si="9"/>
        <v>75000</v>
      </c>
      <c r="L167" s="408" t="s">
        <v>56</v>
      </c>
      <c r="M167" s="181">
        <f t="shared" si="10"/>
        <v>0</v>
      </c>
      <c r="N167" s="181">
        <f t="shared" si="11"/>
        <v>172500</v>
      </c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  <c r="AT167" s="175"/>
      <c r="AU167" s="175"/>
      <c r="AV167" s="175"/>
      <c r="AW167" s="175"/>
      <c r="AX167" s="175"/>
      <c r="AY167" s="175"/>
      <c r="AZ167" s="175"/>
      <c r="BA167" s="175"/>
      <c r="BB167" s="175"/>
      <c r="BC167" s="175"/>
      <c r="BD167" s="175"/>
      <c r="BE167" s="175"/>
      <c r="BF167" s="175"/>
      <c r="BG167" s="175"/>
      <c r="BH167" s="175"/>
      <c r="BI167" s="175"/>
      <c r="BJ167" s="175"/>
      <c r="BK167" s="175"/>
      <c r="BL167" s="175"/>
      <c r="BM167" s="175"/>
      <c r="BN167" s="175"/>
      <c r="BO167" s="175"/>
      <c r="BP167" s="175"/>
      <c r="BQ167" s="175"/>
      <c r="BR167" s="175"/>
      <c r="BS167" s="175"/>
      <c r="BT167" s="175"/>
      <c r="BU167" s="175"/>
      <c r="BV167" s="175"/>
      <c r="BW167" s="175"/>
      <c r="BX167" s="175"/>
      <c r="BY167" s="175"/>
      <c r="BZ167" s="175"/>
      <c r="CA167" s="175"/>
      <c r="CB167" s="175"/>
      <c r="CC167" s="175"/>
      <c r="CD167" s="175"/>
      <c r="CE167" s="175"/>
      <c r="CF167" s="175"/>
      <c r="CG167" s="175"/>
      <c r="CH167" s="175"/>
      <c r="CI167" s="175"/>
      <c r="CJ167" s="175"/>
      <c r="CK167" s="175"/>
      <c r="CL167" s="175"/>
      <c r="CM167" s="175"/>
      <c r="CN167" s="175"/>
      <c r="CO167" s="175"/>
      <c r="CP167" s="175"/>
      <c r="CQ167" s="175"/>
      <c r="CR167" s="175"/>
      <c r="CS167" s="175"/>
      <c r="CT167" s="175"/>
      <c r="CU167" s="175"/>
      <c r="CV167" s="175"/>
      <c r="CW167" s="175"/>
      <c r="CX167" s="175"/>
      <c r="CY167" s="175"/>
      <c r="CZ167" s="175"/>
      <c r="DA167" s="175"/>
      <c r="DB167" s="175"/>
      <c r="DC167" s="175"/>
      <c r="DD167" s="175"/>
      <c r="DE167" s="175"/>
      <c r="DF167" s="175"/>
      <c r="DG167" s="175"/>
      <c r="DH167" s="175"/>
      <c r="DI167" s="175"/>
      <c r="DJ167" s="175"/>
      <c r="DK167" s="175"/>
      <c r="DL167" s="175"/>
      <c r="DM167" s="175"/>
      <c r="DN167" s="175"/>
      <c r="DO167" s="175"/>
      <c r="DP167" s="175"/>
      <c r="DQ167" s="175"/>
      <c r="DR167" s="175"/>
      <c r="DS167" s="175"/>
      <c r="DT167" s="175"/>
      <c r="DU167" s="175"/>
      <c r="DV167" s="175"/>
      <c r="DW167" s="175"/>
      <c r="DX167" s="175"/>
      <c r="DY167" s="175"/>
      <c r="DZ167" s="175"/>
      <c r="EA167" s="175"/>
      <c r="EB167" s="175"/>
      <c r="EC167" s="175"/>
      <c r="ED167" s="175"/>
      <c r="EE167" s="175"/>
      <c r="EF167" s="175"/>
      <c r="EG167" s="175"/>
      <c r="EH167" s="175"/>
      <c r="EI167" s="175"/>
      <c r="EJ167" s="175"/>
      <c r="EK167" s="175"/>
      <c r="EL167" s="175"/>
      <c r="EM167" s="175"/>
      <c r="EN167" s="175"/>
      <c r="EO167" s="175"/>
      <c r="EP167" s="175"/>
      <c r="EQ167" s="175"/>
      <c r="ER167" s="175"/>
      <c r="ES167" s="175"/>
      <c r="ET167" s="175"/>
      <c r="EU167" s="175"/>
      <c r="EV167" s="175"/>
      <c r="EW167" s="175"/>
      <c r="EX167" s="175"/>
      <c r="EY167" s="175"/>
      <c r="EZ167" s="175"/>
      <c r="FA167" s="175"/>
      <c r="FB167" s="175"/>
      <c r="FC167" s="175"/>
      <c r="FD167" s="175"/>
      <c r="FE167" s="175"/>
      <c r="FF167" s="175"/>
      <c r="FG167" s="175"/>
      <c r="FH167" s="175"/>
      <c r="FI167" s="175"/>
      <c r="FJ167" s="175"/>
      <c r="FK167" s="175"/>
      <c r="FL167" s="175"/>
      <c r="FM167" s="175"/>
      <c r="FN167" s="175"/>
      <c r="FO167" s="175"/>
      <c r="FP167" s="175"/>
      <c r="FQ167" s="175"/>
      <c r="FR167" s="175"/>
      <c r="FS167" s="175"/>
      <c r="FT167" s="175"/>
      <c r="FU167" s="175"/>
      <c r="FV167" s="175"/>
      <c r="FW167" s="175"/>
      <c r="FX167" s="175"/>
      <c r="FY167" s="175"/>
      <c r="FZ167" s="175"/>
      <c r="GA167" s="175"/>
      <c r="GB167" s="175"/>
      <c r="GC167" s="175"/>
      <c r="GD167" s="175"/>
      <c r="GE167" s="175"/>
      <c r="GF167" s="175"/>
      <c r="GG167" s="175"/>
      <c r="GH167" s="175"/>
      <c r="GI167" s="175"/>
      <c r="GJ167" s="175"/>
      <c r="GK167" s="175"/>
      <c r="GL167" s="175"/>
      <c r="GM167" s="175"/>
      <c r="GN167" s="175"/>
      <c r="GO167" s="175"/>
      <c r="GP167" s="175"/>
      <c r="GQ167" s="175"/>
      <c r="GR167" s="175"/>
      <c r="GS167" s="175"/>
      <c r="GT167" s="175"/>
      <c r="GU167" s="175"/>
      <c r="GV167" s="175"/>
      <c r="GW167" s="175"/>
      <c r="GX167" s="175"/>
      <c r="GY167" s="175"/>
      <c r="GZ167" s="175"/>
      <c r="HA167" s="175"/>
      <c r="HB167" s="175"/>
      <c r="HC167" s="175"/>
      <c r="HD167" s="175"/>
      <c r="HE167" s="175"/>
      <c r="HF167" s="175"/>
      <c r="HG167" s="175"/>
      <c r="HH167" s="175"/>
      <c r="HI167" s="175"/>
      <c r="HJ167" s="175"/>
      <c r="HK167" s="175"/>
      <c r="HL167" s="175"/>
      <c r="HM167" s="175"/>
      <c r="HN167" s="175"/>
      <c r="HO167" s="175"/>
      <c r="HP167" s="175"/>
      <c r="HQ167" s="175"/>
      <c r="HR167" s="175"/>
      <c r="HS167" s="175"/>
      <c r="HT167" s="175"/>
      <c r="HU167" s="175"/>
      <c r="HV167" s="175"/>
      <c r="HW167" s="175"/>
      <c r="HX167" s="175"/>
      <c r="HY167" s="175"/>
      <c r="HZ167" s="175"/>
      <c r="IA167" s="175"/>
      <c r="IB167" s="175"/>
      <c r="IC167" s="175"/>
      <c r="ID167" s="175"/>
      <c r="IE167" s="175"/>
      <c r="IF167" s="175"/>
      <c r="IG167" s="175"/>
      <c r="IH167" s="175"/>
      <c r="II167" s="175"/>
      <c r="IJ167" s="175"/>
      <c r="IK167" s="175"/>
      <c r="IL167" s="175"/>
      <c r="IM167" s="175"/>
      <c r="IN167" s="175"/>
      <c r="IO167" s="175"/>
      <c r="IP167" s="175"/>
      <c r="IQ167" s="175"/>
    </row>
    <row r="168" spans="1:251" s="146" customFormat="1" ht="21.75" customHeight="1">
      <c r="A168" s="179">
        <v>161</v>
      </c>
      <c r="B168" s="458" t="s">
        <v>389</v>
      </c>
      <c r="C168" s="459" t="s">
        <v>392</v>
      </c>
      <c r="D168" s="460">
        <v>58</v>
      </c>
      <c r="E168" s="460"/>
      <c r="F168" s="459" t="s">
        <v>181</v>
      </c>
      <c r="G168" s="460" t="s">
        <v>182</v>
      </c>
      <c r="H168" s="407" t="s">
        <v>183</v>
      </c>
      <c r="I168" s="180">
        <f t="shared" si="8"/>
        <v>97500</v>
      </c>
      <c r="J168" s="408" t="s">
        <v>430</v>
      </c>
      <c r="K168" s="183">
        <f t="shared" si="9"/>
        <v>75000</v>
      </c>
      <c r="L168" s="408" t="s">
        <v>56</v>
      </c>
      <c r="M168" s="181">
        <f t="shared" si="10"/>
        <v>0</v>
      </c>
      <c r="N168" s="181">
        <f t="shared" si="11"/>
        <v>172500</v>
      </c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  <c r="AJ168" s="175"/>
      <c r="AK168" s="175"/>
      <c r="AL168" s="175"/>
      <c r="AM168" s="175"/>
      <c r="AN168" s="175"/>
      <c r="AO168" s="175"/>
      <c r="AP168" s="175"/>
      <c r="AQ168" s="175"/>
      <c r="AR168" s="175"/>
      <c r="AS168" s="175"/>
      <c r="AT168" s="175"/>
      <c r="AU168" s="175"/>
      <c r="AV168" s="175"/>
      <c r="AW168" s="175"/>
      <c r="AX168" s="175"/>
      <c r="AY168" s="175"/>
      <c r="AZ168" s="175"/>
      <c r="BA168" s="175"/>
      <c r="BB168" s="175"/>
      <c r="BC168" s="175"/>
      <c r="BD168" s="175"/>
      <c r="BE168" s="175"/>
      <c r="BF168" s="175"/>
      <c r="BG168" s="175"/>
      <c r="BH168" s="175"/>
      <c r="BI168" s="175"/>
      <c r="BJ168" s="175"/>
      <c r="BK168" s="175"/>
      <c r="BL168" s="175"/>
      <c r="BM168" s="175"/>
      <c r="BN168" s="175"/>
      <c r="BO168" s="175"/>
      <c r="BP168" s="175"/>
      <c r="BQ168" s="175"/>
      <c r="BR168" s="175"/>
      <c r="BS168" s="175"/>
      <c r="BT168" s="175"/>
      <c r="BU168" s="175"/>
      <c r="BV168" s="175"/>
      <c r="BW168" s="175"/>
      <c r="BX168" s="175"/>
      <c r="BY168" s="175"/>
      <c r="BZ168" s="175"/>
      <c r="CA168" s="175"/>
      <c r="CB168" s="175"/>
      <c r="CC168" s="175"/>
      <c r="CD168" s="175"/>
      <c r="CE168" s="175"/>
      <c r="CF168" s="175"/>
      <c r="CG168" s="175"/>
      <c r="CH168" s="175"/>
      <c r="CI168" s="175"/>
      <c r="CJ168" s="175"/>
      <c r="CK168" s="175"/>
      <c r="CL168" s="175"/>
      <c r="CM168" s="175"/>
      <c r="CN168" s="175"/>
      <c r="CO168" s="175"/>
      <c r="CP168" s="175"/>
      <c r="CQ168" s="175"/>
      <c r="CR168" s="175"/>
      <c r="CS168" s="175"/>
      <c r="CT168" s="175"/>
      <c r="CU168" s="175"/>
      <c r="CV168" s="175"/>
      <c r="CW168" s="175"/>
      <c r="CX168" s="175"/>
      <c r="CY168" s="175"/>
      <c r="CZ168" s="175"/>
      <c r="DA168" s="175"/>
      <c r="DB168" s="175"/>
      <c r="DC168" s="175"/>
      <c r="DD168" s="175"/>
      <c r="DE168" s="175"/>
      <c r="DF168" s="175"/>
      <c r="DG168" s="175"/>
      <c r="DH168" s="175"/>
      <c r="DI168" s="175"/>
      <c r="DJ168" s="175"/>
      <c r="DK168" s="175"/>
      <c r="DL168" s="175"/>
      <c r="DM168" s="175"/>
      <c r="DN168" s="175"/>
      <c r="DO168" s="175"/>
      <c r="DP168" s="175"/>
      <c r="DQ168" s="175"/>
      <c r="DR168" s="175"/>
      <c r="DS168" s="175"/>
      <c r="DT168" s="175"/>
      <c r="DU168" s="175"/>
      <c r="DV168" s="175"/>
      <c r="DW168" s="175"/>
      <c r="DX168" s="175"/>
      <c r="DY168" s="175"/>
      <c r="DZ168" s="175"/>
      <c r="EA168" s="175"/>
      <c r="EB168" s="175"/>
      <c r="EC168" s="175"/>
      <c r="ED168" s="175"/>
      <c r="EE168" s="175"/>
      <c r="EF168" s="175"/>
      <c r="EG168" s="175"/>
      <c r="EH168" s="175"/>
      <c r="EI168" s="175"/>
      <c r="EJ168" s="175"/>
      <c r="EK168" s="175"/>
      <c r="EL168" s="175"/>
      <c r="EM168" s="175"/>
      <c r="EN168" s="175"/>
      <c r="EO168" s="175"/>
      <c r="EP168" s="175"/>
      <c r="EQ168" s="175"/>
      <c r="ER168" s="175"/>
      <c r="ES168" s="175"/>
      <c r="ET168" s="175"/>
      <c r="EU168" s="175"/>
      <c r="EV168" s="175"/>
      <c r="EW168" s="175"/>
      <c r="EX168" s="175"/>
      <c r="EY168" s="175"/>
      <c r="EZ168" s="175"/>
      <c r="FA168" s="175"/>
      <c r="FB168" s="175"/>
      <c r="FC168" s="175"/>
      <c r="FD168" s="175"/>
      <c r="FE168" s="175"/>
      <c r="FF168" s="175"/>
      <c r="FG168" s="175"/>
      <c r="FH168" s="175"/>
      <c r="FI168" s="175"/>
      <c r="FJ168" s="175"/>
      <c r="FK168" s="175"/>
      <c r="FL168" s="175"/>
      <c r="FM168" s="175"/>
      <c r="FN168" s="175"/>
      <c r="FO168" s="175"/>
      <c r="FP168" s="175"/>
      <c r="FQ168" s="175"/>
      <c r="FR168" s="175"/>
      <c r="FS168" s="175"/>
      <c r="FT168" s="17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175"/>
      <c r="HL168" s="175"/>
      <c r="HM168" s="175"/>
      <c r="HN168" s="175"/>
      <c r="HO168" s="175"/>
      <c r="HP168" s="175"/>
      <c r="HQ168" s="175"/>
      <c r="HR168" s="175"/>
      <c r="HS168" s="175"/>
      <c r="HT168" s="175"/>
      <c r="HU168" s="175"/>
      <c r="HV168" s="175"/>
      <c r="HW168" s="175"/>
      <c r="HX168" s="175"/>
      <c r="HY168" s="175"/>
      <c r="HZ168" s="175"/>
      <c r="IA168" s="175"/>
      <c r="IB168" s="175"/>
      <c r="IC168" s="175"/>
      <c r="ID168" s="175"/>
      <c r="IE168" s="175"/>
      <c r="IF168" s="175"/>
      <c r="IG168" s="175"/>
      <c r="IH168" s="175"/>
      <c r="II168" s="175"/>
      <c r="IJ168" s="175"/>
      <c r="IK168" s="175"/>
      <c r="IL168" s="175"/>
      <c r="IM168" s="175"/>
      <c r="IN168" s="175"/>
      <c r="IO168" s="175"/>
      <c r="IP168" s="175"/>
      <c r="IQ168" s="175"/>
    </row>
    <row r="169" spans="1:251" s="146" customFormat="1" ht="21.75" customHeight="1">
      <c r="A169" s="179">
        <v>162</v>
      </c>
      <c r="B169" s="458" t="s">
        <v>389</v>
      </c>
      <c r="C169" s="459" t="s">
        <v>394</v>
      </c>
      <c r="D169" s="460">
        <v>67</v>
      </c>
      <c r="E169" s="460"/>
      <c r="F169" s="459" t="s">
        <v>395</v>
      </c>
      <c r="G169" s="460" t="s">
        <v>182</v>
      </c>
      <c r="H169" s="407" t="s">
        <v>134</v>
      </c>
      <c r="I169" s="180">
        <f t="shared" si="8"/>
        <v>97500</v>
      </c>
      <c r="J169" s="408" t="s">
        <v>430</v>
      </c>
      <c r="K169" s="183">
        <f t="shared" si="9"/>
        <v>75000</v>
      </c>
      <c r="L169" s="408" t="s">
        <v>56</v>
      </c>
      <c r="M169" s="181">
        <f t="shared" si="10"/>
        <v>0</v>
      </c>
      <c r="N169" s="181">
        <f t="shared" si="11"/>
        <v>172500</v>
      </c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  <c r="AJ169" s="175"/>
      <c r="AK169" s="175"/>
      <c r="AL169" s="175"/>
      <c r="AM169" s="175"/>
      <c r="AN169" s="175"/>
      <c r="AO169" s="175"/>
      <c r="AP169" s="175"/>
      <c r="AQ169" s="175"/>
      <c r="AR169" s="175"/>
      <c r="AS169" s="175"/>
      <c r="AT169" s="175"/>
      <c r="AU169" s="175"/>
      <c r="AV169" s="175"/>
      <c r="AW169" s="175"/>
      <c r="AX169" s="175"/>
      <c r="AY169" s="175"/>
      <c r="AZ169" s="175"/>
      <c r="BA169" s="175"/>
      <c r="BB169" s="175"/>
      <c r="BC169" s="175"/>
      <c r="BD169" s="175"/>
      <c r="BE169" s="175"/>
      <c r="BF169" s="175"/>
      <c r="BG169" s="175"/>
      <c r="BH169" s="175"/>
      <c r="BI169" s="175"/>
      <c r="BJ169" s="175"/>
      <c r="BK169" s="175"/>
      <c r="BL169" s="175"/>
      <c r="BM169" s="175"/>
      <c r="BN169" s="175"/>
      <c r="BO169" s="175"/>
      <c r="BP169" s="175"/>
      <c r="BQ169" s="175"/>
      <c r="BR169" s="175"/>
      <c r="BS169" s="175"/>
      <c r="BT169" s="175"/>
      <c r="BU169" s="175"/>
      <c r="BV169" s="175"/>
      <c r="BW169" s="175"/>
      <c r="BX169" s="175"/>
      <c r="BY169" s="175"/>
      <c r="BZ169" s="175"/>
      <c r="CA169" s="175"/>
      <c r="CB169" s="175"/>
      <c r="CC169" s="175"/>
      <c r="CD169" s="175"/>
      <c r="CE169" s="175"/>
      <c r="CF169" s="175"/>
      <c r="CG169" s="175"/>
      <c r="CH169" s="175"/>
      <c r="CI169" s="175"/>
      <c r="CJ169" s="175"/>
      <c r="CK169" s="175"/>
      <c r="CL169" s="175"/>
      <c r="CM169" s="175"/>
      <c r="CN169" s="175"/>
      <c r="CO169" s="175"/>
      <c r="CP169" s="175"/>
      <c r="CQ169" s="175"/>
      <c r="CR169" s="175"/>
      <c r="CS169" s="175"/>
      <c r="CT169" s="175"/>
      <c r="CU169" s="175"/>
      <c r="CV169" s="175"/>
      <c r="CW169" s="175"/>
      <c r="CX169" s="175"/>
      <c r="CY169" s="175"/>
      <c r="CZ169" s="175"/>
      <c r="DA169" s="175"/>
      <c r="DB169" s="175"/>
      <c r="DC169" s="175"/>
      <c r="DD169" s="175"/>
      <c r="DE169" s="175"/>
      <c r="DF169" s="175"/>
      <c r="DG169" s="175"/>
      <c r="DH169" s="175"/>
      <c r="DI169" s="175"/>
      <c r="DJ169" s="175"/>
      <c r="DK169" s="175"/>
      <c r="DL169" s="175"/>
      <c r="DM169" s="175"/>
      <c r="DN169" s="175"/>
      <c r="DO169" s="175"/>
      <c r="DP169" s="175"/>
      <c r="DQ169" s="175"/>
      <c r="DR169" s="175"/>
      <c r="DS169" s="175"/>
      <c r="DT169" s="175"/>
      <c r="DU169" s="175"/>
      <c r="DV169" s="175"/>
      <c r="DW169" s="175"/>
      <c r="DX169" s="175"/>
      <c r="DY169" s="175"/>
      <c r="DZ169" s="175"/>
      <c r="EA169" s="175"/>
      <c r="EB169" s="175"/>
      <c r="EC169" s="175"/>
      <c r="ED169" s="175"/>
      <c r="EE169" s="175"/>
      <c r="EF169" s="175"/>
      <c r="EG169" s="175"/>
      <c r="EH169" s="175"/>
      <c r="EI169" s="175"/>
      <c r="EJ169" s="175"/>
      <c r="EK169" s="175"/>
      <c r="EL169" s="175"/>
      <c r="EM169" s="175"/>
      <c r="EN169" s="175"/>
      <c r="EO169" s="175"/>
      <c r="EP169" s="175"/>
      <c r="EQ169" s="175"/>
      <c r="ER169" s="175"/>
      <c r="ES169" s="175"/>
      <c r="ET169" s="175"/>
      <c r="EU169" s="175"/>
      <c r="EV169" s="175"/>
      <c r="EW169" s="175"/>
      <c r="EX169" s="175"/>
      <c r="EY169" s="175"/>
      <c r="EZ169" s="175"/>
      <c r="FA169" s="175"/>
      <c r="FB169" s="175"/>
      <c r="FC169" s="175"/>
      <c r="FD169" s="175"/>
      <c r="FE169" s="175"/>
      <c r="FF169" s="175"/>
      <c r="FG169" s="175"/>
      <c r="FH169" s="175"/>
      <c r="FI169" s="175"/>
      <c r="FJ169" s="175"/>
      <c r="FK169" s="175"/>
      <c r="FL169" s="175"/>
      <c r="FM169" s="175"/>
      <c r="FN169" s="175"/>
      <c r="FO169" s="175"/>
      <c r="FP169" s="175"/>
      <c r="FQ169" s="175"/>
      <c r="FR169" s="175"/>
      <c r="FS169" s="175"/>
      <c r="FT169" s="17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175"/>
      <c r="HL169" s="175"/>
      <c r="HM169" s="175"/>
      <c r="HN169" s="175"/>
      <c r="HO169" s="175"/>
      <c r="HP169" s="175"/>
      <c r="HQ169" s="175"/>
      <c r="HR169" s="175"/>
      <c r="HS169" s="175"/>
      <c r="HT169" s="175"/>
      <c r="HU169" s="175"/>
      <c r="HV169" s="175"/>
      <c r="HW169" s="175"/>
      <c r="HX169" s="175"/>
      <c r="HY169" s="175"/>
      <c r="HZ169" s="175"/>
      <c r="IA169" s="175"/>
      <c r="IB169" s="175"/>
      <c r="IC169" s="175"/>
      <c r="ID169" s="175"/>
      <c r="IE169" s="175"/>
      <c r="IF169" s="175"/>
      <c r="IG169" s="175"/>
      <c r="IH169" s="175"/>
      <c r="II169" s="175"/>
      <c r="IJ169" s="175"/>
      <c r="IK169" s="175"/>
      <c r="IL169" s="175"/>
      <c r="IM169" s="175"/>
      <c r="IN169" s="175"/>
      <c r="IO169" s="175"/>
      <c r="IP169" s="175"/>
      <c r="IQ169" s="175"/>
    </row>
    <row r="170" spans="1:251" s="146" customFormat="1" ht="21.75" customHeight="1">
      <c r="A170" s="179">
        <v>163</v>
      </c>
      <c r="B170" s="458" t="s">
        <v>389</v>
      </c>
      <c r="C170" s="459" t="s">
        <v>394</v>
      </c>
      <c r="D170" s="460">
        <v>67</v>
      </c>
      <c r="E170" s="460"/>
      <c r="F170" s="459" t="s">
        <v>396</v>
      </c>
      <c r="G170" s="460" t="s">
        <v>182</v>
      </c>
      <c r="H170" s="407" t="s">
        <v>190</v>
      </c>
      <c r="I170" s="180">
        <f t="shared" si="8"/>
        <v>97500</v>
      </c>
      <c r="J170" s="408" t="s">
        <v>134</v>
      </c>
      <c r="K170" s="183">
        <f t="shared" si="9"/>
        <v>75000</v>
      </c>
      <c r="L170" s="408" t="s">
        <v>56</v>
      </c>
      <c r="M170" s="181">
        <f t="shared" si="10"/>
        <v>0</v>
      </c>
      <c r="N170" s="181">
        <f t="shared" si="11"/>
        <v>172500</v>
      </c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  <c r="AJ170" s="175"/>
      <c r="AK170" s="175"/>
      <c r="AL170" s="175"/>
      <c r="AM170" s="175"/>
      <c r="AN170" s="175"/>
      <c r="AO170" s="175"/>
      <c r="AP170" s="175"/>
      <c r="AQ170" s="175"/>
      <c r="AR170" s="175"/>
      <c r="AS170" s="175"/>
      <c r="AT170" s="175"/>
      <c r="AU170" s="175"/>
      <c r="AV170" s="175"/>
      <c r="AW170" s="175"/>
      <c r="AX170" s="175"/>
      <c r="AY170" s="175"/>
      <c r="AZ170" s="175"/>
      <c r="BA170" s="175"/>
      <c r="BB170" s="175"/>
      <c r="BC170" s="175"/>
      <c r="BD170" s="175"/>
      <c r="BE170" s="175"/>
      <c r="BF170" s="175"/>
      <c r="BG170" s="175"/>
      <c r="BH170" s="175"/>
      <c r="BI170" s="175"/>
      <c r="BJ170" s="175"/>
      <c r="BK170" s="175"/>
      <c r="BL170" s="175"/>
      <c r="BM170" s="175"/>
      <c r="BN170" s="175"/>
      <c r="BO170" s="175"/>
      <c r="BP170" s="175"/>
      <c r="BQ170" s="175"/>
      <c r="BR170" s="175"/>
      <c r="BS170" s="175"/>
      <c r="BT170" s="175"/>
      <c r="BU170" s="175"/>
      <c r="BV170" s="175"/>
      <c r="BW170" s="175"/>
      <c r="BX170" s="175"/>
      <c r="BY170" s="175"/>
      <c r="BZ170" s="175"/>
      <c r="CA170" s="175"/>
      <c r="CB170" s="175"/>
      <c r="CC170" s="175"/>
      <c r="CD170" s="175"/>
      <c r="CE170" s="175"/>
      <c r="CF170" s="175"/>
      <c r="CG170" s="175"/>
      <c r="CH170" s="175"/>
      <c r="CI170" s="175"/>
      <c r="CJ170" s="175"/>
      <c r="CK170" s="175"/>
      <c r="CL170" s="175"/>
      <c r="CM170" s="175"/>
      <c r="CN170" s="175"/>
      <c r="CO170" s="175"/>
      <c r="CP170" s="175"/>
      <c r="CQ170" s="175"/>
      <c r="CR170" s="175"/>
      <c r="CS170" s="175"/>
      <c r="CT170" s="175"/>
      <c r="CU170" s="175"/>
      <c r="CV170" s="175"/>
      <c r="CW170" s="175"/>
      <c r="CX170" s="175"/>
      <c r="CY170" s="175"/>
      <c r="CZ170" s="175"/>
      <c r="DA170" s="175"/>
      <c r="DB170" s="175"/>
      <c r="DC170" s="175"/>
      <c r="DD170" s="175"/>
      <c r="DE170" s="175"/>
      <c r="DF170" s="175"/>
      <c r="DG170" s="175"/>
      <c r="DH170" s="175"/>
      <c r="DI170" s="175"/>
      <c r="DJ170" s="175"/>
      <c r="DK170" s="175"/>
      <c r="DL170" s="175"/>
      <c r="DM170" s="175"/>
      <c r="DN170" s="175"/>
      <c r="DO170" s="175"/>
      <c r="DP170" s="175"/>
      <c r="DQ170" s="175"/>
      <c r="DR170" s="175"/>
      <c r="DS170" s="175"/>
      <c r="DT170" s="175"/>
      <c r="DU170" s="175"/>
      <c r="DV170" s="175"/>
      <c r="DW170" s="175"/>
      <c r="DX170" s="175"/>
      <c r="DY170" s="175"/>
      <c r="DZ170" s="175"/>
      <c r="EA170" s="175"/>
      <c r="EB170" s="175"/>
      <c r="EC170" s="175"/>
      <c r="ED170" s="175"/>
      <c r="EE170" s="175"/>
      <c r="EF170" s="175"/>
      <c r="EG170" s="175"/>
      <c r="EH170" s="175"/>
      <c r="EI170" s="175"/>
      <c r="EJ170" s="175"/>
      <c r="EK170" s="175"/>
      <c r="EL170" s="175"/>
      <c r="EM170" s="175"/>
      <c r="EN170" s="175"/>
      <c r="EO170" s="175"/>
      <c r="EP170" s="175"/>
      <c r="EQ170" s="175"/>
      <c r="ER170" s="175"/>
      <c r="ES170" s="175"/>
      <c r="ET170" s="175"/>
      <c r="EU170" s="175"/>
      <c r="EV170" s="175"/>
      <c r="EW170" s="175"/>
      <c r="EX170" s="175"/>
      <c r="EY170" s="175"/>
      <c r="EZ170" s="175"/>
      <c r="FA170" s="175"/>
      <c r="FB170" s="175"/>
      <c r="FC170" s="175"/>
      <c r="FD170" s="175"/>
      <c r="FE170" s="175"/>
      <c r="FF170" s="175"/>
      <c r="FG170" s="175"/>
      <c r="FH170" s="175"/>
      <c r="FI170" s="175"/>
      <c r="FJ170" s="175"/>
      <c r="FK170" s="175"/>
      <c r="FL170" s="175"/>
      <c r="FM170" s="175"/>
      <c r="FN170" s="175"/>
      <c r="FO170" s="175"/>
      <c r="FP170" s="175"/>
      <c r="FQ170" s="175"/>
      <c r="FR170" s="175"/>
      <c r="FS170" s="175"/>
      <c r="FT170" s="17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175"/>
      <c r="HL170" s="175"/>
      <c r="HM170" s="175"/>
      <c r="HN170" s="175"/>
      <c r="HO170" s="175"/>
      <c r="HP170" s="175"/>
      <c r="HQ170" s="175"/>
      <c r="HR170" s="175"/>
      <c r="HS170" s="175"/>
      <c r="HT170" s="175"/>
      <c r="HU170" s="175"/>
      <c r="HV170" s="175"/>
      <c r="HW170" s="175"/>
      <c r="HX170" s="175"/>
      <c r="HY170" s="175"/>
      <c r="HZ170" s="175"/>
      <c r="IA170" s="175"/>
      <c r="IB170" s="175"/>
      <c r="IC170" s="175"/>
      <c r="ID170" s="175"/>
      <c r="IE170" s="175"/>
      <c r="IF170" s="175"/>
      <c r="IG170" s="175"/>
      <c r="IH170" s="175"/>
      <c r="II170" s="175"/>
      <c r="IJ170" s="175"/>
      <c r="IK170" s="175"/>
      <c r="IL170" s="175"/>
      <c r="IM170" s="175"/>
      <c r="IN170" s="175"/>
      <c r="IO170" s="175"/>
      <c r="IP170" s="175"/>
      <c r="IQ170" s="175"/>
    </row>
    <row r="171" spans="1:251" s="146" customFormat="1" ht="21.75" customHeight="1">
      <c r="A171" s="179">
        <v>164</v>
      </c>
      <c r="B171" s="458" t="s">
        <v>389</v>
      </c>
      <c r="C171" s="459" t="s">
        <v>401</v>
      </c>
      <c r="D171" s="460">
        <v>36</v>
      </c>
      <c r="E171" s="460"/>
      <c r="F171" s="459" t="s">
        <v>402</v>
      </c>
      <c r="G171" s="460" t="s">
        <v>182</v>
      </c>
      <c r="H171" s="407" t="s">
        <v>294</v>
      </c>
      <c r="I171" s="180">
        <f t="shared" si="8"/>
        <v>97500</v>
      </c>
      <c r="J171" s="408" t="s">
        <v>434</v>
      </c>
      <c r="K171" s="183">
        <f t="shared" si="9"/>
        <v>75000</v>
      </c>
      <c r="L171" s="408" t="s">
        <v>56</v>
      </c>
      <c r="M171" s="181">
        <f t="shared" si="10"/>
        <v>0</v>
      </c>
      <c r="N171" s="181">
        <f t="shared" si="11"/>
        <v>172500</v>
      </c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  <c r="AK171" s="175"/>
      <c r="AL171" s="175"/>
      <c r="AM171" s="175"/>
      <c r="AN171" s="175"/>
      <c r="AO171" s="175"/>
      <c r="AP171" s="175"/>
      <c r="AQ171" s="175"/>
      <c r="AR171" s="175"/>
      <c r="AS171" s="175"/>
      <c r="AT171" s="175"/>
      <c r="AU171" s="175"/>
      <c r="AV171" s="175"/>
      <c r="AW171" s="175"/>
      <c r="AX171" s="175"/>
      <c r="AY171" s="175"/>
      <c r="AZ171" s="175"/>
      <c r="BA171" s="175"/>
      <c r="BB171" s="175"/>
      <c r="BC171" s="175"/>
      <c r="BD171" s="175"/>
      <c r="BE171" s="175"/>
      <c r="BF171" s="175"/>
      <c r="BG171" s="175"/>
      <c r="BH171" s="175"/>
      <c r="BI171" s="175"/>
      <c r="BJ171" s="175"/>
      <c r="BK171" s="175"/>
      <c r="BL171" s="175"/>
      <c r="BM171" s="175"/>
      <c r="BN171" s="175"/>
      <c r="BO171" s="175"/>
      <c r="BP171" s="175"/>
      <c r="BQ171" s="175"/>
      <c r="BR171" s="175"/>
      <c r="BS171" s="175"/>
      <c r="BT171" s="175"/>
      <c r="BU171" s="175"/>
      <c r="BV171" s="175"/>
      <c r="BW171" s="175"/>
      <c r="BX171" s="175"/>
      <c r="BY171" s="175"/>
      <c r="BZ171" s="175"/>
      <c r="CA171" s="175"/>
      <c r="CB171" s="175"/>
      <c r="CC171" s="175"/>
      <c r="CD171" s="175"/>
      <c r="CE171" s="175"/>
      <c r="CF171" s="175"/>
      <c r="CG171" s="175"/>
      <c r="CH171" s="175"/>
      <c r="CI171" s="175"/>
      <c r="CJ171" s="175"/>
      <c r="CK171" s="175"/>
      <c r="CL171" s="175"/>
      <c r="CM171" s="175"/>
      <c r="CN171" s="175"/>
      <c r="CO171" s="175"/>
      <c r="CP171" s="175"/>
      <c r="CQ171" s="175"/>
      <c r="CR171" s="175"/>
      <c r="CS171" s="175"/>
      <c r="CT171" s="175"/>
      <c r="CU171" s="175"/>
      <c r="CV171" s="175"/>
      <c r="CW171" s="175"/>
      <c r="CX171" s="175"/>
      <c r="CY171" s="175"/>
      <c r="CZ171" s="175"/>
      <c r="DA171" s="175"/>
      <c r="DB171" s="175"/>
      <c r="DC171" s="175"/>
      <c r="DD171" s="175"/>
      <c r="DE171" s="175"/>
      <c r="DF171" s="175"/>
      <c r="DG171" s="175"/>
      <c r="DH171" s="175"/>
      <c r="DI171" s="175"/>
      <c r="DJ171" s="175"/>
      <c r="DK171" s="175"/>
      <c r="DL171" s="175"/>
      <c r="DM171" s="175"/>
      <c r="DN171" s="175"/>
      <c r="DO171" s="175"/>
      <c r="DP171" s="175"/>
      <c r="DQ171" s="175"/>
      <c r="DR171" s="175"/>
      <c r="DS171" s="175"/>
      <c r="DT171" s="175"/>
      <c r="DU171" s="175"/>
      <c r="DV171" s="175"/>
      <c r="DW171" s="175"/>
      <c r="DX171" s="175"/>
      <c r="DY171" s="175"/>
      <c r="DZ171" s="175"/>
      <c r="EA171" s="175"/>
      <c r="EB171" s="175"/>
      <c r="EC171" s="175"/>
      <c r="ED171" s="175"/>
      <c r="EE171" s="175"/>
      <c r="EF171" s="175"/>
      <c r="EG171" s="175"/>
      <c r="EH171" s="175"/>
      <c r="EI171" s="175"/>
      <c r="EJ171" s="175"/>
      <c r="EK171" s="175"/>
      <c r="EL171" s="175"/>
      <c r="EM171" s="175"/>
      <c r="EN171" s="175"/>
      <c r="EO171" s="175"/>
      <c r="EP171" s="175"/>
      <c r="EQ171" s="175"/>
      <c r="ER171" s="175"/>
      <c r="ES171" s="175"/>
      <c r="ET171" s="175"/>
      <c r="EU171" s="175"/>
      <c r="EV171" s="175"/>
      <c r="EW171" s="175"/>
      <c r="EX171" s="175"/>
      <c r="EY171" s="175"/>
      <c r="EZ171" s="175"/>
      <c r="FA171" s="175"/>
      <c r="FB171" s="175"/>
      <c r="FC171" s="175"/>
      <c r="FD171" s="175"/>
      <c r="FE171" s="175"/>
      <c r="FF171" s="175"/>
      <c r="FG171" s="175"/>
      <c r="FH171" s="175"/>
      <c r="FI171" s="175"/>
      <c r="FJ171" s="175"/>
      <c r="FK171" s="175"/>
      <c r="FL171" s="175"/>
      <c r="FM171" s="175"/>
      <c r="FN171" s="175"/>
      <c r="FO171" s="175"/>
      <c r="FP171" s="175"/>
      <c r="FQ171" s="175"/>
      <c r="FR171" s="175"/>
      <c r="FS171" s="175"/>
      <c r="FT171" s="175"/>
      <c r="FU171" s="175"/>
      <c r="FV171" s="175"/>
      <c r="FW171" s="175"/>
      <c r="FX171" s="175"/>
      <c r="FY171" s="175"/>
      <c r="FZ171" s="175"/>
      <c r="GA171" s="175"/>
      <c r="GB171" s="175"/>
      <c r="GC171" s="175"/>
      <c r="GD171" s="175"/>
      <c r="GE171" s="175"/>
      <c r="GF171" s="175"/>
      <c r="GG171" s="175"/>
      <c r="GH171" s="175"/>
      <c r="GI171" s="175"/>
      <c r="GJ171" s="175"/>
      <c r="GK171" s="175"/>
      <c r="GL171" s="175"/>
      <c r="GM171" s="175"/>
      <c r="GN171" s="175"/>
      <c r="GO171" s="175"/>
      <c r="GP171" s="175"/>
      <c r="GQ171" s="175"/>
      <c r="GR171" s="175"/>
      <c r="GS171" s="175"/>
      <c r="GT171" s="175"/>
      <c r="GU171" s="175"/>
      <c r="GV171" s="175"/>
      <c r="GW171" s="175"/>
      <c r="GX171" s="175"/>
      <c r="GY171" s="175"/>
      <c r="GZ171" s="175"/>
      <c r="HA171" s="175"/>
      <c r="HB171" s="175"/>
      <c r="HC171" s="175"/>
      <c r="HD171" s="175"/>
      <c r="HE171" s="175"/>
      <c r="HF171" s="175"/>
      <c r="HG171" s="175"/>
      <c r="HH171" s="175"/>
      <c r="HI171" s="175"/>
      <c r="HJ171" s="175"/>
      <c r="HK171" s="175"/>
      <c r="HL171" s="175"/>
      <c r="HM171" s="175"/>
      <c r="HN171" s="175"/>
      <c r="HO171" s="175"/>
      <c r="HP171" s="175"/>
      <c r="HQ171" s="175"/>
      <c r="HR171" s="175"/>
      <c r="HS171" s="175"/>
      <c r="HT171" s="175"/>
      <c r="HU171" s="175"/>
      <c r="HV171" s="175"/>
      <c r="HW171" s="175"/>
      <c r="HX171" s="175"/>
      <c r="HY171" s="175"/>
      <c r="HZ171" s="175"/>
      <c r="IA171" s="175"/>
      <c r="IB171" s="175"/>
      <c r="IC171" s="175"/>
      <c r="ID171" s="175"/>
      <c r="IE171" s="175"/>
      <c r="IF171" s="175"/>
      <c r="IG171" s="175"/>
      <c r="IH171" s="175"/>
      <c r="II171" s="175"/>
      <c r="IJ171" s="175"/>
      <c r="IK171" s="175"/>
      <c r="IL171" s="175"/>
      <c r="IM171" s="175"/>
      <c r="IN171" s="175"/>
      <c r="IO171" s="175"/>
      <c r="IP171" s="175"/>
      <c r="IQ171" s="175"/>
    </row>
    <row r="172" spans="1:251" s="146" customFormat="1" ht="21.75" customHeight="1">
      <c r="A172" s="179">
        <v>165</v>
      </c>
      <c r="B172" s="458" t="s">
        <v>410</v>
      </c>
      <c r="C172" s="459" t="s">
        <v>413</v>
      </c>
      <c r="D172" s="460"/>
      <c r="E172" s="460">
        <v>56</v>
      </c>
      <c r="F172" s="459" t="s">
        <v>414</v>
      </c>
      <c r="G172" s="460" t="s">
        <v>182</v>
      </c>
      <c r="H172" s="407" t="s">
        <v>134</v>
      </c>
      <c r="I172" s="180">
        <f t="shared" si="8"/>
        <v>97500</v>
      </c>
      <c r="J172" s="408" t="s">
        <v>434</v>
      </c>
      <c r="K172" s="183">
        <f t="shared" si="9"/>
        <v>75000</v>
      </c>
      <c r="L172" s="408" t="s">
        <v>56</v>
      </c>
      <c r="M172" s="181">
        <f t="shared" si="10"/>
        <v>0</v>
      </c>
      <c r="N172" s="181">
        <f t="shared" si="11"/>
        <v>172500</v>
      </c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  <c r="AQ172" s="175"/>
      <c r="AR172" s="175"/>
      <c r="AS172" s="175"/>
      <c r="AT172" s="175"/>
      <c r="AU172" s="175"/>
      <c r="AV172" s="175"/>
      <c r="AW172" s="175"/>
      <c r="AX172" s="175"/>
      <c r="AY172" s="175"/>
      <c r="AZ172" s="175"/>
      <c r="BA172" s="175"/>
      <c r="BB172" s="175"/>
      <c r="BC172" s="175"/>
      <c r="BD172" s="175"/>
      <c r="BE172" s="175"/>
      <c r="BF172" s="175"/>
      <c r="BG172" s="175"/>
      <c r="BH172" s="175"/>
      <c r="BI172" s="175"/>
      <c r="BJ172" s="175"/>
      <c r="BK172" s="175"/>
      <c r="BL172" s="175"/>
      <c r="BM172" s="175"/>
      <c r="BN172" s="175"/>
      <c r="BO172" s="175"/>
      <c r="BP172" s="175"/>
      <c r="BQ172" s="175"/>
      <c r="BR172" s="175"/>
      <c r="BS172" s="175"/>
      <c r="BT172" s="175"/>
      <c r="BU172" s="175"/>
      <c r="BV172" s="175"/>
      <c r="BW172" s="175"/>
      <c r="BX172" s="175"/>
      <c r="BY172" s="175"/>
      <c r="BZ172" s="175"/>
      <c r="CA172" s="175"/>
      <c r="CB172" s="175"/>
      <c r="CC172" s="175"/>
      <c r="CD172" s="175"/>
      <c r="CE172" s="175"/>
      <c r="CF172" s="175"/>
      <c r="CG172" s="175"/>
      <c r="CH172" s="175"/>
      <c r="CI172" s="175"/>
      <c r="CJ172" s="175"/>
      <c r="CK172" s="175"/>
      <c r="CL172" s="175"/>
      <c r="CM172" s="175"/>
      <c r="CN172" s="175"/>
      <c r="CO172" s="175"/>
      <c r="CP172" s="175"/>
      <c r="CQ172" s="175"/>
      <c r="CR172" s="175"/>
      <c r="CS172" s="175"/>
      <c r="CT172" s="175"/>
      <c r="CU172" s="175"/>
      <c r="CV172" s="175"/>
      <c r="CW172" s="175"/>
      <c r="CX172" s="175"/>
      <c r="CY172" s="175"/>
      <c r="CZ172" s="175"/>
      <c r="DA172" s="175"/>
      <c r="DB172" s="175"/>
      <c r="DC172" s="175"/>
      <c r="DD172" s="175"/>
      <c r="DE172" s="175"/>
      <c r="DF172" s="175"/>
      <c r="DG172" s="175"/>
      <c r="DH172" s="175"/>
      <c r="DI172" s="175"/>
      <c r="DJ172" s="175"/>
      <c r="DK172" s="175"/>
      <c r="DL172" s="175"/>
      <c r="DM172" s="175"/>
      <c r="DN172" s="175"/>
      <c r="DO172" s="175"/>
      <c r="DP172" s="175"/>
      <c r="DQ172" s="175"/>
      <c r="DR172" s="175"/>
      <c r="DS172" s="175"/>
      <c r="DT172" s="175"/>
      <c r="DU172" s="175"/>
      <c r="DV172" s="175"/>
      <c r="DW172" s="175"/>
      <c r="DX172" s="175"/>
      <c r="DY172" s="175"/>
      <c r="DZ172" s="175"/>
      <c r="EA172" s="175"/>
      <c r="EB172" s="175"/>
      <c r="EC172" s="175"/>
      <c r="ED172" s="175"/>
      <c r="EE172" s="175"/>
      <c r="EF172" s="175"/>
      <c r="EG172" s="175"/>
      <c r="EH172" s="175"/>
      <c r="EI172" s="175"/>
      <c r="EJ172" s="175"/>
      <c r="EK172" s="175"/>
      <c r="EL172" s="175"/>
      <c r="EM172" s="175"/>
      <c r="EN172" s="175"/>
      <c r="EO172" s="175"/>
      <c r="EP172" s="175"/>
      <c r="EQ172" s="175"/>
      <c r="ER172" s="175"/>
      <c r="ES172" s="175"/>
      <c r="ET172" s="175"/>
      <c r="EU172" s="175"/>
      <c r="EV172" s="175"/>
      <c r="EW172" s="175"/>
      <c r="EX172" s="175"/>
      <c r="EY172" s="175"/>
      <c r="EZ172" s="175"/>
      <c r="FA172" s="175"/>
      <c r="FB172" s="175"/>
      <c r="FC172" s="175"/>
      <c r="FD172" s="175"/>
      <c r="FE172" s="175"/>
      <c r="FF172" s="175"/>
      <c r="FG172" s="175"/>
      <c r="FH172" s="175"/>
      <c r="FI172" s="175"/>
      <c r="FJ172" s="175"/>
      <c r="FK172" s="175"/>
      <c r="FL172" s="175"/>
      <c r="FM172" s="175"/>
      <c r="FN172" s="175"/>
      <c r="FO172" s="175"/>
      <c r="FP172" s="175"/>
      <c r="FQ172" s="175"/>
      <c r="FR172" s="175"/>
      <c r="FS172" s="175"/>
      <c r="FT172" s="175"/>
      <c r="FU172" s="175"/>
      <c r="FV172" s="175"/>
      <c r="FW172" s="175"/>
      <c r="FX172" s="175"/>
      <c r="FY172" s="175"/>
      <c r="FZ172" s="175"/>
      <c r="GA172" s="175"/>
      <c r="GB172" s="175"/>
      <c r="GC172" s="175"/>
      <c r="GD172" s="175"/>
      <c r="GE172" s="175"/>
      <c r="GF172" s="175"/>
      <c r="GG172" s="175"/>
      <c r="GH172" s="175"/>
      <c r="GI172" s="175"/>
      <c r="GJ172" s="175"/>
      <c r="GK172" s="175"/>
      <c r="GL172" s="175"/>
      <c r="GM172" s="175"/>
      <c r="GN172" s="175"/>
      <c r="GO172" s="175"/>
      <c r="GP172" s="175"/>
      <c r="GQ172" s="175"/>
      <c r="GR172" s="175"/>
      <c r="GS172" s="175"/>
      <c r="GT172" s="175"/>
      <c r="GU172" s="175"/>
      <c r="GV172" s="175"/>
      <c r="GW172" s="175"/>
      <c r="GX172" s="175"/>
      <c r="GY172" s="175"/>
      <c r="GZ172" s="175"/>
      <c r="HA172" s="175"/>
      <c r="HB172" s="175"/>
      <c r="HC172" s="175"/>
      <c r="HD172" s="175"/>
      <c r="HE172" s="175"/>
      <c r="HF172" s="175"/>
      <c r="HG172" s="175"/>
      <c r="HH172" s="175"/>
      <c r="HI172" s="175"/>
      <c r="HJ172" s="175"/>
      <c r="HK172" s="175"/>
      <c r="HL172" s="175"/>
      <c r="HM172" s="175"/>
      <c r="HN172" s="175"/>
      <c r="HO172" s="175"/>
      <c r="HP172" s="175"/>
      <c r="HQ172" s="175"/>
      <c r="HR172" s="175"/>
      <c r="HS172" s="175"/>
      <c r="HT172" s="175"/>
      <c r="HU172" s="175"/>
      <c r="HV172" s="175"/>
      <c r="HW172" s="175"/>
      <c r="HX172" s="175"/>
      <c r="HY172" s="175"/>
      <c r="HZ172" s="175"/>
      <c r="IA172" s="175"/>
      <c r="IB172" s="175"/>
      <c r="IC172" s="175"/>
      <c r="ID172" s="175"/>
      <c r="IE172" s="175"/>
      <c r="IF172" s="175"/>
      <c r="IG172" s="175"/>
      <c r="IH172" s="175"/>
      <c r="II172" s="175"/>
      <c r="IJ172" s="175"/>
      <c r="IK172" s="175"/>
      <c r="IL172" s="175"/>
      <c r="IM172" s="175"/>
      <c r="IN172" s="175"/>
      <c r="IO172" s="175"/>
      <c r="IP172" s="175"/>
      <c r="IQ172" s="175"/>
    </row>
    <row r="173" spans="1:251" s="146" customFormat="1" ht="21.75" customHeight="1">
      <c r="A173" s="179">
        <v>166</v>
      </c>
      <c r="B173" s="458" t="s">
        <v>415</v>
      </c>
      <c r="C173" s="459" t="s">
        <v>468</v>
      </c>
      <c r="D173" s="460">
        <v>18</v>
      </c>
      <c r="E173" s="460"/>
      <c r="F173" s="459" t="s">
        <v>249</v>
      </c>
      <c r="G173" s="460" t="s">
        <v>461</v>
      </c>
      <c r="H173" s="407" t="s">
        <v>190</v>
      </c>
      <c r="I173" s="180">
        <f t="shared" si="8"/>
        <v>97500</v>
      </c>
      <c r="J173" s="408" t="s">
        <v>436</v>
      </c>
      <c r="K173" s="183">
        <f t="shared" si="9"/>
        <v>75000</v>
      </c>
      <c r="L173" s="408" t="s">
        <v>56</v>
      </c>
      <c r="M173" s="181">
        <f t="shared" si="10"/>
        <v>0</v>
      </c>
      <c r="N173" s="181">
        <f t="shared" si="11"/>
        <v>172500</v>
      </c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  <c r="AQ173" s="175"/>
      <c r="AR173" s="175"/>
      <c r="AS173" s="175"/>
      <c r="AT173" s="175"/>
      <c r="AU173" s="175"/>
      <c r="AV173" s="175"/>
      <c r="AW173" s="175"/>
      <c r="AX173" s="175"/>
      <c r="AY173" s="175"/>
      <c r="AZ173" s="175"/>
      <c r="BA173" s="175"/>
      <c r="BB173" s="175"/>
      <c r="BC173" s="175"/>
      <c r="BD173" s="175"/>
      <c r="BE173" s="175"/>
      <c r="BF173" s="175"/>
      <c r="BG173" s="175"/>
      <c r="BH173" s="175"/>
      <c r="BI173" s="175"/>
      <c r="BJ173" s="175"/>
      <c r="BK173" s="175"/>
      <c r="BL173" s="175"/>
      <c r="BM173" s="175"/>
      <c r="BN173" s="175"/>
      <c r="BO173" s="175"/>
      <c r="BP173" s="175"/>
      <c r="BQ173" s="175"/>
      <c r="BR173" s="175"/>
      <c r="BS173" s="175"/>
      <c r="BT173" s="175"/>
      <c r="BU173" s="175"/>
      <c r="BV173" s="175"/>
      <c r="BW173" s="175"/>
      <c r="BX173" s="175"/>
      <c r="BY173" s="175"/>
      <c r="BZ173" s="175"/>
      <c r="CA173" s="175"/>
      <c r="CB173" s="175"/>
      <c r="CC173" s="175"/>
      <c r="CD173" s="175"/>
      <c r="CE173" s="175"/>
      <c r="CF173" s="175"/>
      <c r="CG173" s="175"/>
      <c r="CH173" s="175"/>
      <c r="CI173" s="175"/>
      <c r="CJ173" s="175"/>
      <c r="CK173" s="175"/>
      <c r="CL173" s="175"/>
      <c r="CM173" s="175"/>
      <c r="CN173" s="175"/>
      <c r="CO173" s="175"/>
      <c r="CP173" s="175"/>
      <c r="CQ173" s="175"/>
      <c r="CR173" s="175"/>
      <c r="CS173" s="175"/>
      <c r="CT173" s="175"/>
      <c r="CU173" s="175"/>
      <c r="CV173" s="175"/>
      <c r="CW173" s="175"/>
      <c r="CX173" s="175"/>
      <c r="CY173" s="175"/>
      <c r="CZ173" s="175"/>
      <c r="DA173" s="175"/>
      <c r="DB173" s="175"/>
      <c r="DC173" s="175"/>
      <c r="DD173" s="175"/>
      <c r="DE173" s="175"/>
      <c r="DF173" s="175"/>
      <c r="DG173" s="175"/>
      <c r="DH173" s="175"/>
      <c r="DI173" s="175"/>
      <c r="DJ173" s="175"/>
      <c r="DK173" s="175"/>
      <c r="DL173" s="175"/>
      <c r="DM173" s="175"/>
      <c r="DN173" s="175"/>
      <c r="DO173" s="175"/>
      <c r="DP173" s="175"/>
      <c r="DQ173" s="175"/>
      <c r="DR173" s="175"/>
      <c r="DS173" s="175"/>
      <c r="DT173" s="175"/>
      <c r="DU173" s="175"/>
      <c r="DV173" s="175"/>
      <c r="DW173" s="175"/>
      <c r="DX173" s="175"/>
      <c r="DY173" s="175"/>
      <c r="DZ173" s="175"/>
      <c r="EA173" s="175"/>
      <c r="EB173" s="175"/>
      <c r="EC173" s="175"/>
      <c r="ED173" s="175"/>
      <c r="EE173" s="175"/>
      <c r="EF173" s="175"/>
      <c r="EG173" s="175"/>
      <c r="EH173" s="175"/>
      <c r="EI173" s="175"/>
      <c r="EJ173" s="175"/>
      <c r="EK173" s="175"/>
      <c r="EL173" s="175"/>
      <c r="EM173" s="175"/>
      <c r="EN173" s="175"/>
      <c r="EO173" s="175"/>
      <c r="EP173" s="175"/>
      <c r="EQ173" s="175"/>
      <c r="ER173" s="175"/>
      <c r="ES173" s="175"/>
      <c r="ET173" s="175"/>
      <c r="EU173" s="175"/>
      <c r="EV173" s="175"/>
      <c r="EW173" s="175"/>
      <c r="EX173" s="175"/>
      <c r="EY173" s="175"/>
      <c r="EZ173" s="175"/>
      <c r="FA173" s="175"/>
      <c r="FB173" s="175"/>
      <c r="FC173" s="175"/>
      <c r="FD173" s="175"/>
      <c r="FE173" s="175"/>
      <c r="FF173" s="175"/>
      <c r="FG173" s="175"/>
      <c r="FH173" s="175"/>
      <c r="FI173" s="175"/>
      <c r="FJ173" s="175"/>
      <c r="FK173" s="175"/>
      <c r="FL173" s="175"/>
      <c r="FM173" s="175"/>
      <c r="FN173" s="175"/>
      <c r="FO173" s="175"/>
      <c r="FP173" s="175"/>
      <c r="FQ173" s="175"/>
      <c r="FR173" s="175"/>
      <c r="FS173" s="175"/>
      <c r="FT173" s="175"/>
      <c r="FU173" s="175"/>
      <c r="FV173" s="175"/>
      <c r="FW173" s="175"/>
      <c r="FX173" s="175"/>
      <c r="FY173" s="175"/>
      <c r="FZ173" s="175"/>
      <c r="GA173" s="175"/>
      <c r="GB173" s="175"/>
      <c r="GC173" s="175"/>
      <c r="GD173" s="175"/>
      <c r="GE173" s="175"/>
      <c r="GF173" s="175"/>
      <c r="GG173" s="175"/>
      <c r="GH173" s="175"/>
      <c r="GI173" s="175"/>
      <c r="GJ173" s="175"/>
      <c r="GK173" s="175"/>
      <c r="GL173" s="175"/>
      <c r="GM173" s="175"/>
      <c r="GN173" s="175"/>
      <c r="GO173" s="175"/>
      <c r="GP173" s="175"/>
      <c r="GQ173" s="175"/>
      <c r="GR173" s="175"/>
      <c r="GS173" s="175"/>
      <c r="GT173" s="175"/>
      <c r="GU173" s="175"/>
      <c r="GV173" s="175"/>
      <c r="GW173" s="175"/>
      <c r="GX173" s="175"/>
      <c r="GY173" s="175"/>
      <c r="GZ173" s="175"/>
      <c r="HA173" s="175"/>
      <c r="HB173" s="175"/>
      <c r="HC173" s="175"/>
      <c r="HD173" s="175"/>
      <c r="HE173" s="175"/>
      <c r="HF173" s="175"/>
      <c r="HG173" s="175"/>
      <c r="HH173" s="175"/>
      <c r="HI173" s="175"/>
      <c r="HJ173" s="175"/>
      <c r="HK173" s="175"/>
      <c r="HL173" s="175"/>
      <c r="HM173" s="175"/>
      <c r="HN173" s="175"/>
      <c r="HO173" s="175"/>
      <c r="HP173" s="175"/>
      <c r="HQ173" s="175"/>
      <c r="HR173" s="175"/>
      <c r="HS173" s="175"/>
      <c r="HT173" s="175"/>
      <c r="HU173" s="175"/>
      <c r="HV173" s="175"/>
      <c r="HW173" s="175"/>
      <c r="HX173" s="175"/>
      <c r="HY173" s="175"/>
      <c r="HZ173" s="175"/>
      <c r="IA173" s="175"/>
      <c r="IB173" s="175"/>
      <c r="IC173" s="175"/>
      <c r="ID173" s="175"/>
      <c r="IE173" s="175"/>
      <c r="IF173" s="175"/>
      <c r="IG173" s="175"/>
      <c r="IH173" s="175"/>
      <c r="II173" s="175"/>
      <c r="IJ173" s="175"/>
      <c r="IK173" s="175"/>
      <c r="IL173" s="175"/>
      <c r="IM173" s="175"/>
      <c r="IN173" s="175"/>
      <c r="IO173" s="175"/>
      <c r="IP173" s="175"/>
      <c r="IQ173" s="175"/>
    </row>
    <row r="174" spans="1:251" s="146" customFormat="1" ht="21.75" customHeight="1">
      <c r="A174" s="179">
        <v>167</v>
      </c>
      <c r="B174" s="458" t="s">
        <v>419</v>
      </c>
      <c r="C174" s="459" t="s">
        <v>420</v>
      </c>
      <c r="D174" s="460">
        <v>36</v>
      </c>
      <c r="E174" s="460"/>
      <c r="F174" s="459" t="s">
        <v>256</v>
      </c>
      <c r="G174" s="460" t="s">
        <v>182</v>
      </c>
      <c r="H174" s="407" t="s">
        <v>190</v>
      </c>
      <c r="I174" s="180">
        <f t="shared" si="8"/>
        <v>97500</v>
      </c>
      <c r="J174" s="408" t="s">
        <v>435</v>
      </c>
      <c r="K174" s="183">
        <f t="shared" si="9"/>
        <v>75000</v>
      </c>
      <c r="L174" s="408" t="s">
        <v>56</v>
      </c>
      <c r="M174" s="181">
        <f t="shared" si="10"/>
        <v>0</v>
      </c>
      <c r="N174" s="181">
        <f t="shared" si="11"/>
        <v>172500</v>
      </c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  <c r="AQ174" s="175"/>
      <c r="AR174" s="175"/>
      <c r="AS174" s="175"/>
      <c r="AT174" s="175"/>
      <c r="AU174" s="175"/>
      <c r="AV174" s="175"/>
      <c r="AW174" s="175"/>
      <c r="AX174" s="175"/>
      <c r="AY174" s="175"/>
      <c r="AZ174" s="175"/>
      <c r="BA174" s="175"/>
      <c r="BB174" s="175"/>
      <c r="BC174" s="175"/>
      <c r="BD174" s="175"/>
      <c r="BE174" s="175"/>
      <c r="BF174" s="175"/>
      <c r="BG174" s="175"/>
      <c r="BH174" s="175"/>
      <c r="BI174" s="175"/>
      <c r="BJ174" s="175"/>
      <c r="BK174" s="175"/>
      <c r="BL174" s="175"/>
      <c r="BM174" s="175"/>
      <c r="BN174" s="175"/>
      <c r="BO174" s="175"/>
      <c r="BP174" s="175"/>
      <c r="BQ174" s="175"/>
      <c r="BR174" s="175"/>
      <c r="BS174" s="175"/>
      <c r="BT174" s="175"/>
      <c r="BU174" s="175"/>
      <c r="BV174" s="175"/>
      <c r="BW174" s="175"/>
      <c r="BX174" s="175"/>
      <c r="BY174" s="175"/>
      <c r="BZ174" s="175"/>
      <c r="CA174" s="175"/>
      <c r="CB174" s="175"/>
      <c r="CC174" s="175"/>
      <c r="CD174" s="175"/>
      <c r="CE174" s="175"/>
      <c r="CF174" s="175"/>
      <c r="CG174" s="175"/>
      <c r="CH174" s="175"/>
      <c r="CI174" s="175"/>
      <c r="CJ174" s="175"/>
      <c r="CK174" s="175"/>
      <c r="CL174" s="175"/>
      <c r="CM174" s="175"/>
      <c r="CN174" s="175"/>
      <c r="CO174" s="175"/>
      <c r="CP174" s="175"/>
      <c r="CQ174" s="175"/>
      <c r="CR174" s="175"/>
      <c r="CS174" s="175"/>
      <c r="CT174" s="175"/>
      <c r="CU174" s="175"/>
      <c r="CV174" s="175"/>
      <c r="CW174" s="175"/>
      <c r="CX174" s="175"/>
      <c r="CY174" s="175"/>
      <c r="CZ174" s="175"/>
      <c r="DA174" s="175"/>
      <c r="DB174" s="175"/>
      <c r="DC174" s="175"/>
      <c r="DD174" s="175"/>
      <c r="DE174" s="175"/>
      <c r="DF174" s="175"/>
      <c r="DG174" s="175"/>
      <c r="DH174" s="175"/>
      <c r="DI174" s="175"/>
      <c r="DJ174" s="175"/>
      <c r="DK174" s="175"/>
      <c r="DL174" s="175"/>
      <c r="DM174" s="175"/>
      <c r="DN174" s="175"/>
      <c r="DO174" s="175"/>
      <c r="DP174" s="175"/>
      <c r="DQ174" s="175"/>
      <c r="DR174" s="175"/>
      <c r="DS174" s="175"/>
      <c r="DT174" s="175"/>
      <c r="DU174" s="175"/>
      <c r="DV174" s="175"/>
      <c r="DW174" s="175"/>
      <c r="DX174" s="175"/>
      <c r="DY174" s="175"/>
      <c r="DZ174" s="175"/>
      <c r="EA174" s="175"/>
      <c r="EB174" s="175"/>
      <c r="EC174" s="175"/>
      <c r="ED174" s="175"/>
      <c r="EE174" s="175"/>
      <c r="EF174" s="175"/>
      <c r="EG174" s="175"/>
      <c r="EH174" s="175"/>
      <c r="EI174" s="175"/>
      <c r="EJ174" s="175"/>
      <c r="EK174" s="175"/>
      <c r="EL174" s="175"/>
      <c r="EM174" s="175"/>
      <c r="EN174" s="175"/>
      <c r="EO174" s="175"/>
      <c r="EP174" s="175"/>
      <c r="EQ174" s="175"/>
      <c r="ER174" s="175"/>
      <c r="ES174" s="175"/>
      <c r="ET174" s="175"/>
      <c r="EU174" s="175"/>
      <c r="EV174" s="175"/>
      <c r="EW174" s="175"/>
      <c r="EX174" s="175"/>
      <c r="EY174" s="175"/>
      <c r="EZ174" s="175"/>
      <c r="FA174" s="175"/>
      <c r="FB174" s="175"/>
      <c r="FC174" s="175"/>
      <c r="FD174" s="175"/>
      <c r="FE174" s="175"/>
      <c r="FF174" s="175"/>
      <c r="FG174" s="175"/>
      <c r="FH174" s="175"/>
      <c r="FI174" s="175"/>
      <c r="FJ174" s="175"/>
      <c r="FK174" s="175"/>
      <c r="FL174" s="175"/>
      <c r="FM174" s="175"/>
      <c r="FN174" s="175"/>
      <c r="FO174" s="175"/>
      <c r="FP174" s="175"/>
      <c r="FQ174" s="175"/>
      <c r="FR174" s="175"/>
      <c r="FS174" s="175"/>
      <c r="FT174" s="175"/>
      <c r="FU174" s="175"/>
      <c r="FV174" s="175"/>
      <c r="FW174" s="175"/>
      <c r="FX174" s="175"/>
      <c r="FY174" s="175"/>
      <c r="FZ174" s="175"/>
      <c r="GA174" s="175"/>
      <c r="GB174" s="175"/>
      <c r="GC174" s="175"/>
      <c r="GD174" s="175"/>
      <c r="GE174" s="175"/>
      <c r="GF174" s="175"/>
      <c r="GG174" s="175"/>
      <c r="GH174" s="175"/>
      <c r="GI174" s="175"/>
      <c r="GJ174" s="175"/>
      <c r="GK174" s="175"/>
      <c r="GL174" s="175"/>
      <c r="GM174" s="175"/>
      <c r="GN174" s="175"/>
      <c r="GO174" s="175"/>
      <c r="GP174" s="175"/>
      <c r="GQ174" s="175"/>
      <c r="GR174" s="175"/>
      <c r="GS174" s="175"/>
      <c r="GT174" s="175"/>
      <c r="GU174" s="175"/>
      <c r="GV174" s="175"/>
      <c r="GW174" s="175"/>
      <c r="GX174" s="175"/>
      <c r="GY174" s="175"/>
      <c r="GZ174" s="175"/>
      <c r="HA174" s="175"/>
      <c r="HB174" s="175"/>
      <c r="HC174" s="175"/>
      <c r="HD174" s="175"/>
      <c r="HE174" s="175"/>
      <c r="HF174" s="175"/>
      <c r="HG174" s="175"/>
      <c r="HH174" s="175"/>
      <c r="HI174" s="175"/>
      <c r="HJ174" s="175"/>
      <c r="HK174" s="175"/>
      <c r="HL174" s="175"/>
      <c r="HM174" s="175"/>
      <c r="HN174" s="175"/>
      <c r="HO174" s="175"/>
      <c r="HP174" s="175"/>
      <c r="HQ174" s="175"/>
      <c r="HR174" s="175"/>
      <c r="HS174" s="175"/>
      <c r="HT174" s="175"/>
      <c r="HU174" s="175"/>
      <c r="HV174" s="175"/>
      <c r="HW174" s="175"/>
      <c r="HX174" s="175"/>
      <c r="HY174" s="175"/>
      <c r="HZ174" s="175"/>
      <c r="IA174" s="175"/>
      <c r="IB174" s="175"/>
      <c r="IC174" s="175"/>
      <c r="ID174" s="175"/>
      <c r="IE174" s="175"/>
      <c r="IF174" s="175"/>
      <c r="IG174" s="175"/>
      <c r="IH174" s="175"/>
      <c r="II174" s="175"/>
      <c r="IJ174" s="175"/>
      <c r="IK174" s="175"/>
      <c r="IL174" s="175"/>
      <c r="IM174" s="175"/>
      <c r="IN174" s="175"/>
      <c r="IO174" s="175"/>
      <c r="IP174" s="175"/>
      <c r="IQ174" s="175"/>
    </row>
    <row r="175" spans="1:251" s="146" customFormat="1" ht="21.75" customHeight="1">
      <c r="A175" s="179">
        <v>168</v>
      </c>
      <c r="B175" s="458" t="s">
        <v>419</v>
      </c>
      <c r="C175" s="459" t="s">
        <v>421</v>
      </c>
      <c r="D175" s="460">
        <v>21</v>
      </c>
      <c r="E175" s="460"/>
      <c r="F175" s="459" t="s">
        <v>422</v>
      </c>
      <c r="G175" s="460" t="s">
        <v>182</v>
      </c>
      <c r="H175" s="407" t="s">
        <v>183</v>
      </c>
      <c r="I175" s="180">
        <f t="shared" si="8"/>
        <v>97500</v>
      </c>
      <c r="J175" s="408" t="s">
        <v>430</v>
      </c>
      <c r="K175" s="183">
        <f t="shared" si="9"/>
        <v>75000</v>
      </c>
      <c r="L175" s="408" t="s">
        <v>56</v>
      </c>
      <c r="M175" s="181">
        <f t="shared" si="10"/>
        <v>0</v>
      </c>
      <c r="N175" s="181">
        <f t="shared" si="11"/>
        <v>172500</v>
      </c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  <c r="AU175" s="175"/>
      <c r="AV175" s="175"/>
      <c r="AW175" s="175"/>
      <c r="AX175" s="175"/>
      <c r="AY175" s="175"/>
      <c r="AZ175" s="175"/>
      <c r="BA175" s="175"/>
      <c r="BB175" s="175"/>
      <c r="BC175" s="175"/>
      <c r="BD175" s="175"/>
      <c r="BE175" s="175"/>
      <c r="BF175" s="175"/>
      <c r="BG175" s="175"/>
      <c r="BH175" s="175"/>
      <c r="BI175" s="175"/>
      <c r="BJ175" s="175"/>
      <c r="BK175" s="175"/>
      <c r="BL175" s="175"/>
      <c r="BM175" s="175"/>
      <c r="BN175" s="175"/>
      <c r="BO175" s="175"/>
      <c r="BP175" s="175"/>
      <c r="BQ175" s="175"/>
      <c r="BR175" s="175"/>
      <c r="BS175" s="175"/>
      <c r="BT175" s="175"/>
      <c r="BU175" s="175"/>
      <c r="BV175" s="175"/>
      <c r="BW175" s="175"/>
      <c r="BX175" s="175"/>
      <c r="BY175" s="175"/>
      <c r="BZ175" s="175"/>
      <c r="CA175" s="175"/>
      <c r="CB175" s="175"/>
      <c r="CC175" s="175"/>
      <c r="CD175" s="175"/>
      <c r="CE175" s="175"/>
      <c r="CF175" s="175"/>
      <c r="CG175" s="175"/>
      <c r="CH175" s="175"/>
      <c r="CI175" s="175"/>
      <c r="CJ175" s="175"/>
      <c r="CK175" s="175"/>
      <c r="CL175" s="175"/>
      <c r="CM175" s="175"/>
      <c r="CN175" s="175"/>
      <c r="CO175" s="175"/>
      <c r="CP175" s="175"/>
      <c r="CQ175" s="175"/>
      <c r="CR175" s="175"/>
      <c r="CS175" s="175"/>
      <c r="CT175" s="175"/>
      <c r="CU175" s="175"/>
      <c r="CV175" s="175"/>
      <c r="CW175" s="175"/>
      <c r="CX175" s="175"/>
      <c r="CY175" s="175"/>
      <c r="CZ175" s="175"/>
      <c r="DA175" s="175"/>
      <c r="DB175" s="175"/>
      <c r="DC175" s="175"/>
      <c r="DD175" s="175"/>
      <c r="DE175" s="175"/>
      <c r="DF175" s="175"/>
      <c r="DG175" s="175"/>
      <c r="DH175" s="175"/>
      <c r="DI175" s="175"/>
      <c r="DJ175" s="175"/>
      <c r="DK175" s="175"/>
      <c r="DL175" s="175"/>
      <c r="DM175" s="175"/>
      <c r="DN175" s="175"/>
      <c r="DO175" s="175"/>
      <c r="DP175" s="175"/>
      <c r="DQ175" s="175"/>
      <c r="DR175" s="175"/>
      <c r="DS175" s="175"/>
      <c r="DT175" s="175"/>
      <c r="DU175" s="175"/>
      <c r="DV175" s="175"/>
      <c r="DW175" s="175"/>
      <c r="DX175" s="175"/>
      <c r="DY175" s="175"/>
      <c r="DZ175" s="175"/>
      <c r="EA175" s="175"/>
      <c r="EB175" s="175"/>
      <c r="EC175" s="175"/>
      <c r="ED175" s="175"/>
      <c r="EE175" s="175"/>
      <c r="EF175" s="175"/>
      <c r="EG175" s="175"/>
      <c r="EH175" s="175"/>
      <c r="EI175" s="175"/>
      <c r="EJ175" s="175"/>
      <c r="EK175" s="175"/>
      <c r="EL175" s="175"/>
      <c r="EM175" s="175"/>
      <c r="EN175" s="175"/>
      <c r="EO175" s="175"/>
      <c r="EP175" s="175"/>
      <c r="EQ175" s="175"/>
      <c r="ER175" s="175"/>
      <c r="ES175" s="175"/>
      <c r="ET175" s="175"/>
      <c r="EU175" s="175"/>
      <c r="EV175" s="175"/>
      <c r="EW175" s="175"/>
      <c r="EX175" s="175"/>
      <c r="EY175" s="175"/>
      <c r="EZ175" s="175"/>
      <c r="FA175" s="175"/>
      <c r="FB175" s="175"/>
      <c r="FC175" s="175"/>
      <c r="FD175" s="175"/>
      <c r="FE175" s="175"/>
      <c r="FF175" s="175"/>
      <c r="FG175" s="175"/>
      <c r="FH175" s="175"/>
      <c r="FI175" s="175"/>
      <c r="FJ175" s="175"/>
      <c r="FK175" s="175"/>
      <c r="FL175" s="175"/>
      <c r="FM175" s="175"/>
      <c r="FN175" s="175"/>
      <c r="FO175" s="175"/>
      <c r="FP175" s="175"/>
      <c r="FQ175" s="175"/>
      <c r="FR175" s="175"/>
      <c r="FS175" s="175"/>
      <c r="FT175" s="175"/>
      <c r="FU175" s="175"/>
      <c r="FV175" s="175"/>
      <c r="FW175" s="175"/>
      <c r="FX175" s="175"/>
      <c r="FY175" s="175"/>
      <c r="FZ175" s="175"/>
      <c r="GA175" s="175"/>
      <c r="GB175" s="175"/>
      <c r="GC175" s="175"/>
      <c r="GD175" s="175"/>
      <c r="GE175" s="175"/>
      <c r="GF175" s="175"/>
      <c r="GG175" s="175"/>
      <c r="GH175" s="175"/>
      <c r="GI175" s="175"/>
      <c r="GJ175" s="175"/>
      <c r="GK175" s="175"/>
      <c r="GL175" s="175"/>
      <c r="GM175" s="175"/>
      <c r="GN175" s="175"/>
      <c r="GO175" s="175"/>
      <c r="GP175" s="175"/>
      <c r="GQ175" s="175"/>
      <c r="GR175" s="175"/>
      <c r="GS175" s="175"/>
      <c r="GT175" s="175"/>
      <c r="GU175" s="175"/>
      <c r="GV175" s="175"/>
      <c r="GW175" s="175"/>
      <c r="GX175" s="175"/>
      <c r="GY175" s="175"/>
      <c r="GZ175" s="175"/>
      <c r="HA175" s="175"/>
      <c r="HB175" s="175"/>
      <c r="HC175" s="175"/>
      <c r="HD175" s="175"/>
      <c r="HE175" s="175"/>
      <c r="HF175" s="175"/>
      <c r="HG175" s="175"/>
      <c r="HH175" s="175"/>
      <c r="HI175" s="175"/>
      <c r="HJ175" s="175"/>
      <c r="HK175" s="175"/>
      <c r="HL175" s="175"/>
      <c r="HM175" s="175"/>
      <c r="HN175" s="175"/>
      <c r="HO175" s="175"/>
      <c r="HP175" s="175"/>
      <c r="HQ175" s="175"/>
      <c r="HR175" s="175"/>
      <c r="HS175" s="175"/>
      <c r="HT175" s="175"/>
      <c r="HU175" s="175"/>
      <c r="HV175" s="175"/>
      <c r="HW175" s="175"/>
      <c r="HX175" s="175"/>
      <c r="HY175" s="175"/>
      <c r="HZ175" s="175"/>
      <c r="IA175" s="175"/>
      <c r="IB175" s="175"/>
      <c r="IC175" s="175"/>
      <c r="ID175" s="175"/>
      <c r="IE175" s="175"/>
      <c r="IF175" s="175"/>
      <c r="IG175" s="175"/>
      <c r="IH175" s="175"/>
      <c r="II175" s="175"/>
      <c r="IJ175" s="175"/>
      <c r="IK175" s="175"/>
      <c r="IL175" s="175"/>
      <c r="IM175" s="175"/>
      <c r="IN175" s="175"/>
      <c r="IO175" s="175"/>
      <c r="IP175" s="175"/>
      <c r="IQ175" s="175"/>
    </row>
    <row r="176" spans="1:251" s="146" customFormat="1" ht="21.75" customHeight="1">
      <c r="A176" s="179">
        <v>169</v>
      </c>
      <c r="B176" s="458" t="s">
        <v>419</v>
      </c>
      <c r="C176" s="459" t="s">
        <v>423</v>
      </c>
      <c r="D176" s="460">
        <v>50</v>
      </c>
      <c r="E176" s="460"/>
      <c r="F176" s="459" t="s">
        <v>256</v>
      </c>
      <c r="G176" s="460" t="s">
        <v>182</v>
      </c>
      <c r="H176" s="407" t="s">
        <v>190</v>
      </c>
      <c r="I176" s="180">
        <f t="shared" si="8"/>
        <v>97500</v>
      </c>
      <c r="J176" s="408" t="s">
        <v>430</v>
      </c>
      <c r="K176" s="183">
        <f t="shared" si="9"/>
        <v>75000</v>
      </c>
      <c r="L176" s="408" t="s">
        <v>56</v>
      </c>
      <c r="M176" s="181">
        <f t="shared" si="10"/>
        <v>0</v>
      </c>
      <c r="N176" s="181">
        <f t="shared" si="11"/>
        <v>172500</v>
      </c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  <c r="AQ176" s="175"/>
      <c r="AR176" s="175"/>
      <c r="AS176" s="175"/>
      <c r="AT176" s="175"/>
      <c r="AU176" s="175"/>
      <c r="AV176" s="175"/>
      <c r="AW176" s="175"/>
      <c r="AX176" s="175"/>
      <c r="AY176" s="175"/>
      <c r="AZ176" s="175"/>
      <c r="BA176" s="175"/>
      <c r="BB176" s="175"/>
      <c r="BC176" s="175"/>
      <c r="BD176" s="175"/>
      <c r="BE176" s="175"/>
      <c r="BF176" s="175"/>
      <c r="BG176" s="175"/>
      <c r="BH176" s="175"/>
      <c r="BI176" s="175"/>
      <c r="BJ176" s="175"/>
      <c r="BK176" s="175"/>
      <c r="BL176" s="175"/>
      <c r="BM176" s="175"/>
      <c r="BN176" s="175"/>
      <c r="BO176" s="175"/>
      <c r="BP176" s="175"/>
      <c r="BQ176" s="175"/>
      <c r="BR176" s="175"/>
      <c r="BS176" s="175"/>
      <c r="BT176" s="175"/>
      <c r="BU176" s="175"/>
      <c r="BV176" s="175"/>
      <c r="BW176" s="175"/>
      <c r="BX176" s="175"/>
      <c r="BY176" s="175"/>
      <c r="BZ176" s="175"/>
      <c r="CA176" s="175"/>
      <c r="CB176" s="175"/>
      <c r="CC176" s="175"/>
      <c r="CD176" s="175"/>
      <c r="CE176" s="175"/>
      <c r="CF176" s="175"/>
      <c r="CG176" s="175"/>
      <c r="CH176" s="175"/>
      <c r="CI176" s="175"/>
      <c r="CJ176" s="175"/>
      <c r="CK176" s="175"/>
      <c r="CL176" s="175"/>
      <c r="CM176" s="175"/>
      <c r="CN176" s="175"/>
      <c r="CO176" s="175"/>
      <c r="CP176" s="175"/>
      <c r="CQ176" s="175"/>
      <c r="CR176" s="175"/>
      <c r="CS176" s="175"/>
      <c r="CT176" s="175"/>
      <c r="CU176" s="175"/>
      <c r="CV176" s="175"/>
      <c r="CW176" s="175"/>
      <c r="CX176" s="175"/>
      <c r="CY176" s="175"/>
      <c r="CZ176" s="175"/>
      <c r="DA176" s="175"/>
      <c r="DB176" s="175"/>
      <c r="DC176" s="175"/>
      <c r="DD176" s="175"/>
      <c r="DE176" s="175"/>
      <c r="DF176" s="175"/>
      <c r="DG176" s="175"/>
      <c r="DH176" s="175"/>
      <c r="DI176" s="175"/>
      <c r="DJ176" s="175"/>
      <c r="DK176" s="175"/>
      <c r="DL176" s="175"/>
      <c r="DM176" s="175"/>
      <c r="DN176" s="175"/>
      <c r="DO176" s="175"/>
      <c r="DP176" s="175"/>
      <c r="DQ176" s="175"/>
      <c r="DR176" s="175"/>
      <c r="DS176" s="175"/>
      <c r="DT176" s="175"/>
      <c r="DU176" s="175"/>
      <c r="DV176" s="175"/>
      <c r="DW176" s="175"/>
      <c r="DX176" s="175"/>
      <c r="DY176" s="175"/>
      <c r="DZ176" s="175"/>
      <c r="EA176" s="175"/>
      <c r="EB176" s="175"/>
      <c r="EC176" s="175"/>
      <c r="ED176" s="175"/>
      <c r="EE176" s="175"/>
      <c r="EF176" s="175"/>
      <c r="EG176" s="175"/>
      <c r="EH176" s="175"/>
      <c r="EI176" s="175"/>
      <c r="EJ176" s="175"/>
      <c r="EK176" s="175"/>
      <c r="EL176" s="175"/>
      <c r="EM176" s="175"/>
      <c r="EN176" s="175"/>
      <c r="EO176" s="175"/>
      <c r="EP176" s="175"/>
      <c r="EQ176" s="175"/>
      <c r="ER176" s="175"/>
      <c r="ES176" s="175"/>
      <c r="ET176" s="175"/>
      <c r="EU176" s="175"/>
      <c r="EV176" s="175"/>
      <c r="EW176" s="175"/>
      <c r="EX176" s="175"/>
      <c r="EY176" s="175"/>
      <c r="EZ176" s="175"/>
      <c r="FA176" s="175"/>
      <c r="FB176" s="175"/>
      <c r="FC176" s="175"/>
      <c r="FD176" s="175"/>
      <c r="FE176" s="175"/>
      <c r="FF176" s="175"/>
      <c r="FG176" s="175"/>
      <c r="FH176" s="175"/>
      <c r="FI176" s="175"/>
      <c r="FJ176" s="175"/>
      <c r="FK176" s="175"/>
      <c r="FL176" s="175"/>
      <c r="FM176" s="175"/>
      <c r="FN176" s="175"/>
      <c r="FO176" s="175"/>
      <c r="FP176" s="175"/>
      <c r="FQ176" s="175"/>
      <c r="FR176" s="175"/>
      <c r="FS176" s="175"/>
      <c r="FT176" s="175"/>
      <c r="FU176" s="175"/>
      <c r="FV176" s="175"/>
      <c r="FW176" s="175"/>
      <c r="FX176" s="175"/>
      <c r="FY176" s="175"/>
      <c r="FZ176" s="175"/>
      <c r="GA176" s="175"/>
      <c r="GB176" s="175"/>
      <c r="GC176" s="175"/>
      <c r="GD176" s="175"/>
      <c r="GE176" s="175"/>
      <c r="GF176" s="175"/>
      <c r="GG176" s="175"/>
      <c r="GH176" s="175"/>
      <c r="GI176" s="175"/>
      <c r="GJ176" s="175"/>
      <c r="GK176" s="175"/>
      <c r="GL176" s="175"/>
      <c r="GM176" s="175"/>
      <c r="GN176" s="175"/>
      <c r="GO176" s="175"/>
      <c r="GP176" s="175"/>
      <c r="GQ176" s="175"/>
      <c r="GR176" s="175"/>
      <c r="GS176" s="175"/>
      <c r="GT176" s="175"/>
      <c r="GU176" s="175"/>
      <c r="GV176" s="175"/>
      <c r="GW176" s="175"/>
      <c r="GX176" s="175"/>
      <c r="GY176" s="175"/>
      <c r="GZ176" s="175"/>
      <c r="HA176" s="175"/>
      <c r="HB176" s="175"/>
      <c r="HC176" s="175"/>
      <c r="HD176" s="175"/>
      <c r="HE176" s="175"/>
      <c r="HF176" s="175"/>
      <c r="HG176" s="175"/>
      <c r="HH176" s="175"/>
      <c r="HI176" s="175"/>
      <c r="HJ176" s="175"/>
      <c r="HK176" s="175"/>
      <c r="HL176" s="175"/>
      <c r="HM176" s="175"/>
      <c r="HN176" s="175"/>
      <c r="HO176" s="175"/>
      <c r="HP176" s="175"/>
      <c r="HQ176" s="175"/>
      <c r="HR176" s="175"/>
      <c r="HS176" s="175"/>
      <c r="HT176" s="175"/>
      <c r="HU176" s="175"/>
      <c r="HV176" s="175"/>
      <c r="HW176" s="175"/>
      <c r="HX176" s="175"/>
      <c r="HY176" s="175"/>
      <c r="HZ176" s="175"/>
      <c r="IA176" s="175"/>
      <c r="IB176" s="175"/>
      <c r="IC176" s="175"/>
      <c r="ID176" s="175"/>
      <c r="IE176" s="175"/>
      <c r="IF176" s="175"/>
      <c r="IG176" s="175"/>
      <c r="IH176" s="175"/>
      <c r="II176" s="175"/>
      <c r="IJ176" s="175"/>
      <c r="IK176" s="175"/>
      <c r="IL176" s="175"/>
      <c r="IM176" s="175"/>
      <c r="IN176" s="175"/>
      <c r="IO176" s="175"/>
      <c r="IP176" s="175"/>
      <c r="IQ176" s="175"/>
    </row>
    <row r="177" spans="1:251" s="146" customFormat="1" ht="21.75" customHeight="1">
      <c r="A177" s="179">
        <v>170</v>
      </c>
      <c r="B177" s="458" t="s">
        <v>419</v>
      </c>
      <c r="C177" s="459" t="s">
        <v>424</v>
      </c>
      <c r="D177" s="460">
        <v>25</v>
      </c>
      <c r="E177" s="460"/>
      <c r="F177" s="459" t="s">
        <v>249</v>
      </c>
      <c r="G177" s="460" t="s">
        <v>182</v>
      </c>
      <c r="H177" s="407" t="s">
        <v>190</v>
      </c>
      <c r="I177" s="180">
        <f t="shared" si="8"/>
        <v>97500</v>
      </c>
      <c r="J177" s="408" t="s">
        <v>436</v>
      </c>
      <c r="K177" s="183">
        <f t="shared" si="9"/>
        <v>75000</v>
      </c>
      <c r="L177" s="408" t="s">
        <v>56</v>
      </c>
      <c r="M177" s="181">
        <f t="shared" si="10"/>
        <v>0</v>
      </c>
      <c r="N177" s="181">
        <f t="shared" si="11"/>
        <v>172500</v>
      </c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  <c r="AN177" s="175"/>
      <c r="AO177" s="175"/>
      <c r="AP177" s="175"/>
      <c r="AQ177" s="175"/>
      <c r="AR177" s="175"/>
      <c r="AS177" s="175"/>
      <c r="AT177" s="175"/>
      <c r="AU177" s="175"/>
      <c r="AV177" s="175"/>
      <c r="AW177" s="175"/>
      <c r="AX177" s="175"/>
      <c r="AY177" s="175"/>
      <c r="AZ177" s="175"/>
      <c r="BA177" s="175"/>
      <c r="BB177" s="175"/>
      <c r="BC177" s="175"/>
      <c r="BD177" s="175"/>
      <c r="BE177" s="175"/>
      <c r="BF177" s="175"/>
      <c r="BG177" s="175"/>
      <c r="BH177" s="175"/>
      <c r="BI177" s="175"/>
      <c r="BJ177" s="175"/>
      <c r="BK177" s="175"/>
      <c r="BL177" s="175"/>
      <c r="BM177" s="175"/>
      <c r="BN177" s="175"/>
      <c r="BO177" s="175"/>
      <c r="BP177" s="175"/>
      <c r="BQ177" s="175"/>
      <c r="BR177" s="175"/>
      <c r="BS177" s="175"/>
      <c r="BT177" s="175"/>
      <c r="BU177" s="175"/>
      <c r="BV177" s="175"/>
      <c r="BW177" s="175"/>
      <c r="BX177" s="175"/>
      <c r="BY177" s="175"/>
      <c r="BZ177" s="175"/>
      <c r="CA177" s="175"/>
      <c r="CB177" s="175"/>
      <c r="CC177" s="175"/>
      <c r="CD177" s="175"/>
      <c r="CE177" s="175"/>
      <c r="CF177" s="175"/>
      <c r="CG177" s="175"/>
      <c r="CH177" s="175"/>
      <c r="CI177" s="175"/>
      <c r="CJ177" s="175"/>
      <c r="CK177" s="175"/>
      <c r="CL177" s="175"/>
      <c r="CM177" s="175"/>
      <c r="CN177" s="175"/>
      <c r="CO177" s="175"/>
      <c r="CP177" s="175"/>
      <c r="CQ177" s="175"/>
      <c r="CR177" s="175"/>
      <c r="CS177" s="175"/>
      <c r="CT177" s="175"/>
      <c r="CU177" s="175"/>
      <c r="CV177" s="175"/>
      <c r="CW177" s="175"/>
      <c r="CX177" s="175"/>
      <c r="CY177" s="175"/>
      <c r="CZ177" s="175"/>
      <c r="DA177" s="175"/>
      <c r="DB177" s="175"/>
      <c r="DC177" s="175"/>
      <c r="DD177" s="175"/>
      <c r="DE177" s="175"/>
      <c r="DF177" s="175"/>
      <c r="DG177" s="175"/>
      <c r="DH177" s="175"/>
      <c r="DI177" s="175"/>
      <c r="DJ177" s="175"/>
      <c r="DK177" s="175"/>
      <c r="DL177" s="175"/>
      <c r="DM177" s="175"/>
      <c r="DN177" s="175"/>
      <c r="DO177" s="175"/>
      <c r="DP177" s="175"/>
      <c r="DQ177" s="175"/>
      <c r="DR177" s="175"/>
      <c r="DS177" s="175"/>
      <c r="DT177" s="175"/>
      <c r="DU177" s="175"/>
      <c r="DV177" s="175"/>
      <c r="DW177" s="175"/>
      <c r="DX177" s="175"/>
      <c r="DY177" s="175"/>
      <c r="DZ177" s="175"/>
      <c r="EA177" s="175"/>
      <c r="EB177" s="175"/>
      <c r="EC177" s="175"/>
      <c r="ED177" s="175"/>
      <c r="EE177" s="175"/>
      <c r="EF177" s="175"/>
      <c r="EG177" s="175"/>
      <c r="EH177" s="175"/>
      <c r="EI177" s="175"/>
      <c r="EJ177" s="175"/>
      <c r="EK177" s="175"/>
      <c r="EL177" s="175"/>
      <c r="EM177" s="175"/>
      <c r="EN177" s="175"/>
      <c r="EO177" s="175"/>
      <c r="EP177" s="175"/>
      <c r="EQ177" s="175"/>
      <c r="ER177" s="175"/>
      <c r="ES177" s="175"/>
      <c r="ET177" s="175"/>
      <c r="EU177" s="175"/>
      <c r="EV177" s="175"/>
      <c r="EW177" s="175"/>
      <c r="EX177" s="175"/>
      <c r="EY177" s="175"/>
      <c r="EZ177" s="175"/>
      <c r="FA177" s="175"/>
      <c r="FB177" s="175"/>
      <c r="FC177" s="175"/>
      <c r="FD177" s="175"/>
      <c r="FE177" s="175"/>
      <c r="FF177" s="175"/>
      <c r="FG177" s="175"/>
      <c r="FH177" s="175"/>
      <c r="FI177" s="175"/>
      <c r="FJ177" s="175"/>
      <c r="FK177" s="175"/>
      <c r="FL177" s="175"/>
      <c r="FM177" s="175"/>
      <c r="FN177" s="175"/>
      <c r="FO177" s="175"/>
      <c r="FP177" s="175"/>
      <c r="FQ177" s="175"/>
      <c r="FR177" s="175"/>
      <c r="FS177" s="175"/>
      <c r="FT177" s="175"/>
      <c r="FU177" s="175"/>
      <c r="FV177" s="175"/>
      <c r="FW177" s="175"/>
      <c r="FX177" s="175"/>
      <c r="FY177" s="175"/>
      <c r="FZ177" s="175"/>
      <c r="GA177" s="175"/>
      <c r="GB177" s="175"/>
      <c r="GC177" s="175"/>
      <c r="GD177" s="175"/>
      <c r="GE177" s="175"/>
      <c r="GF177" s="175"/>
      <c r="GG177" s="175"/>
      <c r="GH177" s="175"/>
      <c r="GI177" s="175"/>
      <c r="GJ177" s="175"/>
      <c r="GK177" s="175"/>
      <c r="GL177" s="175"/>
      <c r="GM177" s="175"/>
      <c r="GN177" s="175"/>
      <c r="GO177" s="175"/>
      <c r="GP177" s="175"/>
      <c r="GQ177" s="175"/>
      <c r="GR177" s="175"/>
      <c r="GS177" s="175"/>
      <c r="GT177" s="175"/>
      <c r="GU177" s="175"/>
      <c r="GV177" s="175"/>
      <c r="GW177" s="175"/>
      <c r="GX177" s="175"/>
      <c r="GY177" s="175"/>
      <c r="GZ177" s="175"/>
      <c r="HA177" s="175"/>
      <c r="HB177" s="175"/>
      <c r="HC177" s="175"/>
      <c r="HD177" s="175"/>
      <c r="HE177" s="175"/>
      <c r="HF177" s="175"/>
      <c r="HG177" s="175"/>
      <c r="HH177" s="175"/>
      <c r="HI177" s="175"/>
      <c r="HJ177" s="175"/>
      <c r="HK177" s="175"/>
      <c r="HL177" s="175"/>
      <c r="HM177" s="175"/>
      <c r="HN177" s="175"/>
      <c r="HO177" s="175"/>
      <c r="HP177" s="175"/>
      <c r="HQ177" s="175"/>
      <c r="HR177" s="175"/>
      <c r="HS177" s="175"/>
      <c r="HT177" s="175"/>
      <c r="HU177" s="175"/>
      <c r="HV177" s="175"/>
      <c r="HW177" s="175"/>
      <c r="HX177" s="175"/>
      <c r="HY177" s="175"/>
      <c r="HZ177" s="175"/>
      <c r="IA177" s="175"/>
      <c r="IB177" s="175"/>
      <c r="IC177" s="175"/>
      <c r="ID177" s="175"/>
      <c r="IE177" s="175"/>
      <c r="IF177" s="175"/>
      <c r="IG177" s="175"/>
      <c r="IH177" s="175"/>
      <c r="II177" s="175"/>
      <c r="IJ177" s="175"/>
      <c r="IK177" s="175"/>
      <c r="IL177" s="175"/>
      <c r="IM177" s="175"/>
      <c r="IN177" s="175"/>
      <c r="IO177" s="175"/>
      <c r="IP177" s="175"/>
      <c r="IQ177" s="175"/>
    </row>
    <row r="178" spans="1:251" s="146" customFormat="1" ht="21.75" customHeight="1">
      <c r="A178" s="179">
        <v>171</v>
      </c>
      <c r="B178" s="458" t="s">
        <v>425</v>
      </c>
      <c r="C178" s="459" t="s">
        <v>426</v>
      </c>
      <c r="D178" s="460">
        <v>49</v>
      </c>
      <c r="E178" s="460"/>
      <c r="F178" s="459" t="s">
        <v>246</v>
      </c>
      <c r="G178" s="460" t="s">
        <v>182</v>
      </c>
      <c r="H178" s="407" t="s">
        <v>190</v>
      </c>
      <c r="I178" s="180">
        <f t="shared" si="8"/>
        <v>97500</v>
      </c>
      <c r="J178" s="408" t="s">
        <v>432</v>
      </c>
      <c r="K178" s="183">
        <f t="shared" si="9"/>
        <v>75000</v>
      </c>
      <c r="L178" s="408" t="s">
        <v>56</v>
      </c>
      <c r="M178" s="181">
        <f t="shared" si="10"/>
        <v>0</v>
      </c>
      <c r="N178" s="181">
        <f t="shared" si="11"/>
        <v>172500</v>
      </c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  <c r="AN178" s="175"/>
      <c r="AO178" s="175"/>
      <c r="AP178" s="175"/>
      <c r="AQ178" s="175"/>
      <c r="AR178" s="175"/>
      <c r="AS178" s="175"/>
      <c r="AT178" s="175"/>
      <c r="AU178" s="175"/>
      <c r="AV178" s="175"/>
      <c r="AW178" s="175"/>
      <c r="AX178" s="175"/>
      <c r="AY178" s="175"/>
      <c r="AZ178" s="175"/>
      <c r="BA178" s="175"/>
      <c r="BB178" s="175"/>
      <c r="BC178" s="175"/>
      <c r="BD178" s="175"/>
      <c r="BE178" s="175"/>
      <c r="BF178" s="175"/>
      <c r="BG178" s="175"/>
      <c r="BH178" s="175"/>
      <c r="BI178" s="175"/>
      <c r="BJ178" s="175"/>
      <c r="BK178" s="175"/>
      <c r="BL178" s="175"/>
      <c r="BM178" s="175"/>
      <c r="BN178" s="175"/>
      <c r="BO178" s="175"/>
      <c r="BP178" s="175"/>
      <c r="BQ178" s="175"/>
      <c r="BR178" s="175"/>
      <c r="BS178" s="175"/>
      <c r="BT178" s="175"/>
      <c r="BU178" s="175"/>
      <c r="BV178" s="175"/>
      <c r="BW178" s="175"/>
      <c r="BX178" s="175"/>
      <c r="BY178" s="175"/>
      <c r="BZ178" s="175"/>
      <c r="CA178" s="175"/>
      <c r="CB178" s="175"/>
      <c r="CC178" s="175"/>
      <c r="CD178" s="175"/>
      <c r="CE178" s="175"/>
      <c r="CF178" s="175"/>
      <c r="CG178" s="175"/>
      <c r="CH178" s="175"/>
      <c r="CI178" s="175"/>
      <c r="CJ178" s="175"/>
      <c r="CK178" s="175"/>
      <c r="CL178" s="175"/>
      <c r="CM178" s="175"/>
      <c r="CN178" s="175"/>
      <c r="CO178" s="175"/>
      <c r="CP178" s="175"/>
      <c r="CQ178" s="175"/>
      <c r="CR178" s="175"/>
      <c r="CS178" s="175"/>
      <c r="CT178" s="175"/>
      <c r="CU178" s="175"/>
      <c r="CV178" s="175"/>
      <c r="CW178" s="175"/>
      <c r="CX178" s="175"/>
      <c r="CY178" s="175"/>
      <c r="CZ178" s="175"/>
      <c r="DA178" s="175"/>
      <c r="DB178" s="175"/>
      <c r="DC178" s="175"/>
      <c r="DD178" s="175"/>
      <c r="DE178" s="175"/>
      <c r="DF178" s="175"/>
      <c r="DG178" s="175"/>
      <c r="DH178" s="175"/>
      <c r="DI178" s="175"/>
      <c r="DJ178" s="175"/>
      <c r="DK178" s="175"/>
      <c r="DL178" s="175"/>
      <c r="DM178" s="175"/>
      <c r="DN178" s="175"/>
      <c r="DO178" s="175"/>
      <c r="DP178" s="175"/>
      <c r="DQ178" s="175"/>
      <c r="DR178" s="175"/>
      <c r="DS178" s="175"/>
      <c r="DT178" s="175"/>
      <c r="DU178" s="175"/>
      <c r="DV178" s="175"/>
      <c r="DW178" s="175"/>
      <c r="DX178" s="175"/>
      <c r="DY178" s="175"/>
      <c r="DZ178" s="175"/>
      <c r="EA178" s="175"/>
      <c r="EB178" s="175"/>
      <c r="EC178" s="175"/>
      <c r="ED178" s="175"/>
      <c r="EE178" s="175"/>
      <c r="EF178" s="175"/>
      <c r="EG178" s="175"/>
      <c r="EH178" s="175"/>
      <c r="EI178" s="175"/>
      <c r="EJ178" s="175"/>
      <c r="EK178" s="175"/>
      <c r="EL178" s="175"/>
      <c r="EM178" s="175"/>
      <c r="EN178" s="175"/>
      <c r="EO178" s="175"/>
      <c r="EP178" s="175"/>
      <c r="EQ178" s="175"/>
      <c r="ER178" s="175"/>
      <c r="ES178" s="175"/>
      <c r="ET178" s="175"/>
      <c r="EU178" s="175"/>
      <c r="EV178" s="175"/>
      <c r="EW178" s="175"/>
      <c r="EX178" s="175"/>
      <c r="EY178" s="175"/>
      <c r="EZ178" s="175"/>
      <c r="FA178" s="175"/>
      <c r="FB178" s="175"/>
      <c r="FC178" s="175"/>
      <c r="FD178" s="175"/>
      <c r="FE178" s="175"/>
      <c r="FF178" s="175"/>
      <c r="FG178" s="175"/>
      <c r="FH178" s="175"/>
      <c r="FI178" s="175"/>
      <c r="FJ178" s="175"/>
      <c r="FK178" s="175"/>
      <c r="FL178" s="175"/>
      <c r="FM178" s="175"/>
      <c r="FN178" s="175"/>
      <c r="FO178" s="175"/>
      <c r="FP178" s="175"/>
      <c r="FQ178" s="175"/>
      <c r="FR178" s="175"/>
      <c r="FS178" s="175"/>
      <c r="FT178" s="175"/>
      <c r="FU178" s="175"/>
      <c r="FV178" s="175"/>
      <c r="FW178" s="175"/>
      <c r="FX178" s="175"/>
      <c r="FY178" s="175"/>
      <c r="FZ178" s="175"/>
      <c r="GA178" s="175"/>
      <c r="GB178" s="175"/>
      <c r="GC178" s="175"/>
      <c r="GD178" s="175"/>
      <c r="GE178" s="175"/>
      <c r="GF178" s="175"/>
      <c r="GG178" s="175"/>
      <c r="GH178" s="175"/>
      <c r="GI178" s="175"/>
      <c r="GJ178" s="175"/>
      <c r="GK178" s="175"/>
      <c r="GL178" s="175"/>
      <c r="GM178" s="175"/>
      <c r="GN178" s="175"/>
      <c r="GO178" s="175"/>
      <c r="GP178" s="175"/>
      <c r="GQ178" s="175"/>
      <c r="GR178" s="175"/>
      <c r="GS178" s="175"/>
      <c r="GT178" s="175"/>
      <c r="GU178" s="175"/>
      <c r="GV178" s="175"/>
      <c r="GW178" s="175"/>
      <c r="GX178" s="175"/>
      <c r="GY178" s="175"/>
      <c r="GZ178" s="175"/>
      <c r="HA178" s="175"/>
      <c r="HB178" s="175"/>
      <c r="HC178" s="175"/>
      <c r="HD178" s="175"/>
      <c r="HE178" s="175"/>
      <c r="HF178" s="175"/>
      <c r="HG178" s="175"/>
      <c r="HH178" s="175"/>
      <c r="HI178" s="175"/>
      <c r="HJ178" s="175"/>
      <c r="HK178" s="175"/>
      <c r="HL178" s="175"/>
      <c r="HM178" s="175"/>
      <c r="HN178" s="175"/>
      <c r="HO178" s="175"/>
      <c r="HP178" s="175"/>
      <c r="HQ178" s="175"/>
      <c r="HR178" s="175"/>
      <c r="HS178" s="175"/>
      <c r="HT178" s="175"/>
      <c r="HU178" s="175"/>
      <c r="HV178" s="175"/>
      <c r="HW178" s="175"/>
      <c r="HX178" s="175"/>
      <c r="HY178" s="175"/>
      <c r="HZ178" s="175"/>
      <c r="IA178" s="175"/>
      <c r="IB178" s="175"/>
      <c r="IC178" s="175"/>
      <c r="ID178" s="175"/>
      <c r="IE178" s="175"/>
      <c r="IF178" s="175"/>
      <c r="IG178" s="175"/>
      <c r="IH178" s="175"/>
      <c r="II178" s="175"/>
      <c r="IJ178" s="175"/>
      <c r="IK178" s="175"/>
      <c r="IL178" s="175"/>
      <c r="IM178" s="175"/>
      <c r="IN178" s="175"/>
      <c r="IO178" s="175"/>
      <c r="IP178" s="175"/>
      <c r="IQ178" s="175"/>
    </row>
    <row r="179" spans="1:251" s="146" customFormat="1" ht="21.75" customHeight="1">
      <c r="A179" s="179">
        <v>172</v>
      </c>
      <c r="B179" s="458" t="s">
        <v>425</v>
      </c>
      <c r="C179" s="459" t="s">
        <v>427</v>
      </c>
      <c r="D179" s="460"/>
      <c r="E179" s="460">
        <v>43</v>
      </c>
      <c r="F179" s="459" t="s">
        <v>246</v>
      </c>
      <c r="G179" s="460" t="s">
        <v>182</v>
      </c>
      <c r="H179" s="407" t="s">
        <v>190</v>
      </c>
      <c r="I179" s="180">
        <f t="shared" si="8"/>
        <v>97500</v>
      </c>
      <c r="J179" s="408" t="s">
        <v>431</v>
      </c>
      <c r="K179" s="183">
        <f t="shared" si="9"/>
        <v>75000</v>
      </c>
      <c r="L179" s="408" t="s">
        <v>56</v>
      </c>
      <c r="M179" s="181">
        <f t="shared" si="10"/>
        <v>0</v>
      </c>
      <c r="N179" s="181">
        <f t="shared" si="11"/>
        <v>172500</v>
      </c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  <c r="AT179" s="175"/>
      <c r="AU179" s="175"/>
      <c r="AV179" s="175"/>
      <c r="AW179" s="175"/>
      <c r="AX179" s="175"/>
      <c r="AY179" s="175"/>
      <c r="AZ179" s="175"/>
      <c r="BA179" s="175"/>
      <c r="BB179" s="175"/>
      <c r="BC179" s="175"/>
      <c r="BD179" s="175"/>
      <c r="BE179" s="175"/>
      <c r="BF179" s="175"/>
      <c r="BG179" s="175"/>
      <c r="BH179" s="175"/>
      <c r="BI179" s="175"/>
      <c r="BJ179" s="175"/>
      <c r="BK179" s="175"/>
      <c r="BL179" s="175"/>
      <c r="BM179" s="175"/>
      <c r="BN179" s="175"/>
      <c r="BO179" s="175"/>
      <c r="BP179" s="175"/>
      <c r="BQ179" s="175"/>
      <c r="BR179" s="175"/>
      <c r="BS179" s="175"/>
      <c r="BT179" s="175"/>
      <c r="BU179" s="175"/>
      <c r="BV179" s="175"/>
      <c r="BW179" s="175"/>
      <c r="BX179" s="175"/>
      <c r="BY179" s="175"/>
      <c r="BZ179" s="175"/>
      <c r="CA179" s="175"/>
      <c r="CB179" s="175"/>
      <c r="CC179" s="175"/>
      <c r="CD179" s="175"/>
      <c r="CE179" s="175"/>
      <c r="CF179" s="175"/>
      <c r="CG179" s="175"/>
      <c r="CH179" s="175"/>
      <c r="CI179" s="175"/>
      <c r="CJ179" s="175"/>
      <c r="CK179" s="175"/>
      <c r="CL179" s="175"/>
      <c r="CM179" s="175"/>
      <c r="CN179" s="175"/>
      <c r="CO179" s="175"/>
      <c r="CP179" s="175"/>
      <c r="CQ179" s="175"/>
      <c r="CR179" s="175"/>
      <c r="CS179" s="175"/>
      <c r="CT179" s="175"/>
      <c r="CU179" s="175"/>
      <c r="CV179" s="175"/>
      <c r="CW179" s="175"/>
      <c r="CX179" s="175"/>
      <c r="CY179" s="175"/>
      <c r="CZ179" s="175"/>
      <c r="DA179" s="175"/>
      <c r="DB179" s="175"/>
      <c r="DC179" s="175"/>
      <c r="DD179" s="175"/>
      <c r="DE179" s="175"/>
      <c r="DF179" s="175"/>
      <c r="DG179" s="175"/>
      <c r="DH179" s="175"/>
      <c r="DI179" s="175"/>
      <c r="DJ179" s="175"/>
      <c r="DK179" s="175"/>
      <c r="DL179" s="175"/>
      <c r="DM179" s="175"/>
      <c r="DN179" s="175"/>
      <c r="DO179" s="175"/>
      <c r="DP179" s="175"/>
      <c r="DQ179" s="175"/>
      <c r="DR179" s="175"/>
      <c r="DS179" s="175"/>
      <c r="DT179" s="175"/>
      <c r="DU179" s="175"/>
      <c r="DV179" s="175"/>
      <c r="DW179" s="175"/>
      <c r="DX179" s="175"/>
      <c r="DY179" s="175"/>
      <c r="DZ179" s="175"/>
      <c r="EA179" s="175"/>
      <c r="EB179" s="175"/>
      <c r="EC179" s="175"/>
      <c r="ED179" s="175"/>
      <c r="EE179" s="175"/>
      <c r="EF179" s="175"/>
      <c r="EG179" s="175"/>
      <c r="EH179" s="175"/>
      <c r="EI179" s="175"/>
      <c r="EJ179" s="175"/>
      <c r="EK179" s="175"/>
      <c r="EL179" s="175"/>
      <c r="EM179" s="175"/>
      <c r="EN179" s="175"/>
      <c r="EO179" s="175"/>
      <c r="EP179" s="175"/>
      <c r="EQ179" s="175"/>
      <c r="ER179" s="175"/>
      <c r="ES179" s="175"/>
      <c r="ET179" s="175"/>
      <c r="EU179" s="175"/>
      <c r="EV179" s="175"/>
      <c r="EW179" s="175"/>
      <c r="EX179" s="175"/>
      <c r="EY179" s="175"/>
      <c r="EZ179" s="175"/>
      <c r="FA179" s="175"/>
      <c r="FB179" s="175"/>
      <c r="FC179" s="175"/>
      <c r="FD179" s="175"/>
      <c r="FE179" s="175"/>
      <c r="FF179" s="175"/>
      <c r="FG179" s="175"/>
      <c r="FH179" s="175"/>
      <c r="FI179" s="175"/>
      <c r="FJ179" s="175"/>
      <c r="FK179" s="175"/>
      <c r="FL179" s="175"/>
      <c r="FM179" s="175"/>
      <c r="FN179" s="175"/>
      <c r="FO179" s="175"/>
      <c r="FP179" s="175"/>
      <c r="FQ179" s="175"/>
      <c r="FR179" s="175"/>
      <c r="FS179" s="175"/>
      <c r="FT179" s="175"/>
      <c r="FU179" s="175"/>
      <c r="FV179" s="175"/>
      <c r="FW179" s="175"/>
      <c r="FX179" s="175"/>
      <c r="FY179" s="175"/>
      <c r="FZ179" s="175"/>
      <c r="GA179" s="175"/>
      <c r="GB179" s="175"/>
      <c r="GC179" s="175"/>
      <c r="GD179" s="175"/>
      <c r="GE179" s="175"/>
      <c r="GF179" s="175"/>
      <c r="GG179" s="175"/>
      <c r="GH179" s="175"/>
      <c r="GI179" s="175"/>
      <c r="GJ179" s="175"/>
      <c r="GK179" s="175"/>
      <c r="GL179" s="175"/>
      <c r="GM179" s="175"/>
      <c r="GN179" s="175"/>
      <c r="GO179" s="175"/>
      <c r="GP179" s="175"/>
      <c r="GQ179" s="175"/>
      <c r="GR179" s="175"/>
      <c r="GS179" s="175"/>
      <c r="GT179" s="175"/>
      <c r="GU179" s="175"/>
      <c r="GV179" s="175"/>
      <c r="GW179" s="175"/>
      <c r="GX179" s="175"/>
      <c r="GY179" s="175"/>
      <c r="GZ179" s="175"/>
      <c r="HA179" s="175"/>
      <c r="HB179" s="175"/>
      <c r="HC179" s="175"/>
      <c r="HD179" s="175"/>
      <c r="HE179" s="175"/>
      <c r="HF179" s="175"/>
      <c r="HG179" s="175"/>
      <c r="HH179" s="175"/>
      <c r="HI179" s="175"/>
      <c r="HJ179" s="175"/>
      <c r="HK179" s="175"/>
      <c r="HL179" s="175"/>
      <c r="HM179" s="175"/>
      <c r="HN179" s="175"/>
      <c r="HO179" s="175"/>
      <c r="HP179" s="175"/>
      <c r="HQ179" s="175"/>
      <c r="HR179" s="175"/>
      <c r="HS179" s="175"/>
      <c r="HT179" s="175"/>
      <c r="HU179" s="175"/>
      <c r="HV179" s="175"/>
      <c r="HW179" s="175"/>
      <c r="HX179" s="175"/>
      <c r="HY179" s="175"/>
      <c r="HZ179" s="175"/>
      <c r="IA179" s="175"/>
      <c r="IB179" s="175"/>
      <c r="IC179" s="175"/>
      <c r="ID179" s="175"/>
      <c r="IE179" s="175"/>
      <c r="IF179" s="175"/>
      <c r="IG179" s="175"/>
      <c r="IH179" s="175"/>
      <c r="II179" s="175"/>
      <c r="IJ179" s="175"/>
      <c r="IK179" s="175"/>
      <c r="IL179" s="175"/>
      <c r="IM179" s="175"/>
      <c r="IN179" s="175"/>
      <c r="IO179" s="175"/>
      <c r="IP179" s="175"/>
      <c r="IQ179" s="175"/>
    </row>
    <row r="180" spans="1:251" s="147" customFormat="1" ht="21.75" customHeight="1">
      <c r="A180" s="179"/>
      <c r="B180" s="201"/>
      <c r="C180" s="202" t="s">
        <v>71</v>
      </c>
      <c r="D180" s="201"/>
      <c r="E180" s="201"/>
      <c r="F180" s="201"/>
      <c r="G180" s="201"/>
      <c r="H180" s="461"/>
      <c r="I180" s="203">
        <f>SUM(I8:I179)</f>
        <v>47325000</v>
      </c>
      <c r="J180" s="203"/>
      <c r="K180" s="203">
        <f>SUM(K8:K179)</f>
        <v>34170000</v>
      </c>
      <c r="L180" s="203"/>
      <c r="M180" s="203">
        <f>SUM(M8:M179)</f>
        <v>28290000</v>
      </c>
      <c r="N180" s="203">
        <f>SUM(N8:N179)</f>
        <v>109785000</v>
      </c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  <c r="BD180" s="143"/>
      <c r="BE180" s="143"/>
      <c r="BF180" s="143"/>
      <c r="BG180" s="143"/>
      <c r="BH180" s="143"/>
      <c r="BI180" s="143"/>
      <c r="BJ180" s="143"/>
      <c r="BK180" s="143"/>
      <c r="BL180" s="143"/>
      <c r="BM180" s="143"/>
      <c r="BN180" s="143"/>
      <c r="BO180" s="143"/>
      <c r="BP180" s="143"/>
      <c r="BQ180" s="143"/>
      <c r="BR180" s="143"/>
      <c r="BS180" s="143"/>
      <c r="BT180" s="143"/>
      <c r="BU180" s="143"/>
      <c r="BV180" s="143"/>
      <c r="BW180" s="143"/>
      <c r="BX180" s="143"/>
      <c r="BY180" s="143"/>
      <c r="BZ180" s="143"/>
      <c r="CA180" s="143"/>
      <c r="CB180" s="143"/>
      <c r="CC180" s="143"/>
      <c r="CD180" s="143"/>
      <c r="CE180" s="143"/>
      <c r="CF180" s="143"/>
      <c r="CG180" s="143"/>
      <c r="CH180" s="143"/>
      <c r="CI180" s="143"/>
      <c r="CJ180" s="143"/>
      <c r="CK180" s="143"/>
      <c r="CL180" s="143"/>
      <c r="CM180" s="143"/>
      <c r="CN180" s="143"/>
      <c r="CO180" s="143"/>
      <c r="CP180" s="143"/>
      <c r="CQ180" s="143"/>
      <c r="CR180" s="143"/>
      <c r="CS180" s="143"/>
      <c r="CT180" s="143"/>
      <c r="CU180" s="143"/>
      <c r="CV180" s="143"/>
      <c r="CW180" s="143"/>
      <c r="CX180" s="143"/>
      <c r="CY180" s="143"/>
      <c r="CZ180" s="143"/>
      <c r="DA180" s="143"/>
      <c r="DB180" s="143"/>
      <c r="DC180" s="143"/>
      <c r="DD180" s="143"/>
      <c r="DE180" s="143"/>
      <c r="DF180" s="143"/>
      <c r="DG180" s="143"/>
      <c r="DH180" s="143"/>
      <c r="DI180" s="143"/>
      <c r="DJ180" s="143"/>
      <c r="DK180" s="143"/>
      <c r="DL180" s="143"/>
      <c r="DM180" s="143"/>
      <c r="DN180" s="143"/>
      <c r="DO180" s="143"/>
      <c r="DP180" s="143"/>
      <c r="DQ180" s="143"/>
      <c r="DR180" s="143"/>
      <c r="DS180" s="143"/>
      <c r="DT180" s="143"/>
      <c r="DU180" s="143"/>
      <c r="DV180" s="143"/>
      <c r="DW180" s="143"/>
      <c r="DX180" s="143"/>
      <c r="DY180" s="143"/>
      <c r="DZ180" s="143"/>
      <c r="EA180" s="143"/>
      <c r="EB180" s="143"/>
      <c r="EC180" s="143"/>
      <c r="ED180" s="143"/>
      <c r="EE180" s="143"/>
      <c r="EF180" s="143"/>
      <c r="EG180" s="143"/>
      <c r="EH180" s="143"/>
      <c r="EI180" s="143"/>
      <c r="EJ180" s="143"/>
      <c r="EK180" s="143"/>
      <c r="EL180" s="143"/>
      <c r="EM180" s="143"/>
      <c r="EN180" s="143"/>
      <c r="EO180" s="143"/>
      <c r="EP180" s="143"/>
      <c r="EQ180" s="143"/>
      <c r="ER180" s="143"/>
      <c r="ES180" s="143"/>
      <c r="ET180" s="143"/>
      <c r="EU180" s="143"/>
      <c r="EV180" s="143"/>
      <c r="EW180" s="143"/>
      <c r="EX180" s="143"/>
      <c r="EY180" s="143"/>
      <c r="EZ180" s="143"/>
      <c r="FA180" s="143"/>
      <c r="FB180" s="143"/>
      <c r="FC180" s="143"/>
      <c r="FD180" s="143"/>
      <c r="FE180" s="143"/>
      <c r="FF180" s="143"/>
      <c r="FG180" s="143"/>
      <c r="FH180" s="143"/>
      <c r="FI180" s="143"/>
      <c r="FJ180" s="143"/>
      <c r="FK180" s="143"/>
      <c r="FL180" s="143"/>
      <c r="FM180" s="143"/>
      <c r="FN180" s="143"/>
      <c r="FO180" s="143"/>
      <c r="FP180" s="143"/>
      <c r="FQ180" s="143"/>
      <c r="FR180" s="143"/>
      <c r="FS180" s="143"/>
      <c r="FT180" s="143"/>
      <c r="FU180" s="143"/>
      <c r="FV180" s="143"/>
      <c r="FW180" s="143"/>
      <c r="FX180" s="143"/>
      <c r="FY180" s="143"/>
      <c r="FZ180" s="143"/>
      <c r="GA180" s="143"/>
      <c r="GB180" s="143"/>
      <c r="GC180" s="143"/>
      <c r="GD180" s="143"/>
      <c r="GE180" s="143"/>
      <c r="GF180" s="143"/>
      <c r="GG180" s="143"/>
      <c r="GH180" s="143"/>
      <c r="GI180" s="143"/>
      <c r="GJ180" s="143"/>
      <c r="GK180" s="143"/>
      <c r="GL180" s="143"/>
      <c r="GM180" s="143"/>
      <c r="GN180" s="143"/>
      <c r="GO180" s="143"/>
      <c r="GP180" s="143"/>
      <c r="GQ180" s="143"/>
      <c r="GR180" s="143"/>
      <c r="GS180" s="143"/>
      <c r="GT180" s="143"/>
      <c r="GU180" s="143"/>
      <c r="GV180" s="143"/>
      <c r="GW180" s="143"/>
      <c r="GX180" s="143"/>
      <c r="GY180" s="143"/>
      <c r="GZ180" s="143"/>
      <c r="HA180" s="143"/>
      <c r="HB180" s="143"/>
      <c r="HC180" s="143"/>
      <c r="HD180" s="143"/>
      <c r="HE180" s="143"/>
      <c r="HF180" s="143"/>
      <c r="HG180" s="143"/>
      <c r="HH180" s="143"/>
      <c r="HI180" s="143"/>
      <c r="HJ180" s="143"/>
      <c r="HK180" s="143"/>
      <c r="HL180" s="143"/>
      <c r="HM180" s="143"/>
      <c r="HN180" s="143"/>
      <c r="HO180" s="143"/>
      <c r="HP180" s="143"/>
      <c r="HQ180" s="143"/>
      <c r="HR180" s="143"/>
      <c r="HS180" s="143"/>
      <c r="HT180" s="143"/>
      <c r="HU180" s="143"/>
      <c r="HV180" s="143"/>
      <c r="HW180" s="143"/>
      <c r="HX180" s="143"/>
      <c r="HY180" s="143"/>
      <c r="HZ180" s="143"/>
      <c r="IA180" s="143"/>
      <c r="IB180" s="143"/>
      <c r="IC180" s="143"/>
      <c r="ID180" s="143"/>
      <c r="IE180" s="143"/>
      <c r="IF180" s="143"/>
      <c r="IG180" s="143"/>
      <c r="IH180" s="143"/>
      <c r="II180" s="143"/>
      <c r="IJ180" s="143"/>
      <c r="IK180" s="143"/>
      <c r="IL180" s="143"/>
      <c r="IM180" s="143"/>
      <c r="IN180" s="143"/>
      <c r="IO180" s="143"/>
      <c r="IP180" s="143"/>
      <c r="IQ180" s="143"/>
    </row>
    <row r="181" spans="1:251" ht="18.75">
      <c r="A181" s="109"/>
      <c r="B181" s="260"/>
      <c r="C181" s="261"/>
      <c r="D181" s="260"/>
      <c r="E181" s="125"/>
      <c r="F181" s="260"/>
      <c r="G181" s="125"/>
      <c r="H181" s="364"/>
      <c r="I181" s="262"/>
      <c r="J181" s="372"/>
      <c r="K181" s="498" t="s">
        <v>989</v>
      </c>
      <c r="L181" s="498"/>
      <c r="M181" s="498"/>
      <c r="N181" s="498"/>
    </row>
    <row r="182" spans="1:251" ht="18.75">
      <c r="A182" s="109"/>
      <c r="B182" s="497" t="s">
        <v>35</v>
      </c>
      <c r="C182" s="497"/>
      <c r="D182" s="260"/>
      <c r="E182" s="260"/>
      <c r="F182" s="260"/>
      <c r="G182" s="125"/>
      <c r="H182" s="365"/>
      <c r="I182" s="264"/>
      <c r="J182" s="372"/>
      <c r="K182" s="478" t="s">
        <v>21</v>
      </c>
      <c r="L182" s="478"/>
      <c r="M182" s="478"/>
      <c r="N182" s="478"/>
    </row>
    <row r="183" spans="1:251" ht="18.75">
      <c r="A183" s="109"/>
      <c r="B183" s="263"/>
      <c r="C183" s="263"/>
      <c r="D183" s="260"/>
      <c r="E183" s="260"/>
      <c r="F183" s="260"/>
      <c r="G183" s="125"/>
      <c r="H183" s="365"/>
      <c r="I183" s="264"/>
      <c r="J183" s="372"/>
      <c r="K183" s="258"/>
      <c r="L183" s="369"/>
      <c r="M183" s="258"/>
      <c r="N183" s="258"/>
    </row>
    <row r="184" spans="1:251" ht="18.75">
      <c r="B184" s="39"/>
      <c r="C184" s="144"/>
      <c r="D184" s="265"/>
      <c r="E184" s="265"/>
      <c r="F184" s="266"/>
      <c r="G184" s="39"/>
      <c r="I184" s="268"/>
      <c r="J184" s="373"/>
      <c r="K184" s="268"/>
      <c r="L184" s="267"/>
      <c r="M184" s="268"/>
      <c r="N184" s="126"/>
    </row>
    <row r="185" spans="1:251" ht="18.75">
      <c r="B185" s="39"/>
      <c r="C185" s="144"/>
      <c r="D185" s="265"/>
      <c r="E185" s="265"/>
      <c r="F185" s="265"/>
      <c r="G185" s="39"/>
      <c r="I185" s="268"/>
      <c r="J185" s="373"/>
      <c r="K185" s="268"/>
      <c r="L185" s="267"/>
      <c r="M185" s="268"/>
      <c r="N185" s="126"/>
    </row>
    <row r="186" spans="1:251" ht="21.75" customHeight="1">
      <c r="B186" s="479" t="s">
        <v>96</v>
      </c>
      <c r="C186" s="479"/>
      <c r="D186" s="265"/>
      <c r="E186" s="265"/>
      <c r="F186" s="265"/>
      <c r="G186" s="39"/>
      <c r="I186" s="268"/>
      <c r="J186" s="373"/>
      <c r="K186" s="496" t="s">
        <v>160</v>
      </c>
      <c r="L186" s="496"/>
      <c r="M186" s="496"/>
      <c r="N186" s="496"/>
    </row>
    <row r="187" spans="1:251" ht="18.75">
      <c r="B187" s="39"/>
      <c r="C187" s="144"/>
      <c r="D187" s="265"/>
      <c r="E187" s="265"/>
      <c r="F187" s="265"/>
      <c r="G187" s="39"/>
      <c r="I187" s="268"/>
      <c r="J187" s="373"/>
      <c r="K187" s="268"/>
      <c r="L187" s="267"/>
      <c r="M187" s="268"/>
      <c r="N187" s="126"/>
    </row>
    <row r="188" spans="1:251" ht="18.75">
      <c r="B188" s="39"/>
      <c r="C188" s="144"/>
      <c r="D188" s="265"/>
      <c r="E188" s="265"/>
      <c r="F188" s="265"/>
      <c r="G188" s="39"/>
      <c r="I188" s="268"/>
      <c r="J188" s="373"/>
      <c r="K188" s="268"/>
      <c r="L188" s="267"/>
      <c r="M188" s="268"/>
      <c r="N188" s="126"/>
    </row>
    <row r="189" spans="1:251" ht="18.75">
      <c r="B189" s="39"/>
      <c r="C189" s="144"/>
      <c r="D189" s="265"/>
      <c r="E189" s="265"/>
      <c r="F189" s="265"/>
      <c r="G189" s="39"/>
      <c r="I189" s="268"/>
      <c r="J189" s="373"/>
      <c r="K189" s="268"/>
      <c r="L189" s="267"/>
      <c r="M189" s="268"/>
      <c r="N189" s="126"/>
    </row>
    <row r="190" spans="1:251" ht="18.75">
      <c r="B190" s="39"/>
      <c r="C190" s="144"/>
      <c r="D190" s="265"/>
      <c r="E190" s="265"/>
      <c r="F190" s="265"/>
      <c r="G190" s="39"/>
      <c r="I190" s="268"/>
      <c r="J190" s="373"/>
      <c r="K190" s="268"/>
      <c r="L190" s="267"/>
      <c r="M190" s="268"/>
      <c r="N190" s="126"/>
    </row>
    <row r="191" spans="1:251" ht="18.75">
      <c r="B191" s="39"/>
      <c r="C191" s="144"/>
      <c r="D191" s="265"/>
      <c r="E191" s="265"/>
      <c r="F191" s="265"/>
      <c r="G191" s="39"/>
      <c r="I191" s="268"/>
      <c r="J191" s="373"/>
      <c r="K191" s="268"/>
      <c r="L191" s="267"/>
      <c r="M191" s="268"/>
      <c r="N191" s="126"/>
    </row>
  </sheetData>
  <autoFilter ref="A7:WWY182" xr:uid="{00000000-0009-0000-0000-000004000000}"/>
  <sortState xmlns:xlrd2="http://schemas.microsoft.com/office/spreadsheetml/2017/richdata2" ref="A8:WWY126">
    <sortCondition ref="A8:A126"/>
  </sortState>
  <mergeCells count="9">
    <mergeCell ref="A1:E1"/>
    <mergeCell ref="A2:E2"/>
    <mergeCell ref="B3:N3"/>
    <mergeCell ref="A4:N4"/>
    <mergeCell ref="B186:C186"/>
    <mergeCell ref="K186:N186"/>
    <mergeCell ref="B182:C182"/>
    <mergeCell ref="K181:N181"/>
    <mergeCell ref="K182:N182"/>
  </mergeCells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view="pageLayout" topLeftCell="A13" zoomScaleNormal="100" workbookViewId="0">
      <selection activeCell="A27" sqref="A27:XFD32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88" t="s">
        <v>0</v>
      </c>
      <c r="B1" s="488"/>
      <c r="C1" s="488"/>
    </row>
    <row r="2" spans="1:8" ht="16.5">
      <c r="A2" s="487" t="s">
        <v>75</v>
      </c>
      <c r="B2" s="487"/>
      <c r="C2" s="487"/>
    </row>
    <row r="3" spans="1:8" ht="20.25">
      <c r="A3" s="478" t="s">
        <v>178</v>
      </c>
      <c r="B3" s="478"/>
      <c r="C3" s="478"/>
      <c r="D3" s="478"/>
      <c r="E3" s="478"/>
      <c r="F3" s="478"/>
      <c r="G3" s="125"/>
      <c r="H3" s="2"/>
    </row>
    <row r="4" spans="1:8" ht="20.25">
      <c r="A4" s="499" t="s">
        <v>92</v>
      </c>
      <c r="B4" s="499"/>
      <c r="C4" s="499"/>
      <c r="D4" s="499"/>
      <c r="E4" s="499"/>
      <c r="F4" s="499"/>
      <c r="G4" s="499"/>
      <c r="H4" s="2"/>
    </row>
    <row r="5" spans="1:8" ht="10.5" customHeight="1">
      <c r="B5" s="39"/>
      <c r="C5" s="40"/>
      <c r="D5" s="40"/>
      <c r="H5" s="2"/>
    </row>
    <row r="6" spans="1:8" ht="21" customHeight="1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114" t="s">
        <v>117</v>
      </c>
      <c r="G6" s="47"/>
    </row>
    <row r="7" spans="1:8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86">
        <f>SUM(SUMIF(phauthuat_BHYT!$H$8:$H$185,"TRIỀU",phauthuat_BHYT!$I$8:$I$185),SUMIF(phauthuat_BHYT!$J$8:$J$185,"TRIỀU",phauthuat_BHYT!$K$8:$K$185),SUMIF(phauthuat_BHYT!$L$8:$L$185,"TRIỀU",phauthuat_BHYT!$M$8:$M$185))</f>
        <v>2100000</v>
      </c>
      <c r="F7" s="115"/>
    </row>
    <row r="8" spans="1:8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86">
        <f>SUM(SUMIF(phauthuat_BHYT!$H$8:$H$185,"TẤN",phauthuat_BHYT!$I$8:$I$185),SUMIF(phauthuat_BHYT!$J$8:$J$185,"TẤN",phauthuat_BHYT!$K$8:$K$185),SUMIF(phauthuat_BHYT!$L$8:$L$185,"TẤN",phauthuat_BHYT!$M$8:$M$185))</f>
        <v>2100000</v>
      </c>
      <c r="F8" s="115"/>
    </row>
    <row r="9" spans="1:8" ht="16.5">
      <c r="A9" s="110">
        <v>3</v>
      </c>
      <c r="B9" s="106" t="s">
        <v>17</v>
      </c>
      <c r="C9" s="107" t="s">
        <v>26</v>
      </c>
      <c r="D9" s="188">
        <v>100006610218</v>
      </c>
      <c r="E9" s="86">
        <f>SUM(SUMIF(phauthuat_BHYT!$H$8:$H$185,"HOAN",phauthuat_BHYT!$I$8:$I$185),SUMIF(phauthuat_BHYT!$J$8:$J$185,"HOAN",phauthuat_BHYT!$K$8:$K$185),SUMIF(phauthuat_BHYT!$L$8:$L$185,"HOAN",phauthuat_BHYT!$M$8:$M$185))</f>
        <v>14985000</v>
      </c>
      <c r="F9" s="115"/>
    </row>
    <row r="10" spans="1:8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86">
        <f>SUM(SUMIF(phauthuat_BHYT!$H$8:$H$185,"NGUYỆN",phauthuat_BHYT!$I$8:$I$185),SUMIF(phauthuat_BHYT!$J$8:$J$185,"NGUYỆN",phauthuat_BHYT!$K$8:$K$185),SUMIF(phauthuat_BHYT!$L$8:$L$185,"NGUYỆN",phauthuat_BHYT!$M$8:$M$185))</f>
        <v>0</v>
      </c>
      <c r="F10" s="115"/>
      <c r="G10" s="41"/>
      <c r="H10" s="41"/>
    </row>
    <row r="11" spans="1:8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86">
        <f>SUM(SUMIF(phauthuat_BHYT!$H$8:$H$185,"ĐIỀN",phauthuat_BHYT!$I$8:$I$185),SUMIF(phauthuat_BHYT!$J$8:$J$185,"ĐIỀN",phauthuat_BHYT!$K$8:$K$185),SUMIF(phauthuat_BHYT!$L$8:$L$185,"ĐIỀN",phauthuat_BHYT!$M$8:$M$185))</f>
        <v>6142500</v>
      </c>
      <c r="F11" s="115"/>
      <c r="G11" s="41"/>
      <c r="H11" s="41"/>
    </row>
    <row r="12" spans="1:8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86">
        <f>SUM(SUMIF(phauthuat_BHYT!$H$8:$H$185,"TOẢN",phauthuat_BHYT!$I$8:$I$185),SUMIF(phauthuat_BHYT!$J$8:$J$185,"TOẢN",phauthuat_BHYT!$K$8:$K$185),SUMIF(phauthuat_BHYT!$L$8:$L$185,"TOẢN",phauthuat_BHYT!$M$8:$M$185))</f>
        <v>8062500</v>
      </c>
      <c r="F12" s="115"/>
      <c r="G12" s="41"/>
      <c r="H12" s="41"/>
    </row>
    <row r="13" spans="1:8" ht="20.25" customHeight="1">
      <c r="A13" s="110">
        <v>7</v>
      </c>
      <c r="B13" s="106" t="s">
        <v>94</v>
      </c>
      <c r="C13" s="107" t="s">
        <v>66</v>
      </c>
      <c r="D13" s="188">
        <v>105867664283</v>
      </c>
      <c r="E13" s="86">
        <f>SUM(SUMIF(phauthuat_BHYT!$H$8:$H$185,"giàu",phauthuat_BHYT!$I$8:$I$185),SUMIF(phauthuat_BHYT!$J$8:$J$185,"giàu",phauthuat_BHYT!$K$8:$K$185),SUMIF(phauthuat_BHYT!$L$8:$L$185,"giàu",phauthuat_BHYT!$M$8:$M$185))</f>
        <v>15855000</v>
      </c>
      <c r="F13" s="115"/>
      <c r="G13" s="41"/>
      <c r="H13" s="41"/>
    </row>
    <row r="14" spans="1:8" ht="16.5">
      <c r="A14" s="110">
        <v>8</v>
      </c>
      <c r="B14" s="106" t="s">
        <v>84</v>
      </c>
      <c r="C14" s="230" t="s">
        <v>26</v>
      </c>
      <c r="D14" s="278" t="s">
        <v>122</v>
      </c>
      <c r="E14" s="204">
        <f>SUM(SUMIF(phauthuat_BHYT!$H$8:$H$185,"v.tân",phauthuat_BHYT!$I$8:$I$185),SUMIF(phauthuat_BHYT!$J$8:$J$185,"v.tân",phauthuat_BHYT!$K$8:$K$185),SUMIF(phauthuat_BHYT!$L$8:$L$185,"v.tân",phauthuat_BHYT!$M$8:$M$185))</f>
        <v>8520000</v>
      </c>
      <c r="F14" s="231"/>
      <c r="G14" s="41"/>
      <c r="H14" s="41"/>
    </row>
    <row r="15" spans="1:8" ht="16.5">
      <c r="A15" s="110">
        <v>9</v>
      </c>
      <c r="B15" s="106" t="s">
        <v>68</v>
      </c>
      <c r="C15" s="230" t="s">
        <v>26</v>
      </c>
      <c r="D15" s="278" t="s">
        <v>137</v>
      </c>
      <c r="E15" s="204">
        <f>SUM(SUMIF(phauthuat_BHYT!$H$8:$H$185,"minh",phauthuat_BHYT!$I$8:$I$185),SUMIF(phauthuat_BHYT!$J$8:$J$185,"minh",phauthuat_BHYT!$K$8:$K$185),SUMIF(phauthuat_BHYT!$L$8:$L$185,"minh",phauthuat_BHYT!$M$8:$M$185))</f>
        <v>5415000</v>
      </c>
      <c r="F15" s="231"/>
      <c r="G15" s="41"/>
      <c r="H15" s="41"/>
    </row>
    <row r="16" spans="1:8" ht="16.5">
      <c r="A16" s="110">
        <v>10</v>
      </c>
      <c r="B16" s="106" t="s">
        <v>124</v>
      </c>
      <c r="C16" s="230" t="s">
        <v>26</v>
      </c>
      <c r="D16" s="278" t="s">
        <v>127</v>
      </c>
      <c r="E16" s="204">
        <f>SUM(SUMIF(phauthuat_BHYT!$H$8:$H$185,"TUẤN",phauthuat_BHYT!$I$8:$I$185),SUMIF(phauthuat_BHYT!$J$8:$J$185,"TUẤN",phauthuat_BHYT!$K$8:$K$185),SUMIF(phauthuat_BHYT!$L$8:$L$185,"TUẤN",phauthuat_BHYT!$M$8:$M$185))</f>
        <v>0</v>
      </c>
      <c r="F16" s="231"/>
      <c r="G16" s="41"/>
      <c r="H16" s="41"/>
    </row>
    <row r="17" spans="1:8" ht="16.5">
      <c r="A17" s="110">
        <v>11</v>
      </c>
      <c r="B17" s="106" t="s">
        <v>125</v>
      </c>
      <c r="C17" s="230" t="s">
        <v>26</v>
      </c>
      <c r="D17" s="278" t="s">
        <v>147</v>
      </c>
      <c r="E17" s="204">
        <f>SUM(SUMIF(phauthuat_BHYT!$H$8:$H$185,"đạt",phauthuat_BHYT!$I$8:$I$185),SUMIF(phauthuat_BHYT!$J$8:$J$185,"đạt",phauthuat_BHYT!$K$8:$K$185),SUMIF(phauthuat_BHYT!$L$8:$L$185,"đạt",phauthuat_BHYT!$M$8:$M$185))</f>
        <v>4575000</v>
      </c>
      <c r="F17" s="231"/>
      <c r="G17" s="41"/>
      <c r="H17" s="41"/>
    </row>
    <row r="18" spans="1:8" ht="16.5">
      <c r="A18" s="110">
        <v>12</v>
      </c>
      <c r="B18" s="106" t="s">
        <v>59</v>
      </c>
      <c r="C18" s="230" t="s">
        <v>26</v>
      </c>
      <c r="D18" s="457">
        <v>107004193662</v>
      </c>
      <c r="E18" s="204">
        <f>SUM(SUMIF(phauthuat_BHYT!$H$8:$H$185,"sơn",phauthuat_BHYT!$I$8:$I$185),SUMIF(phauthuat_BHYT!$J$8:$J$185,"sơn",phauthuat_BHYT!$K$8:$K$185),SUMIF(phauthuat_BHYT!$L$8:$L$185,"sơn",phauthuat_BHYT!$M$8:$M$185))</f>
        <v>1620000</v>
      </c>
      <c r="F18" s="231"/>
      <c r="G18" s="41"/>
      <c r="H18" s="41"/>
    </row>
    <row r="19" spans="1:8" ht="16.5">
      <c r="A19" s="110">
        <v>13</v>
      </c>
      <c r="B19" s="106" t="s">
        <v>980</v>
      </c>
      <c r="C19" s="230" t="s">
        <v>60</v>
      </c>
      <c r="D19" s="455">
        <v>105883051352</v>
      </c>
      <c r="E19" s="204">
        <f>SUM(SUMIF(phauthuat_BHYT!$H$8:$H$185,"kiệt",phauthuat_BHYT!$I$8:$I$185),SUMIF(phauthuat_BHYT!$J$8:$J$185,"kiệt",phauthuat_BHYT!$K$8:$K$185),SUMIF(phauthuat_BHYT!$L$8:$L$185,"kiệt",phauthuat_BHYT!$M$8:$M$185))</f>
        <v>735000</v>
      </c>
      <c r="F19" s="231"/>
      <c r="G19" s="41"/>
      <c r="H19" s="41"/>
    </row>
    <row r="20" spans="1:8" ht="16.5">
      <c r="A20" s="110">
        <v>14</v>
      </c>
      <c r="B20" s="106" t="s">
        <v>981</v>
      </c>
      <c r="C20" s="230" t="s">
        <v>60</v>
      </c>
      <c r="D20" s="456"/>
      <c r="E20" s="204">
        <f>SUM(SUMIF(phauthuat_BHYT!$H$8:$H$185,"phong",phauthuat_BHYT!$I$8:$I$185),SUMIF(phauthuat_BHYT!$J$8:$J$185,"phong",phauthuat_BHYT!$K$8:$K$185),SUMIF(phauthuat_BHYT!$L$8:$L$185,"phong",phauthuat_BHYT!$M$8:$M$185))</f>
        <v>900000</v>
      </c>
      <c r="F20" s="231"/>
      <c r="G20" s="41"/>
      <c r="H20" s="41"/>
    </row>
    <row r="21" spans="1:8" ht="16.5">
      <c r="A21" s="110">
        <v>15</v>
      </c>
      <c r="B21" s="106" t="s">
        <v>982</v>
      </c>
      <c r="C21" s="230" t="s">
        <v>60</v>
      </c>
      <c r="D21" s="456"/>
      <c r="E21" s="204">
        <f>SUM(SUMIF(phauthuat_BHYT!$H$8:$H$185,"lợi",phauthuat_BHYT!$I$8:$I$185),SUMIF(phauthuat_BHYT!$J$8:$J$185,"lợi",phauthuat_BHYT!$K$8:$K$185),SUMIF(phauthuat_BHYT!$L$8:$L$185,"lợi",phauthuat_BHYT!$M$8:$M$185))</f>
        <v>0</v>
      </c>
      <c r="F21" s="231"/>
      <c r="G21" s="41"/>
      <c r="H21" s="41"/>
    </row>
    <row r="22" spans="1:8" ht="16.5">
      <c r="A22" s="110">
        <v>16</v>
      </c>
      <c r="B22" s="106" t="s">
        <v>983</v>
      </c>
      <c r="C22" s="230" t="s">
        <v>60</v>
      </c>
      <c r="D22" s="456"/>
      <c r="E22" s="204">
        <f>SUM(SUMIF(phauthuat_BHYT!$H$8:$H$185,"thanh",phauthuat_BHYT!$I$8:$I$185),SUMIF(phauthuat_BHYT!$J$8:$J$185,"thanh",phauthuat_BHYT!$K$8:$K$185),SUMIF(phauthuat_BHYT!$L$8:$L$185,"thanh",phauthuat_BHYT!$M$8:$M$185))</f>
        <v>570000</v>
      </c>
      <c r="F22" s="231"/>
      <c r="G22" s="41"/>
      <c r="H22" s="41"/>
    </row>
    <row r="23" spans="1:8" ht="16.5">
      <c r="A23" s="110">
        <v>17</v>
      </c>
      <c r="B23" s="106" t="s">
        <v>154</v>
      </c>
      <c r="C23" s="230" t="s">
        <v>60</v>
      </c>
      <c r="D23" s="279"/>
      <c r="E23" s="204">
        <f>SUM(SUMIF(phauthuat_BHYT!$H$8:$H$185,"N.KHANG",phauthuat_BHYT!$I$8:$I$185),SUMIF(phauthuat_BHYT!$J$8:$J$185,"N.KHANG",phauthuat_BHYT!$K$8:$K$185),SUMIF(phauthuat_BHYT!$L$8:$L$185,"N.KHANG",phauthuat_BHYT!$M$8:$M$185))</f>
        <v>0</v>
      </c>
      <c r="F23" s="231"/>
      <c r="G23" s="41"/>
      <c r="H23" s="41"/>
    </row>
    <row r="24" spans="1:8" ht="16.5">
      <c r="A24" s="110">
        <v>18</v>
      </c>
      <c r="B24" s="106" t="s">
        <v>155</v>
      </c>
      <c r="C24" s="230" t="s">
        <v>60</v>
      </c>
      <c r="D24" s="279"/>
      <c r="E24" s="204">
        <f>SUM(SUMIF(phauthuat_BHYT!$H$8:$H$185,"v.hưởng",phauthuat_BHYT!$I$8:$I$185),SUMIF(phauthuat_BHYT!$J$8:$J$185,"v.hưởng",phauthuat_BHYT!$K$8:$K$185),SUMIF(phauthuat_BHYT!$L$8:$L$185,"v.hưởng",phauthuat_BHYT!$M$8:$M$185))</f>
        <v>435000</v>
      </c>
      <c r="F24" s="231"/>
      <c r="G24" s="41"/>
      <c r="H24" s="41"/>
    </row>
    <row r="25" spans="1:8" ht="16.5">
      <c r="A25" s="110">
        <v>19</v>
      </c>
      <c r="B25" s="106" t="s">
        <v>153</v>
      </c>
      <c r="C25" s="230" t="s">
        <v>60</v>
      </c>
      <c r="D25" s="279"/>
      <c r="E25" s="204">
        <f>SUM(SUMIF(phauthuat_BHYT!$H$8:$H$185,"nghĩa",phauthuat_BHYT!$I$8:$I$185),SUMIF(phauthuat_BHYT!$J$8:$J$185,"nghĩa",phauthuat_BHYT!$K$8:$K$185),SUMIF(phauthuat_BHYT!$L$8:$L$185,"nghĩa",phauthuat_BHYT!$M$8:$M$185))</f>
        <v>1035000</v>
      </c>
      <c r="F25" s="231"/>
      <c r="G25" s="41"/>
      <c r="H25" s="41"/>
    </row>
    <row r="26" spans="1:8" ht="16.5">
      <c r="A26" s="110">
        <v>20</v>
      </c>
      <c r="B26" s="106" t="s">
        <v>152</v>
      </c>
      <c r="C26" s="230" t="s">
        <v>60</v>
      </c>
      <c r="D26" s="279"/>
      <c r="E26" s="204">
        <f>SUM(SUMIF(phauthuat_BHYT!$H$8:$H$185,"nhị",phauthuat_BHYT!$I$8:$I$185),SUMIF(phauthuat_BHYT!$J$8:$J$185,"nhị",phauthuat_BHYT!$K$8:$K$185),SUMIF(phauthuat_BHYT!$L$8:$L$185,"nhị",phauthuat_BHYT!$M$8:$M$185))</f>
        <v>870000</v>
      </c>
      <c r="F26" s="231"/>
      <c r="G26" s="41"/>
      <c r="H26" s="41"/>
    </row>
    <row r="27" spans="1:8" ht="16.5">
      <c r="A27" s="110">
        <v>21</v>
      </c>
      <c r="B27" s="106" t="s">
        <v>163</v>
      </c>
      <c r="C27" s="230" t="s">
        <v>60</v>
      </c>
      <c r="D27" s="361">
        <v>105880975165</v>
      </c>
      <c r="E27" s="204">
        <f>SUM(SUMIF(phauthuat_BHYT!$H$8:$H$185,"ĐAN",phauthuat_BHYT!$I$8:$I$185),SUMIF(phauthuat_BHYT!$J$8:$J$185,"ĐAN",phauthuat_BHYT!$K$8:$K$185),SUMIF(phauthuat_BHYT!$L$8:$L$185,"ĐAN",phauthuat_BHYT!$M$8:$M$185))</f>
        <v>6855000</v>
      </c>
      <c r="F27" s="231"/>
      <c r="G27" s="41"/>
      <c r="H27" s="41"/>
    </row>
    <row r="28" spans="1:8" ht="16.5">
      <c r="A28" s="110">
        <v>22</v>
      </c>
      <c r="B28" s="106" t="s">
        <v>164</v>
      </c>
      <c r="C28" s="230" t="s">
        <v>60</v>
      </c>
      <c r="D28" s="361">
        <v>102879258199</v>
      </c>
      <c r="E28" s="204">
        <f>SUM(SUMIF(phauthuat_BHYT!$H$8:$H$185,"HẬU",phauthuat_BHYT!$I$8:$I$185),SUMIF(phauthuat_BHYT!$J$8:$J$185,"HẬU",phauthuat_BHYT!$K$8:$K$185),SUMIF(phauthuat_BHYT!$L$8:$L$185,"HẬU",phauthuat_BHYT!$M$8:$M$185))</f>
        <v>6360000</v>
      </c>
      <c r="F28" s="231"/>
      <c r="G28" s="41"/>
      <c r="H28" s="41"/>
    </row>
    <row r="29" spans="1:8" ht="16.5">
      <c r="A29" s="110">
        <v>23</v>
      </c>
      <c r="B29" s="106" t="s">
        <v>165</v>
      </c>
      <c r="C29" s="230" t="s">
        <v>60</v>
      </c>
      <c r="D29" s="362" t="s">
        <v>169</v>
      </c>
      <c r="E29" s="204">
        <f>SUM(SUMIF(phauthuat_BHYT!$H$8:$H$185,"VINH",phauthuat_BHYT!$I$8:$I$185),SUMIF(phauthuat_BHYT!$J$8:$J$185,"VINH",phauthuat_BHYT!$K$8:$K$185),SUMIF(phauthuat_BHYT!$L$8:$L$185,"VINH",phauthuat_BHYT!$M$8:$M$185))</f>
        <v>5370000</v>
      </c>
      <c r="F29" s="231"/>
      <c r="G29" s="41"/>
      <c r="H29" s="41"/>
    </row>
    <row r="30" spans="1:8" ht="16.5">
      <c r="A30" s="110">
        <v>24</v>
      </c>
      <c r="B30" s="106" t="s">
        <v>166</v>
      </c>
      <c r="C30" s="230" t="s">
        <v>60</v>
      </c>
      <c r="D30" s="361">
        <v>109881014321</v>
      </c>
      <c r="E30" s="204">
        <f>SUM(SUMIF(phauthuat_BHYT!$H$8:$H$185,"Q.TẤN",phauthuat_BHYT!$I$8:$I$185),SUMIF(phauthuat_BHYT!$J$8:$J$185,"Q.TẤN",phauthuat_BHYT!$K$8:$K$185),SUMIF(phauthuat_BHYT!$L$8:$L$185,"Q.TẤN",phauthuat_BHYT!$M$8:$M$185))</f>
        <v>8670000</v>
      </c>
      <c r="F30" s="231"/>
      <c r="G30" s="41"/>
      <c r="H30" s="41"/>
    </row>
    <row r="31" spans="1:8" ht="16.5">
      <c r="A31" s="110">
        <v>25</v>
      </c>
      <c r="B31" s="106" t="s">
        <v>167</v>
      </c>
      <c r="C31" s="230" t="s">
        <v>60</v>
      </c>
      <c r="D31" s="361">
        <v>102880994246</v>
      </c>
      <c r="E31" s="204">
        <f>SUM(SUMIF(phauthuat_BHYT!$H$8:$H$185,"HÀO",phauthuat_BHYT!$I$8:$I$185),SUMIF(phauthuat_BHYT!$J$8:$J$185,"HÀO",phauthuat_BHYT!$K$8:$K$185),SUMIF(phauthuat_BHYT!$L$8:$L$185,"HÀO",phauthuat_BHYT!$M$8:$M$185))</f>
        <v>4200000</v>
      </c>
      <c r="F31" s="231"/>
      <c r="G31" s="41"/>
      <c r="H31" s="41"/>
    </row>
    <row r="32" spans="1:8" ht="16.5">
      <c r="A32" s="110">
        <v>25</v>
      </c>
      <c r="B32" s="106" t="s">
        <v>168</v>
      </c>
      <c r="C32" s="230" t="s">
        <v>60</v>
      </c>
      <c r="D32" s="363" t="s">
        <v>170</v>
      </c>
      <c r="E32" s="204">
        <f>SUM(SUMIF(phauthuat_BHYT!$H$8:$H$185,"NGUYÊN",phauthuat_BHYT!$I$8:$I$185),SUMIF(phauthuat_BHYT!$J$8:$J$185,"NGUYÊN",phauthuat_BHYT!$K$8:$K$185),SUMIF(phauthuat_BHYT!$L$8:$L$185,"NGUYÊN",phauthuat_BHYT!$M$8:$M$185))</f>
        <v>4410000</v>
      </c>
      <c r="F32" s="231"/>
      <c r="G32" s="41"/>
      <c r="H32" s="41"/>
    </row>
    <row r="33" spans="1:8" ht="20.25" customHeight="1">
      <c r="A33" s="106"/>
      <c r="B33" s="116" t="s">
        <v>28</v>
      </c>
      <c r="C33" s="117"/>
      <c r="D33" s="117"/>
      <c r="E33" s="86">
        <f>SUM(E7:E32)</f>
        <v>109785000</v>
      </c>
      <c r="F33" s="118"/>
      <c r="G33" s="49"/>
      <c r="H33" s="43"/>
    </row>
    <row r="34" spans="1:8" ht="12" customHeight="1">
      <c r="A34" s="1"/>
      <c r="B34" s="105"/>
    </row>
    <row r="35" spans="1:8" ht="15.75">
      <c r="D35" s="301" t="s">
        <v>979</v>
      </c>
      <c r="E35" s="301"/>
      <c r="F35" s="301"/>
      <c r="G35" s="301"/>
    </row>
    <row r="36" spans="1:8" ht="18.75">
      <c r="A36" s="478" t="s">
        <v>20</v>
      </c>
      <c r="B36" s="478"/>
      <c r="C36" s="40"/>
      <c r="D36" s="500" t="s">
        <v>21</v>
      </c>
      <c r="E36" s="500"/>
      <c r="F36" s="500"/>
      <c r="G36" s="500"/>
    </row>
    <row r="37" spans="1:8" ht="18.75">
      <c r="A37" s="39"/>
      <c r="B37" s="39"/>
      <c r="C37" s="40"/>
      <c r="D37" s="40"/>
      <c r="E37" s="40"/>
      <c r="F37" s="39"/>
      <c r="G37" s="39"/>
    </row>
    <row r="38" spans="1:8" ht="18.75">
      <c r="A38" s="39"/>
      <c r="B38" s="39"/>
      <c r="C38" s="40"/>
      <c r="D38" s="40"/>
      <c r="E38" s="40"/>
      <c r="F38" s="39"/>
      <c r="G38" s="39"/>
    </row>
    <row r="39" spans="1:8" ht="18.75">
      <c r="A39" s="39"/>
      <c r="B39" s="39"/>
      <c r="C39" s="40"/>
      <c r="D39" s="40"/>
      <c r="E39" s="40"/>
      <c r="F39" s="238"/>
      <c r="G39" s="39"/>
    </row>
    <row r="40" spans="1:8" ht="18.75">
      <c r="A40" s="478" t="s">
        <v>96</v>
      </c>
      <c r="B40" s="478"/>
      <c r="C40" s="40"/>
      <c r="D40" s="302" t="s">
        <v>108</v>
      </c>
      <c r="E40" s="302"/>
      <c r="F40" s="302"/>
      <c r="G40" s="302"/>
    </row>
    <row r="41" spans="1:8" ht="18.75">
      <c r="A41" s="39"/>
      <c r="B41" s="39"/>
      <c r="C41" s="40"/>
      <c r="D41" s="40"/>
      <c r="E41" s="40"/>
      <c r="F41" s="39"/>
      <c r="G41" s="39"/>
    </row>
  </sheetData>
  <mergeCells count="7">
    <mergeCell ref="A4:G4"/>
    <mergeCell ref="A3:F3"/>
    <mergeCell ref="A1:C1"/>
    <mergeCell ref="A2:C2"/>
    <mergeCell ref="A40:B40"/>
    <mergeCell ref="A36:B36"/>
    <mergeCell ref="D36:G36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"/>
  <sheetViews>
    <sheetView tabSelected="1" workbookViewId="0">
      <selection activeCell="D36" sqref="D36:G36"/>
    </sheetView>
  </sheetViews>
  <sheetFormatPr defaultColWidth="9.140625" defaultRowHeight="12.75"/>
  <cols>
    <col min="1" max="1" width="7.140625" style="37" customWidth="1"/>
    <col min="2" max="2" width="24.85546875" style="37" customWidth="1"/>
    <col min="3" max="3" width="14.85546875" style="38" customWidth="1"/>
    <col min="4" max="4" width="17.42578125" style="38" customWidth="1"/>
    <col min="5" max="5" width="18.28515625" style="38" hidden="1" customWidth="1"/>
    <col min="6" max="6" width="17.42578125" style="248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9" ht="16.5">
      <c r="A1" s="488" t="s">
        <v>0</v>
      </c>
      <c r="B1" s="488"/>
      <c r="C1" s="488"/>
    </row>
    <row r="2" spans="1:9" ht="16.5">
      <c r="A2" s="487" t="s">
        <v>75</v>
      </c>
      <c r="B2" s="487"/>
      <c r="C2" s="487"/>
    </row>
    <row r="3" spans="1:9" ht="20.25">
      <c r="A3" s="478" t="s">
        <v>178</v>
      </c>
      <c r="B3" s="478"/>
      <c r="C3" s="478"/>
      <c r="D3" s="478"/>
      <c r="E3" s="478"/>
      <c r="F3" s="478"/>
      <c r="G3" s="478"/>
      <c r="H3" s="2"/>
    </row>
    <row r="4" spans="1:9" ht="20.25">
      <c r="A4" s="499" t="s">
        <v>92</v>
      </c>
      <c r="B4" s="499"/>
      <c r="C4" s="499"/>
      <c r="D4" s="499"/>
      <c r="E4" s="499"/>
      <c r="F4" s="499"/>
      <c r="G4" s="499"/>
      <c r="H4" s="2"/>
    </row>
    <row r="5" spans="1:9" ht="10.5" customHeight="1">
      <c r="B5" s="39"/>
      <c r="C5" s="40"/>
      <c r="D5" s="40"/>
      <c r="H5" s="2"/>
    </row>
    <row r="6" spans="1:9" ht="21" customHeight="1">
      <c r="A6" s="220" t="s">
        <v>2</v>
      </c>
      <c r="B6" s="221" t="s">
        <v>13</v>
      </c>
      <c r="C6" s="222" t="s">
        <v>85</v>
      </c>
      <c r="D6" s="222" t="s">
        <v>114</v>
      </c>
      <c r="E6" s="222" t="s">
        <v>14</v>
      </c>
      <c r="F6" s="222" t="s">
        <v>14</v>
      </c>
      <c r="G6" s="228" t="s">
        <v>15</v>
      </c>
    </row>
    <row r="7" spans="1:9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223">
        <f>SUM(SUMIF(phauthuat_BHYT!$H$8:$H$185,"TRIỀU",phauthuat_BHYT!$I$8:$I$185),SUMIF(phauthuat_BHYT!$J$8:$J$185,"TRIỀU",phauthuat_BHYT!$K$8:$K$185),SUMIF(phauthuat_BHYT!$L$8:$L$185,"TRIỀU",phauthuat_BHYT!$M$8:$M$185))</f>
        <v>2100000</v>
      </c>
      <c r="F7" s="250">
        <f>E7+I32</f>
        <v>10710000</v>
      </c>
      <c r="G7" s="136"/>
      <c r="I7" s="343"/>
    </row>
    <row r="8" spans="1:9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223">
        <f>SUM(SUMIF(phauthuat_BHYT!$H$8:$H$185,"TẤN",phauthuat_BHYT!$I$8:$I$185),SUMIF(phauthuat_BHYT!$J$8:$J$185,"TẤN",phauthuat_BHYT!$K$8:$K$185),SUMIF(phauthuat_BHYT!$L$8:$L$185,"TẤN",phauthuat_BHYT!$M$8:$M$185))</f>
        <v>2100000</v>
      </c>
      <c r="F8" s="250">
        <f>E8</f>
        <v>2100000</v>
      </c>
      <c r="G8" s="136"/>
    </row>
    <row r="9" spans="1:9" ht="16.5">
      <c r="A9" s="110">
        <v>3</v>
      </c>
      <c r="B9" s="106" t="s">
        <v>17</v>
      </c>
      <c r="C9" s="107" t="s">
        <v>26</v>
      </c>
      <c r="D9" s="188">
        <v>100006610218</v>
      </c>
      <c r="E9" s="223">
        <f>SUM(SUMIF(phauthuat_BHYT!$H$8:$H$185,"HOAN",phauthuat_BHYT!$I$8:$I$185),SUMIF(phauthuat_BHYT!$J$8:$J$185,"HOAN",phauthuat_BHYT!$K$8:$K$185),SUMIF(phauthuat_BHYT!$L$8:$L$185,"HOAN",phauthuat_BHYT!$M$8:$M$185))</f>
        <v>14985000</v>
      </c>
      <c r="F9" s="250">
        <f>E9+I29</f>
        <v>29025000</v>
      </c>
      <c r="G9" s="136"/>
    </row>
    <row r="10" spans="1:9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223">
        <f>SUM(SUMIF(phauthuat_BHYT!$H$8:$H$185,"NGUYỆN",phauthuat_BHYT!$I$8:$I$185),SUMIF(phauthuat_BHYT!$J$8:$J$185,"NGUYỆN",phauthuat_BHYT!$K$8:$K$185),SUMIF(phauthuat_BHYT!$L$8:$L$185,"NGUYỆN",phauthuat_BHYT!$M$8:$M$185))</f>
        <v>0</v>
      </c>
      <c r="F10" s="250">
        <f>E10</f>
        <v>0</v>
      </c>
      <c r="G10" s="224"/>
      <c r="H10" s="41"/>
    </row>
    <row r="11" spans="1:9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223">
        <f>SUM(SUMIF(phauthuat_BHYT!$H$8:$H$185,"ĐIỀN",phauthuat_BHYT!$I$8:$I$185),SUMIF(phauthuat_BHYT!$J$8:$J$185,"ĐIỀN",phauthuat_BHYT!$K$8:$K$185),SUMIF(phauthuat_BHYT!$L$8:$L$185,"ĐIỀN",phauthuat_BHYT!$M$8:$M$185))</f>
        <v>6142500</v>
      </c>
      <c r="F11" s="250">
        <f>E11+I19</f>
        <v>8347500</v>
      </c>
      <c r="G11" s="224"/>
      <c r="H11" s="41"/>
    </row>
    <row r="12" spans="1:9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223">
        <f>SUM(SUMIF(phauthuat_BHYT!$H$8:$H$185,"TOẢN",phauthuat_BHYT!$I$8:$I$185),SUMIF(phauthuat_BHYT!$J$8:$J$185,"TOẢN",phauthuat_BHYT!$K$8:$K$185),SUMIF(phauthuat_BHYT!$L$8:$L$185,"TOẢN",phauthuat_BHYT!$M$8:$M$185))</f>
        <v>8062500</v>
      </c>
      <c r="F12" s="250">
        <f>E12</f>
        <v>8062500</v>
      </c>
      <c r="G12" s="224"/>
      <c r="H12" s="41"/>
    </row>
    <row r="13" spans="1:9" ht="16.5">
      <c r="A13" s="110">
        <v>7</v>
      </c>
      <c r="B13" s="106" t="s">
        <v>94</v>
      </c>
      <c r="C13" s="107" t="s">
        <v>66</v>
      </c>
      <c r="D13" s="188">
        <v>105867664283</v>
      </c>
      <c r="E13" s="223">
        <f>SUM(SUMIF(phauthuat_BHYT!$H$8:$H$185,"giàu",phauthuat_BHYT!$I$8:$I$185),SUMIF(phauthuat_BHYT!$J$8:$J$185,"giàu",phauthuat_BHYT!$K$8:$K$185),SUMIF(phauthuat_BHYT!$L$8:$L$185,"giàu",phauthuat_BHYT!$M$8:$M$185))</f>
        <v>15855000</v>
      </c>
      <c r="F13" s="250">
        <f>E13+I24</f>
        <v>31410000</v>
      </c>
      <c r="G13" s="224"/>
      <c r="H13" s="41"/>
    </row>
    <row r="14" spans="1:9" ht="16.5">
      <c r="A14" s="110">
        <v>8</v>
      </c>
      <c r="B14" s="106" t="s">
        <v>84</v>
      </c>
      <c r="C14" s="230" t="s">
        <v>26</v>
      </c>
      <c r="D14" s="278" t="s">
        <v>122</v>
      </c>
      <c r="E14" s="223"/>
      <c r="F14" s="250">
        <f>'lanh tien PT_BHYT'!E14</f>
        <v>8520000</v>
      </c>
      <c r="G14" s="224"/>
      <c r="H14" s="41"/>
    </row>
    <row r="15" spans="1:9" ht="20.45" customHeight="1">
      <c r="A15" s="110">
        <v>9</v>
      </c>
      <c r="B15" s="106" t="s">
        <v>68</v>
      </c>
      <c r="C15" s="230" t="s">
        <v>26</v>
      </c>
      <c r="D15" s="278" t="s">
        <v>137</v>
      </c>
      <c r="E15" s="223"/>
      <c r="F15" s="250">
        <f>'lanh tien PT_BHYT'!E15</f>
        <v>5415000</v>
      </c>
      <c r="G15" s="224"/>
      <c r="H15" s="41"/>
    </row>
    <row r="16" spans="1:9" ht="16.5">
      <c r="A16" s="110">
        <v>10</v>
      </c>
      <c r="B16" s="106" t="s">
        <v>124</v>
      </c>
      <c r="C16" s="230" t="s">
        <v>26</v>
      </c>
      <c r="D16" s="278" t="s">
        <v>127</v>
      </c>
      <c r="E16" s="223"/>
      <c r="F16" s="250">
        <f>'lanh tien PT_BHYT'!E16</f>
        <v>0</v>
      </c>
      <c r="G16" s="224"/>
      <c r="H16" s="41"/>
    </row>
    <row r="17" spans="1:9" ht="16.5">
      <c r="A17" s="110">
        <v>11</v>
      </c>
      <c r="B17" s="106" t="s">
        <v>59</v>
      </c>
      <c r="C17" s="230" t="s">
        <v>26</v>
      </c>
      <c r="D17" s="457">
        <v>107004193662</v>
      </c>
      <c r="E17" s="223"/>
      <c r="F17" s="250">
        <f>'lanh tien PT_BHYT'!E18</f>
        <v>1620000</v>
      </c>
      <c r="G17" s="224"/>
      <c r="H17" s="41"/>
    </row>
    <row r="18" spans="1:9" ht="16.5">
      <c r="A18" s="110">
        <v>12</v>
      </c>
      <c r="B18" s="106" t="s">
        <v>125</v>
      </c>
      <c r="C18" s="230" t="s">
        <v>26</v>
      </c>
      <c r="D18" s="278" t="s">
        <v>147</v>
      </c>
      <c r="E18" s="223"/>
      <c r="F18" s="250">
        <f>'lanh tien PT_BHYT'!E17+I31</f>
        <v>4575000</v>
      </c>
      <c r="G18" s="224"/>
      <c r="H18" s="41"/>
    </row>
    <row r="19" spans="1:9" s="325" customFormat="1" ht="16.5" hidden="1">
      <c r="A19" s="375">
        <v>12</v>
      </c>
      <c r="B19" s="317" t="s">
        <v>128</v>
      </c>
      <c r="C19" s="318" t="s">
        <v>60</v>
      </c>
      <c r="D19" s="319"/>
      <c r="E19" s="320"/>
      <c r="F19" s="321"/>
      <c r="G19" s="322"/>
      <c r="H19" s="323" t="s">
        <v>119</v>
      </c>
      <c r="I19" s="324">
        <f>SUM('lanh tien PT_BHYT'!E19:E23)</f>
        <v>2205000</v>
      </c>
    </row>
    <row r="20" spans="1:9" s="325" customFormat="1" ht="16.5" hidden="1">
      <c r="A20" s="375">
        <v>13</v>
      </c>
      <c r="B20" s="317" t="s">
        <v>129</v>
      </c>
      <c r="C20" s="318" t="s">
        <v>60</v>
      </c>
      <c r="D20" s="319"/>
      <c r="E20" s="320"/>
      <c r="F20" s="321"/>
      <c r="G20" s="322"/>
      <c r="H20" s="323"/>
      <c r="I20" s="324"/>
    </row>
    <row r="21" spans="1:9" s="325" customFormat="1" ht="16.5" hidden="1">
      <c r="A21" s="375">
        <v>14</v>
      </c>
      <c r="B21" s="317" t="s">
        <v>130</v>
      </c>
      <c r="C21" s="318" t="s">
        <v>60</v>
      </c>
      <c r="D21" s="319"/>
      <c r="E21" s="320"/>
      <c r="F21" s="321"/>
      <c r="G21" s="322"/>
      <c r="I21" s="324"/>
    </row>
    <row r="22" spans="1:9" s="325" customFormat="1" ht="16.5" hidden="1">
      <c r="A22" s="375">
        <v>15</v>
      </c>
      <c r="B22" s="317" t="s">
        <v>131</v>
      </c>
      <c r="C22" s="318" t="s">
        <v>60</v>
      </c>
      <c r="D22" s="319"/>
      <c r="E22" s="320"/>
      <c r="F22" s="321"/>
      <c r="G22" s="322"/>
      <c r="H22" s="323"/>
      <c r="I22" s="324"/>
    </row>
    <row r="23" spans="1:9" s="325" customFormat="1" ht="16.5" hidden="1">
      <c r="A23" s="375">
        <v>16</v>
      </c>
      <c r="B23" s="317" t="s">
        <v>154</v>
      </c>
      <c r="C23" s="318" t="s">
        <v>60</v>
      </c>
      <c r="D23" s="319"/>
      <c r="E23" s="320"/>
      <c r="F23" s="321"/>
      <c r="G23" s="322"/>
      <c r="H23" s="323"/>
      <c r="I23" s="324"/>
    </row>
    <row r="24" spans="1:9" s="383" customFormat="1" ht="16.5" hidden="1">
      <c r="A24" s="376">
        <v>17</v>
      </c>
      <c r="B24" s="377" t="s">
        <v>155</v>
      </c>
      <c r="C24" s="378" t="s">
        <v>60</v>
      </c>
      <c r="D24" s="379"/>
      <c r="E24" s="380"/>
      <c r="F24" s="381"/>
      <c r="G24" s="382"/>
      <c r="H24" s="326" t="s">
        <v>121</v>
      </c>
      <c r="I24" s="327">
        <f>SUM('lanh tien PT_BHYT'!E24:E28)</f>
        <v>15555000</v>
      </c>
    </row>
    <row r="25" spans="1:9" s="383" customFormat="1" ht="16.5" hidden="1">
      <c r="A25" s="376">
        <v>18</v>
      </c>
      <c r="B25" s="377" t="s">
        <v>153</v>
      </c>
      <c r="C25" s="378" t="s">
        <v>60</v>
      </c>
      <c r="D25" s="379"/>
      <c r="E25" s="380"/>
      <c r="F25" s="381"/>
      <c r="G25" s="382"/>
      <c r="H25" s="326"/>
      <c r="I25" s="327"/>
    </row>
    <row r="26" spans="1:9" s="383" customFormat="1" ht="16.5" hidden="1">
      <c r="A26" s="376">
        <v>19</v>
      </c>
      <c r="B26" s="377" t="s">
        <v>152</v>
      </c>
      <c r="C26" s="378" t="s">
        <v>60</v>
      </c>
      <c r="D26" s="379"/>
      <c r="E26" s="380"/>
      <c r="F26" s="381"/>
      <c r="G26" s="382"/>
      <c r="H26" s="326"/>
      <c r="I26" s="327"/>
    </row>
    <row r="27" spans="1:9" s="383" customFormat="1" ht="33" hidden="1">
      <c r="A27" s="376">
        <v>20</v>
      </c>
      <c r="B27" s="377" t="s">
        <v>163</v>
      </c>
      <c r="C27" s="378" t="s">
        <v>60</v>
      </c>
      <c r="D27" s="379"/>
      <c r="E27" s="380"/>
      <c r="F27" s="381"/>
      <c r="G27" s="382"/>
      <c r="H27" s="326"/>
      <c r="I27" s="327"/>
    </row>
    <row r="28" spans="1:9" s="383" customFormat="1" ht="16.5" hidden="1">
      <c r="A28" s="376">
        <v>21</v>
      </c>
      <c r="B28" s="377" t="s">
        <v>164</v>
      </c>
      <c r="C28" s="378" t="s">
        <v>60</v>
      </c>
      <c r="D28" s="379"/>
      <c r="E28" s="380"/>
      <c r="F28" s="381"/>
      <c r="G28" s="382"/>
    </row>
    <row r="29" spans="1:9" s="403" customFormat="1" ht="16.5" hidden="1">
      <c r="A29" s="394">
        <v>22</v>
      </c>
      <c r="B29" s="395" t="s">
        <v>165</v>
      </c>
      <c r="C29" s="396" t="s">
        <v>60</v>
      </c>
      <c r="D29" s="397"/>
      <c r="E29" s="398"/>
      <c r="F29" s="399"/>
      <c r="G29" s="400"/>
      <c r="H29" s="401" t="s">
        <v>171</v>
      </c>
      <c r="I29" s="402">
        <f>SUM('lanh tien PT_BHYT'!E29:E30)</f>
        <v>14040000</v>
      </c>
    </row>
    <row r="30" spans="1:9" s="403" customFormat="1" ht="16.5" hidden="1">
      <c r="A30" s="394">
        <v>23</v>
      </c>
      <c r="B30" s="395" t="s">
        <v>166</v>
      </c>
      <c r="C30" s="396" t="s">
        <v>60</v>
      </c>
      <c r="D30" s="397"/>
      <c r="E30" s="398"/>
      <c r="F30" s="399"/>
      <c r="G30" s="400"/>
      <c r="H30" s="401"/>
      <c r="I30" s="402"/>
    </row>
    <row r="31" spans="1:9" s="393" customFormat="1" ht="16.5" hidden="1">
      <c r="A31" s="384">
        <v>24</v>
      </c>
      <c r="B31" s="385" t="s">
        <v>167</v>
      </c>
      <c r="C31" s="386" t="s">
        <v>60</v>
      </c>
      <c r="D31" s="387"/>
      <c r="E31" s="388"/>
      <c r="F31" s="389"/>
      <c r="G31" s="390"/>
      <c r="H31" s="391" t="s">
        <v>172</v>
      </c>
      <c r="I31" s="392"/>
    </row>
    <row r="32" spans="1:9" s="472" customFormat="1" ht="16.5" hidden="1">
      <c r="A32" s="463">
        <v>25</v>
      </c>
      <c r="B32" s="464" t="s">
        <v>168</v>
      </c>
      <c r="C32" s="465" t="s">
        <v>60</v>
      </c>
      <c r="D32" s="466"/>
      <c r="E32" s="467"/>
      <c r="F32" s="468"/>
      <c r="G32" s="469"/>
      <c r="H32" s="470" t="s">
        <v>987</v>
      </c>
      <c r="I32" s="471">
        <f>SUM('lanh tien PT_BHYT'!E31:E32)</f>
        <v>8610000</v>
      </c>
    </row>
    <row r="33" spans="1:8" ht="20.25" customHeight="1">
      <c r="A33" s="210"/>
      <c r="B33" s="225" t="s">
        <v>28</v>
      </c>
      <c r="C33" s="226"/>
      <c r="D33" s="226"/>
      <c r="E33" s="223">
        <f>SUM(E7:E16)</f>
        <v>49245000</v>
      </c>
      <c r="F33" s="247">
        <f>SUM(F7:F24)</f>
        <v>109785000</v>
      </c>
      <c r="G33" s="227"/>
      <c r="H33" s="105"/>
    </row>
    <row r="34" spans="1:8" ht="12" customHeight="1">
      <c r="A34" s="1"/>
      <c r="B34" s="105"/>
      <c r="H34" s="41"/>
    </row>
    <row r="35" spans="1:8" ht="15.75">
      <c r="D35" s="489" t="s">
        <v>991</v>
      </c>
      <c r="E35" s="489"/>
      <c r="F35" s="489"/>
      <c r="G35" s="489"/>
    </row>
    <row r="36" spans="1:8" ht="18.75">
      <c r="A36" s="478" t="s">
        <v>20</v>
      </c>
      <c r="B36" s="478"/>
      <c r="C36" s="40"/>
      <c r="D36" s="500" t="s">
        <v>21</v>
      </c>
      <c r="E36" s="500"/>
      <c r="F36" s="500"/>
      <c r="G36" s="500"/>
    </row>
    <row r="37" spans="1:8" ht="18.75">
      <c r="A37" s="39"/>
      <c r="B37" s="39"/>
      <c r="C37" s="40"/>
      <c r="D37" s="40"/>
      <c r="E37" s="40"/>
      <c r="F37" s="244"/>
      <c r="G37" s="39"/>
    </row>
    <row r="38" spans="1:8" ht="18.75">
      <c r="A38" s="39"/>
      <c r="B38" s="39"/>
      <c r="C38" s="40"/>
      <c r="D38" s="40"/>
      <c r="E38" s="40"/>
      <c r="F38" s="244"/>
      <c r="G38" s="39"/>
    </row>
    <row r="39" spans="1:8" ht="18.75">
      <c r="A39" s="39"/>
      <c r="B39" s="39"/>
      <c r="C39" s="40"/>
      <c r="D39" s="40"/>
      <c r="E39" s="40"/>
      <c r="F39" s="249"/>
      <c r="G39" s="39"/>
    </row>
    <row r="40" spans="1:8" ht="24.75" customHeight="1">
      <c r="A40" s="478" t="s">
        <v>96</v>
      </c>
      <c r="B40" s="478"/>
      <c r="C40" s="40"/>
      <c r="D40" s="500" t="s">
        <v>108</v>
      </c>
      <c r="E40" s="500"/>
      <c r="F40" s="500"/>
      <c r="G40" s="500"/>
    </row>
  </sheetData>
  <mergeCells count="9">
    <mergeCell ref="A40:B40"/>
    <mergeCell ref="D40:G40"/>
    <mergeCell ref="A36:B36"/>
    <mergeCell ref="D36:G36"/>
    <mergeCell ref="A1:C1"/>
    <mergeCell ref="A2:C2"/>
    <mergeCell ref="A4:G4"/>
    <mergeCell ref="D35:G35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8" workbookViewId="0">
      <selection activeCell="I5" sqref="I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0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88" t="s">
        <v>0</v>
      </c>
      <c r="B1" s="488"/>
    </row>
    <row r="2" spans="1:7" ht="16.5">
      <c r="A2" s="487" t="s">
        <v>44</v>
      </c>
      <c r="B2" s="487"/>
    </row>
    <row r="3" spans="1:7" ht="20.25">
      <c r="A3" s="503" t="s">
        <v>178</v>
      </c>
      <c r="B3" s="503"/>
      <c r="C3" s="503"/>
      <c r="D3" s="503"/>
      <c r="E3" s="503"/>
      <c r="G3" s="2"/>
    </row>
    <row r="4" spans="1:7" ht="21" customHeight="1">
      <c r="A4" s="504" t="s">
        <v>76</v>
      </c>
      <c r="B4" s="504"/>
      <c r="C4" s="504"/>
      <c r="D4" s="504"/>
      <c r="E4" s="504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18400000*0.25</f>
        <v>4600000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18400000*0.25</f>
        <v>4600000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4" t="s">
        <v>26</v>
      </c>
      <c r="D14" s="70">
        <f>18400000*0.0625</f>
        <v>1150000</v>
      </c>
      <c r="E14" s="185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18400000*0.125</f>
        <v>2300000</v>
      </c>
      <c r="E15" s="53"/>
      <c r="F15" s="41"/>
      <c r="G15" s="41"/>
    </row>
    <row r="16" spans="1:7" ht="16.5">
      <c r="A16" s="65">
        <v>10</v>
      </c>
      <c r="B16" s="62" t="s">
        <v>111</v>
      </c>
      <c r="C16" s="55" t="s">
        <v>26</v>
      </c>
      <c r="D16" s="70">
        <f>18400000*0.0625</f>
        <v>1150000</v>
      </c>
      <c r="E16" s="53"/>
      <c r="F16" s="41"/>
      <c r="G16" s="41"/>
    </row>
    <row r="17" spans="1:7" ht="16.5">
      <c r="A17" s="65">
        <v>11</v>
      </c>
      <c r="B17" s="62" t="s">
        <v>125</v>
      </c>
      <c r="C17" s="55" t="s">
        <v>26</v>
      </c>
      <c r="D17" s="70">
        <f>18400000*0.125</f>
        <v>2300000</v>
      </c>
      <c r="E17" s="53"/>
      <c r="F17" s="41"/>
      <c r="G17" s="41"/>
    </row>
    <row r="18" spans="1:7" ht="16.5">
      <c r="A18" s="65">
        <v>12</v>
      </c>
      <c r="B18" s="62" t="s">
        <v>126</v>
      </c>
      <c r="C18" s="55" t="s">
        <v>26</v>
      </c>
      <c r="D18" s="70">
        <f>18400000*0.125</f>
        <v>2300000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18400000</v>
      </c>
      <c r="E19" s="64"/>
      <c r="F19" s="49"/>
      <c r="G19" s="43"/>
    </row>
    <row r="20" spans="1:7">
      <c r="B20" s="43"/>
    </row>
    <row r="21" spans="1:7">
      <c r="D21" s="491" t="s">
        <v>120</v>
      </c>
      <c r="E21" s="491"/>
    </row>
    <row r="22" spans="1:7">
      <c r="A22" s="501" t="s">
        <v>20</v>
      </c>
      <c r="B22" s="501"/>
      <c r="D22" s="502" t="s">
        <v>21</v>
      </c>
      <c r="E22" s="502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978"/>
  <sheetViews>
    <sheetView topLeftCell="B686" zoomScale="110" zoomScaleNormal="110" workbookViewId="0">
      <selection activeCell="F699" sqref="F699:I699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16" customWidth="1"/>
    <col min="4" max="4" width="30.5703125" style="99" customWidth="1"/>
    <col min="5" max="5" width="8.7109375" style="229" customWidth="1"/>
    <col min="6" max="6" width="48" style="146" customWidth="1"/>
    <col min="7" max="7" width="9" style="156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13"/>
      <c r="D1" s="91"/>
      <c r="E1" s="304"/>
      <c r="F1" s="276"/>
      <c r="G1" s="233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314"/>
      <c r="D2" s="108"/>
      <c r="E2" s="309"/>
      <c r="G2" s="233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07" t="s">
        <v>50</v>
      </c>
      <c r="C3" s="507"/>
      <c r="D3" s="507"/>
      <c r="E3" s="507"/>
      <c r="F3" s="507"/>
      <c r="G3" s="507"/>
      <c r="H3" s="507"/>
      <c r="I3" s="507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08" t="s">
        <v>177</v>
      </c>
      <c r="C4" s="508"/>
      <c r="D4" s="508"/>
      <c r="E4" s="508"/>
      <c r="F4" s="508"/>
      <c r="G4" s="508"/>
      <c r="H4" s="508"/>
      <c r="I4" s="50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7" customFormat="1" ht="18.75" customHeight="1">
      <c r="B5" s="506" t="s">
        <v>2</v>
      </c>
      <c r="C5" s="506" t="s">
        <v>103</v>
      </c>
      <c r="D5" s="506" t="s">
        <v>48</v>
      </c>
      <c r="E5" s="506" t="s">
        <v>49</v>
      </c>
      <c r="F5" s="505" t="s">
        <v>102</v>
      </c>
      <c r="G5" s="505" t="s">
        <v>53</v>
      </c>
      <c r="H5" s="505" t="s">
        <v>52</v>
      </c>
      <c r="I5" s="505" t="s">
        <v>51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  <c r="FR5" s="218"/>
      <c r="FS5" s="218"/>
      <c r="FT5" s="218"/>
      <c r="FU5" s="218"/>
      <c r="FV5" s="218"/>
      <c r="FW5" s="218"/>
      <c r="FX5" s="218"/>
      <c r="FY5" s="218"/>
      <c r="FZ5" s="218"/>
      <c r="GA5" s="218"/>
      <c r="GB5" s="218"/>
      <c r="GC5" s="218"/>
      <c r="GD5" s="218"/>
      <c r="GE5" s="218"/>
    </row>
    <row r="6" spans="2:187" s="147" customFormat="1" ht="16.5" customHeight="1">
      <c r="B6" s="506"/>
      <c r="C6" s="506"/>
      <c r="D6" s="506"/>
      <c r="E6" s="506"/>
      <c r="F6" s="505"/>
      <c r="G6" s="505"/>
      <c r="H6" s="505"/>
      <c r="I6" s="505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  <c r="CO6" s="218"/>
      <c r="CP6" s="218"/>
      <c r="CQ6" s="218"/>
      <c r="CR6" s="218"/>
      <c r="CS6" s="218"/>
      <c r="CT6" s="218"/>
      <c r="CU6" s="218"/>
      <c r="CV6" s="218"/>
      <c r="CW6" s="218"/>
      <c r="CX6" s="218"/>
      <c r="CY6" s="218"/>
      <c r="CZ6" s="218"/>
      <c r="DA6" s="218"/>
      <c r="DB6" s="218"/>
      <c r="DC6" s="218"/>
      <c r="DD6" s="218"/>
      <c r="DE6" s="218"/>
      <c r="DF6" s="218"/>
      <c r="DG6" s="218"/>
      <c r="DH6" s="218"/>
      <c r="DI6" s="218"/>
      <c r="DJ6" s="218"/>
      <c r="DK6" s="218"/>
      <c r="DL6" s="218"/>
      <c r="DM6" s="218"/>
      <c r="DN6" s="218"/>
      <c r="DO6" s="218"/>
      <c r="DP6" s="218"/>
      <c r="DQ6" s="218"/>
      <c r="DR6" s="218"/>
      <c r="DS6" s="218"/>
      <c r="DT6" s="218"/>
      <c r="DU6" s="218"/>
      <c r="DV6" s="218"/>
      <c r="DW6" s="218"/>
      <c r="DX6" s="218"/>
      <c r="DY6" s="218"/>
      <c r="DZ6" s="218"/>
      <c r="EA6" s="218"/>
      <c r="EB6" s="218"/>
      <c r="EC6" s="218"/>
      <c r="ED6" s="218"/>
      <c r="EE6" s="218"/>
      <c r="EF6" s="218"/>
      <c r="EG6" s="218"/>
      <c r="EH6" s="218"/>
      <c r="EI6" s="218"/>
      <c r="EJ6" s="218"/>
      <c r="EK6" s="218"/>
      <c r="EL6" s="218"/>
      <c r="EM6" s="218"/>
      <c r="EN6" s="218"/>
      <c r="EO6" s="218"/>
      <c r="EP6" s="218"/>
      <c r="EQ6" s="218"/>
      <c r="ER6" s="218"/>
      <c r="ES6" s="218"/>
      <c r="ET6" s="218"/>
      <c r="EU6" s="218"/>
      <c r="EV6" s="218"/>
      <c r="EW6" s="218"/>
      <c r="EX6" s="218"/>
      <c r="EY6" s="218"/>
      <c r="EZ6" s="218"/>
      <c r="FA6" s="218"/>
      <c r="FB6" s="218"/>
      <c r="FC6" s="218"/>
      <c r="FD6" s="218"/>
      <c r="FE6" s="218"/>
      <c r="FF6" s="218"/>
      <c r="FG6" s="218"/>
      <c r="FH6" s="218"/>
      <c r="FI6" s="218"/>
      <c r="FJ6" s="218"/>
      <c r="FK6" s="218"/>
      <c r="FL6" s="218"/>
      <c r="FM6" s="218"/>
      <c r="FN6" s="218"/>
      <c r="FO6" s="218"/>
      <c r="FP6" s="218"/>
      <c r="FQ6" s="218"/>
      <c r="FR6" s="218"/>
      <c r="FS6" s="218"/>
      <c r="FT6" s="218"/>
      <c r="FU6" s="218"/>
      <c r="FV6" s="218"/>
      <c r="FW6" s="218"/>
      <c r="FX6" s="218"/>
      <c r="FY6" s="218"/>
      <c r="FZ6" s="218"/>
      <c r="GA6" s="218"/>
      <c r="GB6" s="218"/>
      <c r="GC6" s="218"/>
      <c r="GD6" s="218"/>
      <c r="GE6" s="218"/>
    </row>
    <row r="7" spans="2:187" s="259" customFormat="1" ht="16.5" customHeight="1">
      <c r="B7" s="251">
        <v>1</v>
      </c>
      <c r="C7" s="417" t="s">
        <v>472</v>
      </c>
      <c r="D7" s="417" t="s">
        <v>473</v>
      </c>
      <c r="E7" s="417" t="s">
        <v>474</v>
      </c>
      <c r="F7" s="417" t="s">
        <v>475</v>
      </c>
      <c r="G7" s="418">
        <v>7</v>
      </c>
      <c r="H7" s="419">
        <v>700000</v>
      </c>
      <c r="I7" s="252">
        <f>H7*25%*75%</f>
        <v>131250</v>
      </c>
      <c r="J7" s="219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</row>
    <row r="8" spans="2:187" s="259" customFormat="1" ht="16.5" customHeight="1">
      <c r="B8" s="251">
        <v>2</v>
      </c>
      <c r="C8" s="417" t="s">
        <v>472</v>
      </c>
      <c r="D8" s="417" t="s">
        <v>476</v>
      </c>
      <c r="E8" s="417" t="s">
        <v>477</v>
      </c>
      <c r="F8" s="417" t="s">
        <v>478</v>
      </c>
      <c r="G8" s="418">
        <v>3</v>
      </c>
      <c r="H8" s="419">
        <v>300000</v>
      </c>
      <c r="I8" s="252">
        <f t="shared" ref="I8:I71" si="0">H8*25%*75%</f>
        <v>56250</v>
      </c>
      <c r="J8" s="219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</row>
    <row r="9" spans="2:187" s="259" customFormat="1" ht="16.5" customHeight="1">
      <c r="B9" s="251">
        <v>3</v>
      </c>
      <c r="C9" s="417" t="s">
        <v>472</v>
      </c>
      <c r="D9" s="417" t="s">
        <v>476</v>
      </c>
      <c r="E9" s="417" t="s">
        <v>477</v>
      </c>
      <c r="F9" s="417" t="s">
        <v>475</v>
      </c>
      <c r="G9" s="418">
        <v>3</v>
      </c>
      <c r="H9" s="419">
        <v>300000</v>
      </c>
      <c r="I9" s="252">
        <f t="shared" si="0"/>
        <v>56250</v>
      </c>
      <c r="J9" s="284"/>
    </row>
    <row r="10" spans="2:187" s="259" customFormat="1" ht="16.5" customHeight="1">
      <c r="B10" s="251">
        <v>4</v>
      </c>
      <c r="C10" s="417" t="s">
        <v>472</v>
      </c>
      <c r="D10" s="417" t="s">
        <v>479</v>
      </c>
      <c r="E10" s="417" t="s">
        <v>480</v>
      </c>
      <c r="F10" s="417" t="s">
        <v>481</v>
      </c>
      <c r="G10" s="418">
        <v>1</v>
      </c>
      <c r="H10" s="419">
        <v>100000</v>
      </c>
      <c r="I10" s="252">
        <f t="shared" si="0"/>
        <v>18750</v>
      </c>
      <c r="J10" s="219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</row>
    <row r="11" spans="2:187" s="259" customFormat="1" ht="16.5" customHeight="1">
      <c r="B11" s="251">
        <v>5</v>
      </c>
      <c r="C11" s="417" t="s">
        <v>472</v>
      </c>
      <c r="D11" s="417" t="s">
        <v>482</v>
      </c>
      <c r="E11" s="417" t="s">
        <v>483</v>
      </c>
      <c r="F11" s="417" t="s">
        <v>481</v>
      </c>
      <c r="G11" s="418">
        <v>1</v>
      </c>
      <c r="H11" s="419">
        <v>40300</v>
      </c>
      <c r="I11" s="252">
        <f t="shared" si="0"/>
        <v>7556.25</v>
      </c>
      <c r="J11" s="219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</row>
    <row r="12" spans="2:187" s="259" customFormat="1" ht="16.5" customHeight="1">
      <c r="B12" s="251">
        <v>6</v>
      </c>
      <c r="C12" s="417" t="s">
        <v>472</v>
      </c>
      <c r="D12" s="417" t="s">
        <v>484</v>
      </c>
      <c r="E12" s="417" t="s">
        <v>485</v>
      </c>
      <c r="F12" s="417" t="s">
        <v>478</v>
      </c>
      <c r="G12" s="418">
        <v>2</v>
      </c>
      <c r="H12" s="419">
        <v>200000</v>
      </c>
      <c r="I12" s="252">
        <f t="shared" si="0"/>
        <v>37500</v>
      </c>
      <c r="J12" s="219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</row>
    <row r="13" spans="2:187" s="259" customFormat="1" ht="16.5" customHeight="1">
      <c r="B13" s="251">
        <v>7</v>
      </c>
      <c r="C13" s="417" t="s">
        <v>472</v>
      </c>
      <c r="D13" s="417" t="s">
        <v>486</v>
      </c>
      <c r="E13" s="417" t="s">
        <v>487</v>
      </c>
      <c r="F13" s="417" t="s">
        <v>481</v>
      </c>
      <c r="G13" s="418">
        <v>1</v>
      </c>
      <c r="H13" s="419">
        <v>40300</v>
      </c>
      <c r="I13" s="252">
        <f t="shared" si="0"/>
        <v>7556.25</v>
      </c>
      <c r="J13" s="219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</row>
    <row r="14" spans="2:187" s="259" customFormat="1" ht="16.5" customHeight="1">
      <c r="B14" s="251">
        <v>8</v>
      </c>
      <c r="C14" s="417" t="s">
        <v>472</v>
      </c>
      <c r="D14" s="417" t="s">
        <v>484</v>
      </c>
      <c r="E14" s="417" t="s">
        <v>485</v>
      </c>
      <c r="F14" s="417" t="s">
        <v>475</v>
      </c>
      <c r="G14" s="418">
        <v>2</v>
      </c>
      <c r="H14" s="419">
        <v>200000</v>
      </c>
      <c r="I14" s="252">
        <f t="shared" si="0"/>
        <v>37500</v>
      </c>
      <c r="J14" s="219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</row>
    <row r="15" spans="2:187" s="259" customFormat="1" ht="16.5" customHeight="1">
      <c r="B15" s="251">
        <v>9</v>
      </c>
      <c r="C15" s="417" t="s">
        <v>472</v>
      </c>
      <c r="D15" s="417" t="s">
        <v>473</v>
      </c>
      <c r="E15" s="417" t="s">
        <v>474</v>
      </c>
      <c r="F15" s="417" t="s">
        <v>488</v>
      </c>
      <c r="G15" s="418">
        <v>6</v>
      </c>
      <c r="H15" s="419">
        <v>600000</v>
      </c>
      <c r="I15" s="252">
        <f t="shared" si="0"/>
        <v>112500</v>
      </c>
      <c r="J15" s="219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</row>
    <row r="16" spans="2:187" s="259" customFormat="1" ht="16.5" customHeight="1">
      <c r="B16" s="251">
        <v>10</v>
      </c>
      <c r="C16" s="417" t="s">
        <v>238</v>
      </c>
      <c r="D16" s="417" t="s">
        <v>489</v>
      </c>
      <c r="E16" s="417" t="s">
        <v>141</v>
      </c>
      <c r="F16" s="417" t="s">
        <v>488</v>
      </c>
      <c r="G16" s="418">
        <v>1</v>
      </c>
      <c r="H16" s="419">
        <v>100000</v>
      </c>
      <c r="I16" s="252">
        <f t="shared" si="0"/>
        <v>18750</v>
      </c>
      <c r="J16" s="219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</row>
    <row r="17" spans="2:187" s="259" customFormat="1" ht="16.5" customHeight="1">
      <c r="B17" s="251">
        <v>11</v>
      </c>
      <c r="C17" s="417" t="s">
        <v>238</v>
      </c>
      <c r="D17" s="417" t="s">
        <v>490</v>
      </c>
      <c r="E17" s="417" t="s">
        <v>491</v>
      </c>
      <c r="F17" s="417" t="s">
        <v>488</v>
      </c>
      <c r="G17" s="418">
        <v>2</v>
      </c>
      <c r="H17" s="419">
        <v>200000</v>
      </c>
      <c r="I17" s="252">
        <f t="shared" si="0"/>
        <v>37500</v>
      </c>
      <c r="J17" s="219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</row>
    <row r="18" spans="2:187" s="259" customFormat="1" ht="16.5" customHeight="1">
      <c r="B18" s="251">
        <v>12</v>
      </c>
      <c r="C18" s="417" t="s">
        <v>238</v>
      </c>
      <c r="D18" s="417" t="s">
        <v>492</v>
      </c>
      <c r="E18" s="417" t="s">
        <v>146</v>
      </c>
      <c r="F18" s="417" t="s">
        <v>481</v>
      </c>
      <c r="G18" s="418">
        <v>1</v>
      </c>
      <c r="H18" s="419">
        <v>40300</v>
      </c>
      <c r="I18" s="252">
        <f t="shared" si="0"/>
        <v>7556.25</v>
      </c>
      <c r="J18" s="219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</row>
    <row r="19" spans="2:187" s="259" customFormat="1" ht="16.5" customHeight="1">
      <c r="B19" s="251">
        <v>13</v>
      </c>
      <c r="C19" s="417" t="s">
        <v>238</v>
      </c>
      <c r="D19" s="417" t="s">
        <v>493</v>
      </c>
      <c r="E19" s="417" t="s">
        <v>494</v>
      </c>
      <c r="F19" s="417" t="s">
        <v>488</v>
      </c>
      <c r="G19" s="418">
        <v>1</v>
      </c>
      <c r="H19" s="419">
        <v>100000</v>
      </c>
      <c r="I19" s="252">
        <f t="shared" si="0"/>
        <v>18750</v>
      </c>
      <c r="J19" s="219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7"/>
      <c r="DZ19" s="147"/>
      <c r="EA19" s="147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7"/>
    </row>
    <row r="20" spans="2:187" s="259" customFormat="1" ht="16.5" customHeight="1">
      <c r="B20" s="251">
        <v>14</v>
      </c>
      <c r="C20" s="417" t="s">
        <v>238</v>
      </c>
      <c r="D20" s="417" t="s">
        <v>489</v>
      </c>
      <c r="E20" s="417" t="s">
        <v>141</v>
      </c>
      <c r="F20" s="417" t="s">
        <v>495</v>
      </c>
      <c r="G20" s="418">
        <v>1</v>
      </c>
      <c r="H20" s="419">
        <v>200000</v>
      </c>
      <c r="I20" s="252">
        <f t="shared" si="0"/>
        <v>37500</v>
      </c>
      <c r="J20" s="219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7"/>
      <c r="DY20" s="147"/>
      <c r="DZ20" s="147"/>
      <c r="EA20" s="147"/>
      <c r="EB20" s="147"/>
      <c r="EC20" s="147"/>
      <c r="ED20" s="147"/>
      <c r="EE20" s="147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147"/>
      <c r="FD20" s="147"/>
      <c r="FE20" s="147"/>
      <c r="FF20" s="147"/>
      <c r="FG20" s="147"/>
      <c r="FH20" s="147"/>
      <c r="FI20" s="147"/>
      <c r="FJ20" s="147"/>
      <c r="FK20" s="147"/>
      <c r="FL20" s="147"/>
      <c r="FM20" s="147"/>
      <c r="FN20" s="147"/>
      <c r="FO20" s="147"/>
      <c r="FP20" s="147"/>
      <c r="FQ20" s="147"/>
      <c r="FR20" s="147"/>
      <c r="FS20" s="147"/>
      <c r="FT20" s="147"/>
      <c r="FU20" s="147"/>
      <c r="FV20" s="147"/>
      <c r="FW20" s="147"/>
      <c r="FX20" s="147"/>
      <c r="FY20" s="147"/>
      <c r="FZ20" s="147"/>
      <c r="GA20" s="147"/>
      <c r="GB20" s="147"/>
      <c r="GC20" s="147"/>
      <c r="GD20" s="147"/>
      <c r="GE20" s="147"/>
    </row>
    <row r="21" spans="2:187" s="259" customFormat="1" ht="16.5" customHeight="1">
      <c r="B21" s="251">
        <v>15</v>
      </c>
      <c r="C21" s="417" t="s">
        <v>238</v>
      </c>
      <c r="D21" s="417" t="s">
        <v>496</v>
      </c>
      <c r="E21" s="417" t="s">
        <v>497</v>
      </c>
      <c r="F21" s="417" t="s">
        <v>475</v>
      </c>
      <c r="G21" s="418">
        <v>2</v>
      </c>
      <c r="H21" s="419">
        <v>200000</v>
      </c>
      <c r="I21" s="252">
        <f t="shared" si="0"/>
        <v>37500</v>
      </c>
      <c r="J21" s="219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7"/>
      <c r="DX21" s="147"/>
      <c r="DY21" s="147"/>
      <c r="DZ21" s="147"/>
      <c r="EA21" s="147"/>
      <c r="EB21" s="147"/>
      <c r="EC21" s="147"/>
      <c r="ED21" s="147"/>
      <c r="EE21" s="147"/>
      <c r="EF21" s="147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147"/>
      <c r="FD21" s="147"/>
      <c r="FE21" s="147"/>
      <c r="FF21" s="147"/>
      <c r="FG21" s="147"/>
      <c r="FH21" s="147"/>
      <c r="FI21" s="147"/>
      <c r="FJ21" s="147"/>
      <c r="FK21" s="147"/>
      <c r="FL21" s="147"/>
      <c r="FM21" s="147"/>
      <c r="FN21" s="147"/>
      <c r="FO21" s="147"/>
      <c r="FP21" s="147"/>
      <c r="FQ21" s="147"/>
      <c r="FR21" s="147"/>
      <c r="FS21" s="147"/>
      <c r="FT21" s="147"/>
      <c r="FU21" s="147"/>
      <c r="FV21" s="147"/>
      <c r="FW21" s="147"/>
      <c r="FX21" s="147"/>
      <c r="FY21" s="147"/>
      <c r="FZ21" s="147"/>
      <c r="GA21" s="147"/>
      <c r="GB21" s="147"/>
      <c r="GC21" s="147"/>
      <c r="GD21" s="147"/>
      <c r="GE21" s="147"/>
    </row>
    <row r="22" spans="2:187" s="259" customFormat="1" ht="16.5" customHeight="1">
      <c r="B22" s="251">
        <v>16</v>
      </c>
      <c r="C22" s="417" t="s">
        <v>238</v>
      </c>
      <c r="D22" s="417" t="s">
        <v>498</v>
      </c>
      <c r="E22" s="417" t="s">
        <v>499</v>
      </c>
      <c r="F22" s="417" t="s">
        <v>500</v>
      </c>
      <c r="G22" s="418">
        <v>1</v>
      </c>
      <c r="H22" s="419">
        <v>400000</v>
      </c>
      <c r="I22" s="252">
        <f t="shared" si="0"/>
        <v>75000</v>
      </c>
      <c r="J22" s="284"/>
    </row>
    <row r="23" spans="2:187" s="259" customFormat="1" ht="16.5" customHeight="1">
      <c r="B23" s="251">
        <v>17</v>
      </c>
      <c r="C23" s="417" t="s">
        <v>238</v>
      </c>
      <c r="D23" s="417" t="s">
        <v>490</v>
      </c>
      <c r="E23" s="417" t="s">
        <v>491</v>
      </c>
      <c r="F23" s="417" t="s">
        <v>475</v>
      </c>
      <c r="G23" s="418">
        <v>3</v>
      </c>
      <c r="H23" s="419">
        <v>300000</v>
      </c>
      <c r="I23" s="252">
        <f t="shared" si="0"/>
        <v>56250</v>
      </c>
      <c r="J23" s="284"/>
    </row>
    <row r="24" spans="2:187" s="259" customFormat="1" ht="16.5" customHeight="1">
      <c r="B24" s="251">
        <v>18</v>
      </c>
      <c r="C24" s="417" t="s">
        <v>238</v>
      </c>
      <c r="D24" s="417" t="s">
        <v>496</v>
      </c>
      <c r="E24" s="417" t="s">
        <v>497</v>
      </c>
      <c r="F24" s="417" t="s">
        <v>488</v>
      </c>
      <c r="G24" s="418">
        <v>2</v>
      </c>
      <c r="H24" s="419">
        <v>200000</v>
      </c>
      <c r="I24" s="252">
        <f t="shared" si="0"/>
        <v>37500</v>
      </c>
      <c r="J24" s="284"/>
    </row>
    <row r="25" spans="2:187" s="259" customFormat="1" ht="16.5" customHeight="1">
      <c r="B25" s="251">
        <v>19</v>
      </c>
      <c r="C25" s="417" t="s">
        <v>238</v>
      </c>
      <c r="D25" s="417" t="s">
        <v>501</v>
      </c>
      <c r="E25" s="417" t="s">
        <v>502</v>
      </c>
      <c r="F25" s="417" t="s">
        <v>475</v>
      </c>
      <c r="G25" s="418">
        <v>4</v>
      </c>
      <c r="H25" s="419">
        <v>400000</v>
      </c>
      <c r="I25" s="252">
        <f t="shared" si="0"/>
        <v>75000</v>
      </c>
      <c r="J25" s="284"/>
    </row>
    <row r="26" spans="2:187" s="259" customFormat="1" ht="16.5" customHeight="1">
      <c r="B26" s="251">
        <v>20</v>
      </c>
      <c r="C26" s="417" t="s">
        <v>238</v>
      </c>
      <c r="D26" s="417" t="s">
        <v>503</v>
      </c>
      <c r="E26" s="417" t="s">
        <v>504</v>
      </c>
      <c r="F26" s="417" t="s">
        <v>488</v>
      </c>
      <c r="G26" s="418">
        <v>1</v>
      </c>
      <c r="H26" s="419">
        <v>100000</v>
      </c>
      <c r="I26" s="252">
        <f t="shared" si="0"/>
        <v>18750</v>
      </c>
      <c r="J26" s="284"/>
    </row>
    <row r="27" spans="2:187" s="259" customFormat="1" ht="16.5" customHeight="1">
      <c r="B27" s="251">
        <v>21</v>
      </c>
      <c r="C27" s="417" t="s">
        <v>238</v>
      </c>
      <c r="D27" s="417" t="s">
        <v>489</v>
      </c>
      <c r="E27" s="417" t="s">
        <v>141</v>
      </c>
      <c r="F27" s="417" t="s">
        <v>481</v>
      </c>
      <c r="G27" s="418">
        <v>1</v>
      </c>
      <c r="H27" s="419">
        <v>100000</v>
      </c>
      <c r="I27" s="252">
        <f t="shared" si="0"/>
        <v>18750</v>
      </c>
      <c r="J27" s="284"/>
    </row>
    <row r="28" spans="2:187" s="259" customFormat="1" ht="16.5" customHeight="1">
      <c r="B28" s="251">
        <v>22</v>
      </c>
      <c r="C28" s="417" t="s">
        <v>238</v>
      </c>
      <c r="D28" s="417" t="s">
        <v>214</v>
      </c>
      <c r="E28" s="417" t="s">
        <v>505</v>
      </c>
      <c r="F28" s="417" t="s">
        <v>475</v>
      </c>
      <c r="G28" s="418">
        <v>3</v>
      </c>
      <c r="H28" s="419">
        <v>300000</v>
      </c>
      <c r="I28" s="252">
        <f t="shared" si="0"/>
        <v>56250</v>
      </c>
      <c r="J28" s="284"/>
    </row>
    <row r="29" spans="2:187" s="259" customFormat="1" ht="16.5" customHeight="1">
      <c r="B29" s="251">
        <v>23</v>
      </c>
      <c r="C29" s="417" t="s">
        <v>238</v>
      </c>
      <c r="D29" s="417" t="s">
        <v>506</v>
      </c>
      <c r="E29" s="417" t="s">
        <v>507</v>
      </c>
      <c r="F29" s="417" t="s">
        <v>475</v>
      </c>
      <c r="G29" s="418">
        <v>1</v>
      </c>
      <c r="H29" s="419">
        <v>100000</v>
      </c>
      <c r="I29" s="252">
        <f t="shared" si="0"/>
        <v>18750</v>
      </c>
      <c r="J29" s="284"/>
    </row>
    <row r="30" spans="2:187" s="259" customFormat="1" ht="16.5" customHeight="1">
      <c r="B30" s="251">
        <v>24</v>
      </c>
      <c r="C30" s="417" t="s">
        <v>238</v>
      </c>
      <c r="D30" s="417" t="s">
        <v>489</v>
      </c>
      <c r="E30" s="417" t="s">
        <v>141</v>
      </c>
      <c r="F30" s="417" t="s">
        <v>475</v>
      </c>
      <c r="G30" s="418">
        <v>1</v>
      </c>
      <c r="H30" s="419">
        <v>100000</v>
      </c>
      <c r="I30" s="252">
        <f t="shared" si="0"/>
        <v>18750</v>
      </c>
      <c r="J30" s="284"/>
    </row>
    <row r="31" spans="2:187" s="259" customFormat="1" ht="16.5" customHeight="1">
      <c r="B31" s="251">
        <v>25</v>
      </c>
      <c r="C31" s="417" t="s">
        <v>238</v>
      </c>
      <c r="D31" s="417" t="s">
        <v>503</v>
      </c>
      <c r="E31" s="417" t="s">
        <v>504</v>
      </c>
      <c r="F31" s="417" t="s">
        <v>475</v>
      </c>
      <c r="G31" s="418">
        <v>1</v>
      </c>
      <c r="H31" s="419">
        <v>100000</v>
      </c>
      <c r="I31" s="252">
        <f t="shared" si="0"/>
        <v>18750</v>
      </c>
      <c r="J31" s="284"/>
    </row>
    <row r="32" spans="2:187" s="259" customFormat="1" ht="16.5" customHeight="1">
      <c r="B32" s="251">
        <v>26</v>
      </c>
      <c r="C32" s="417" t="s">
        <v>238</v>
      </c>
      <c r="D32" s="417" t="s">
        <v>493</v>
      </c>
      <c r="E32" s="417" t="s">
        <v>494</v>
      </c>
      <c r="F32" s="417" t="s">
        <v>475</v>
      </c>
      <c r="G32" s="418">
        <v>1</v>
      </c>
      <c r="H32" s="419">
        <v>100000</v>
      </c>
      <c r="I32" s="252">
        <f t="shared" si="0"/>
        <v>18750</v>
      </c>
      <c r="J32" s="284"/>
    </row>
    <row r="33" spans="2:187" s="259" customFormat="1" ht="16.5" customHeight="1">
      <c r="B33" s="251">
        <v>27</v>
      </c>
      <c r="C33" s="417" t="s">
        <v>238</v>
      </c>
      <c r="D33" s="417" t="s">
        <v>214</v>
      </c>
      <c r="E33" s="417" t="s">
        <v>505</v>
      </c>
      <c r="F33" s="417" t="s">
        <v>488</v>
      </c>
      <c r="G33" s="418">
        <v>3</v>
      </c>
      <c r="H33" s="419">
        <v>300000</v>
      </c>
      <c r="I33" s="252">
        <f t="shared" si="0"/>
        <v>56250</v>
      </c>
      <c r="J33" s="219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  <c r="DN33" s="147"/>
      <c r="DO33" s="147"/>
      <c r="DP33" s="147"/>
      <c r="DQ33" s="147"/>
      <c r="DR33" s="147"/>
      <c r="DS33" s="147"/>
      <c r="DT33" s="147"/>
      <c r="DU33" s="147"/>
      <c r="DV33" s="147"/>
      <c r="DW33" s="147"/>
      <c r="DX33" s="147"/>
      <c r="DY33" s="147"/>
      <c r="DZ33" s="147"/>
      <c r="EA33" s="147"/>
      <c r="EB33" s="147"/>
      <c r="EC33" s="147"/>
      <c r="ED33" s="147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147"/>
      <c r="FD33" s="147"/>
      <c r="FE33" s="147"/>
      <c r="FF33" s="147"/>
      <c r="FG33" s="147"/>
      <c r="FH33" s="147"/>
      <c r="FI33" s="147"/>
      <c r="FJ33" s="147"/>
      <c r="FK33" s="147"/>
      <c r="FL33" s="147"/>
      <c r="FM33" s="147"/>
      <c r="FN33" s="147"/>
      <c r="FO33" s="147"/>
      <c r="FP33" s="147"/>
      <c r="FQ33" s="147"/>
      <c r="FR33" s="147"/>
      <c r="FS33" s="147"/>
      <c r="FT33" s="147"/>
      <c r="FU33" s="147"/>
      <c r="FV33" s="147"/>
      <c r="FW33" s="147"/>
      <c r="FX33" s="147"/>
      <c r="FY33" s="147"/>
      <c r="FZ33" s="147"/>
      <c r="GA33" s="147"/>
      <c r="GB33" s="147"/>
      <c r="GC33" s="147"/>
      <c r="GD33" s="147"/>
      <c r="GE33" s="147"/>
    </row>
    <row r="34" spans="2:187" s="259" customFormat="1" ht="16.5" customHeight="1">
      <c r="B34" s="251">
        <v>28</v>
      </c>
      <c r="C34" s="420" t="s">
        <v>238</v>
      </c>
      <c r="D34" s="420" t="s">
        <v>506</v>
      </c>
      <c r="E34" s="420" t="s">
        <v>507</v>
      </c>
      <c r="F34" s="420" t="s">
        <v>488</v>
      </c>
      <c r="G34" s="421">
        <v>1</v>
      </c>
      <c r="H34" s="421">
        <v>100000</v>
      </c>
      <c r="I34" s="252">
        <f t="shared" si="0"/>
        <v>18750</v>
      </c>
      <c r="J34" s="219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147"/>
      <c r="FD34" s="147"/>
      <c r="FE34" s="147"/>
      <c r="FF34" s="147"/>
      <c r="FG34" s="147"/>
      <c r="FH34" s="147"/>
      <c r="FI34" s="147"/>
      <c r="FJ34" s="147"/>
      <c r="FK34" s="147"/>
      <c r="FL34" s="147"/>
      <c r="FM34" s="147"/>
      <c r="FN34" s="147"/>
      <c r="FO34" s="147"/>
      <c r="FP34" s="147"/>
      <c r="FQ34" s="147"/>
      <c r="FR34" s="147"/>
      <c r="FS34" s="147"/>
      <c r="FT34" s="147"/>
      <c r="FU34" s="147"/>
      <c r="FV34" s="147"/>
      <c r="FW34" s="147"/>
      <c r="FX34" s="147"/>
      <c r="FY34" s="147"/>
      <c r="FZ34" s="147"/>
      <c r="GA34" s="147"/>
      <c r="GB34" s="147"/>
      <c r="GC34" s="147"/>
      <c r="GD34" s="147"/>
      <c r="GE34" s="147"/>
    </row>
    <row r="35" spans="2:187" s="259" customFormat="1" ht="16.5" customHeight="1">
      <c r="B35" s="251">
        <v>29</v>
      </c>
      <c r="C35" s="420" t="s">
        <v>250</v>
      </c>
      <c r="D35" s="420" t="s">
        <v>508</v>
      </c>
      <c r="E35" s="420" t="s">
        <v>141</v>
      </c>
      <c r="F35" s="420" t="s">
        <v>475</v>
      </c>
      <c r="G35" s="421">
        <v>10</v>
      </c>
      <c r="H35" s="421">
        <v>1000000</v>
      </c>
      <c r="I35" s="252">
        <f t="shared" si="0"/>
        <v>187500</v>
      </c>
      <c r="J35" s="219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7"/>
      <c r="FJ35" s="147"/>
      <c r="FK35" s="147"/>
      <c r="FL35" s="147"/>
      <c r="FM35" s="147"/>
      <c r="FN35" s="147"/>
      <c r="FO35" s="147"/>
      <c r="FP35" s="147"/>
      <c r="FQ35" s="147"/>
      <c r="FR35" s="147"/>
      <c r="FS35" s="147"/>
      <c r="FT35" s="147"/>
      <c r="FU35" s="147"/>
      <c r="FV35" s="147"/>
      <c r="FW35" s="147"/>
      <c r="FX35" s="147"/>
      <c r="FY35" s="147"/>
      <c r="FZ35" s="147"/>
      <c r="GA35" s="147"/>
      <c r="GB35" s="147"/>
      <c r="GC35" s="147"/>
      <c r="GD35" s="147"/>
      <c r="GE35" s="147"/>
    </row>
    <row r="36" spans="2:187" s="259" customFormat="1" ht="16.5" customHeight="1">
      <c r="B36" s="251">
        <v>30</v>
      </c>
      <c r="C36" s="420" t="s">
        <v>250</v>
      </c>
      <c r="D36" s="420" t="s">
        <v>509</v>
      </c>
      <c r="E36" s="420" t="s">
        <v>510</v>
      </c>
      <c r="F36" s="420" t="s">
        <v>475</v>
      </c>
      <c r="G36" s="421">
        <v>3</v>
      </c>
      <c r="H36" s="421">
        <v>300000</v>
      </c>
      <c r="I36" s="252">
        <f t="shared" si="0"/>
        <v>56250</v>
      </c>
      <c r="J36" s="219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/>
      <c r="FG36" s="147"/>
      <c r="FH36" s="147"/>
      <c r="FI36" s="147"/>
      <c r="FJ36" s="147"/>
      <c r="FK36" s="147"/>
      <c r="FL36" s="147"/>
      <c r="FM36" s="147"/>
      <c r="FN36" s="147"/>
      <c r="FO36" s="147"/>
      <c r="FP36" s="147"/>
      <c r="FQ36" s="147"/>
      <c r="FR36" s="147"/>
      <c r="FS36" s="147"/>
      <c r="FT36" s="147"/>
      <c r="FU36" s="147"/>
      <c r="FV36" s="147"/>
      <c r="FW36" s="147"/>
      <c r="FX36" s="147"/>
      <c r="FY36" s="147"/>
      <c r="FZ36" s="147"/>
      <c r="GA36" s="147"/>
      <c r="GB36" s="147"/>
      <c r="GC36" s="147"/>
      <c r="GD36" s="147"/>
      <c r="GE36" s="147"/>
    </row>
    <row r="37" spans="2:187" s="259" customFormat="1" ht="16.5" customHeight="1">
      <c r="B37" s="251">
        <v>31</v>
      </c>
      <c r="C37" s="420" t="s">
        <v>250</v>
      </c>
      <c r="D37" s="420" t="s">
        <v>511</v>
      </c>
      <c r="E37" s="420" t="s">
        <v>512</v>
      </c>
      <c r="F37" s="420" t="s">
        <v>475</v>
      </c>
      <c r="G37" s="421">
        <v>6</v>
      </c>
      <c r="H37" s="421">
        <v>600000</v>
      </c>
      <c r="I37" s="252">
        <f t="shared" si="0"/>
        <v>112500</v>
      </c>
      <c r="J37" s="219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K37" s="147"/>
      <c r="FL37" s="147"/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  <c r="GB37" s="147"/>
      <c r="GC37" s="147"/>
      <c r="GD37" s="147"/>
      <c r="GE37" s="147"/>
    </row>
    <row r="38" spans="2:187" s="259" customFormat="1" ht="16.5" customHeight="1">
      <c r="B38" s="251">
        <v>32</v>
      </c>
      <c r="C38" s="420" t="s">
        <v>250</v>
      </c>
      <c r="D38" s="420" t="s">
        <v>513</v>
      </c>
      <c r="E38" s="420" t="s">
        <v>138</v>
      </c>
      <c r="F38" s="420" t="s">
        <v>481</v>
      </c>
      <c r="G38" s="421">
        <v>1</v>
      </c>
      <c r="H38" s="421">
        <v>100000</v>
      </c>
      <c r="I38" s="252">
        <f t="shared" si="0"/>
        <v>18750</v>
      </c>
      <c r="J38" s="219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147"/>
      <c r="FD38" s="147"/>
      <c r="FE38" s="147"/>
      <c r="FF38" s="147"/>
      <c r="FG38" s="147"/>
      <c r="FH38" s="147"/>
      <c r="FI38" s="147"/>
      <c r="FJ38" s="147"/>
      <c r="FK38" s="147"/>
      <c r="FL38" s="147"/>
      <c r="FM38" s="147"/>
      <c r="FN38" s="147"/>
      <c r="FO38" s="147"/>
      <c r="FP38" s="147"/>
      <c r="FQ38" s="147"/>
      <c r="FR38" s="147"/>
      <c r="FS38" s="147"/>
      <c r="FT38" s="147"/>
      <c r="FU38" s="147"/>
      <c r="FV38" s="147"/>
      <c r="FW38" s="147"/>
      <c r="FX38" s="147"/>
      <c r="FY38" s="147"/>
      <c r="FZ38" s="147"/>
      <c r="GA38" s="147"/>
      <c r="GB38" s="147"/>
      <c r="GC38" s="147"/>
      <c r="GD38" s="147"/>
      <c r="GE38" s="147"/>
    </row>
    <row r="39" spans="2:187" s="259" customFormat="1" ht="16.5" customHeight="1">
      <c r="B39" s="251">
        <v>33</v>
      </c>
      <c r="C39" s="420" t="s">
        <v>250</v>
      </c>
      <c r="D39" s="420" t="s">
        <v>514</v>
      </c>
      <c r="E39" s="420" t="s">
        <v>510</v>
      </c>
      <c r="F39" s="420" t="s">
        <v>475</v>
      </c>
      <c r="G39" s="421">
        <v>6</v>
      </c>
      <c r="H39" s="421">
        <v>600000</v>
      </c>
      <c r="I39" s="252">
        <f t="shared" si="0"/>
        <v>112500</v>
      </c>
      <c r="J39" s="219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</row>
    <row r="40" spans="2:187" s="259" customFormat="1" ht="16.5" customHeight="1">
      <c r="B40" s="251">
        <v>34</v>
      </c>
      <c r="C40" s="420" t="s">
        <v>250</v>
      </c>
      <c r="D40" s="420" t="s">
        <v>515</v>
      </c>
      <c r="E40" s="420" t="s">
        <v>516</v>
      </c>
      <c r="F40" s="420" t="s">
        <v>481</v>
      </c>
      <c r="G40" s="421">
        <v>1</v>
      </c>
      <c r="H40" s="421">
        <v>100000</v>
      </c>
      <c r="I40" s="252">
        <f t="shared" si="0"/>
        <v>18750</v>
      </c>
      <c r="J40" s="219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  <c r="DN40" s="147"/>
      <c r="DO40" s="147"/>
      <c r="DP40" s="147"/>
      <c r="DQ40" s="147"/>
      <c r="DR40" s="147"/>
      <c r="DS40" s="147"/>
      <c r="DT40" s="147"/>
      <c r="DU40" s="147"/>
      <c r="DV40" s="147"/>
      <c r="DW40" s="147"/>
      <c r="DX40" s="147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147"/>
      <c r="FD40" s="147"/>
      <c r="FE40" s="147"/>
      <c r="FF40" s="147"/>
      <c r="FG40" s="147"/>
      <c r="FH40" s="147"/>
      <c r="FI40" s="147"/>
      <c r="FJ40" s="147"/>
      <c r="FK40" s="147"/>
      <c r="FL40" s="147"/>
      <c r="FM40" s="147"/>
      <c r="FN40" s="147"/>
      <c r="FO40" s="147"/>
      <c r="FP40" s="147"/>
      <c r="FQ40" s="147"/>
      <c r="FR40" s="147"/>
      <c r="FS40" s="147"/>
      <c r="FT40" s="147"/>
      <c r="FU40" s="147"/>
      <c r="FV40" s="147"/>
      <c r="FW40" s="147"/>
      <c r="FX40" s="147"/>
      <c r="FY40" s="147"/>
      <c r="FZ40" s="147"/>
      <c r="GA40" s="147"/>
      <c r="GB40" s="147"/>
      <c r="GC40" s="147"/>
      <c r="GD40" s="147"/>
      <c r="GE40" s="147"/>
    </row>
    <row r="41" spans="2:187" s="259" customFormat="1" ht="16.5" customHeight="1">
      <c r="B41" s="251">
        <v>35</v>
      </c>
      <c r="C41" s="420" t="s">
        <v>250</v>
      </c>
      <c r="D41" s="420" t="s">
        <v>517</v>
      </c>
      <c r="E41" s="420" t="s">
        <v>483</v>
      </c>
      <c r="F41" s="420" t="s">
        <v>481</v>
      </c>
      <c r="G41" s="421">
        <v>1</v>
      </c>
      <c r="H41" s="421">
        <v>100000</v>
      </c>
      <c r="I41" s="252">
        <f t="shared" si="0"/>
        <v>18750</v>
      </c>
      <c r="J41" s="219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K41" s="147"/>
      <c r="FL41" s="147"/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  <c r="GB41" s="147"/>
      <c r="GC41" s="147"/>
      <c r="GD41" s="147"/>
      <c r="GE41" s="147"/>
    </row>
    <row r="42" spans="2:187" s="259" customFormat="1" ht="16.5" customHeight="1">
      <c r="B42" s="251">
        <v>36</v>
      </c>
      <c r="C42" s="420" t="s">
        <v>250</v>
      </c>
      <c r="D42" s="420" t="s">
        <v>518</v>
      </c>
      <c r="E42" s="420" t="s">
        <v>519</v>
      </c>
      <c r="F42" s="420" t="s">
        <v>475</v>
      </c>
      <c r="G42" s="421">
        <v>1</v>
      </c>
      <c r="H42" s="421">
        <v>100000</v>
      </c>
      <c r="I42" s="252">
        <f t="shared" si="0"/>
        <v>18750</v>
      </c>
      <c r="J42" s="219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147"/>
      <c r="FD42" s="147"/>
      <c r="FE42" s="147"/>
      <c r="FF42" s="147"/>
      <c r="FG42" s="147"/>
      <c r="FH42" s="147"/>
      <c r="FI42" s="147"/>
      <c r="FJ42" s="147"/>
      <c r="FK42" s="147"/>
      <c r="FL42" s="147"/>
      <c r="FM42" s="147"/>
      <c r="FN42" s="147"/>
      <c r="FO42" s="147"/>
      <c r="FP42" s="147"/>
      <c r="FQ42" s="147"/>
      <c r="FR42" s="147"/>
      <c r="FS42" s="147"/>
      <c r="FT42" s="147"/>
      <c r="FU42" s="147"/>
      <c r="FV42" s="147"/>
      <c r="FW42" s="147"/>
      <c r="FX42" s="147"/>
      <c r="FY42" s="147"/>
      <c r="FZ42" s="147"/>
      <c r="GA42" s="147"/>
      <c r="GB42" s="147"/>
      <c r="GC42" s="147"/>
      <c r="GD42" s="147"/>
      <c r="GE42" s="147"/>
    </row>
    <row r="43" spans="2:187" s="259" customFormat="1" ht="16.5" customHeight="1">
      <c r="B43" s="251">
        <v>37</v>
      </c>
      <c r="C43" s="420" t="s">
        <v>250</v>
      </c>
      <c r="D43" s="420" t="s">
        <v>509</v>
      </c>
      <c r="E43" s="420" t="s">
        <v>510</v>
      </c>
      <c r="F43" s="420" t="s">
        <v>478</v>
      </c>
      <c r="G43" s="421">
        <v>3</v>
      </c>
      <c r="H43" s="421">
        <v>300000</v>
      </c>
      <c r="I43" s="252">
        <f t="shared" si="0"/>
        <v>56250</v>
      </c>
      <c r="J43" s="219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147"/>
      <c r="FD43" s="147"/>
      <c r="FE43" s="147"/>
      <c r="FF43" s="147"/>
      <c r="FG43" s="147"/>
      <c r="FH43" s="147"/>
      <c r="FI43" s="147"/>
      <c r="FJ43" s="147"/>
      <c r="FK43" s="147"/>
      <c r="FL43" s="147"/>
      <c r="FM43" s="147"/>
      <c r="FN43" s="147"/>
      <c r="FO43" s="147"/>
      <c r="FP43" s="147"/>
      <c r="FQ43" s="147"/>
      <c r="FR43" s="147"/>
      <c r="FS43" s="147"/>
      <c r="FT43" s="147"/>
      <c r="FU43" s="147"/>
      <c r="FV43" s="147"/>
      <c r="FW43" s="147"/>
      <c r="FX43" s="147"/>
      <c r="FY43" s="147"/>
      <c r="FZ43" s="147"/>
      <c r="GA43" s="147"/>
      <c r="GB43" s="147"/>
      <c r="GC43" s="147"/>
      <c r="GD43" s="147"/>
      <c r="GE43" s="147"/>
    </row>
    <row r="44" spans="2:187" s="259" customFormat="1" ht="16.5" customHeight="1">
      <c r="B44" s="251">
        <v>38</v>
      </c>
      <c r="C44" s="420" t="s">
        <v>250</v>
      </c>
      <c r="D44" s="420" t="s">
        <v>518</v>
      </c>
      <c r="E44" s="420" t="s">
        <v>519</v>
      </c>
      <c r="F44" s="420" t="s">
        <v>478</v>
      </c>
      <c r="G44" s="421">
        <v>4</v>
      </c>
      <c r="H44" s="421">
        <v>400000</v>
      </c>
      <c r="I44" s="252">
        <f t="shared" si="0"/>
        <v>75000</v>
      </c>
      <c r="J44" s="219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147"/>
      <c r="FD44" s="147"/>
      <c r="FE44" s="147"/>
      <c r="FF44" s="147"/>
      <c r="FG44" s="147"/>
      <c r="FH44" s="147"/>
      <c r="FI44" s="147"/>
      <c r="FJ44" s="147"/>
      <c r="FK44" s="147"/>
      <c r="FL44" s="147"/>
      <c r="FM44" s="147"/>
      <c r="FN44" s="147"/>
      <c r="FO44" s="147"/>
      <c r="FP44" s="147"/>
      <c r="FQ44" s="147"/>
      <c r="FR44" s="147"/>
      <c r="FS44" s="147"/>
      <c r="FT44" s="147"/>
      <c r="FU44" s="147"/>
      <c r="FV44" s="147"/>
      <c r="FW44" s="147"/>
      <c r="FX44" s="147"/>
      <c r="FY44" s="147"/>
      <c r="FZ44" s="147"/>
      <c r="GA44" s="147"/>
      <c r="GB44" s="147"/>
      <c r="GC44" s="147"/>
      <c r="GD44" s="147"/>
      <c r="GE44" s="147"/>
    </row>
    <row r="45" spans="2:187" s="259" customFormat="1" ht="16.5" customHeight="1">
      <c r="B45" s="251">
        <v>39</v>
      </c>
      <c r="C45" s="420" t="s">
        <v>250</v>
      </c>
      <c r="D45" s="420" t="s">
        <v>520</v>
      </c>
      <c r="E45" s="420" t="s">
        <v>512</v>
      </c>
      <c r="F45" s="420" t="s">
        <v>481</v>
      </c>
      <c r="G45" s="421">
        <v>1</v>
      </c>
      <c r="H45" s="421">
        <v>40300</v>
      </c>
      <c r="I45" s="252">
        <f t="shared" si="0"/>
        <v>7556.25</v>
      </c>
      <c r="J45" s="219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7"/>
      <c r="FJ45" s="147"/>
      <c r="FK45" s="147"/>
      <c r="FL45" s="147"/>
      <c r="FM45" s="147"/>
      <c r="FN45" s="147"/>
      <c r="FO45" s="147"/>
      <c r="FP45" s="147"/>
      <c r="FQ45" s="147"/>
      <c r="FR45" s="147"/>
      <c r="FS45" s="147"/>
      <c r="FT45" s="147"/>
      <c r="FU45" s="147"/>
      <c r="FV45" s="147"/>
      <c r="FW45" s="147"/>
      <c r="FX45" s="147"/>
      <c r="FY45" s="147"/>
      <c r="FZ45" s="147"/>
      <c r="GA45" s="147"/>
      <c r="GB45" s="147"/>
      <c r="GC45" s="147"/>
      <c r="GD45" s="147"/>
      <c r="GE45" s="147"/>
    </row>
    <row r="46" spans="2:187" s="259" customFormat="1" ht="16.5" customHeight="1">
      <c r="B46" s="251">
        <v>40</v>
      </c>
      <c r="C46" s="420" t="s">
        <v>250</v>
      </c>
      <c r="D46" s="420" t="s">
        <v>508</v>
      </c>
      <c r="E46" s="420" t="s">
        <v>141</v>
      </c>
      <c r="F46" s="420" t="s">
        <v>478</v>
      </c>
      <c r="G46" s="421">
        <v>10</v>
      </c>
      <c r="H46" s="421">
        <v>1000000</v>
      </c>
      <c r="I46" s="252">
        <f t="shared" si="0"/>
        <v>187500</v>
      </c>
      <c r="J46" s="219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7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7"/>
      <c r="FJ46" s="147"/>
      <c r="FK46" s="147"/>
      <c r="FL46" s="147"/>
      <c r="FM46" s="147"/>
      <c r="FN46" s="147"/>
      <c r="FO46" s="147"/>
      <c r="FP46" s="147"/>
      <c r="FQ46" s="147"/>
      <c r="FR46" s="147"/>
      <c r="FS46" s="147"/>
      <c r="FT46" s="147"/>
      <c r="FU46" s="147"/>
      <c r="FV46" s="147"/>
      <c r="FW46" s="147"/>
      <c r="FX46" s="147"/>
      <c r="FY46" s="147"/>
      <c r="FZ46" s="147"/>
      <c r="GA46" s="147"/>
      <c r="GB46" s="147"/>
      <c r="GC46" s="147"/>
      <c r="GD46" s="147"/>
      <c r="GE46" s="147"/>
    </row>
    <row r="47" spans="2:187" s="259" customFormat="1" ht="16.5" customHeight="1">
      <c r="B47" s="251">
        <v>41</v>
      </c>
      <c r="C47" s="420" t="s">
        <v>250</v>
      </c>
      <c r="D47" s="420" t="s">
        <v>511</v>
      </c>
      <c r="E47" s="420" t="s">
        <v>512</v>
      </c>
      <c r="F47" s="420" t="s">
        <v>478</v>
      </c>
      <c r="G47" s="421">
        <v>6</v>
      </c>
      <c r="H47" s="421">
        <v>600000</v>
      </c>
      <c r="I47" s="252">
        <f t="shared" si="0"/>
        <v>112500</v>
      </c>
      <c r="J47" s="219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  <c r="DL47" s="147"/>
      <c r="DM47" s="147"/>
      <c r="DN47" s="147"/>
      <c r="DO47" s="147"/>
      <c r="DP47" s="147"/>
      <c r="DQ47" s="147"/>
      <c r="DR47" s="147"/>
      <c r="DS47" s="147"/>
      <c r="DT47" s="147"/>
      <c r="DU47" s="147"/>
      <c r="DV47" s="147"/>
      <c r="DW47" s="147"/>
      <c r="DX47" s="147"/>
      <c r="DY47" s="147"/>
      <c r="DZ47" s="147"/>
      <c r="EA47" s="147"/>
      <c r="EB47" s="147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  <c r="EU47" s="147"/>
      <c r="EV47" s="147"/>
      <c r="EW47" s="147"/>
      <c r="EX47" s="147"/>
      <c r="EY47" s="147"/>
      <c r="EZ47" s="147"/>
      <c r="FA47" s="147"/>
      <c r="FB47" s="147"/>
      <c r="FC47" s="147"/>
      <c r="FD47" s="147"/>
      <c r="FE47" s="147"/>
      <c r="FF47" s="147"/>
      <c r="FG47" s="147"/>
      <c r="FH47" s="147"/>
      <c r="FI47" s="147"/>
      <c r="FJ47" s="147"/>
      <c r="FK47" s="147"/>
      <c r="FL47" s="147"/>
      <c r="FM47" s="147"/>
      <c r="FN47" s="147"/>
      <c r="FO47" s="147"/>
      <c r="FP47" s="147"/>
      <c r="FQ47" s="147"/>
      <c r="FR47" s="147"/>
      <c r="FS47" s="147"/>
      <c r="FT47" s="147"/>
      <c r="FU47" s="147"/>
      <c r="FV47" s="147"/>
      <c r="FW47" s="147"/>
      <c r="FX47" s="147"/>
      <c r="FY47" s="147"/>
      <c r="FZ47" s="147"/>
      <c r="GA47" s="147"/>
      <c r="GB47" s="147"/>
      <c r="GC47" s="147"/>
      <c r="GD47" s="147"/>
      <c r="GE47" s="147"/>
    </row>
    <row r="48" spans="2:187" s="259" customFormat="1" ht="16.5" customHeight="1">
      <c r="B48" s="251">
        <v>42</v>
      </c>
      <c r="C48" s="420" t="s">
        <v>250</v>
      </c>
      <c r="D48" s="420" t="s">
        <v>521</v>
      </c>
      <c r="E48" s="420" t="s">
        <v>522</v>
      </c>
      <c r="F48" s="420" t="s">
        <v>481</v>
      </c>
      <c r="G48" s="421">
        <v>1</v>
      </c>
      <c r="H48" s="421">
        <v>100000</v>
      </c>
      <c r="I48" s="252">
        <f t="shared" si="0"/>
        <v>18750</v>
      </c>
      <c r="J48" s="219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  <c r="CC48" s="147"/>
      <c r="CD48" s="147"/>
      <c r="CE48" s="147"/>
      <c r="CF48" s="147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47"/>
      <c r="CR48" s="147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47"/>
      <c r="DD48" s="147"/>
      <c r="DE48" s="147"/>
      <c r="DF48" s="147"/>
      <c r="DG48" s="147"/>
      <c r="DH48" s="147"/>
      <c r="DI48" s="147"/>
      <c r="DJ48" s="147"/>
      <c r="DK48" s="147"/>
      <c r="DL48" s="147"/>
      <c r="DM48" s="147"/>
      <c r="DN48" s="147"/>
      <c r="DO48" s="147"/>
      <c r="DP48" s="147"/>
      <c r="DQ48" s="147"/>
      <c r="DR48" s="147"/>
      <c r="DS48" s="147"/>
      <c r="DT48" s="147"/>
      <c r="DU48" s="147"/>
      <c r="DV48" s="147"/>
      <c r="DW48" s="147"/>
      <c r="DX48" s="147"/>
      <c r="DY48" s="147"/>
      <c r="DZ48" s="147"/>
      <c r="EA48" s="147"/>
      <c r="EB48" s="147"/>
      <c r="EC48" s="147"/>
      <c r="ED48" s="147"/>
      <c r="EE48" s="147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7"/>
      <c r="ER48" s="147"/>
      <c r="ES48" s="147"/>
      <c r="ET48" s="147"/>
      <c r="EU48" s="147"/>
      <c r="EV48" s="147"/>
      <c r="EW48" s="147"/>
      <c r="EX48" s="147"/>
      <c r="EY48" s="147"/>
      <c r="EZ48" s="147"/>
      <c r="FA48" s="147"/>
      <c r="FB48" s="147"/>
      <c r="FC48" s="147"/>
      <c r="FD48" s="147"/>
      <c r="FE48" s="147"/>
      <c r="FF48" s="147"/>
      <c r="FG48" s="147"/>
      <c r="FH48" s="147"/>
      <c r="FI48" s="147"/>
      <c r="FJ48" s="147"/>
      <c r="FK48" s="147"/>
      <c r="FL48" s="147"/>
      <c r="FM48" s="147"/>
      <c r="FN48" s="147"/>
      <c r="FO48" s="147"/>
      <c r="FP48" s="147"/>
      <c r="FQ48" s="147"/>
      <c r="FR48" s="147"/>
      <c r="FS48" s="147"/>
      <c r="FT48" s="147"/>
      <c r="FU48" s="147"/>
      <c r="FV48" s="147"/>
      <c r="FW48" s="147"/>
      <c r="FX48" s="147"/>
      <c r="FY48" s="147"/>
      <c r="FZ48" s="147"/>
      <c r="GA48" s="147"/>
      <c r="GB48" s="147"/>
      <c r="GC48" s="147"/>
      <c r="GD48" s="147"/>
      <c r="GE48" s="147"/>
    </row>
    <row r="49" spans="2:187" s="259" customFormat="1" ht="16.5" customHeight="1">
      <c r="B49" s="251">
        <v>43</v>
      </c>
      <c r="C49" s="420" t="s">
        <v>250</v>
      </c>
      <c r="D49" s="420" t="s">
        <v>523</v>
      </c>
      <c r="E49" s="420" t="s">
        <v>146</v>
      </c>
      <c r="F49" s="420" t="s">
        <v>481</v>
      </c>
      <c r="G49" s="421">
        <v>1</v>
      </c>
      <c r="H49" s="421">
        <v>100000</v>
      </c>
      <c r="I49" s="252">
        <f t="shared" si="0"/>
        <v>18750</v>
      </c>
      <c r="J49" s="219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  <c r="CC49" s="147"/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/>
      <c r="CR49" s="147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47"/>
      <c r="DD49" s="147"/>
      <c r="DE49" s="147"/>
      <c r="DF49" s="147"/>
      <c r="DG49" s="147"/>
      <c r="DH49" s="147"/>
      <c r="DI49" s="147"/>
      <c r="DJ49" s="147"/>
      <c r="DK49" s="147"/>
      <c r="DL49" s="147"/>
      <c r="DM49" s="147"/>
      <c r="DN49" s="147"/>
      <c r="DO49" s="147"/>
      <c r="DP49" s="147"/>
      <c r="DQ49" s="147"/>
      <c r="DR49" s="147"/>
      <c r="DS49" s="147"/>
      <c r="DT49" s="147"/>
      <c r="DU49" s="147"/>
      <c r="DV49" s="147"/>
      <c r="DW49" s="147"/>
      <c r="DX49" s="147"/>
      <c r="DY49" s="147"/>
      <c r="DZ49" s="147"/>
      <c r="EA49" s="147"/>
      <c r="EB49" s="147"/>
      <c r="EC49" s="147"/>
      <c r="ED49" s="147"/>
      <c r="EE49" s="147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7"/>
      <c r="ER49" s="147"/>
      <c r="ES49" s="147"/>
      <c r="ET49" s="147"/>
      <c r="EU49" s="147"/>
      <c r="EV49" s="147"/>
      <c r="EW49" s="147"/>
      <c r="EX49" s="147"/>
      <c r="EY49" s="147"/>
      <c r="EZ49" s="147"/>
      <c r="FA49" s="147"/>
      <c r="FB49" s="147"/>
      <c r="FC49" s="147"/>
      <c r="FD49" s="147"/>
      <c r="FE49" s="147"/>
      <c r="FF49" s="147"/>
      <c r="FG49" s="147"/>
      <c r="FH49" s="147"/>
      <c r="FI49" s="147"/>
      <c r="FJ49" s="147"/>
      <c r="FK49" s="147"/>
      <c r="FL49" s="147"/>
      <c r="FM49" s="147"/>
      <c r="FN49" s="147"/>
      <c r="FO49" s="147"/>
      <c r="FP49" s="147"/>
      <c r="FQ49" s="147"/>
      <c r="FR49" s="147"/>
      <c r="FS49" s="147"/>
      <c r="FT49" s="147"/>
      <c r="FU49" s="147"/>
      <c r="FV49" s="147"/>
      <c r="FW49" s="147"/>
      <c r="FX49" s="147"/>
      <c r="FY49" s="147"/>
      <c r="FZ49" s="147"/>
      <c r="GA49" s="147"/>
      <c r="GB49" s="147"/>
      <c r="GC49" s="147"/>
      <c r="GD49" s="147"/>
      <c r="GE49" s="147"/>
    </row>
    <row r="50" spans="2:187" s="259" customFormat="1" ht="16.5" customHeight="1">
      <c r="B50" s="251">
        <v>44</v>
      </c>
      <c r="C50" s="420" t="s">
        <v>250</v>
      </c>
      <c r="D50" s="420" t="s">
        <v>508</v>
      </c>
      <c r="E50" s="420" t="s">
        <v>141</v>
      </c>
      <c r="F50" s="420" t="s">
        <v>495</v>
      </c>
      <c r="G50" s="421">
        <v>1</v>
      </c>
      <c r="H50" s="421">
        <v>200000</v>
      </c>
      <c r="I50" s="252">
        <f t="shared" si="0"/>
        <v>37500</v>
      </c>
      <c r="J50" s="219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47"/>
      <c r="DN50" s="147"/>
      <c r="DO50" s="147"/>
      <c r="DP50" s="147"/>
      <c r="DQ50" s="147"/>
      <c r="DR50" s="147"/>
      <c r="DS50" s="147"/>
      <c r="DT50" s="147"/>
      <c r="DU50" s="147"/>
      <c r="DV50" s="147"/>
      <c r="DW50" s="147"/>
      <c r="DX50" s="147"/>
      <c r="DY50" s="147"/>
      <c r="DZ50" s="147"/>
      <c r="EA50" s="147"/>
      <c r="EB50" s="147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  <c r="EZ50" s="147"/>
      <c r="FA50" s="147"/>
      <c r="FB50" s="147"/>
      <c r="FC50" s="147"/>
      <c r="FD50" s="147"/>
      <c r="FE50" s="147"/>
      <c r="FF50" s="147"/>
      <c r="FG50" s="147"/>
      <c r="FH50" s="147"/>
      <c r="FI50" s="147"/>
      <c r="FJ50" s="147"/>
      <c r="FK50" s="147"/>
      <c r="FL50" s="147"/>
      <c r="FM50" s="147"/>
      <c r="FN50" s="147"/>
      <c r="FO50" s="147"/>
      <c r="FP50" s="147"/>
      <c r="FQ50" s="147"/>
      <c r="FR50" s="147"/>
      <c r="FS50" s="147"/>
      <c r="FT50" s="147"/>
      <c r="FU50" s="147"/>
      <c r="FV50" s="147"/>
      <c r="FW50" s="147"/>
      <c r="FX50" s="147"/>
      <c r="FY50" s="147"/>
      <c r="FZ50" s="147"/>
      <c r="GA50" s="147"/>
      <c r="GB50" s="147"/>
      <c r="GC50" s="147"/>
      <c r="GD50" s="147"/>
      <c r="GE50" s="147"/>
    </row>
    <row r="51" spans="2:187" s="259" customFormat="1" ht="16.5" customHeight="1">
      <c r="B51" s="251">
        <v>45</v>
      </c>
      <c r="C51" s="420" t="s">
        <v>260</v>
      </c>
      <c r="D51" s="420" t="s">
        <v>524</v>
      </c>
      <c r="E51" s="420" t="s">
        <v>525</v>
      </c>
      <c r="F51" s="420" t="s">
        <v>488</v>
      </c>
      <c r="G51" s="421">
        <v>1</v>
      </c>
      <c r="H51" s="421">
        <v>100000</v>
      </c>
      <c r="I51" s="252">
        <f t="shared" si="0"/>
        <v>18750</v>
      </c>
      <c r="J51" s="219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  <c r="DL51" s="147"/>
      <c r="DM51" s="147"/>
      <c r="DN51" s="147"/>
      <c r="DO51" s="147"/>
      <c r="DP51" s="147"/>
      <c r="DQ51" s="147"/>
      <c r="DR51" s="147"/>
      <c r="DS51" s="147"/>
      <c r="DT51" s="147"/>
      <c r="DU51" s="147"/>
      <c r="DV51" s="147"/>
      <c r="DW51" s="147"/>
      <c r="DX51" s="147"/>
      <c r="DY51" s="147"/>
      <c r="DZ51" s="147"/>
      <c r="EA51" s="147"/>
      <c r="EB51" s="147"/>
      <c r="EC51" s="147"/>
      <c r="ED51" s="147"/>
      <c r="EE51" s="147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7"/>
      <c r="ER51" s="147"/>
      <c r="ES51" s="147"/>
      <c r="ET51" s="147"/>
      <c r="EU51" s="147"/>
      <c r="EV51" s="147"/>
      <c r="EW51" s="147"/>
      <c r="EX51" s="147"/>
      <c r="EY51" s="147"/>
      <c r="EZ51" s="147"/>
      <c r="FA51" s="147"/>
      <c r="FB51" s="147"/>
      <c r="FC51" s="147"/>
      <c r="FD51" s="147"/>
      <c r="FE51" s="147"/>
      <c r="FF51" s="147"/>
      <c r="FG51" s="147"/>
      <c r="FH51" s="147"/>
      <c r="FI51" s="147"/>
      <c r="FJ51" s="147"/>
      <c r="FK51" s="147"/>
      <c r="FL51" s="147"/>
      <c r="FM51" s="147"/>
      <c r="FN51" s="147"/>
      <c r="FO51" s="147"/>
      <c r="FP51" s="147"/>
      <c r="FQ51" s="147"/>
      <c r="FR51" s="147"/>
      <c r="FS51" s="147"/>
      <c r="FT51" s="147"/>
      <c r="FU51" s="147"/>
      <c r="FV51" s="147"/>
      <c r="FW51" s="147"/>
      <c r="FX51" s="147"/>
      <c r="FY51" s="147"/>
      <c r="FZ51" s="147"/>
      <c r="GA51" s="147"/>
      <c r="GB51" s="147"/>
      <c r="GC51" s="147"/>
      <c r="GD51" s="147"/>
      <c r="GE51" s="147"/>
    </row>
    <row r="52" spans="2:187" s="259" customFormat="1" ht="16.5" customHeight="1">
      <c r="B52" s="251">
        <v>46</v>
      </c>
      <c r="C52" s="420" t="s">
        <v>260</v>
      </c>
      <c r="D52" s="420" t="s">
        <v>526</v>
      </c>
      <c r="E52" s="420" t="s">
        <v>499</v>
      </c>
      <c r="F52" s="420" t="s">
        <v>488</v>
      </c>
      <c r="G52" s="421">
        <v>4</v>
      </c>
      <c r="H52" s="421">
        <v>400000</v>
      </c>
      <c r="I52" s="252">
        <f t="shared" si="0"/>
        <v>75000</v>
      </c>
      <c r="J52" s="219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  <c r="DL52" s="147"/>
      <c r="DM52" s="147"/>
      <c r="DN52" s="147"/>
      <c r="DO52" s="147"/>
      <c r="DP52" s="147"/>
      <c r="DQ52" s="147"/>
      <c r="DR52" s="147"/>
      <c r="DS52" s="147"/>
      <c r="DT52" s="147"/>
      <c r="DU52" s="147"/>
      <c r="DV52" s="147"/>
      <c r="DW52" s="147"/>
      <c r="DX52" s="147"/>
      <c r="DY52" s="147"/>
      <c r="DZ52" s="147"/>
      <c r="EA52" s="147"/>
      <c r="EB52" s="147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  <c r="EZ52" s="147"/>
      <c r="FA52" s="147"/>
      <c r="FB52" s="147"/>
      <c r="FC52" s="147"/>
      <c r="FD52" s="147"/>
      <c r="FE52" s="147"/>
      <c r="FF52" s="147"/>
      <c r="FG52" s="147"/>
      <c r="FH52" s="147"/>
      <c r="FI52" s="147"/>
      <c r="FJ52" s="147"/>
      <c r="FK52" s="147"/>
      <c r="FL52" s="147"/>
      <c r="FM52" s="147"/>
      <c r="FN52" s="147"/>
      <c r="FO52" s="147"/>
      <c r="FP52" s="147"/>
      <c r="FQ52" s="147"/>
      <c r="FR52" s="147"/>
      <c r="FS52" s="147"/>
      <c r="FT52" s="147"/>
      <c r="FU52" s="147"/>
      <c r="FV52" s="147"/>
      <c r="FW52" s="147"/>
      <c r="FX52" s="147"/>
      <c r="FY52" s="147"/>
      <c r="FZ52" s="147"/>
      <c r="GA52" s="147"/>
      <c r="GB52" s="147"/>
      <c r="GC52" s="147"/>
      <c r="GD52" s="147"/>
      <c r="GE52" s="147"/>
    </row>
    <row r="53" spans="2:187" s="259" customFormat="1" ht="16.5" customHeight="1">
      <c r="B53" s="251">
        <v>47</v>
      </c>
      <c r="C53" s="420" t="s">
        <v>260</v>
      </c>
      <c r="D53" s="420" t="s">
        <v>527</v>
      </c>
      <c r="E53" s="420" t="s">
        <v>136</v>
      </c>
      <c r="F53" s="420" t="s">
        <v>488</v>
      </c>
      <c r="G53" s="421">
        <v>2</v>
      </c>
      <c r="H53" s="421">
        <v>200000</v>
      </c>
      <c r="I53" s="252">
        <f t="shared" si="0"/>
        <v>37500</v>
      </c>
      <c r="J53" s="219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  <c r="DL53" s="147"/>
      <c r="DM53" s="147"/>
      <c r="DN53" s="147"/>
      <c r="DO53" s="147"/>
      <c r="DP53" s="147"/>
      <c r="DQ53" s="147"/>
      <c r="DR53" s="147"/>
      <c r="DS53" s="147"/>
      <c r="DT53" s="147"/>
      <c r="DU53" s="147"/>
      <c r="DV53" s="147"/>
      <c r="DW53" s="147"/>
      <c r="DX53" s="147"/>
      <c r="DY53" s="147"/>
      <c r="DZ53" s="147"/>
      <c r="EA53" s="147"/>
      <c r="EB53" s="147"/>
      <c r="EC53" s="147"/>
      <c r="ED53" s="147"/>
      <c r="EE53" s="147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7"/>
      <c r="ER53" s="147"/>
      <c r="ES53" s="147"/>
      <c r="ET53" s="147"/>
      <c r="EU53" s="147"/>
      <c r="EV53" s="147"/>
      <c r="EW53" s="147"/>
      <c r="EX53" s="147"/>
      <c r="EY53" s="147"/>
      <c r="EZ53" s="147"/>
      <c r="FA53" s="147"/>
      <c r="FB53" s="147"/>
      <c r="FC53" s="147"/>
      <c r="FD53" s="147"/>
      <c r="FE53" s="147"/>
      <c r="FF53" s="147"/>
      <c r="FG53" s="147"/>
      <c r="FH53" s="147"/>
      <c r="FI53" s="147"/>
      <c r="FJ53" s="147"/>
      <c r="FK53" s="147"/>
      <c r="FL53" s="147"/>
      <c r="FM53" s="147"/>
      <c r="FN53" s="147"/>
      <c r="FO53" s="147"/>
      <c r="FP53" s="147"/>
      <c r="FQ53" s="147"/>
      <c r="FR53" s="147"/>
      <c r="FS53" s="147"/>
      <c r="FT53" s="147"/>
      <c r="FU53" s="147"/>
      <c r="FV53" s="147"/>
      <c r="FW53" s="147"/>
      <c r="FX53" s="147"/>
      <c r="FY53" s="147"/>
      <c r="FZ53" s="147"/>
      <c r="GA53" s="147"/>
      <c r="GB53" s="147"/>
      <c r="GC53" s="147"/>
      <c r="GD53" s="147"/>
      <c r="GE53" s="147"/>
    </row>
    <row r="54" spans="2:187" s="259" customFormat="1" ht="16.5" customHeight="1">
      <c r="B54" s="251">
        <v>48</v>
      </c>
      <c r="C54" s="420" t="s">
        <v>260</v>
      </c>
      <c r="D54" s="420" t="s">
        <v>528</v>
      </c>
      <c r="E54" s="420" t="s">
        <v>499</v>
      </c>
      <c r="F54" s="420" t="s">
        <v>475</v>
      </c>
      <c r="G54" s="421">
        <v>3</v>
      </c>
      <c r="H54" s="421">
        <v>300000</v>
      </c>
      <c r="I54" s="252">
        <f t="shared" si="0"/>
        <v>56250</v>
      </c>
      <c r="J54" s="219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  <c r="DL54" s="147"/>
      <c r="DM54" s="147"/>
      <c r="DN54" s="147"/>
      <c r="DO54" s="147"/>
      <c r="DP54" s="147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  <c r="EB54" s="147"/>
      <c r="EC54" s="147"/>
      <c r="ED54" s="147"/>
      <c r="EE54" s="147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7"/>
      <c r="ER54" s="147"/>
      <c r="ES54" s="147"/>
      <c r="ET54" s="147"/>
      <c r="EU54" s="147"/>
      <c r="EV54" s="147"/>
      <c r="EW54" s="147"/>
      <c r="EX54" s="147"/>
      <c r="EY54" s="147"/>
      <c r="EZ54" s="147"/>
      <c r="FA54" s="147"/>
      <c r="FB54" s="147"/>
      <c r="FC54" s="147"/>
      <c r="FD54" s="147"/>
      <c r="FE54" s="147"/>
      <c r="FF54" s="147"/>
      <c r="FG54" s="147"/>
      <c r="FH54" s="147"/>
      <c r="FI54" s="147"/>
      <c r="FJ54" s="147"/>
      <c r="FK54" s="147"/>
      <c r="FL54" s="147"/>
      <c r="FM54" s="147"/>
      <c r="FN54" s="147"/>
      <c r="FO54" s="147"/>
      <c r="FP54" s="147"/>
      <c r="FQ54" s="147"/>
      <c r="FR54" s="147"/>
      <c r="FS54" s="147"/>
      <c r="FT54" s="147"/>
      <c r="FU54" s="147"/>
      <c r="FV54" s="147"/>
      <c r="FW54" s="147"/>
      <c r="FX54" s="147"/>
      <c r="FY54" s="147"/>
      <c r="FZ54" s="147"/>
      <c r="GA54" s="147"/>
      <c r="GB54" s="147"/>
      <c r="GC54" s="147"/>
      <c r="GD54" s="147"/>
      <c r="GE54" s="147"/>
    </row>
    <row r="55" spans="2:187" s="259" customFormat="1" ht="16.5" customHeight="1">
      <c r="B55" s="251">
        <v>49</v>
      </c>
      <c r="C55" s="420" t="s">
        <v>260</v>
      </c>
      <c r="D55" s="420" t="s">
        <v>524</v>
      </c>
      <c r="E55" s="420" t="s">
        <v>525</v>
      </c>
      <c r="F55" s="420" t="s">
        <v>475</v>
      </c>
      <c r="G55" s="421">
        <v>1</v>
      </c>
      <c r="H55" s="421">
        <v>100000</v>
      </c>
      <c r="I55" s="252">
        <f t="shared" si="0"/>
        <v>18750</v>
      </c>
      <c r="J55" s="219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  <c r="CE55" s="147"/>
      <c r="CF55" s="147"/>
      <c r="CG55" s="147"/>
      <c r="CH55" s="147"/>
      <c r="CI55" s="147"/>
      <c r="CJ55" s="147"/>
      <c r="CK55" s="147"/>
      <c r="CL55" s="147"/>
      <c r="CM55" s="147"/>
      <c r="CN55" s="147"/>
      <c r="CO55" s="147"/>
      <c r="CP55" s="147"/>
      <c r="CQ55" s="147"/>
      <c r="CR55" s="147"/>
      <c r="CS55" s="147"/>
      <c r="CT55" s="147"/>
      <c r="CU55" s="147"/>
      <c r="CV55" s="147"/>
      <c r="CW55" s="147"/>
      <c r="CX55" s="147"/>
      <c r="CY55" s="147"/>
      <c r="CZ55" s="147"/>
      <c r="DA55" s="147"/>
      <c r="DB55" s="147"/>
      <c r="DC55" s="147"/>
      <c r="DD55" s="147"/>
      <c r="DE55" s="147"/>
      <c r="DF55" s="147"/>
      <c r="DG55" s="147"/>
      <c r="DH55" s="147"/>
      <c r="DI55" s="147"/>
      <c r="DJ55" s="147"/>
      <c r="DK55" s="147"/>
      <c r="DL55" s="147"/>
      <c r="DM55" s="147"/>
      <c r="DN55" s="147"/>
      <c r="DO55" s="147"/>
      <c r="DP55" s="147"/>
      <c r="DQ55" s="147"/>
      <c r="DR55" s="147"/>
      <c r="DS55" s="147"/>
      <c r="DT55" s="147"/>
      <c r="DU55" s="147"/>
      <c r="DV55" s="147"/>
      <c r="DW55" s="147"/>
      <c r="DX55" s="147"/>
      <c r="DY55" s="147"/>
      <c r="DZ55" s="147"/>
      <c r="EA55" s="147"/>
      <c r="EB55" s="147"/>
      <c r="EC55" s="147"/>
      <c r="ED55" s="147"/>
      <c r="EE55" s="147"/>
      <c r="EF55" s="147"/>
      <c r="EG55" s="147"/>
      <c r="EH55" s="147"/>
      <c r="EI55" s="147"/>
      <c r="EJ55" s="147"/>
      <c r="EK55" s="147"/>
      <c r="EL55" s="147"/>
      <c r="EM55" s="147"/>
      <c r="EN55" s="147"/>
      <c r="EO55" s="147"/>
      <c r="EP55" s="147"/>
      <c r="EQ55" s="147"/>
      <c r="ER55" s="147"/>
      <c r="ES55" s="147"/>
      <c r="ET55" s="147"/>
      <c r="EU55" s="147"/>
      <c r="EV55" s="147"/>
      <c r="EW55" s="147"/>
      <c r="EX55" s="147"/>
      <c r="EY55" s="147"/>
      <c r="EZ55" s="147"/>
      <c r="FA55" s="147"/>
      <c r="FB55" s="147"/>
      <c r="FC55" s="147"/>
      <c r="FD55" s="147"/>
      <c r="FE55" s="147"/>
      <c r="FF55" s="147"/>
      <c r="FG55" s="147"/>
      <c r="FH55" s="147"/>
      <c r="FI55" s="147"/>
      <c r="FJ55" s="147"/>
      <c r="FK55" s="147"/>
      <c r="FL55" s="147"/>
      <c r="FM55" s="147"/>
      <c r="FN55" s="147"/>
      <c r="FO55" s="147"/>
      <c r="FP55" s="147"/>
      <c r="FQ55" s="147"/>
      <c r="FR55" s="147"/>
      <c r="FS55" s="147"/>
      <c r="FT55" s="147"/>
      <c r="FU55" s="147"/>
      <c r="FV55" s="147"/>
      <c r="FW55" s="147"/>
      <c r="FX55" s="147"/>
      <c r="FY55" s="147"/>
      <c r="FZ55" s="147"/>
      <c r="GA55" s="147"/>
      <c r="GB55" s="147"/>
      <c r="GC55" s="147"/>
      <c r="GD55" s="147"/>
      <c r="GE55" s="147"/>
    </row>
    <row r="56" spans="2:187" s="259" customFormat="1" ht="16.5" customHeight="1">
      <c r="B56" s="251">
        <v>50</v>
      </c>
      <c r="C56" s="420" t="s">
        <v>260</v>
      </c>
      <c r="D56" s="420" t="s">
        <v>529</v>
      </c>
      <c r="E56" s="420" t="s">
        <v>530</v>
      </c>
      <c r="F56" s="420" t="s">
        <v>488</v>
      </c>
      <c r="G56" s="421">
        <v>9</v>
      </c>
      <c r="H56" s="421">
        <v>900000</v>
      </c>
      <c r="I56" s="252">
        <f t="shared" si="0"/>
        <v>168750</v>
      </c>
      <c r="J56" s="219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  <c r="CC56" s="147"/>
      <c r="CD56" s="147"/>
      <c r="CE56" s="147"/>
      <c r="CF56" s="147"/>
      <c r="CG56" s="147"/>
      <c r="CH56" s="147"/>
      <c r="CI56" s="147"/>
      <c r="CJ56" s="147"/>
      <c r="CK56" s="147"/>
      <c r="CL56" s="147"/>
      <c r="CM56" s="147"/>
      <c r="CN56" s="147"/>
      <c r="CO56" s="147"/>
      <c r="CP56" s="147"/>
      <c r="CQ56" s="147"/>
      <c r="CR56" s="147"/>
      <c r="CS56" s="147"/>
      <c r="CT56" s="147"/>
      <c r="CU56" s="147"/>
      <c r="CV56" s="147"/>
      <c r="CW56" s="147"/>
      <c r="CX56" s="147"/>
      <c r="CY56" s="147"/>
      <c r="CZ56" s="147"/>
      <c r="DA56" s="147"/>
      <c r="DB56" s="147"/>
      <c r="DC56" s="147"/>
      <c r="DD56" s="147"/>
      <c r="DE56" s="147"/>
      <c r="DF56" s="147"/>
      <c r="DG56" s="147"/>
      <c r="DH56" s="147"/>
      <c r="DI56" s="147"/>
      <c r="DJ56" s="147"/>
      <c r="DK56" s="147"/>
      <c r="DL56" s="147"/>
      <c r="DM56" s="147"/>
      <c r="DN56" s="147"/>
      <c r="DO56" s="147"/>
      <c r="DP56" s="147"/>
      <c r="DQ56" s="147"/>
      <c r="DR56" s="147"/>
      <c r="DS56" s="147"/>
      <c r="DT56" s="147"/>
      <c r="DU56" s="147"/>
      <c r="DV56" s="147"/>
      <c r="DW56" s="147"/>
      <c r="DX56" s="147"/>
      <c r="DY56" s="147"/>
      <c r="DZ56" s="147"/>
      <c r="EA56" s="147"/>
      <c r="EB56" s="147"/>
      <c r="EC56" s="147"/>
      <c r="ED56" s="147"/>
      <c r="EE56" s="147"/>
      <c r="EF56" s="147"/>
      <c r="EG56" s="147"/>
      <c r="EH56" s="147"/>
      <c r="EI56" s="147"/>
      <c r="EJ56" s="147"/>
      <c r="EK56" s="147"/>
      <c r="EL56" s="147"/>
      <c r="EM56" s="147"/>
      <c r="EN56" s="147"/>
      <c r="EO56" s="147"/>
      <c r="EP56" s="147"/>
      <c r="EQ56" s="147"/>
      <c r="ER56" s="147"/>
      <c r="ES56" s="147"/>
      <c r="ET56" s="147"/>
      <c r="EU56" s="147"/>
      <c r="EV56" s="147"/>
      <c r="EW56" s="147"/>
      <c r="EX56" s="147"/>
      <c r="EY56" s="147"/>
      <c r="EZ56" s="147"/>
      <c r="FA56" s="147"/>
      <c r="FB56" s="147"/>
      <c r="FC56" s="147"/>
      <c r="FD56" s="147"/>
      <c r="FE56" s="147"/>
      <c r="FF56" s="147"/>
      <c r="FG56" s="147"/>
      <c r="FH56" s="147"/>
      <c r="FI56" s="147"/>
      <c r="FJ56" s="147"/>
      <c r="FK56" s="147"/>
      <c r="FL56" s="147"/>
      <c r="FM56" s="147"/>
      <c r="FN56" s="147"/>
      <c r="FO56" s="147"/>
      <c r="FP56" s="147"/>
      <c r="FQ56" s="147"/>
      <c r="FR56" s="147"/>
      <c r="FS56" s="147"/>
      <c r="FT56" s="147"/>
      <c r="FU56" s="147"/>
      <c r="FV56" s="147"/>
      <c r="FW56" s="147"/>
      <c r="FX56" s="147"/>
      <c r="FY56" s="147"/>
      <c r="FZ56" s="147"/>
      <c r="GA56" s="147"/>
      <c r="GB56" s="147"/>
      <c r="GC56" s="147"/>
      <c r="GD56" s="147"/>
      <c r="GE56" s="147"/>
    </row>
    <row r="57" spans="2:187" s="259" customFormat="1" ht="16.5" customHeight="1">
      <c r="B57" s="251">
        <v>51</v>
      </c>
      <c r="C57" s="420" t="s">
        <v>260</v>
      </c>
      <c r="D57" s="420" t="s">
        <v>531</v>
      </c>
      <c r="E57" s="420" t="s">
        <v>139</v>
      </c>
      <c r="F57" s="420" t="s">
        <v>481</v>
      </c>
      <c r="G57" s="421">
        <v>1</v>
      </c>
      <c r="H57" s="421">
        <v>100000</v>
      </c>
      <c r="I57" s="252">
        <f t="shared" si="0"/>
        <v>18750</v>
      </c>
      <c r="J57" s="219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  <c r="CE57" s="147"/>
      <c r="CF57" s="147"/>
      <c r="CG57" s="147"/>
      <c r="CH57" s="147"/>
      <c r="CI57" s="147"/>
      <c r="CJ57" s="147"/>
      <c r="CK57" s="147"/>
      <c r="CL57" s="147"/>
      <c r="CM57" s="147"/>
      <c r="CN57" s="147"/>
      <c r="CO57" s="147"/>
      <c r="CP57" s="147"/>
      <c r="CQ57" s="147"/>
      <c r="CR57" s="147"/>
      <c r="CS57" s="147"/>
      <c r="CT57" s="147"/>
      <c r="CU57" s="147"/>
      <c r="CV57" s="147"/>
      <c r="CW57" s="147"/>
      <c r="CX57" s="147"/>
      <c r="CY57" s="147"/>
      <c r="CZ57" s="147"/>
      <c r="DA57" s="147"/>
      <c r="DB57" s="147"/>
      <c r="DC57" s="147"/>
      <c r="DD57" s="147"/>
      <c r="DE57" s="147"/>
      <c r="DF57" s="147"/>
      <c r="DG57" s="147"/>
      <c r="DH57" s="147"/>
      <c r="DI57" s="147"/>
      <c r="DJ57" s="147"/>
      <c r="DK57" s="147"/>
      <c r="DL57" s="147"/>
      <c r="DM57" s="147"/>
      <c r="DN57" s="147"/>
      <c r="DO57" s="147"/>
      <c r="DP57" s="147"/>
      <c r="DQ57" s="147"/>
      <c r="DR57" s="147"/>
      <c r="DS57" s="147"/>
      <c r="DT57" s="147"/>
      <c r="DU57" s="147"/>
      <c r="DV57" s="147"/>
      <c r="DW57" s="147"/>
      <c r="DX57" s="147"/>
      <c r="DY57" s="147"/>
      <c r="DZ57" s="147"/>
      <c r="EA57" s="147"/>
      <c r="EB57" s="147"/>
      <c r="EC57" s="147"/>
      <c r="ED57" s="147"/>
      <c r="EE57" s="147"/>
      <c r="EF57" s="147"/>
      <c r="EG57" s="147"/>
      <c r="EH57" s="147"/>
      <c r="EI57" s="147"/>
      <c r="EJ57" s="147"/>
      <c r="EK57" s="147"/>
      <c r="EL57" s="147"/>
      <c r="EM57" s="147"/>
      <c r="EN57" s="147"/>
      <c r="EO57" s="147"/>
      <c r="EP57" s="147"/>
      <c r="EQ57" s="147"/>
      <c r="ER57" s="147"/>
      <c r="ES57" s="147"/>
      <c r="ET57" s="147"/>
      <c r="EU57" s="147"/>
      <c r="EV57" s="147"/>
      <c r="EW57" s="147"/>
      <c r="EX57" s="147"/>
      <c r="EY57" s="147"/>
      <c r="EZ57" s="147"/>
      <c r="FA57" s="147"/>
      <c r="FB57" s="147"/>
      <c r="FC57" s="147"/>
      <c r="FD57" s="147"/>
      <c r="FE57" s="147"/>
      <c r="FF57" s="147"/>
      <c r="FG57" s="147"/>
      <c r="FH57" s="147"/>
      <c r="FI57" s="147"/>
      <c r="FJ57" s="147"/>
      <c r="FK57" s="147"/>
      <c r="FL57" s="147"/>
      <c r="FM57" s="147"/>
      <c r="FN57" s="147"/>
      <c r="FO57" s="147"/>
      <c r="FP57" s="147"/>
      <c r="FQ57" s="147"/>
      <c r="FR57" s="147"/>
      <c r="FS57" s="147"/>
      <c r="FT57" s="147"/>
      <c r="FU57" s="147"/>
      <c r="FV57" s="147"/>
      <c r="FW57" s="147"/>
      <c r="FX57" s="147"/>
      <c r="FY57" s="147"/>
      <c r="FZ57" s="147"/>
      <c r="GA57" s="147"/>
      <c r="GB57" s="147"/>
      <c r="GC57" s="147"/>
      <c r="GD57" s="147"/>
      <c r="GE57" s="147"/>
    </row>
    <row r="58" spans="2:187" s="259" customFormat="1" ht="16.5" customHeight="1">
      <c r="B58" s="251">
        <v>52</v>
      </c>
      <c r="C58" s="420" t="s">
        <v>260</v>
      </c>
      <c r="D58" s="420" t="s">
        <v>176</v>
      </c>
      <c r="E58" s="420" t="s">
        <v>174</v>
      </c>
      <c r="F58" s="420" t="s">
        <v>481</v>
      </c>
      <c r="G58" s="421">
        <v>1</v>
      </c>
      <c r="H58" s="421">
        <v>100000</v>
      </c>
      <c r="I58" s="252">
        <f t="shared" si="0"/>
        <v>18750</v>
      </c>
      <c r="J58" s="219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  <c r="CC58" s="147"/>
      <c r="CD58" s="147"/>
      <c r="CE58" s="147"/>
      <c r="CF58" s="147"/>
      <c r="CG58" s="147"/>
      <c r="CH58" s="147"/>
      <c r="CI58" s="147"/>
      <c r="CJ58" s="147"/>
      <c r="CK58" s="147"/>
      <c r="CL58" s="147"/>
      <c r="CM58" s="147"/>
      <c r="CN58" s="147"/>
      <c r="CO58" s="147"/>
      <c r="CP58" s="147"/>
      <c r="CQ58" s="147"/>
      <c r="CR58" s="147"/>
      <c r="CS58" s="147"/>
      <c r="CT58" s="147"/>
      <c r="CU58" s="147"/>
      <c r="CV58" s="147"/>
      <c r="CW58" s="147"/>
      <c r="CX58" s="147"/>
      <c r="CY58" s="147"/>
      <c r="CZ58" s="147"/>
      <c r="DA58" s="147"/>
      <c r="DB58" s="147"/>
      <c r="DC58" s="147"/>
      <c r="DD58" s="147"/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Q58" s="147"/>
      <c r="DR58" s="147"/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147"/>
      <c r="EI58" s="147"/>
      <c r="EJ58" s="147"/>
      <c r="EK58" s="147"/>
      <c r="EL58" s="147"/>
      <c r="EM58" s="147"/>
      <c r="EN58" s="147"/>
      <c r="EO58" s="147"/>
      <c r="EP58" s="147"/>
      <c r="EQ58" s="147"/>
      <c r="ER58" s="147"/>
      <c r="ES58" s="147"/>
      <c r="ET58" s="147"/>
      <c r="EU58" s="147"/>
      <c r="EV58" s="147"/>
      <c r="EW58" s="147"/>
      <c r="EX58" s="147"/>
      <c r="EY58" s="147"/>
      <c r="EZ58" s="147"/>
      <c r="FA58" s="147"/>
      <c r="FB58" s="147"/>
      <c r="FC58" s="147"/>
      <c r="FD58" s="147"/>
      <c r="FE58" s="147"/>
      <c r="FF58" s="147"/>
      <c r="FG58" s="147"/>
      <c r="FH58" s="147"/>
      <c r="FI58" s="147"/>
      <c r="FJ58" s="147"/>
      <c r="FK58" s="147"/>
      <c r="FL58" s="147"/>
      <c r="FM58" s="147"/>
      <c r="FN58" s="147"/>
      <c r="FO58" s="147"/>
      <c r="FP58" s="147"/>
      <c r="FQ58" s="147"/>
      <c r="FR58" s="147"/>
      <c r="FS58" s="147"/>
      <c r="FT58" s="147"/>
      <c r="FU58" s="147"/>
      <c r="FV58" s="147"/>
      <c r="FW58" s="147"/>
      <c r="FX58" s="147"/>
      <c r="FY58" s="147"/>
      <c r="FZ58" s="147"/>
      <c r="GA58" s="147"/>
      <c r="GB58" s="147"/>
      <c r="GC58" s="147"/>
      <c r="GD58" s="147"/>
      <c r="GE58" s="147"/>
    </row>
    <row r="59" spans="2:187" s="259" customFormat="1" ht="16.5" customHeight="1">
      <c r="B59" s="251">
        <v>53</v>
      </c>
      <c r="C59" s="420" t="s">
        <v>260</v>
      </c>
      <c r="D59" s="420" t="s">
        <v>532</v>
      </c>
      <c r="E59" s="420" t="s">
        <v>533</v>
      </c>
      <c r="F59" s="420" t="s">
        <v>475</v>
      </c>
      <c r="G59" s="421">
        <v>2</v>
      </c>
      <c r="H59" s="421">
        <v>200000</v>
      </c>
      <c r="I59" s="252">
        <f t="shared" si="0"/>
        <v>37500</v>
      </c>
      <c r="J59" s="219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  <c r="CC59" s="147"/>
      <c r="CD59" s="147"/>
      <c r="CE59" s="147"/>
      <c r="CF59" s="147"/>
      <c r="CG59" s="147"/>
      <c r="CH59" s="147"/>
      <c r="CI59" s="147"/>
      <c r="CJ59" s="147"/>
      <c r="CK59" s="147"/>
      <c r="CL59" s="147"/>
      <c r="CM59" s="147"/>
      <c r="CN59" s="147"/>
      <c r="CO59" s="147"/>
      <c r="CP59" s="147"/>
      <c r="CQ59" s="147"/>
      <c r="CR59" s="147"/>
      <c r="CS59" s="147"/>
      <c r="CT59" s="147"/>
      <c r="CU59" s="147"/>
      <c r="CV59" s="147"/>
      <c r="CW59" s="147"/>
      <c r="CX59" s="147"/>
      <c r="CY59" s="147"/>
      <c r="CZ59" s="147"/>
      <c r="DA59" s="147"/>
      <c r="DB59" s="147"/>
      <c r="DC59" s="147"/>
      <c r="DD59" s="147"/>
      <c r="DE59" s="147"/>
      <c r="DF59" s="147"/>
      <c r="DG59" s="147"/>
      <c r="DH59" s="147"/>
      <c r="DI59" s="147"/>
      <c r="DJ59" s="147"/>
      <c r="DK59" s="147"/>
      <c r="DL59" s="147"/>
      <c r="DM59" s="147"/>
      <c r="DN59" s="147"/>
      <c r="DO59" s="147"/>
      <c r="DP59" s="147"/>
      <c r="DQ59" s="147"/>
      <c r="DR59" s="147"/>
      <c r="DS59" s="147"/>
      <c r="DT59" s="147"/>
      <c r="DU59" s="147"/>
      <c r="DV59" s="147"/>
      <c r="DW59" s="147"/>
      <c r="DX59" s="147"/>
      <c r="DY59" s="147"/>
      <c r="DZ59" s="147"/>
      <c r="EA59" s="147"/>
      <c r="EB59" s="147"/>
      <c r="EC59" s="147"/>
      <c r="ED59" s="147"/>
      <c r="EE59" s="147"/>
      <c r="EF59" s="147"/>
      <c r="EG59" s="147"/>
      <c r="EH59" s="147"/>
      <c r="EI59" s="147"/>
      <c r="EJ59" s="147"/>
      <c r="EK59" s="147"/>
      <c r="EL59" s="147"/>
      <c r="EM59" s="147"/>
      <c r="EN59" s="147"/>
      <c r="EO59" s="147"/>
      <c r="EP59" s="147"/>
      <c r="EQ59" s="147"/>
      <c r="ER59" s="147"/>
      <c r="ES59" s="147"/>
      <c r="ET59" s="147"/>
      <c r="EU59" s="147"/>
      <c r="EV59" s="147"/>
      <c r="EW59" s="147"/>
      <c r="EX59" s="147"/>
      <c r="EY59" s="147"/>
      <c r="EZ59" s="147"/>
      <c r="FA59" s="147"/>
      <c r="FB59" s="147"/>
      <c r="FC59" s="147"/>
      <c r="FD59" s="147"/>
      <c r="FE59" s="147"/>
      <c r="FF59" s="147"/>
      <c r="FG59" s="147"/>
      <c r="FH59" s="147"/>
      <c r="FI59" s="147"/>
      <c r="FJ59" s="147"/>
      <c r="FK59" s="147"/>
      <c r="FL59" s="147"/>
      <c r="FM59" s="147"/>
      <c r="FN59" s="147"/>
      <c r="FO59" s="147"/>
      <c r="FP59" s="147"/>
      <c r="FQ59" s="147"/>
      <c r="FR59" s="147"/>
      <c r="FS59" s="147"/>
      <c r="FT59" s="147"/>
      <c r="FU59" s="147"/>
      <c r="FV59" s="147"/>
      <c r="FW59" s="147"/>
      <c r="FX59" s="147"/>
      <c r="FY59" s="147"/>
      <c r="FZ59" s="147"/>
      <c r="GA59" s="147"/>
      <c r="GB59" s="147"/>
      <c r="GC59" s="147"/>
      <c r="GD59" s="147"/>
      <c r="GE59" s="147"/>
    </row>
    <row r="60" spans="2:187" s="259" customFormat="1" ht="16.5" customHeight="1">
      <c r="B60" s="251">
        <v>54</v>
      </c>
      <c r="C60" s="420" t="s">
        <v>260</v>
      </c>
      <c r="D60" s="420" t="s">
        <v>534</v>
      </c>
      <c r="E60" s="420" t="s">
        <v>533</v>
      </c>
      <c r="F60" s="420" t="s">
        <v>475</v>
      </c>
      <c r="G60" s="421">
        <v>5</v>
      </c>
      <c r="H60" s="421">
        <v>500000</v>
      </c>
      <c r="I60" s="252">
        <f t="shared" si="0"/>
        <v>93750</v>
      </c>
      <c r="J60" s="284"/>
    </row>
    <row r="61" spans="2:187" s="259" customFormat="1" ht="16.5" customHeight="1">
      <c r="B61" s="251">
        <v>55</v>
      </c>
      <c r="C61" s="420" t="s">
        <v>260</v>
      </c>
      <c r="D61" s="420" t="s">
        <v>535</v>
      </c>
      <c r="E61" s="420" t="s">
        <v>485</v>
      </c>
      <c r="F61" s="420" t="s">
        <v>475</v>
      </c>
      <c r="G61" s="421">
        <v>3</v>
      </c>
      <c r="H61" s="421">
        <v>300000</v>
      </c>
      <c r="I61" s="252">
        <f t="shared" si="0"/>
        <v>56250</v>
      </c>
      <c r="J61" s="284"/>
    </row>
    <row r="62" spans="2:187" s="259" customFormat="1" ht="16.5" customHeight="1">
      <c r="B62" s="251">
        <v>56</v>
      </c>
      <c r="C62" s="420" t="s">
        <v>260</v>
      </c>
      <c r="D62" s="420" t="s">
        <v>526</v>
      </c>
      <c r="E62" s="420" t="s">
        <v>499</v>
      </c>
      <c r="F62" s="420" t="s">
        <v>495</v>
      </c>
      <c r="G62" s="421">
        <v>1</v>
      </c>
      <c r="H62" s="421">
        <v>200000</v>
      </c>
      <c r="I62" s="252">
        <f t="shared" si="0"/>
        <v>37500</v>
      </c>
      <c r="J62" s="284"/>
    </row>
    <row r="63" spans="2:187" s="174" customFormat="1" ht="16.5" customHeight="1">
      <c r="B63" s="251">
        <v>57</v>
      </c>
      <c r="C63" s="420" t="s">
        <v>260</v>
      </c>
      <c r="D63" s="420" t="s">
        <v>526</v>
      </c>
      <c r="E63" s="420" t="s">
        <v>499</v>
      </c>
      <c r="F63" s="420" t="s">
        <v>475</v>
      </c>
      <c r="G63" s="421">
        <v>4</v>
      </c>
      <c r="H63" s="421">
        <v>400000</v>
      </c>
      <c r="I63" s="252">
        <f t="shared" si="0"/>
        <v>75000</v>
      </c>
      <c r="J63" s="341"/>
    </row>
    <row r="64" spans="2:187" s="174" customFormat="1" ht="16.5" customHeight="1">
      <c r="B64" s="251">
        <v>58</v>
      </c>
      <c r="C64" s="420" t="s">
        <v>260</v>
      </c>
      <c r="D64" s="420" t="s">
        <v>527</v>
      </c>
      <c r="E64" s="420" t="s">
        <v>136</v>
      </c>
      <c r="F64" s="420" t="s">
        <v>475</v>
      </c>
      <c r="G64" s="421">
        <v>2</v>
      </c>
      <c r="H64" s="421">
        <v>200000</v>
      </c>
      <c r="I64" s="252">
        <f t="shared" si="0"/>
        <v>37500</v>
      </c>
      <c r="J64" s="341"/>
    </row>
    <row r="65" spans="2:187" s="174" customFormat="1" ht="16.5" customHeight="1">
      <c r="B65" s="251">
        <v>59</v>
      </c>
      <c r="C65" s="420" t="s">
        <v>260</v>
      </c>
      <c r="D65" s="420" t="s">
        <v>534</v>
      </c>
      <c r="E65" s="420" t="s">
        <v>533</v>
      </c>
      <c r="F65" s="420" t="s">
        <v>488</v>
      </c>
      <c r="G65" s="421">
        <v>2</v>
      </c>
      <c r="H65" s="421">
        <v>200000</v>
      </c>
      <c r="I65" s="252">
        <f t="shared" si="0"/>
        <v>37500</v>
      </c>
      <c r="J65" s="341"/>
    </row>
    <row r="66" spans="2:187" s="174" customFormat="1" ht="16.5" customHeight="1">
      <c r="B66" s="251">
        <v>60</v>
      </c>
      <c r="C66" s="420" t="s">
        <v>260</v>
      </c>
      <c r="D66" s="420" t="s">
        <v>536</v>
      </c>
      <c r="E66" s="420" t="s">
        <v>537</v>
      </c>
      <c r="F66" s="420" t="s">
        <v>481</v>
      </c>
      <c r="G66" s="421">
        <v>1</v>
      </c>
      <c r="H66" s="421">
        <v>40300</v>
      </c>
      <c r="I66" s="252">
        <f t="shared" si="0"/>
        <v>7556.25</v>
      </c>
      <c r="J66" s="341"/>
    </row>
    <row r="67" spans="2:187" s="174" customFormat="1" ht="16.5" customHeight="1">
      <c r="B67" s="251">
        <v>61</v>
      </c>
      <c r="C67" s="420" t="s">
        <v>260</v>
      </c>
      <c r="D67" s="420" t="s">
        <v>538</v>
      </c>
      <c r="E67" s="420" t="s">
        <v>539</v>
      </c>
      <c r="F67" s="420" t="s">
        <v>540</v>
      </c>
      <c r="G67" s="421">
        <v>1</v>
      </c>
      <c r="H67" s="421">
        <v>600000</v>
      </c>
      <c r="I67" s="252">
        <f t="shared" si="0"/>
        <v>112500</v>
      </c>
      <c r="J67" s="341"/>
    </row>
    <row r="68" spans="2:187" s="174" customFormat="1" ht="16.5" customHeight="1">
      <c r="B68" s="251">
        <v>62</v>
      </c>
      <c r="C68" s="420" t="s">
        <v>260</v>
      </c>
      <c r="D68" s="420" t="s">
        <v>541</v>
      </c>
      <c r="E68" s="420" t="s">
        <v>542</v>
      </c>
      <c r="F68" s="420" t="s">
        <v>478</v>
      </c>
      <c r="G68" s="421">
        <v>1</v>
      </c>
      <c r="H68" s="421">
        <v>100000</v>
      </c>
      <c r="I68" s="252">
        <f t="shared" si="0"/>
        <v>18750</v>
      </c>
      <c r="J68" s="341"/>
    </row>
    <row r="69" spans="2:187" s="259" customFormat="1" ht="16.5" customHeight="1">
      <c r="B69" s="251">
        <v>63</v>
      </c>
      <c r="C69" s="420" t="s">
        <v>260</v>
      </c>
      <c r="D69" s="420" t="s">
        <v>543</v>
      </c>
      <c r="E69" s="420" t="s">
        <v>512</v>
      </c>
      <c r="F69" s="420" t="s">
        <v>481</v>
      </c>
      <c r="G69" s="421">
        <v>1</v>
      </c>
      <c r="H69" s="421">
        <v>100000</v>
      </c>
      <c r="I69" s="252">
        <f t="shared" si="0"/>
        <v>18750</v>
      </c>
      <c r="J69" s="219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147"/>
      <c r="CV69" s="147"/>
      <c r="CW69" s="147"/>
      <c r="CX69" s="147"/>
      <c r="CY69" s="147"/>
      <c r="CZ69" s="147"/>
      <c r="DA69" s="147"/>
      <c r="DB69" s="147"/>
      <c r="DC69" s="147"/>
      <c r="DD69" s="147"/>
      <c r="DE69" s="147"/>
      <c r="DF69" s="147"/>
      <c r="DG69" s="147"/>
      <c r="DH69" s="147"/>
      <c r="DI69" s="147"/>
      <c r="DJ69" s="147"/>
      <c r="DK69" s="147"/>
      <c r="DL69" s="147"/>
      <c r="DM69" s="147"/>
      <c r="DN69" s="147"/>
      <c r="DO69" s="147"/>
      <c r="DP69" s="147"/>
      <c r="DQ69" s="147"/>
      <c r="DR69" s="147"/>
      <c r="DS69" s="147"/>
      <c r="DT69" s="147"/>
      <c r="DU69" s="147"/>
      <c r="DV69" s="147"/>
      <c r="DW69" s="147"/>
      <c r="DX69" s="147"/>
      <c r="DY69" s="147"/>
      <c r="DZ69" s="147"/>
      <c r="EA69" s="147"/>
      <c r="EB69" s="147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  <c r="EZ69" s="147"/>
      <c r="FA69" s="147"/>
      <c r="FB69" s="147"/>
      <c r="FC69" s="147"/>
      <c r="FD69" s="147"/>
      <c r="FE69" s="147"/>
      <c r="FF69" s="147"/>
      <c r="FG69" s="147"/>
      <c r="FH69" s="147"/>
      <c r="FI69" s="147"/>
      <c r="FJ69" s="147"/>
      <c r="FK69" s="147"/>
      <c r="FL69" s="147"/>
      <c r="FM69" s="147"/>
      <c r="FN69" s="147"/>
      <c r="FO69" s="147"/>
      <c r="FP69" s="147"/>
      <c r="FQ69" s="147"/>
      <c r="FR69" s="147"/>
      <c r="FS69" s="147"/>
      <c r="FT69" s="147"/>
      <c r="FU69" s="147"/>
      <c r="FV69" s="147"/>
      <c r="FW69" s="147"/>
      <c r="FX69" s="147"/>
      <c r="FY69" s="147"/>
      <c r="FZ69" s="147"/>
      <c r="GA69" s="147"/>
      <c r="GB69" s="147"/>
      <c r="GC69" s="147"/>
      <c r="GD69" s="147"/>
      <c r="GE69" s="147"/>
    </row>
    <row r="70" spans="2:187" s="259" customFormat="1" ht="16.5" customHeight="1">
      <c r="B70" s="251">
        <v>64</v>
      </c>
      <c r="C70" s="420" t="s">
        <v>260</v>
      </c>
      <c r="D70" s="420" t="s">
        <v>175</v>
      </c>
      <c r="E70" s="420" t="s">
        <v>136</v>
      </c>
      <c r="F70" s="420" t="s">
        <v>481</v>
      </c>
      <c r="G70" s="421">
        <v>1</v>
      </c>
      <c r="H70" s="421">
        <v>40300</v>
      </c>
      <c r="I70" s="252">
        <f t="shared" si="0"/>
        <v>7556.25</v>
      </c>
      <c r="J70" s="219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  <c r="CC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147"/>
      <c r="CO70" s="147"/>
      <c r="CP70" s="147"/>
      <c r="CQ70" s="147"/>
      <c r="CR70" s="147"/>
      <c r="CS70" s="147"/>
      <c r="CT70" s="147"/>
      <c r="CU70" s="147"/>
      <c r="CV70" s="147"/>
      <c r="CW70" s="147"/>
      <c r="CX70" s="147"/>
      <c r="CY70" s="147"/>
      <c r="CZ70" s="147"/>
      <c r="DA70" s="147"/>
      <c r="DB70" s="147"/>
      <c r="DC70" s="147"/>
      <c r="DD70" s="147"/>
      <c r="DE70" s="147"/>
      <c r="DF70" s="147"/>
      <c r="DG70" s="147"/>
      <c r="DH70" s="147"/>
      <c r="DI70" s="147"/>
      <c r="DJ70" s="147"/>
      <c r="DK70" s="147"/>
      <c r="DL70" s="147"/>
      <c r="DM70" s="147"/>
      <c r="DN70" s="147"/>
      <c r="DO70" s="147"/>
      <c r="DP70" s="147"/>
      <c r="DQ70" s="147"/>
      <c r="DR70" s="147"/>
      <c r="DS70" s="147"/>
      <c r="DT70" s="147"/>
      <c r="DU70" s="147"/>
      <c r="DV70" s="147"/>
      <c r="DW70" s="147"/>
      <c r="DX70" s="147"/>
      <c r="DY70" s="147"/>
      <c r="DZ70" s="147"/>
      <c r="EA70" s="147"/>
      <c r="EB70" s="147"/>
      <c r="EC70" s="147"/>
      <c r="ED70" s="147"/>
      <c r="EE70" s="147"/>
      <c r="EF70" s="147"/>
      <c r="EG70" s="147"/>
      <c r="EH70" s="147"/>
      <c r="EI70" s="147"/>
      <c r="EJ70" s="147"/>
      <c r="EK70" s="147"/>
      <c r="EL70" s="147"/>
      <c r="EM70" s="147"/>
      <c r="EN70" s="147"/>
      <c r="EO70" s="147"/>
      <c r="EP70" s="147"/>
      <c r="EQ70" s="147"/>
      <c r="ER70" s="147"/>
      <c r="ES70" s="147"/>
      <c r="ET70" s="147"/>
      <c r="EU70" s="147"/>
      <c r="EV70" s="147"/>
      <c r="EW70" s="147"/>
      <c r="EX70" s="147"/>
      <c r="EY70" s="147"/>
      <c r="EZ70" s="147"/>
      <c r="FA70" s="147"/>
      <c r="FB70" s="147"/>
      <c r="FC70" s="147"/>
      <c r="FD70" s="147"/>
      <c r="FE70" s="147"/>
      <c r="FF70" s="147"/>
      <c r="FG70" s="147"/>
      <c r="FH70" s="147"/>
      <c r="FI70" s="147"/>
      <c r="FJ70" s="147"/>
      <c r="FK70" s="147"/>
      <c r="FL70" s="147"/>
      <c r="FM70" s="147"/>
      <c r="FN70" s="147"/>
      <c r="FO70" s="147"/>
      <c r="FP70" s="147"/>
      <c r="FQ70" s="147"/>
      <c r="FR70" s="147"/>
      <c r="FS70" s="147"/>
      <c r="FT70" s="147"/>
      <c r="FU70" s="147"/>
      <c r="FV70" s="147"/>
      <c r="FW70" s="147"/>
      <c r="FX70" s="147"/>
      <c r="FY70" s="147"/>
      <c r="FZ70" s="147"/>
      <c r="GA70" s="147"/>
      <c r="GB70" s="147"/>
      <c r="GC70" s="147"/>
      <c r="GD70" s="147"/>
      <c r="GE70" s="147"/>
    </row>
    <row r="71" spans="2:187" s="259" customFormat="1" ht="16.5" customHeight="1">
      <c r="B71" s="251">
        <v>65</v>
      </c>
      <c r="C71" s="420" t="s">
        <v>260</v>
      </c>
      <c r="D71" s="420" t="s">
        <v>535</v>
      </c>
      <c r="E71" s="420" t="s">
        <v>485</v>
      </c>
      <c r="F71" s="420" t="s">
        <v>488</v>
      </c>
      <c r="G71" s="421">
        <v>3</v>
      </c>
      <c r="H71" s="421">
        <v>300000</v>
      </c>
      <c r="I71" s="252">
        <f t="shared" si="0"/>
        <v>56250</v>
      </c>
      <c r="J71" s="219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147"/>
      <c r="CV71" s="147"/>
      <c r="CW71" s="147"/>
      <c r="CX71" s="147"/>
      <c r="CY71" s="147"/>
      <c r="CZ71" s="147"/>
      <c r="DA71" s="147"/>
      <c r="DB71" s="147"/>
      <c r="DC71" s="147"/>
      <c r="DD71" s="147"/>
      <c r="DE71" s="147"/>
      <c r="DF71" s="147"/>
      <c r="DG71" s="147"/>
      <c r="DH71" s="147"/>
      <c r="DI71" s="147"/>
      <c r="DJ71" s="147"/>
      <c r="DK71" s="147"/>
      <c r="DL71" s="147"/>
      <c r="DM71" s="147"/>
      <c r="DN71" s="147"/>
      <c r="DO71" s="147"/>
      <c r="DP71" s="147"/>
      <c r="DQ71" s="147"/>
      <c r="DR71" s="147"/>
      <c r="DS71" s="147"/>
      <c r="DT71" s="147"/>
      <c r="DU71" s="147"/>
      <c r="DV71" s="147"/>
      <c r="DW71" s="147"/>
      <c r="DX71" s="147"/>
      <c r="DY71" s="147"/>
      <c r="DZ71" s="147"/>
      <c r="EA71" s="147"/>
      <c r="EB71" s="147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  <c r="EZ71" s="147"/>
      <c r="FA71" s="147"/>
      <c r="FB71" s="147"/>
      <c r="FC71" s="147"/>
      <c r="FD71" s="147"/>
      <c r="FE71" s="147"/>
      <c r="FF71" s="147"/>
      <c r="FG71" s="147"/>
      <c r="FH71" s="147"/>
      <c r="FI71" s="147"/>
      <c r="FJ71" s="147"/>
      <c r="FK71" s="147"/>
      <c r="FL71" s="147"/>
      <c r="FM71" s="147"/>
      <c r="FN71" s="147"/>
      <c r="FO71" s="147"/>
      <c r="FP71" s="147"/>
      <c r="FQ71" s="147"/>
      <c r="FR71" s="147"/>
      <c r="FS71" s="147"/>
      <c r="FT71" s="147"/>
      <c r="FU71" s="147"/>
      <c r="FV71" s="147"/>
      <c r="FW71" s="147"/>
      <c r="FX71" s="147"/>
      <c r="FY71" s="147"/>
      <c r="FZ71" s="147"/>
      <c r="GA71" s="147"/>
      <c r="GB71" s="147"/>
      <c r="GC71" s="147"/>
      <c r="GD71" s="147"/>
      <c r="GE71" s="147"/>
    </row>
    <row r="72" spans="2:187" s="147" customFormat="1" ht="16.5" customHeight="1">
      <c r="B72" s="251">
        <v>66</v>
      </c>
      <c r="C72" s="420" t="s">
        <v>260</v>
      </c>
      <c r="D72" s="420" t="s">
        <v>544</v>
      </c>
      <c r="E72" s="420" t="s">
        <v>545</v>
      </c>
      <c r="F72" s="420" t="s">
        <v>546</v>
      </c>
      <c r="G72" s="421">
        <v>1</v>
      </c>
      <c r="H72" s="421">
        <v>400000</v>
      </c>
      <c r="I72" s="252">
        <f t="shared" ref="I72:I135" si="1">H72*25%*75%</f>
        <v>75000</v>
      </c>
      <c r="J72" s="219"/>
    </row>
    <row r="73" spans="2:187" s="259" customFormat="1" ht="16.5" customHeight="1">
      <c r="B73" s="251">
        <v>67</v>
      </c>
      <c r="C73" s="420" t="s">
        <v>260</v>
      </c>
      <c r="D73" s="420" t="s">
        <v>547</v>
      </c>
      <c r="E73" s="420" t="s">
        <v>539</v>
      </c>
      <c r="F73" s="420" t="s">
        <v>548</v>
      </c>
      <c r="G73" s="421">
        <v>1</v>
      </c>
      <c r="H73" s="421">
        <v>257000</v>
      </c>
      <c r="I73" s="252">
        <f t="shared" si="1"/>
        <v>48187.5</v>
      </c>
      <c r="J73" s="219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  <c r="CC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147"/>
      <c r="CO73" s="147"/>
      <c r="CP73" s="147"/>
      <c r="CQ73" s="147"/>
      <c r="CR73" s="147"/>
      <c r="CS73" s="147"/>
      <c r="CT73" s="147"/>
      <c r="CU73" s="147"/>
      <c r="CV73" s="147"/>
      <c r="CW73" s="147"/>
      <c r="CX73" s="147"/>
      <c r="CY73" s="147"/>
      <c r="CZ73" s="147"/>
      <c r="DA73" s="147"/>
      <c r="DB73" s="147"/>
      <c r="DC73" s="147"/>
      <c r="DD73" s="147"/>
      <c r="DE73" s="147"/>
      <c r="DF73" s="147"/>
      <c r="DG73" s="147"/>
      <c r="DH73" s="147"/>
      <c r="DI73" s="147"/>
      <c r="DJ73" s="147"/>
      <c r="DK73" s="147"/>
      <c r="DL73" s="147"/>
      <c r="DM73" s="147"/>
      <c r="DN73" s="147"/>
      <c r="DO73" s="147"/>
      <c r="DP73" s="147"/>
      <c r="DQ73" s="147"/>
      <c r="DR73" s="147"/>
      <c r="DS73" s="147"/>
      <c r="DT73" s="147"/>
      <c r="DU73" s="147"/>
      <c r="DV73" s="147"/>
      <c r="DW73" s="147"/>
      <c r="DX73" s="147"/>
      <c r="DY73" s="147"/>
      <c r="DZ73" s="147"/>
      <c r="EA73" s="147"/>
      <c r="EB73" s="147"/>
      <c r="EC73" s="147"/>
      <c r="ED73" s="147"/>
      <c r="EE73" s="147"/>
      <c r="EF73" s="147"/>
      <c r="EG73" s="147"/>
      <c r="EH73" s="147"/>
      <c r="EI73" s="147"/>
      <c r="EJ73" s="147"/>
      <c r="EK73" s="147"/>
      <c r="EL73" s="147"/>
      <c r="EM73" s="147"/>
      <c r="EN73" s="147"/>
      <c r="EO73" s="147"/>
      <c r="EP73" s="147"/>
      <c r="EQ73" s="147"/>
      <c r="ER73" s="147"/>
      <c r="ES73" s="147"/>
      <c r="ET73" s="147"/>
      <c r="EU73" s="147"/>
      <c r="EV73" s="147"/>
      <c r="EW73" s="147"/>
      <c r="EX73" s="147"/>
      <c r="EY73" s="147"/>
      <c r="EZ73" s="147"/>
      <c r="FA73" s="147"/>
      <c r="FB73" s="147"/>
      <c r="FC73" s="147"/>
      <c r="FD73" s="147"/>
      <c r="FE73" s="147"/>
      <c r="FF73" s="147"/>
      <c r="FG73" s="147"/>
      <c r="FH73" s="147"/>
      <c r="FI73" s="147"/>
      <c r="FJ73" s="147"/>
      <c r="FK73" s="147"/>
      <c r="FL73" s="147"/>
      <c r="FM73" s="147"/>
      <c r="FN73" s="147"/>
      <c r="FO73" s="147"/>
      <c r="FP73" s="147"/>
      <c r="FQ73" s="147"/>
      <c r="FR73" s="147"/>
      <c r="FS73" s="147"/>
      <c r="FT73" s="147"/>
      <c r="FU73" s="147"/>
      <c r="FV73" s="147"/>
      <c r="FW73" s="147"/>
      <c r="FX73" s="147"/>
      <c r="FY73" s="147"/>
      <c r="FZ73" s="147"/>
      <c r="GA73" s="147"/>
      <c r="GB73" s="147"/>
      <c r="GC73" s="147"/>
      <c r="GD73" s="147"/>
      <c r="GE73" s="147"/>
    </row>
    <row r="74" spans="2:187" s="259" customFormat="1" ht="16.5" customHeight="1">
      <c r="B74" s="251">
        <v>68</v>
      </c>
      <c r="C74" s="420" t="s">
        <v>260</v>
      </c>
      <c r="D74" s="420" t="s">
        <v>532</v>
      </c>
      <c r="E74" s="420" t="s">
        <v>533</v>
      </c>
      <c r="F74" s="420" t="s">
        <v>488</v>
      </c>
      <c r="G74" s="421">
        <v>2</v>
      </c>
      <c r="H74" s="421">
        <v>200000</v>
      </c>
      <c r="I74" s="252">
        <f t="shared" si="1"/>
        <v>37500</v>
      </c>
      <c r="J74" s="219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147"/>
      <c r="CV74" s="147"/>
      <c r="CW74" s="147"/>
      <c r="CX74" s="147"/>
      <c r="CY74" s="147"/>
      <c r="CZ74" s="147"/>
      <c r="DA74" s="147"/>
      <c r="DB74" s="147"/>
      <c r="DC74" s="147"/>
      <c r="DD74" s="147"/>
      <c r="DE74" s="147"/>
      <c r="DF74" s="147"/>
      <c r="DG74" s="147"/>
      <c r="DH74" s="147"/>
      <c r="DI74" s="147"/>
      <c r="DJ74" s="147"/>
      <c r="DK74" s="147"/>
      <c r="DL74" s="147"/>
      <c r="DM74" s="147"/>
      <c r="DN74" s="147"/>
      <c r="DO74" s="147"/>
      <c r="DP74" s="147"/>
      <c r="DQ74" s="147"/>
      <c r="DR74" s="147"/>
      <c r="DS74" s="147"/>
      <c r="DT74" s="147"/>
      <c r="DU74" s="147"/>
      <c r="DV74" s="147"/>
      <c r="DW74" s="147"/>
      <c r="DX74" s="147"/>
      <c r="DY74" s="147"/>
      <c r="DZ74" s="147"/>
      <c r="EA74" s="147"/>
      <c r="EB74" s="147"/>
      <c r="EC74" s="147"/>
      <c r="ED74" s="147"/>
      <c r="EE74" s="147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7"/>
      <c r="ER74" s="147"/>
      <c r="ES74" s="147"/>
      <c r="ET74" s="147"/>
      <c r="EU74" s="147"/>
      <c r="EV74" s="147"/>
      <c r="EW74" s="147"/>
      <c r="EX74" s="147"/>
      <c r="EY74" s="147"/>
      <c r="EZ74" s="147"/>
      <c r="FA74" s="147"/>
      <c r="FB74" s="147"/>
      <c r="FC74" s="147"/>
      <c r="FD74" s="147"/>
      <c r="FE74" s="147"/>
      <c r="FF74" s="147"/>
      <c r="FG74" s="147"/>
      <c r="FH74" s="147"/>
      <c r="FI74" s="147"/>
      <c r="FJ74" s="147"/>
      <c r="FK74" s="147"/>
      <c r="FL74" s="147"/>
      <c r="FM74" s="147"/>
      <c r="FN74" s="147"/>
      <c r="FO74" s="147"/>
      <c r="FP74" s="147"/>
      <c r="FQ74" s="147"/>
      <c r="FR74" s="147"/>
      <c r="FS74" s="147"/>
      <c r="FT74" s="147"/>
      <c r="FU74" s="147"/>
      <c r="FV74" s="147"/>
      <c r="FW74" s="147"/>
      <c r="FX74" s="147"/>
      <c r="FY74" s="147"/>
      <c r="FZ74" s="147"/>
      <c r="GA74" s="147"/>
      <c r="GB74" s="147"/>
      <c r="GC74" s="147"/>
      <c r="GD74" s="147"/>
      <c r="GE74" s="147"/>
    </row>
    <row r="75" spans="2:187" s="259" customFormat="1" ht="16.5" customHeight="1">
      <c r="B75" s="251">
        <v>69</v>
      </c>
      <c r="C75" s="420" t="s">
        <v>260</v>
      </c>
      <c r="D75" s="420" t="s">
        <v>529</v>
      </c>
      <c r="E75" s="420" t="s">
        <v>530</v>
      </c>
      <c r="F75" s="420" t="s">
        <v>475</v>
      </c>
      <c r="G75" s="421">
        <v>13</v>
      </c>
      <c r="H75" s="421">
        <v>1300000</v>
      </c>
      <c r="I75" s="252">
        <f t="shared" si="1"/>
        <v>243750</v>
      </c>
      <c r="J75" s="284"/>
    </row>
    <row r="76" spans="2:187" s="259" customFormat="1" ht="16.5" customHeight="1">
      <c r="B76" s="251">
        <v>70</v>
      </c>
      <c r="C76" s="420" t="s">
        <v>260</v>
      </c>
      <c r="D76" s="420" t="s">
        <v>528</v>
      </c>
      <c r="E76" s="420" t="s">
        <v>499</v>
      </c>
      <c r="F76" s="420" t="s">
        <v>488</v>
      </c>
      <c r="G76" s="421">
        <v>4</v>
      </c>
      <c r="H76" s="421">
        <v>400000</v>
      </c>
      <c r="I76" s="252">
        <f t="shared" si="1"/>
        <v>75000</v>
      </c>
      <c r="J76" s="219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  <c r="CC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147"/>
      <c r="CO76" s="147"/>
      <c r="CP76" s="147"/>
      <c r="CQ76" s="147"/>
      <c r="CR76" s="147"/>
      <c r="CS76" s="147"/>
      <c r="CT76" s="147"/>
      <c r="CU76" s="147"/>
      <c r="CV76" s="147"/>
      <c r="CW76" s="147"/>
      <c r="CX76" s="147"/>
      <c r="CY76" s="147"/>
      <c r="CZ76" s="147"/>
      <c r="DA76" s="147"/>
      <c r="DB76" s="147"/>
      <c r="DC76" s="147"/>
      <c r="DD76" s="147"/>
      <c r="DE76" s="147"/>
      <c r="DF76" s="147"/>
      <c r="DG76" s="147"/>
      <c r="DH76" s="147"/>
      <c r="DI76" s="147"/>
      <c r="DJ76" s="147"/>
      <c r="DK76" s="147"/>
      <c r="DL76" s="147"/>
      <c r="DM76" s="147"/>
      <c r="DN76" s="147"/>
      <c r="DO76" s="147"/>
      <c r="DP76" s="147"/>
      <c r="DQ76" s="147"/>
      <c r="DR76" s="147"/>
      <c r="DS76" s="147"/>
      <c r="DT76" s="147"/>
      <c r="DU76" s="147"/>
      <c r="DV76" s="147"/>
      <c r="DW76" s="147"/>
      <c r="DX76" s="147"/>
      <c r="DY76" s="147"/>
      <c r="DZ76" s="147"/>
      <c r="EA76" s="147"/>
      <c r="EB76" s="147"/>
      <c r="EC76" s="147"/>
      <c r="ED76" s="147"/>
      <c r="EE76" s="147"/>
      <c r="EF76" s="147"/>
      <c r="EG76" s="147"/>
      <c r="EH76" s="147"/>
      <c r="EI76" s="147"/>
      <c r="EJ76" s="147"/>
      <c r="EK76" s="147"/>
      <c r="EL76" s="147"/>
      <c r="EM76" s="147"/>
      <c r="EN76" s="147"/>
      <c r="EO76" s="147"/>
      <c r="EP76" s="147"/>
      <c r="EQ76" s="147"/>
      <c r="ER76" s="147"/>
      <c r="ES76" s="147"/>
      <c r="ET76" s="147"/>
      <c r="EU76" s="147"/>
      <c r="EV76" s="147"/>
      <c r="EW76" s="147"/>
      <c r="EX76" s="147"/>
      <c r="EY76" s="147"/>
      <c r="EZ76" s="147"/>
      <c r="FA76" s="147"/>
      <c r="FB76" s="147"/>
      <c r="FC76" s="147"/>
      <c r="FD76" s="147"/>
      <c r="FE76" s="147"/>
      <c r="FF76" s="147"/>
      <c r="FG76" s="147"/>
      <c r="FH76" s="147"/>
      <c r="FI76" s="147"/>
      <c r="FJ76" s="147"/>
      <c r="FK76" s="147"/>
      <c r="FL76" s="147"/>
      <c r="FM76" s="147"/>
      <c r="FN76" s="147"/>
      <c r="FO76" s="147"/>
      <c r="FP76" s="147"/>
      <c r="FQ76" s="147"/>
      <c r="FR76" s="147"/>
      <c r="FS76" s="147"/>
      <c r="FT76" s="147"/>
      <c r="FU76" s="147"/>
      <c r="FV76" s="147"/>
      <c r="FW76" s="147"/>
      <c r="FX76" s="147"/>
      <c r="FY76" s="147"/>
      <c r="FZ76" s="147"/>
      <c r="GA76" s="147"/>
      <c r="GB76" s="147"/>
      <c r="GC76" s="147"/>
      <c r="GD76" s="147"/>
      <c r="GE76" s="147"/>
    </row>
    <row r="77" spans="2:187" s="174" customFormat="1" ht="16.5" customHeight="1">
      <c r="B77" s="251">
        <v>71</v>
      </c>
      <c r="C77" s="420" t="s">
        <v>549</v>
      </c>
      <c r="D77" s="420" t="s">
        <v>550</v>
      </c>
      <c r="E77" s="420" t="s">
        <v>480</v>
      </c>
      <c r="F77" s="420" t="s">
        <v>475</v>
      </c>
      <c r="G77" s="421">
        <v>1</v>
      </c>
      <c r="H77" s="421">
        <v>100000</v>
      </c>
      <c r="I77" s="252">
        <f t="shared" si="1"/>
        <v>18750</v>
      </c>
      <c r="J77" s="341"/>
    </row>
    <row r="78" spans="2:187" s="174" customFormat="1" ht="16.5" customHeight="1">
      <c r="B78" s="251">
        <v>72</v>
      </c>
      <c r="C78" s="420" t="s">
        <v>549</v>
      </c>
      <c r="D78" s="420" t="s">
        <v>550</v>
      </c>
      <c r="E78" s="420" t="s">
        <v>480</v>
      </c>
      <c r="F78" s="420" t="s">
        <v>478</v>
      </c>
      <c r="G78" s="421">
        <v>1</v>
      </c>
      <c r="H78" s="421">
        <v>100000</v>
      </c>
      <c r="I78" s="252">
        <f t="shared" si="1"/>
        <v>18750</v>
      </c>
      <c r="J78" s="341"/>
    </row>
    <row r="79" spans="2:187" s="174" customFormat="1" ht="16.5" customHeight="1">
      <c r="B79" s="251">
        <v>73</v>
      </c>
      <c r="C79" s="420" t="s">
        <v>551</v>
      </c>
      <c r="D79" s="420" t="s">
        <v>552</v>
      </c>
      <c r="E79" s="420" t="s">
        <v>533</v>
      </c>
      <c r="F79" s="420" t="s">
        <v>500</v>
      </c>
      <c r="G79" s="421">
        <v>1</v>
      </c>
      <c r="H79" s="421">
        <v>167000</v>
      </c>
      <c r="I79" s="252">
        <f t="shared" si="1"/>
        <v>31312.5</v>
      </c>
      <c r="J79" s="341"/>
    </row>
    <row r="80" spans="2:187" s="174" customFormat="1" ht="16.5" customHeight="1">
      <c r="B80" s="251">
        <v>74</v>
      </c>
      <c r="C80" s="420" t="s">
        <v>553</v>
      </c>
      <c r="D80" s="420" t="s">
        <v>554</v>
      </c>
      <c r="E80" s="420" t="s">
        <v>555</v>
      </c>
      <c r="F80" s="420" t="s">
        <v>488</v>
      </c>
      <c r="G80" s="421">
        <v>4</v>
      </c>
      <c r="H80" s="421">
        <v>400000</v>
      </c>
      <c r="I80" s="252">
        <f t="shared" si="1"/>
        <v>75000</v>
      </c>
      <c r="J80" s="341"/>
    </row>
    <row r="81" spans="2:187" s="174" customFormat="1" ht="16.5" customHeight="1">
      <c r="B81" s="251">
        <v>75</v>
      </c>
      <c r="C81" s="420" t="s">
        <v>553</v>
      </c>
      <c r="D81" s="420" t="s">
        <v>556</v>
      </c>
      <c r="E81" s="420" t="s">
        <v>491</v>
      </c>
      <c r="F81" s="420" t="s">
        <v>475</v>
      </c>
      <c r="G81" s="421">
        <v>2</v>
      </c>
      <c r="H81" s="421">
        <v>200000</v>
      </c>
      <c r="I81" s="252">
        <f t="shared" si="1"/>
        <v>37500</v>
      </c>
      <c r="J81" s="341"/>
    </row>
    <row r="82" spans="2:187" s="174" customFormat="1" ht="16.5" customHeight="1">
      <c r="B82" s="251">
        <v>76</v>
      </c>
      <c r="C82" s="420" t="s">
        <v>553</v>
      </c>
      <c r="D82" s="420" t="s">
        <v>554</v>
      </c>
      <c r="E82" s="420" t="s">
        <v>555</v>
      </c>
      <c r="F82" s="420" t="s">
        <v>475</v>
      </c>
      <c r="G82" s="421">
        <v>5</v>
      </c>
      <c r="H82" s="421">
        <v>500000</v>
      </c>
      <c r="I82" s="252">
        <f t="shared" si="1"/>
        <v>93750</v>
      </c>
      <c r="J82" s="341"/>
    </row>
    <row r="83" spans="2:187" s="259" customFormat="1" ht="16.5" customHeight="1">
      <c r="B83" s="251">
        <v>77</v>
      </c>
      <c r="C83" s="420" t="s">
        <v>553</v>
      </c>
      <c r="D83" s="420" t="s">
        <v>557</v>
      </c>
      <c r="E83" s="420" t="s">
        <v>516</v>
      </c>
      <c r="F83" s="420" t="s">
        <v>481</v>
      </c>
      <c r="G83" s="421">
        <v>1</v>
      </c>
      <c r="H83" s="421">
        <v>100000</v>
      </c>
      <c r="I83" s="252">
        <f t="shared" si="1"/>
        <v>18750</v>
      </c>
      <c r="J83" s="219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7"/>
      <c r="BM83" s="147"/>
      <c r="BN83" s="147"/>
      <c r="BO83" s="147"/>
      <c r="BP83" s="147"/>
      <c r="BQ83" s="147"/>
      <c r="BR83" s="147"/>
      <c r="BS83" s="147"/>
      <c r="BT83" s="147"/>
      <c r="BU83" s="147"/>
      <c r="BV83" s="147"/>
      <c r="BW83" s="147"/>
      <c r="BX83" s="147"/>
      <c r="BY83" s="147"/>
      <c r="BZ83" s="147"/>
      <c r="CA83" s="147"/>
      <c r="CB83" s="147"/>
      <c r="CC83" s="147"/>
      <c r="CD83" s="147"/>
      <c r="CE83" s="147"/>
      <c r="CF83" s="147"/>
      <c r="CG83" s="147"/>
      <c r="CH83" s="147"/>
      <c r="CI83" s="147"/>
      <c r="CJ83" s="147"/>
      <c r="CK83" s="147"/>
      <c r="CL83" s="147"/>
      <c r="CM83" s="147"/>
      <c r="CN83" s="147"/>
      <c r="CO83" s="147"/>
      <c r="CP83" s="147"/>
      <c r="CQ83" s="147"/>
      <c r="CR83" s="147"/>
      <c r="CS83" s="147"/>
      <c r="CT83" s="147"/>
      <c r="CU83" s="147"/>
      <c r="CV83" s="147"/>
      <c r="CW83" s="147"/>
      <c r="CX83" s="147"/>
      <c r="CY83" s="147"/>
      <c r="CZ83" s="147"/>
      <c r="DA83" s="147"/>
      <c r="DB83" s="147"/>
      <c r="DC83" s="147"/>
      <c r="DD83" s="147"/>
      <c r="DE83" s="147"/>
      <c r="DF83" s="147"/>
      <c r="DG83" s="147"/>
      <c r="DH83" s="147"/>
      <c r="DI83" s="147"/>
      <c r="DJ83" s="147"/>
      <c r="DK83" s="147"/>
      <c r="DL83" s="147"/>
      <c r="DM83" s="147"/>
      <c r="DN83" s="147"/>
      <c r="DO83" s="147"/>
      <c r="DP83" s="147"/>
      <c r="DQ83" s="147"/>
      <c r="DR83" s="147"/>
      <c r="DS83" s="147"/>
      <c r="DT83" s="147"/>
      <c r="DU83" s="147"/>
      <c r="DV83" s="147"/>
      <c r="DW83" s="147"/>
      <c r="DX83" s="147"/>
      <c r="DY83" s="147"/>
      <c r="DZ83" s="147"/>
      <c r="EA83" s="147"/>
      <c r="EB83" s="147"/>
      <c r="EC83" s="147"/>
      <c r="ED83" s="147"/>
      <c r="EE83" s="147"/>
      <c r="EF83" s="147"/>
      <c r="EG83" s="147"/>
      <c r="EH83" s="147"/>
      <c r="EI83" s="147"/>
      <c r="EJ83" s="147"/>
      <c r="EK83" s="147"/>
      <c r="EL83" s="147"/>
      <c r="EM83" s="147"/>
      <c r="EN83" s="147"/>
      <c r="EO83" s="147"/>
      <c r="EP83" s="147"/>
      <c r="EQ83" s="147"/>
      <c r="ER83" s="147"/>
      <c r="ES83" s="147"/>
      <c r="ET83" s="147"/>
      <c r="EU83" s="147"/>
      <c r="EV83" s="147"/>
      <c r="EW83" s="147"/>
      <c r="EX83" s="147"/>
      <c r="EY83" s="147"/>
      <c r="EZ83" s="147"/>
      <c r="FA83" s="147"/>
      <c r="FB83" s="147"/>
      <c r="FC83" s="147"/>
      <c r="FD83" s="147"/>
      <c r="FE83" s="147"/>
      <c r="FF83" s="147"/>
      <c r="FG83" s="147"/>
      <c r="FH83" s="147"/>
      <c r="FI83" s="147"/>
      <c r="FJ83" s="147"/>
      <c r="FK83" s="147"/>
      <c r="FL83" s="147"/>
      <c r="FM83" s="147"/>
      <c r="FN83" s="147"/>
      <c r="FO83" s="147"/>
      <c r="FP83" s="147"/>
      <c r="FQ83" s="147"/>
      <c r="FR83" s="147"/>
      <c r="FS83" s="147"/>
      <c r="FT83" s="147"/>
      <c r="FU83" s="147"/>
      <c r="FV83" s="147"/>
      <c r="FW83" s="147"/>
      <c r="FX83" s="147"/>
      <c r="FY83" s="147"/>
      <c r="FZ83" s="147"/>
      <c r="GA83" s="147"/>
      <c r="GB83" s="147"/>
      <c r="GC83" s="147"/>
      <c r="GD83" s="147"/>
      <c r="GE83" s="147"/>
    </row>
    <row r="84" spans="2:187" s="174" customFormat="1" ht="16.5" customHeight="1">
      <c r="B84" s="251">
        <v>78</v>
      </c>
      <c r="C84" s="420" t="s">
        <v>553</v>
      </c>
      <c r="D84" s="420" t="s">
        <v>556</v>
      </c>
      <c r="E84" s="420" t="s">
        <v>491</v>
      </c>
      <c r="F84" s="420" t="s">
        <v>488</v>
      </c>
      <c r="G84" s="421">
        <v>7</v>
      </c>
      <c r="H84" s="421">
        <v>700000</v>
      </c>
      <c r="I84" s="252">
        <f t="shared" si="1"/>
        <v>131250</v>
      </c>
      <c r="J84" s="341"/>
    </row>
    <row r="85" spans="2:187" s="174" customFormat="1" ht="16.5" customHeight="1">
      <c r="B85" s="251">
        <v>79</v>
      </c>
      <c r="C85" s="420" t="s">
        <v>553</v>
      </c>
      <c r="D85" s="420" t="s">
        <v>558</v>
      </c>
      <c r="E85" s="420" t="s">
        <v>141</v>
      </c>
      <c r="F85" s="420" t="s">
        <v>488</v>
      </c>
      <c r="G85" s="421">
        <v>3</v>
      </c>
      <c r="H85" s="421">
        <v>300000</v>
      </c>
      <c r="I85" s="252">
        <f t="shared" si="1"/>
        <v>56250</v>
      </c>
      <c r="J85" s="341"/>
    </row>
    <row r="86" spans="2:187" s="174" customFormat="1" ht="16.5" customHeight="1">
      <c r="B86" s="251">
        <v>80</v>
      </c>
      <c r="C86" s="420" t="s">
        <v>553</v>
      </c>
      <c r="D86" s="420" t="s">
        <v>559</v>
      </c>
      <c r="E86" s="420" t="s">
        <v>144</v>
      </c>
      <c r="F86" s="420" t="s">
        <v>481</v>
      </c>
      <c r="G86" s="421">
        <v>1</v>
      </c>
      <c r="H86" s="421">
        <v>100000</v>
      </c>
      <c r="I86" s="252">
        <f t="shared" si="1"/>
        <v>18750</v>
      </c>
      <c r="J86" s="341"/>
    </row>
    <row r="87" spans="2:187" s="174" customFormat="1" ht="16.5" customHeight="1">
      <c r="B87" s="251">
        <v>81</v>
      </c>
      <c r="C87" s="420" t="s">
        <v>553</v>
      </c>
      <c r="D87" s="420" t="s">
        <v>560</v>
      </c>
      <c r="E87" s="420" t="s">
        <v>525</v>
      </c>
      <c r="F87" s="420" t="s">
        <v>475</v>
      </c>
      <c r="G87" s="421">
        <v>5</v>
      </c>
      <c r="H87" s="421">
        <v>500000</v>
      </c>
      <c r="I87" s="252">
        <f t="shared" si="1"/>
        <v>93750</v>
      </c>
      <c r="J87" s="341"/>
    </row>
    <row r="88" spans="2:187" s="174" customFormat="1" ht="16.5" customHeight="1">
      <c r="B88" s="251">
        <v>82</v>
      </c>
      <c r="C88" s="420" t="s">
        <v>553</v>
      </c>
      <c r="D88" s="420" t="s">
        <v>561</v>
      </c>
      <c r="E88" s="420" t="s">
        <v>510</v>
      </c>
      <c r="F88" s="420" t="s">
        <v>546</v>
      </c>
      <c r="G88" s="421">
        <v>1</v>
      </c>
      <c r="H88" s="421">
        <v>400000</v>
      </c>
      <c r="I88" s="252">
        <f t="shared" si="1"/>
        <v>75000</v>
      </c>
      <c r="J88" s="341"/>
    </row>
    <row r="89" spans="2:187" s="174" customFormat="1" ht="16.5" customHeight="1">
      <c r="B89" s="251">
        <v>83</v>
      </c>
      <c r="C89" s="420" t="s">
        <v>553</v>
      </c>
      <c r="D89" s="420" t="s">
        <v>562</v>
      </c>
      <c r="E89" s="420" t="s">
        <v>563</v>
      </c>
      <c r="F89" s="420" t="s">
        <v>488</v>
      </c>
      <c r="G89" s="421">
        <v>4</v>
      </c>
      <c r="H89" s="421">
        <v>400000</v>
      </c>
      <c r="I89" s="252">
        <f t="shared" si="1"/>
        <v>75000</v>
      </c>
      <c r="J89" s="341"/>
    </row>
    <row r="90" spans="2:187" s="174" customFormat="1" ht="16.5" customHeight="1">
      <c r="B90" s="251">
        <v>84</v>
      </c>
      <c r="C90" s="420" t="s">
        <v>553</v>
      </c>
      <c r="D90" s="420" t="s">
        <v>564</v>
      </c>
      <c r="E90" s="420" t="s">
        <v>565</v>
      </c>
      <c r="F90" s="420" t="s">
        <v>475</v>
      </c>
      <c r="G90" s="421">
        <v>2</v>
      </c>
      <c r="H90" s="421">
        <v>200000</v>
      </c>
      <c r="I90" s="252">
        <f t="shared" si="1"/>
        <v>37500</v>
      </c>
      <c r="J90" s="341"/>
    </row>
    <row r="91" spans="2:187" s="174" customFormat="1" ht="16.5" customHeight="1">
      <c r="B91" s="251">
        <v>85</v>
      </c>
      <c r="C91" s="420" t="s">
        <v>553</v>
      </c>
      <c r="D91" s="420" t="s">
        <v>566</v>
      </c>
      <c r="E91" s="420" t="s">
        <v>530</v>
      </c>
      <c r="F91" s="420" t="s">
        <v>475</v>
      </c>
      <c r="G91" s="421">
        <v>2</v>
      </c>
      <c r="H91" s="421">
        <v>200000</v>
      </c>
      <c r="I91" s="252">
        <f t="shared" si="1"/>
        <v>37500</v>
      </c>
      <c r="J91" s="341"/>
    </row>
    <row r="92" spans="2:187" s="174" customFormat="1" ht="16.5" customHeight="1">
      <c r="B92" s="251">
        <v>86</v>
      </c>
      <c r="C92" s="420" t="s">
        <v>553</v>
      </c>
      <c r="D92" s="420" t="s">
        <v>567</v>
      </c>
      <c r="E92" s="420" t="s">
        <v>483</v>
      </c>
      <c r="F92" s="420" t="s">
        <v>488</v>
      </c>
      <c r="G92" s="421">
        <v>3</v>
      </c>
      <c r="H92" s="421">
        <v>300000</v>
      </c>
      <c r="I92" s="252">
        <f t="shared" si="1"/>
        <v>56250</v>
      </c>
      <c r="J92" s="341"/>
    </row>
    <row r="93" spans="2:187" s="174" customFormat="1" ht="16.5" customHeight="1">
      <c r="B93" s="251">
        <v>87</v>
      </c>
      <c r="C93" s="420" t="s">
        <v>553</v>
      </c>
      <c r="D93" s="420" t="s">
        <v>568</v>
      </c>
      <c r="E93" s="420" t="s">
        <v>542</v>
      </c>
      <c r="F93" s="420" t="s">
        <v>569</v>
      </c>
      <c r="G93" s="421">
        <v>1</v>
      </c>
      <c r="H93" s="421">
        <v>100000</v>
      </c>
      <c r="I93" s="252">
        <f t="shared" si="1"/>
        <v>18750</v>
      </c>
      <c r="J93" s="341"/>
    </row>
    <row r="94" spans="2:187" s="174" customFormat="1" ht="16.5" customHeight="1">
      <c r="B94" s="251">
        <v>88</v>
      </c>
      <c r="C94" s="420" t="s">
        <v>553</v>
      </c>
      <c r="D94" s="420" t="s">
        <v>566</v>
      </c>
      <c r="E94" s="420" t="s">
        <v>530</v>
      </c>
      <c r="F94" s="420" t="s">
        <v>488</v>
      </c>
      <c r="G94" s="421">
        <v>2</v>
      </c>
      <c r="H94" s="421">
        <v>200000</v>
      </c>
      <c r="I94" s="252">
        <f t="shared" si="1"/>
        <v>37500</v>
      </c>
      <c r="J94" s="341"/>
    </row>
    <row r="95" spans="2:187" s="174" customFormat="1" ht="16.5" customHeight="1">
      <c r="B95" s="251">
        <v>89</v>
      </c>
      <c r="C95" s="420" t="s">
        <v>553</v>
      </c>
      <c r="D95" s="420" t="s">
        <v>558</v>
      </c>
      <c r="E95" s="420" t="s">
        <v>141</v>
      </c>
      <c r="F95" s="420" t="s">
        <v>475</v>
      </c>
      <c r="G95" s="421">
        <v>1</v>
      </c>
      <c r="H95" s="421">
        <v>100000</v>
      </c>
      <c r="I95" s="252">
        <f t="shared" si="1"/>
        <v>18750</v>
      </c>
      <c r="J95" s="341"/>
    </row>
    <row r="96" spans="2:187" s="174" customFormat="1" ht="16.5" customHeight="1">
      <c r="B96" s="251">
        <v>90</v>
      </c>
      <c r="C96" s="420" t="s">
        <v>553</v>
      </c>
      <c r="D96" s="420" t="s">
        <v>570</v>
      </c>
      <c r="E96" s="420" t="s">
        <v>571</v>
      </c>
      <c r="F96" s="420" t="s">
        <v>488</v>
      </c>
      <c r="G96" s="421">
        <v>4</v>
      </c>
      <c r="H96" s="421">
        <v>400000</v>
      </c>
      <c r="I96" s="252">
        <f t="shared" si="1"/>
        <v>75000</v>
      </c>
      <c r="J96" s="341"/>
    </row>
    <row r="97" spans="2:10" s="174" customFormat="1" ht="16.5" customHeight="1">
      <c r="B97" s="251">
        <v>91</v>
      </c>
      <c r="C97" s="420" t="s">
        <v>553</v>
      </c>
      <c r="D97" s="420" t="s">
        <v>564</v>
      </c>
      <c r="E97" s="420" t="s">
        <v>565</v>
      </c>
      <c r="F97" s="420" t="s">
        <v>488</v>
      </c>
      <c r="G97" s="421">
        <v>4</v>
      </c>
      <c r="H97" s="421">
        <v>400000</v>
      </c>
      <c r="I97" s="252">
        <f t="shared" si="1"/>
        <v>75000</v>
      </c>
      <c r="J97" s="341"/>
    </row>
    <row r="98" spans="2:10" s="174" customFormat="1" ht="16.5" customHeight="1">
      <c r="B98" s="251">
        <v>92</v>
      </c>
      <c r="C98" s="420" t="s">
        <v>553</v>
      </c>
      <c r="D98" s="420" t="s">
        <v>572</v>
      </c>
      <c r="E98" s="420" t="s">
        <v>573</v>
      </c>
      <c r="F98" s="420" t="s">
        <v>478</v>
      </c>
      <c r="G98" s="421">
        <v>1</v>
      </c>
      <c r="H98" s="421">
        <v>100000</v>
      </c>
      <c r="I98" s="252">
        <f t="shared" si="1"/>
        <v>18750</v>
      </c>
      <c r="J98" s="341"/>
    </row>
    <row r="99" spans="2:10" s="174" customFormat="1" ht="16.5" customHeight="1">
      <c r="B99" s="251">
        <v>93</v>
      </c>
      <c r="C99" s="420" t="s">
        <v>553</v>
      </c>
      <c r="D99" s="420" t="s">
        <v>562</v>
      </c>
      <c r="E99" s="420" t="s">
        <v>563</v>
      </c>
      <c r="F99" s="420" t="s">
        <v>475</v>
      </c>
      <c r="G99" s="421">
        <v>3</v>
      </c>
      <c r="H99" s="421">
        <v>300000</v>
      </c>
      <c r="I99" s="252">
        <f t="shared" si="1"/>
        <v>56250</v>
      </c>
      <c r="J99" s="341"/>
    </row>
    <row r="100" spans="2:10" s="174" customFormat="1" ht="16.5" customHeight="1">
      <c r="B100" s="251">
        <v>94</v>
      </c>
      <c r="C100" s="420" t="s">
        <v>553</v>
      </c>
      <c r="D100" s="420" t="s">
        <v>574</v>
      </c>
      <c r="E100" s="420" t="s">
        <v>575</v>
      </c>
      <c r="F100" s="420" t="s">
        <v>481</v>
      </c>
      <c r="G100" s="421">
        <v>1</v>
      </c>
      <c r="H100" s="421">
        <v>100000</v>
      </c>
      <c r="I100" s="252">
        <f t="shared" si="1"/>
        <v>18750</v>
      </c>
      <c r="J100" s="341"/>
    </row>
    <row r="101" spans="2:10" s="174" customFormat="1" ht="16.5" customHeight="1">
      <c r="B101" s="251">
        <v>95</v>
      </c>
      <c r="C101" s="420" t="s">
        <v>553</v>
      </c>
      <c r="D101" s="420" t="s">
        <v>570</v>
      </c>
      <c r="E101" s="420" t="s">
        <v>571</v>
      </c>
      <c r="F101" s="420" t="s">
        <v>475</v>
      </c>
      <c r="G101" s="421">
        <v>8</v>
      </c>
      <c r="H101" s="421">
        <v>800000</v>
      </c>
      <c r="I101" s="252">
        <f t="shared" si="1"/>
        <v>150000</v>
      </c>
      <c r="J101" s="341"/>
    </row>
    <row r="102" spans="2:10" s="174" customFormat="1" ht="16.5" customHeight="1">
      <c r="B102" s="251">
        <v>96</v>
      </c>
      <c r="C102" s="420" t="s">
        <v>553</v>
      </c>
      <c r="D102" s="420" t="s">
        <v>567</v>
      </c>
      <c r="E102" s="420" t="s">
        <v>483</v>
      </c>
      <c r="F102" s="420" t="s">
        <v>475</v>
      </c>
      <c r="G102" s="421">
        <v>4</v>
      </c>
      <c r="H102" s="421">
        <v>400000</v>
      </c>
      <c r="I102" s="252">
        <f t="shared" si="1"/>
        <v>75000</v>
      </c>
      <c r="J102" s="341"/>
    </row>
    <row r="103" spans="2:10" s="174" customFormat="1" ht="16.5" customHeight="1">
      <c r="B103" s="251">
        <v>97</v>
      </c>
      <c r="C103" s="420" t="s">
        <v>553</v>
      </c>
      <c r="D103" s="420" t="s">
        <v>576</v>
      </c>
      <c r="E103" s="420" t="s">
        <v>577</v>
      </c>
      <c r="F103" s="420" t="s">
        <v>578</v>
      </c>
      <c r="G103" s="421">
        <v>1</v>
      </c>
      <c r="H103" s="421">
        <v>300000</v>
      </c>
      <c r="I103" s="252">
        <f t="shared" si="1"/>
        <v>56250</v>
      </c>
      <c r="J103" s="341"/>
    </row>
    <row r="104" spans="2:10" s="174" customFormat="1" ht="16.5" customHeight="1">
      <c r="B104" s="251">
        <v>98</v>
      </c>
      <c r="C104" s="420" t="s">
        <v>553</v>
      </c>
      <c r="D104" s="420" t="s">
        <v>561</v>
      </c>
      <c r="E104" s="420" t="s">
        <v>510</v>
      </c>
      <c r="F104" s="420" t="s">
        <v>475</v>
      </c>
      <c r="G104" s="421">
        <v>4</v>
      </c>
      <c r="H104" s="421">
        <v>400000</v>
      </c>
      <c r="I104" s="252">
        <f t="shared" si="1"/>
        <v>75000</v>
      </c>
      <c r="J104" s="341"/>
    </row>
    <row r="105" spans="2:10" s="174" customFormat="1" ht="16.5" customHeight="1">
      <c r="B105" s="251">
        <v>99</v>
      </c>
      <c r="C105" s="420" t="s">
        <v>553</v>
      </c>
      <c r="D105" s="420" t="s">
        <v>562</v>
      </c>
      <c r="E105" s="420" t="s">
        <v>563</v>
      </c>
      <c r="F105" s="420" t="s">
        <v>579</v>
      </c>
      <c r="G105" s="421">
        <v>1</v>
      </c>
      <c r="H105" s="421">
        <v>101800</v>
      </c>
      <c r="I105" s="252">
        <f t="shared" si="1"/>
        <v>19087.5</v>
      </c>
      <c r="J105" s="341"/>
    </row>
    <row r="106" spans="2:10" s="174" customFormat="1" ht="16.5" customHeight="1">
      <c r="B106" s="251">
        <v>100</v>
      </c>
      <c r="C106" s="420" t="s">
        <v>553</v>
      </c>
      <c r="D106" s="420" t="s">
        <v>580</v>
      </c>
      <c r="E106" s="420" t="s">
        <v>480</v>
      </c>
      <c r="F106" s="420" t="s">
        <v>481</v>
      </c>
      <c r="G106" s="421">
        <v>1</v>
      </c>
      <c r="H106" s="421">
        <v>40300</v>
      </c>
      <c r="I106" s="252">
        <f t="shared" si="1"/>
        <v>7556.25</v>
      </c>
      <c r="J106" s="341"/>
    </row>
    <row r="107" spans="2:10" s="174" customFormat="1" ht="16.5" customHeight="1">
      <c r="B107" s="251">
        <v>101</v>
      </c>
      <c r="C107" s="420" t="s">
        <v>553</v>
      </c>
      <c r="D107" s="420" t="s">
        <v>503</v>
      </c>
      <c r="E107" s="420" t="s">
        <v>504</v>
      </c>
      <c r="F107" s="420" t="s">
        <v>481</v>
      </c>
      <c r="G107" s="421">
        <v>1</v>
      </c>
      <c r="H107" s="421">
        <v>100000</v>
      </c>
      <c r="I107" s="252">
        <f t="shared" si="1"/>
        <v>18750</v>
      </c>
      <c r="J107" s="341"/>
    </row>
    <row r="108" spans="2:10" s="174" customFormat="1" ht="16.5" customHeight="1">
      <c r="B108" s="251">
        <v>102</v>
      </c>
      <c r="C108" s="420" t="s">
        <v>553</v>
      </c>
      <c r="D108" s="420" t="s">
        <v>560</v>
      </c>
      <c r="E108" s="420" t="s">
        <v>525</v>
      </c>
      <c r="F108" s="420" t="s">
        <v>488</v>
      </c>
      <c r="G108" s="421">
        <v>4</v>
      </c>
      <c r="H108" s="421">
        <v>400000</v>
      </c>
      <c r="I108" s="252">
        <f t="shared" si="1"/>
        <v>75000</v>
      </c>
      <c r="J108" s="341"/>
    </row>
    <row r="109" spans="2:10" s="259" customFormat="1" ht="16.5" customHeight="1">
      <c r="B109" s="251">
        <v>103</v>
      </c>
      <c r="C109" s="420" t="s">
        <v>553</v>
      </c>
      <c r="D109" s="420" t="s">
        <v>581</v>
      </c>
      <c r="E109" s="420" t="s">
        <v>174</v>
      </c>
      <c r="F109" s="420" t="s">
        <v>478</v>
      </c>
      <c r="G109" s="421">
        <v>1</v>
      </c>
      <c r="H109" s="421">
        <v>100000</v>
      </c>
      <c r="I109" s="252">
        <f t="shared" si="1"/>
        <v>18750</v>
      </c>
      <c r="J109" s="284"/>
    </row>
    <row r="110" spans="2:10" s="259" customFormat="1" ht="16.5" customHeight="1">
      <c r="B110" s="251">
        <v>104</v>
      </c>
      <c r="C110" s="420" t="s">
        <v>553</v>
      </c>
      <c r="D110" s="420" t="s">
        <v>582</v>
      </c>
      <c r="E110" s="420" t="s">
        <v>539</v>
      </c>
      <c r="F110" s="420" t="s">
        <v>583</v>
      </c>
      <c r="G110" s="421">
        <v>1</v>
      </c>
      <c r="H110" s="421">
        <v>372700</v>
      </c>
      <c r="I110" s="252">
        <f t="shared" si="1"/>
        <v>69881.25</v>
      </c>
      <c r="J110" s="284"/>
    </row>
    <row r="111" spans="2:10" s="174" customFormat="1" ht="16.5" customHeight="1">
      <c r="B111" s="251">
        <v>105</v>
      </c>
      <c r="C111" s="420" t="s">
        <v>584</v>
      </c>
      <c r="D111" s="420" t="s">
        <v>489</v>
      </c>
      <c r="E111" s="420" t="s">
        <v>141</v>
      </c>
      <c r="F111" s="420" t="s">
        <v>481</v>
      </c>
      <c r="G111" s="421">
        <v>1</v>
      </c>
      <c r="H111" s="421">
        <v>40300</v>
      </c>
      <c r="I111" s="252">
        <f t="shared" si="1"/>
        <v>7556.25</v>
      </c>
      <c r="J111" s="341"/>
    </row>
    <row r="112" spans="2:10" s="174" customFormat="1" ht="16.5" customHeight="1">
      <c r="B112" s="251">
        <v>106</v>
      </c>
      <c r="C112" s="420" t="s">
        <v>584</v>
      </c>
      <c r="D112" s="420" t="s">
        <v>585</v>
      </c>
      <c r="E112" s="420" t="s">
        <v>533</v>
      </c>
      <c r="F112" s="420" t="s">
        <v>586</v>
      </c>
      <c r="G112" s="421">
        <v>1</v>
      </c>
      <c r="H112" s="421">
        <v>200000</v>
      </c>
      <c r="I112" s="252">
        <f t="shared" si="1"/>
        <v>37500</v>
      </c>
      <c r="J112" s="341"/>
    </row>
    <row r="113" spans="2:187" s="174" customFormat="1" ht="16.5" customHeight="1">
      <c r="B113" s="251">
        <v>107</v>
      </c>
      <c r="C113" s="420" t="s">
        <v>584</v>
      </c>
      <c r="D113" s="420" t="s">
        <v>484</v>
      </c>
      <c r="E113" s="420" t="s">
        <v>485</v>
      </c>
      <c r="F113" s="420" t="s">
        <v>586</v>
      </c>
      <c r="G113" s="421">
        <v>1</v>
      </c>
      <c r="H113" s="421">
        <v>200000</v>
      </c>
      <c r="I113" s="252">
        <f t="shared" si="1"/>
        <v>37500</v>
      </c>
      <c r="J113" s="341"/>
    </row>
    <row r="114" spans="2:187" s="174" customFormat="1" ht="16.5" customHeight="1">
      <c r="B114" s="251">
        <v>108</v>
      </c>
      <c r="C114" s="420" t="s">
        <v>584</v>
      </c>
      <c r="D114" s="420" t="s">
        <v>370</v>
      </c>
      <c r="E114" s="420" t="s">
        <v>537</v>
      </c>
      <c r="F114" s="420" t="s">
        <v>488</v>
      </c>
      <c r="G114" s="421">
        <v>10</v>
      </c>
      <c r="H114" s="421">
        <v>1000000</v>
      </c>
      <c r="I114" s="252">
        <f t="shared" si="1"/>
        <v>187500</v>
      </c>
      <c r="J114" s="341"/>
    </row>
    <row r="115" spans="2:187" s="174" customFormat="1" ht="16.5" customHeight="1">
      <c r="B115" s="251">
        <v>109</v>
      </c>
      <c r="C115" s="420" t="s">
        <v>584</v>
      </c>
      <c r="D115" s="420" t="s">
        <v>587</v>
      </c>
      <c r="E115" s="420" t="s">
        <v>588</v>
      </c>
      <c r="F115" s="420" t="s">
        <v>475</v>
      </c>
      <c r="G115" s="421">
        <v>22</v>
      </c>
      <c r="H115" s="421">
        <v>2200000</v>
      </c>
      <c r="I115" s="252">
        <f t="shared" si="1"/>
        <v>412500</v>
      </c>
      <c r="J115" s="341"/>
    </row>
    <row r="116" spans="2:187" s="259" customFormat="1" ht="16.5" customHeight="1">
      <c r="B116" s="251">
        <v>110</v>
      </c>
      <c r="C116" s="420" t="s">
        <v>584</v>
      </c>
      <c r="D116" s="420" t="s">
        <v>370</v>
      </c>
      <c r="E116" s="420" t="s">
        <v>537</v>
      </c>
      <c r="F116" s="420" t="s">
        <v>589</v>
      </c>
      <c r="G116" s="421">
        <v>1</v>
      </c>
      <c r="H116" s="421">
        <v>600000</v>
      </c>
      <c r="I116" s="252">
        <f t="shared" si="1"/>
        <v>112500</v>
      </c>
      <c r="J116" s="284"/>
    </row>
    <row r="117" spans="2:187" s="259" customFormat="1" ht="16.5" customHeight="1">
      <c r="B117" s="251">
        <v>111</v>
      </c>
      <c r="C117" s="420" t="s">
        <v>584</v>
      </c>
      <c r="D117" s="420" t="s">
        <v>590</v>
      </c>
      <c r="E117" s="420" t="s">
        <v>591</v>
      </c>
      <c r="F117" s="420" t="s">
        <v>475</v>
      </c>
      <c r="G117" s="421">
        <v>8</v>
      </c>
      <c r="H117" s="421">
        <v>800000</v>
      </c>
      <c r="I117" s="252">
        <f t="shared" si="1"/>
        <v>150000</v>
      </c>
      <c r="J117" s="284"/>
    </row>
    <row r="118" spans="2:187" s="259" customFormat="1" ht="16.5" customHeight="1">
      <c r="B118" s="251">
        <v>112</v>
      </c>
      <c r="C118" s="420" t="s">
        <v>584</v>
      </c>
      <c r="D118" s="420" t="s">
        <v>587</v>
      </c>
      <c r="E118" s="420" t="s">
        <v>588</v>
      </c>
      <c r="F118" s="420" t="s">
        <v>488</v>
      </c>
      <c r="G118" s="421">
        <v>21</v>
      </c>
      <c r="H118" s="421">
        <v>2100000</v>
      </c>
      <c r="I118" s="252">
        <f t="shared" si="1"/>
        <v>393750</v>
      </c>
      <c r="J118" s="284"/>
    </row>
    <row r="119" spans="2:187" s="259" customFormat="1" ht="16.5" customHeight="1">
      <c r="B119" s="251">
        <v>113</v>
      </c>
      <c r="C119" s="420" t="s">
        <v>584</v>
      </c>
      <c r="D119" s="420" t="s">
        <v>590</v>
      </c>
      <c r="E119" s="420" t="s">
        <v>591</v>
      </c>
      <c r="F119" s="420" t="s">
        <v>488</v>
      </c>
      <c r="G119" s="421">
        <v>3</v>
      </c>
      <c r="H119" s="421">
        <v>300000</v>
      </c>
      <c r="I119" s="252">
        <f t="shared" si="1"/>
        <v>56250</v>
      </c>
      <c r="J119" s="284"/>
    </row>
    <row r="120" spans="2:187" s="259" customFormat="1" ht="16.5" customHeight="1">
      <c r="B120" s="251">
        <v>114</v>
      </c>
      <c r="C120" s="420" t="s">
        <v>584</v>
      </c>
      <c r="D120" s="420" t="s">
        <v>370</v>
      </c>
      <c r="E120" s="420" t="s">
        <v>537</v>
      </c>
      <c r="F120" s="420" t="s">
        <v>475</v>
      </c>
      <c r="G120" s="421">
        <v>13</v>
      </c>
      <c r="H120" s="421">
        <v>1300000</v>
      </c>
      <c r="I120" s="252">
        <f t="shared" si="1"/>
        <v>243750</v>
      </c>
      <c r="J120" s="284"/>
    </row>
    <row r="121" spans="2:187" s="259" customFormat="1" ht="16.5" customHeight="1">
      <c r="B121" s="251">
        <v>115</v>
      </c>
      <c r="C121" s="420" t="s">
        <v>584</v>
      </c>
      <c r="D121" s="420" t="s">
        <v>592</v>
      </c>
      <c r="E121" s="420" t="s">
        <v>141</v>
      </c>
      <c r="F121" s="420" t="s">
        <v>481</v>
      </c>
      <c r="G121" s="421">
        <v>1</v>
      </c>
      <c r="H121" s="421">
        <v>100000</v>
      </c>
      <c r="I121" s="252">
        <f t="shared" si="1"/>
        <v>18750</v>
      </c>
      <c r="J121" s="284"/>
    </row>
    <row r="122" spans="2:187" s="147" customFormat="1" ht="16.5" customHeight="1">
      <c r="B122" s="251">
        <v>116</v>
      </c>
      <c r="C122" s="420" t="s">
        <v>584</v>
      </c>
      <c r="D122" s="420" t="s">
        <v>593</v>
      </c>
      <c r="E122" s="420" t="s">
        <v>594</v>
      </c>
      <c r="F122" s="420" t="s">
        <v>475</v>
      </c>
      <c r="G122" s="421">
        <v>5</v>
      </c>
      <c r="H122" s="421">
        <v>500000</v>
      </c>
      <c r="I122" s="252">
        <f t="shared" si="1"/>
        <v>93750</v>
      </c>
      <c r="J122" s="284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  <c r="CO122" s="259"/>
      <c r="CP122" s="259"/>
      <c r="CQ122" s="259"/>
      <c r="CR122" s="259"/>
      <c r="CS122" s="259"/>
      <c r="CT122" s="259"/>
      <c r="CU122" s="259"/>
      <c r="CV122" s="259"/>
      <c r="CW122" s="259"/>
      <c r="CX122" s="259"/>
      <c r="CY122" s="259"/>
      <c r="CZ122" s="259"/>
      <c r="DA122" s="259"/>
      <c r="DB122" s="259"/>
      <c r="DC122" s="259"/>
      <c r="DD122" s="259"/>
      <c r="DE122" s="259"/>
      <c r="DF122" s="259"/>
      <c r="DG122" s="259"/>
      <c r="DH122" s="259"/>
      <c r="DI122" s="259"/>
      <c r="DJ122" s="259"/>
      <c r="DK122" s="259"/>
      <c r="DL122" s="259"/>
      <c r="DM122" s="259"/>
      <c r="DN122" s="259"/>
      <c r="DO122" s="259"/>
      <c r="DP122" s="259"/>
      <c r="DQ122" s="259"/>
      <c r="DR122" s="259"/>
      <c r="DS122" s="259"/>
      <c r="DT122" s="259"/>
      <c r="DU122" s="259"/>
      <c r="DV122" s="259"/>
      <c r="DW122" s="259"/>
      <c r="DX122" s="259"/>
      <c r="DY122" s="259"/>
      <c r="DZ122" s="259"/>
      <c r="EA122" s="259"/>
      <c r="EB122" s="259"/>
      <c r="EC122" s="259"/>
      <c r="ED122" s="259"/>
      <c r="EE122" s="259"/>
      <c r="EF122" s="259"/>
      <c r="EG122" s="259"/>
      <c r="EH122" s="259"/>
      <c r="EI122" s="259"/>
      <c r="EJ122" s="259"/>
      <c r="EK122" s="259"/>
      <c r="EL122" s="259"/>
      <c r="EM122" s="259"/>
      <c r="EN122" s="259"/>
      <c r="EO122" s="259"/>
      <c r="EP122" s="259"/>
      <c r="EQ122" s="259"/>
      <c r="ER122" s="259"/>
      <c r="ES122" s="259"/>
      <c r="ET122" s="259"/>
      <c r="EU122" s="259"/>
      <c r="EV122" s="259"/>
      <c r="EW122" s="259"/>
      <c r="EX122" s="259"/>
      <c r="EY122" s="259"/>
      <c r="EZ122" s="259"/>
      <c r="FA122" s="259"/>
      <c r="FB122" s="259"/>
      <c r="FC122" s="259"/>
      <c r="FD122" s="259"/>
      <c r="FE122" s="259"/>
      <c r="FF122" s="259"/>
      <c r="FG122" s="259"/>
      <c r="FH122" s="259"/>
      <c r="FI122" s="259"/>
      <c r="FJ122" s="259"/>
      <c r="FK122" s="259"/>
      <c r="FL122" s="259"/>
      <c r="FM122" s="259"/>
      <c r="FN122" s="259"/>
      <c r="FO122" s="259"/>
      <c r="FP122" s="259"/>
      <c r="FQ122" s="259"/>
      <c r="FR122" s="259"/>
      <c r="FS122" s="259"/>
      <c r="FT122" s="259"/>
      <c r="FU122" s="259"/>
      <c r="FV122" s="259"/>
      <c r="FW122" s="259"/>
      <c r="FX122" s="259"/>
      <c r="FY122" s="259"/>
      <c r="FZ122" s="259"/>
      <c r="GA122" s="259"/>
      <c r="GB122" s="259"/>
      <c r="GC122" s="259"/>
      <c r="GD122" s="259"/>
      <c r="GE122" s="259"/>
    </row>
    <row r="123" spans="2:187" s="147" customFormat="1" ht="16.5" customHeight="1">
      <c r="B123" s="251">
        <v>117</v>
      </c>
      <c r="C123" s="420" t="s">
        <v>584</v>
      </c>
      <c r="D123" s="420" t="s">
        <v>266</v>
      </c>
      <c r="E123" s="420" t="s">
        <v>139</v>
      </c>
      <c r="F123" s="420" t="s">
        <v>488</v>
      </c>
      <c r="G123" s="421">
        <v>3</v>
      </c>
      <c r="H123" s="421">
        <v>300000</v>
      </c>
      <c r="I123" s="252">
        <f t="shared" si="1"/>
        <v>56250</v>
      </c>
      <c r="J123" s="284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  <c r="CO123" s="259"/>
      <c r="CP123" s="259"/>
      <c r="CQ123" s="259"/>
      <c r="CR123" s="259"/>
      <c r="CS123" s="259"/>
      <c r="CT123" s="259"/>
      <c r="CU123" s="259"/>
      <c r="CV123" s="259"/>
      <c r="CW123" s="259"/>
      <c r="CX123" s="259"/>
      <c r="CY123" s="259"/>
      <c r="CZ123" s="259"/>
      <c r="DA123" s="259"/>
      <c r="DB123" s="259"/>
      <c r="DC123" s="259"/>
      <c r="DD123" s="259"/>
      <c r="DE123" s="259"/>
      <c r="DF123" s="259"/>
      <c r="DG123" s="259"/>
      <c r="DH123" s="259"/>
      <c r="DI123" s="259"/>
      <c r="DJ123" s="259"/>
      <c r="DK123" s="259"/>
      <c r="DL123" s="259"/>
      <c r="DM123" s="259"/>
      <c r="DN123" s="259"/>
      <c r="DO123" s="259"/>
      <c r="DP123" s="259"/>
      <c r="DQ123" s="259"/>
      <c r="DR123" s="259"/>
      <c r="DS123" s="259"/>
      <c r="DT123" s="259"/>
      <c r="DU123" s="259"/>
      <c r="DV123" s="259"/>
      <c r="DW123" s="259"/>
      <c r="DX123" s="259"/>
      <c r="DY123" s="259"/>
      <c r="DZ123" s="259"/>
      <c r="EA123" s="259"/>
      <c r="EB123" s="259"/>
      <c r="EC123" s="259"/>
      <c r="ED123" s="259"/>
      <c r="EE123" s="259"/>
      <c r="EF123" s="259"/>
      <c r="EG123" s="259"/>
      <c r="EH123" s="259"/>
      <c r="EI123" s="259"/>
      <c r="EJ123" s="259"/>
      <c r="EK123" s="259"/>
      <c r="EL123" s="259"/>
      <c r="EM123" s="259"/>
      <c r="EN123" s="259"/>
      <c r="EO123" s="259"/>
      <c r="EP123" s="259"/>
      <c r="EQ123" s="259"/>
      <c r="ER123" s="259"/>
      <c r="ES123" s="259"/>
      <c r="ET123" s="259"/>
      <c r="EU123" s="259"/>
      <c r="EV123" s="259"/>
      <c r="EW123" s="259"/>
      <c r="EX123" s="259"/>
      <c r="EY123" s="259"/>
      <c r="EZ123" s="259"/>
      <c r="FA123" s="259"/>
      <c r="FB123" s="259"/>
      <c r="FC123" s="259"/>
      <c r="FD123" s="259"/>
      <c r="FE123" s="259"/>
      <c r="FF123" s="259"/>
      <c r="FG123" s="259"/>
      <c r="FH123" s="259"/>
      <c r="FI123" s="259"/>
      <c r="FJ123" s="259"/>
      <c r="FK123" s="259"/>
      <c r="FL123" s="259"/>
      <c r="FM123" s="259"/>
      <c r="FN123" s="259"/>
      <c r="FO123" s="259"/>
      <c r="FP123" s="259"/>
      <c r="FQ123" s="259"/>
      <c r="FR123" s="259"/>
      <c r="FS123" s="259"/>
      <c r="FT123" s="259"/>
      <c r="FU123" s="259"/>
      <c r="FV123" s="259"/>
      <c r="FW123" s="259"/>
      <c r="FX123" s="259"/>
      <c r="FY123" s="259"/>
      <c r="FZ123" s="259"/>
      <c r="GA123" s="259"/>
      <c r="GB123" s="259"/>
      <c r="GC123" s="259"/>
      <c r="GD123" s="259"/>
      <c r="GE123" s="259"/>
    </row>
    <row r="124" spans="2:187" s="147" customFormat="1" ht="16.5" customHeight="1">
      <c r="B124" s="251">
        <v>118</v>
      </c>
      <c r="C124" s="420" t="s">
        <v>584</v>
      </c>
      <c r="D124" s="420" t="s">
        <v>595</v>
      </c>
      <c r="E124" s="420" t="s">
        <v>507</v>
      </c>
      <c r="F124" s="420" t="s">
        <v>481</v>
      </c>
      <c r="G124" s="421">
        <v>1</v>
      </c>
      <c r="H124" s="421">
        <v>40300</v>
      </c>
      <c r="I124" s="252">
        <f t="shared" si="1"/>
        <v>7556.25</v>
      </c>
      <c r="J124" s="284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  <c r="CO124" s="259"/>
      <c r="CP124" s="259"/>
      <c r="CQ124" s="259"/>
      <c r="CR124" s="259"/>
      <c r="CS124" s="259"/>
      <c r="CT124" s="259"/>
      <c r="CU124" s="259"/>
      <c r="CV124" s="259"/>
      <c r="CW124" s="259"/>
      <c r="CX124" s="259"/>
      <c r="CY124" s="259"/>
      <c r="CZ124" s="259"/>
      <c r="DA124" s="259"/>
      <c r="DB124" s="259"/>
      <c r="DC124" s="259"/>
      <c r="DD124" s="259"/>
      <c r="DE124" s="259"/>
      <c r="DF124" s="259"/>
      <c r="DG124" s="259"/>
      <c r="DH124" s="259"/>
      <c r="DI124" s="259"/>
      <c r="DJ124" s="259"/>
      <c r="DK124" s="259"/>
      <c r="DL124" s="259"/>
      <c r="DM124" s="259"/>
      <c r="DN124" s="259"/>
      <c r="DO124" s="259"/>
      <c r="DP124" s="259"/>
      <c r="DQ124" s="259"/>
      <c r="DR124" s="259"/>
      <c r="DS124" s="259"/>
      <c r="DT124" s="259"/>
      <c r="DU124" s="259"/>
      <c r="DV124" s="259"/>
      <c r="DW124" s="259"/>
      <c r="DX124" s="259"/>
      <c r="DY124" s="259"/>
      <c r="DZ124" s="259"/>
      <c r="EA124" s="259"/>
      <c r="EB124" s="259"/>
      <c r="EC124" s="259"/>
      <c r="ED124" s="259"/>
      <c r="EE124" s="259"/>
      <c r="EF124" s="259"/>
      <c r="EG124" s="259"/>
      <c r="EH124" s="259"/>
      <c r="EI124" s="259"/>
      <c r="EJ124" s="259"/>
      <c r="EK124" s="259"/>
      <c r="EL124" s="259"/>
      <c r="EM124" s="259"/>
      <c r="EN124" s="259"/>
      <c r="EO124" s="259"/>
      <c r="EP124" s="259"/>
      <c r="EQ124" s="259"/>
      <c r="ER124" s="259"/>
      <c r="ES124" s="259"/>
      <c r="ET124" s="259"/>
      <c r="EU124" s="259"/>
      <c r="EV124" s="259"/>
      <c r="EW124" s="259"/>
      <c r="EX124" s="259"/>
      <c r="EY124" s="259"/>
      <c r="EZ124" s="259"/>
      <c r="FA124" s="259"/>
      <c r="FB124" s="259"/>
      <c r="FC124" s="259"/>
      <c r="FD124" s="259"/>
      <c r="FE124" s="259"/>
      <c r="FF124" s="259"/>
      <c r="FG124" s="259"/>
      <c r="FH124" s="259"/>
      <c r="FI124" s="259"/>
      <c r="FJ124" s="259"/>
      <c r="FK124" s="259"/>
      <c r="FL124" s="259"/>
      <c r="FM124" s="259"/>
      <c r="FN124" s="259"/>
      <c r="FO124" s="259"/>
      <c r="FP124" s="259"/>
      <c r="FQ124" s="259"/>
      <c r="FR124" s="259"/>
      <c r="FS124" s="259"/>
      <c r="FT124" s="259"/>
      <c r="FU124" s="259"/>
      <c r="FV124" s="259"/>
      <c r="FW124" s="259"/>
      <c r="FX124" s="259"/>
      <c r="FY124" s="259"/>
      <c r="FZ124" s="259"/>
      <c r="GA124" s="259"/>
      <c r="GB124" s="259"/>
      <c r="GC124" s="259"/>
      <c r="GD124" s="259"/>
      <c r="GE124" s="259"/>
    </row>
    <row r="125" spans="2:187" s="147" customFormat="1" ht="16.5" customHeight="1">
      <c r="B125" s="251">
        <v>119</v>
      </c>
      <c r="C125" s="420" t="s">
        <v>584</v>
      </c>
      <c r="D125" s="420" t="s">
        <v>484</v>
      </c>
      <c r="E125" s="420" t="s">
        <v>485</v>
      </c>
      <c r="F125" s="420" t="s">
        <v>481</v>
      </c>
      <c r="G125" s="421">
        <v>1</v>
      </c>
      <c r="H125" s="421">
        <v>40300</v>
      </c>
      <c r="I125" s="252">
        <f t="shared" si="1"/>
        <v>7556.25</v>
      </c>
      <c r="J125" s="284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  <c r="CO125" s="259"/>
      <c r="CP125" s="259"/>
      <c r="CQ125" s="259"/>
      <c r="CR125" s="259"/>
      <c r="CS125" s="259"/>
      <c r="CT125" s="259"/>
      <c r="CU125" s="259"/>
      <c r="CV125" s="259"/>
      <c r="CW125" s="259"/>
      <c r="CX125" s="259"/>
      <c r="CY125" s="259"/>
      <c r="CZ125" s="259"/>
      <c r="DA125" s="259"/>
      <c r="DB125" s="259"/>
      <c r="DC125" s="259"/>
      <c r="DD125" s="259"/>
      <c r="DE125" s="259"/>
      <c r="DF125" s="259"/>
      <c r="DG125" s="259"/>
      <c r="DH125" s="259"/>
      <c r="DI125" s="259"/>
      <c r="DJ125" s="259"/>
      <c r="DK125" s="259"/>
      <c r="DL125" s="259"/>
      <c r="DM125" s="259"/>
      <c r="DN125" s="259"/>
      <c r="DO125" s="259"/>
      <c r="DP125" s="259"/>
      <c r="DQ125" s="259"/>
      <c r="DR125" s="259"/>
      <c r="DS125" s="259"/>
      <c r="DT125" s="259"/>
      <c r="DU125" s="259"/>
      <c r="DV125" s="259"/>
      <c r="DW125" s="259"/>
      <c r="DX125" s="259"/>
      <c r="DY125" s="259"/>
      <c r="DZ125" s="259"/>
      <c r="EA125" s="259"/>
      <c r="EB125" s="259"/>
      <c r="EC125" s="259"/>
      <c r="ED125" s="259"/>
      <c r="EE125" s="259"/>
      <c r="EF125" s="259"/>
      <c r="EG125" s="259"/>
      <c r="EH125" s="259"/>
      <c r="EI125" s="259"/>
      <c r="EJ125" s="259"/>
      <c r="EK125" s="259"/>
      <c r="EL125" s="259"/>
      <c r="EM125" s="259"/>
      <c r="EN125" s="259"/>
      <c r="EO125" s="259"/>
      <c r="EP125" s="259"/>
      <c r="EQ125" s="259"/>
      <c r="ER125" s="259"/>
      <c r="ES125" s="259"/>
      <c r="ET125" s="259"/>
      <c r="EU125" s="259"/>
      <c r="EV125" s="259"/>
      <c r="EW125" s="259"/>
      <c r="EX125" s="259"/>
      <c r="EY125" s="259"/>
      <c r="EZ125" s="259"/>
      <c r="FA125" s="259"/>
      <c r="FB125" s="259"/>
      <c r="FC125" s="259"/>
      <c r="FD125" s="259"/>
      <c r="FE125" s="259"/>
      <c r="FF125" s="259"/>
      <c r="FG125" s="259"/>
      <c r="FH125" s="259"/>
      <c r="FI125" s="259"/>
      <c r="FJ125" s="259"/>
      <c r="FK125" s="259"/>
      <c r="FL125" s="259"/>
      <c r="FM125" s="259"/>
      <c r="FN125" s="259"/>
      <c r="FO125" s="259"/>
      <c r="FP125" s="259"/>
      <c r="FQ125" s="259"/>
      <c r="FR125" s="259"/>
      <c r="FS125" s="259"/>
      <c r="FT125" s="259"/>
      <c r="FU125" s="259"/>
      <c r="FV125" s="259"/>
      <c r="FW125" s="259"/>
      <c r="FX125" s="259"/>
      <c r="FY125" s="259"/>
      <c r="FZ125" s="259"/>
      <c r="GA125" s="259"/>
      <c r="GB125" s="259"/>
      <c r="GC125" s="259"/>
      <c r="GD125" s="259"/>
      <c r="GE125" s="259"/>
    </row>
    <row r="126" spans="2:187" s="147" customFormat="1" ht="16.5" customHeight="1">
      <c r="B126" s="251">
        <v>120</v>
      </c>
      <c r="C126" s="420" t="s">
        <v>584</v>
      </c>
      <c r="D126" s="420" t="s">
        <v>473</v>
      </c>
      <c r="E126" s="420" t="s">
        <v>474</v>
      </c>
      <c r="F126" s="420" t="s">
        <v>478</v>
      </c>
      <c r="G126" s="421">
        <v>1</v>
      </c>
      <c r="H126" s="421">
        <v>100000</v>
      </c>
      <c r="I126" s="252">
        <f t="shared" si="1"/>
        <v>18750</v>
      </c>
      <c r="J126" s="284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  <c r="CO126" s="259"/>
      <c r="CP126" s="259"/>
      <c r="CQ126" s="259"/>
      <c r="CR126" s="259"/>
      <c r="CS126" s="259"/>
      <c r="CT126" s="259"/>
      <c r="CU126" s="259"/>
      <c r="CV126" s="259"/>
      <c r="CW126" s="259"/>
      <c r="CX126" s="259"/>
      <c r="CY126" s="259"/>
      <c r="CZ126" s="259"/>
      <c r="DA126" s="259"/>
      <c r="DB126" s="259"/>
      <c r="DC126" s="259"/>
      <c r="DD126" s="259"/>
      <c r="DE126" s="259"/>
      <c r="DF126" s="259"/>
      <c r="DG126" s="259"/>
      <c r="DH126" s="259"/>
      <c r="DI126" s="259"/>
      <c r="DJ126" s="259"/>
      <c r="DK126" s="259"/>
      <c r="DL126" s="259"/>
      <c r="DM126" s="259"/>
      <c r="DN126" s="259"/>
      <c r="DO126" s="259"/>
      <c r="DP126" s="259"/>
      <c r="DQ126" s="259"/>
      <c r="DR126" s="259"/>
      <c r="DS126" s="259"/>
      <c r="DT126" s="259"/>
      <c r="DU126" s="259"/>
      <c r="DV126" s="259"/>
      <c r="DW126" s="259"/>
      <c r="DX126" s="259"/>
      <c r="DY126" s="259"/>
      <c r="DZ126" s="259"/>
      <c r="EA126" s="259"/>
      <c r="EB126" s="259"/>
      <c r="EC126" s="259"/>
      <c r="ED126" s="259"/>
      <c r="EE126" s="259"/>
      <c r="EF126" s="259"/>
      <c r="EG126" s="259"/>
      <c r="EH126" s="259"/>
      <c r="EI126" s="259"/>
      <c r="EJ126" s="259"/>
      <c r="EK126" s="259"/>
      <c r="EL126" s="259"/>
      <c r="EM126" s="259"/>
      <c r="EN126" s="259"/>
      <c r="EO126" s="259"/>
      <c r="EP126" s="259"/>
      <c r="EQ126" s="259"/>
      <c r="ER126" s="259"/>
      <c r="ES126" s="259"/>
      <c r="ET126" s="259"/>
      <c r="EU126" s="259"/>
      <c r="EV126" s="259"/>
      <c r="EW126" s="259"/>
      <c r="EX126" s="259"/>
      <c r="EY126" s="259"/>
      <c r="EZ126" s="259"/>
      <c r="FA126" s="259"/>
      <c r="FB126" s="259"/>
      <c r="FC126" s="259"/>
      <c r="FD126" s="259"/>
      <c r="FE126" s="259"/>
      <c r="FF126" s="259"/>
      <c r="FG126" s="259"/>
      <c r="FH126" s="259"/>
      <c r="FI126" s="259"/>
      <c r="FJ126" s="259"/>
      <c r="FK126" s="259"/>
      <c r="FL126" s="259"/>
      <c r="FM126" s="259"/>
      <c r="FN126" s="259"/>
      <c r="FO126" s="259"/>
      <c r="FP126" s="259"/>
      <c r="FQ126" s="259"/>
      <c r="FR126" s="259"/>
      <c r="FS126" s="259"/>
      <c r="FT126" s="259"/>
      <c r="FU126" s="259"/>
      <c r="FV126" s="259"/>
      <c r="FW126" s="259"/>
      <c r="FX126" s="259"/>
      <c r="FY126" s="259"/>
      <c r="FZ126" s="259"/>
      <c r="GA126" s="259"/>
      <c r="GB126" s="259"/>
      <c r="GC126" s="259"/>
      <c r="GD126" s="259"/>
      <c r="GE126" s="259"/>
    </row>
    <row r="127" spans="2:187" s="147" customFormat="1" ht="16.5" customHeight="1">
      <c r="B127" s="251">
        <v>121</v>
      </c>
      <c r="C127" s="420" t="s">
        <v>584</v>
      </c>
      <c r="D127" s="420" t="s">
        <v>593</v>
      </c>
      <c r="E127" s="420" t="s">
        <v>594</v>
      </c>
      <c r="F127" s="420" t="s">
        <v>488</v>
      </c>
      <c r="G127" s="421">
        <v>5</v>
      </c>
      <c r="H127" s="421">
        <v>500000</v>
      </c>
      <c r="I127" s="252">
        <f t="shared" si="1"/>
        <v>93750</v>
      </c>
      <c r="J127" s="284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  <c r="CO127" s="259"/>
      <c r="CP127" s="259"/>
      <c r="CQ127" s="259"/>
      <c r="CR127" s="259"/>
      <c r="CS127" s="259"/>
      <c r="CT127" s="259"/>
      <c r="CU127" s="259"/>
      <c r="CV127" s="259"/>
      <c r="CW127" s="259"/>
      <c r="CX127" s="259"/>
      <c r="CY127" s="259"/>
      <c r="CZ127" s="259"/>
      <c r="DA127" s="259"/>
      <c r="DB127" s="259"/>
      <c r="DC127" s="259"/>
      <c r="DD127" s="259"/>
      <c r="DE127" s="259"/>
      <c r="DF127" s="259"/>
      <c r="DG127" s="259"/>
      <c r="DH127" s="259"/>
      <c r="DI127" s="259"/>
      <c r="DJ127" s="259"/>
      <c r="DK127" s="259"/>
      <c r="DL127" s="259"/>
      <c r="DM127" s="259"/>
      <c r="DN127" s="259"/>
      <c r="DO127" s="259"/>
      <c r="DP127" s="259"/>
      <c r="DQ127" s="259"/>
      <c r="DR127" s="259"/>
      <c r="DS127" s="259"/>
      <c r="DT127" s="259"/>
      <c r="DU127" s="259"/>
      <c r="DV127" s="259"/>
      <c r="DW127" s="259"/>
      <c r="DX127" s="259"/>
      <c r="DY127" s="259"/>
      <c r="DZ127" s="259"/>
      <c r="EA127" s="259"/>
      <c r="EB127" s="259"/>
      <c r="EC127" s="259"/>
      <c r="ED127" s="259"/>
      <c r="EE127" s="259"/>
      <c r="EF127" s="259"/>
      <c r="EG127" s="259"/>
      <c r="EH127" s="259"/>
      <c r="EI127" s="259"/>
      <c r="EJ127" s="259"/>
      <c r="EK127" s="259"/>
      <c r="EL127" s="259"/>
      <c r="EM127" s="259"/>
      <c r="EN127" s="259"/>
      <c r="EO127" s="259"/>
      <c r="EP127" s="259"/>
      <c r="EQ127" s="259"/>
      <c r="ER127" s="259"/>
      <c r="ES127" s="259"/>
      <c r="ET127" s="259"/>
      <c r="EU127" s="259"/>
      <c r="EV127" s="259"/>
      <c r="EW127" s="259"/>
      <c r="EX127" s="259"/>
      <c r="EY127" s="259"/>
      <c r="EZ127" s="259"/>
      <c r="FA127" s="259"/>
      <c r="FB127" s="259"/>
      <c r="FC127" s="259"/>
      <c r="FD127" s="259"/>
      <c r="FE127" s="259"/>
      <c r="FF127" s="259"/>
      <c r="FG127" s="259"/>
      <c r="FH127" s="259"/>
      <c r="FI127" s="259"/>
      <c r="FJ127" s="259"/>
      <c r="FK127" s="259"/>
      <c r="FL127" s="259"/>
      <c r="FM127" s="259"/>
      <c r="FN127" s="259"/>
      <c r="FO127" s="259"/>
      <c r="FP127" s="259"/>
      <c r="FQ127" s="259"/>
      <c r="FR127" s="259"/>
      <c r="FS127" s="259"/>
      <c r="FT127" s="259"/>
      <c r="FU127" s="259"/>
      <c r="FV127" s="259"/>
      <c r="FW127" s="259"/>
      <c r="FX127" s="259"/>
      <c r="FY127" s="259"/>
      <c r="FZ127" s="259"/>
      <c r="GA127" s="259"/>
      <c r="GB127" s="259"/>
      <c r="GC127" s="259"/>
      <c r="GD127" s="259"/>
      <c r="GE127" s="259"/>
    </row>
    <row r="128" spans="2:187" s="174" customFormat="1" ht="16.5" customHeight="1">
      <c r="B128" s="251">
        <v>122</v>
      </c>
      <c r="C128" s="420" t="s">
        <v>584</v>
      </c>
      <c r="D128" s="420" t="s">
        <v>596</v>
      </c>
      <c r="E128" s="420" t="s">
        <v>141</v>
      </c>
      <c r="F128" s="420" t="s">
        <v>475</v>
      </c>
      <c r="G128" s="421">
        <v>5</v>
      </c>
      <c r="H128" s="421">
        <v>500000</v>
      </c>
      <c r="I128" s="252">
        <f t="shared" si="1"/>
        <v>93750</v>
      </c>
      <c r="J128" s="341"/>
    </row>
    <row r="129" spans="2:10" s="174" customFormat="1" ht="16.5" customHeight="1">
      <c r="B129" s="251">
        <v>123</v>
      </c>
      <c r="C129" s="420" t="s">
        <v>584</v>
      </c>
      <c r="D129" s="420" t="s">
        <v>266</v>
      </c>
      <c r="E129" s="420" t="s">
        <v>139</v>
      </c>
      <c r="F129" s="420" t="s">
        <v>475</v>
      </c>
      <c r="G129" s="421">
        <v>5</v>
      </c>
      <c r="H129" s="421">
        <v>500000</v>
      </c>
      <c r="I129" s="252">
        <f t="shared" si="1"/>
        <v>93750</v>
      </c>
      <c r="J129" s="341"/>
    </row>
    <row r="130" spans="2:10" s="174" customFormat="1" ht="16.5" customHeight="1">
      <c r="B130" s="251">
        <v>124</v>
      </c>
      <c r="C130" s="420" t="s">
        <v>597</v>
      </c>
      <c r="D130" s="420" t="s">
        <v>598</v>
      </c>
      <c r="E130" s="420" t="s">
        <v>599</v>
      </c>
      <c r="F130" s="420" t="s">
        <v>475</v>
      </c>
      <c r="G130" s="421">
        <v>9</v>
      </c>
      <c r="H130" s="421">
        <v>900000</v>
      </c>
      <c r="I130" s="252">
        <f t="shared" si="1"/>
        <v>168750</v>
      </c>
      <c r="J130" s="341"/>
    </row>
    <row r="131" spans="2:10" s="174" customFormat="1" ht="16.5" customHeight="1">
      <c r="B131" s="251">
        <v>125</v>
      </c>
      <c r="C131" s="420" t="s">
        <v>597</v>
      </c>
      <c r="D131" s="420" t="s">
        <v>600</v>
      </c>
      <c r="E131" s="420" t="s">
        <v>601</v>
      </c>
      <c r="F131" s="420" t="s">
        <v>475</v>
      </c>
      <c r="G131" s="421">
        <v>7</v>
      </c>
      <c r="H131" s="421">
        <v>700000</v>
      </c>
      <c r="I131" s="252">
        <f t="shared" si="1"/>
        <v>131250</v>
      </c>
      <c r="J131" s="341"/>
    </row>
    <row r="132" spans="2:10" s="174" customFormat="1" ht="16.5" customHeight="1">
      <c r="B132" s="251">
        <v>126</v>
      </c>
      <c r="C132" s="420" t="s">
        <v>597</v>
      </c>
      <c r="D132" s="420" t="s">
        <v>602</v>
      </c>
      <c r="E132" s="420" t="s">
        <v>603</v>
      </c>
      <c r="F132" s="420" t="s">
        <v>478</v>
      </c>
      <c r="G132" s="421">
        <v>1</v>
      </c>
      <c r="H132" s="421">
        <v>100000</v>
      </c>
      <c r="I132" s="252">
        <f t="shared" si="1"/>
        <v>18750</v>
      </c>
      <c r="J132" s="341"/>
    </row>
    <row r="133" spans="2:10" s="174" customFormat="1" ht="16.5" customHeight="1">
      <c r="B133" s="251">
        <v>127</v>
      </c>
      <c r="C133" s="420" t="s">
        <v>597</v>
      </c>
      <c r="D133" s="420" t="s">
        <v>598</v>
      </c>
      <c r="E133" s="420" t="s">
        <v>599</v>
      </c>
      <c r="F133" s="420" t="s">
        <v>478</v>
      </c>
      <c r="G133" s="421">
        <v>4</v>
      </c>
      <c r="H133" s="421">
        <v>400000</v>
      </c>
      <c r="I133" s="252">
        <f t="shared" si="1"/>
        <v>75000</v>
      </c>
      <c r="J133" s="341"/>
    </row>
    <row r="134" spans="2:10" s="174" customFormat="1" ht="16.5" customHeight="1">
      <c r="B134" s="251">
        <v>128</v>
      </c>
      <c r="C134" s="420" t="s">
        <v>597</v>
      </c>
      <c r="D134" s="420" t="s">
        <v>604</v>
      </c>
      <c r="E134" s="420" t="s">
        <v>144</v>
      </c>
      <c r="F134" s="420" t="s">
        <v>569</v>
      </c>
      <c r="G134" s="421">
        <v>1</v>
      </c>
      <c r="H134" s="421">
        <v>100000</v>
      </c>
      <c r="I134" s="252">
        <f t="shared" si="1"/>
        <v>18750</v>
      </c>
      <c r="J134" s="341"/>
    </row>
    <row r="135" spans="2:10" s="174" customFormat="1" ht="16.5" customHeight="1">
      <c r="B135" s="251">
        <v>129</v>
      </c>
      <c r="C135" s="420" t="s">
        <v>597</v>
      </c>
      <c r="D135" s="420" t="s">
        <v>526</v>
      </c>
      <c r="E135" s="420" t="s">
        <v>499</v>
      </c>
      <c r="F135" s="420" t="s">
        <v>481</v>
      </c>
      <c r="G135" s="421">
        <v>1</v>
      </c>
      <c r="H135" s="421">
        <v>40300</v>
      </c>
      <c r="I135" s="252">
        <f t="shared" si="1"/>
        <v>7556.25</v>
      </c>
      <c r="J135" s="341"/>
    </row>
    <row r="136" spans="2:10" s="174" customFormat="1" ht="16.5" customHeight="1">
      <c r="B136" s="251">
        <v>130</v>
      </c>
      <c r="C136" s="420" t="s">
        <v>597</v>
      </c>
      <c r="D136" s="420" t="s">
        <v>602</v>
      </c>
      <c r="E136" s="420" t="s">
        <v>603</v>
      </c>
      <c r="F136" s="420" t="s">
        <v>475</v>
      </c>
      <c r="G136" s="421">
        <v>1</v>
      </c>
      <c r="H136" s="421">
        <v>100000</v>
      </c>
      <c r="I136" s="252">
        <f t="shared" ref="I136:I199" si="2">H136*25%*75%</f>
        <v>18750</v>
      </c>
      <c r="J136" s="341"/>
    </row>
    <row r="137" spans="2:10" s="147" customFormat="1" ht="16.5" customHeight="1">
      <c r="B137" s="251">
        <v>131</v>
      </c>
      <c r="C137" s="420" t="s">
        <v>597</v>
      </c>
      <c r="D137" s="420" t="s">
        <v>605</v>
      </c>
      <c r="E137" s="420" t="s">
        <v>494</v>
      </c>
      <c r="F137" s="420" t="s">
        <v>475</v>
      </c>
      <c r="G137" s="421">
        <v>1</v>
      </c>
      <c r="H137" s="421">
        <v>100000</v>
      </c>
      <c r="I137" s="252">
        <f t="shared" si="2"/>
        <v>18750</v>
      </c>
      <c r="J137" s="219"/>
    </row>
    <row r="138" spans="2:10" s="147" customFormat="1" ht="16.5" customHeight="1">
      <c r="B138" s="251">
        <v>132</v>
      </c>
      <c r="C138" s="420" t="s">
        <v>597</v>
      </c>
      <c r="D138" s="420" t="s">
        <v>605</v>
      </c>
      <c r="E138" s="420" t="s">
        <v>494</v>
      </c>
      <c r="F138" s="420" t="s">
        <v>478</v>
      </c>
      <c r="G138" s="421">
        <v>1</v>
      </c>
      <c r="H138" s="421">
        <v>100000</v>
      </c>
      <c r="I138" s="252">
        <f t="shared" si="2"/>
        <v>18750</v>
      </c>
      <c r="J138" s="219"/>
    </row>
    <row r="139" spans="2:10" s="147" customFormat="1" ht="16.5" customHeight="1">
      <c r="B139" s="251">
        <v>133</v>
      </c>
      <c r="C139" s="420" t="s">
        <v>597</v>
      </c>
      <c r="D139" s="420" t="s">
        <v>600</v>
      </c>
      <c r="E139" s="420" t="s">
        <v>601</v>
      </c>
      <c r="F139" s="420" t="s">
        <v>478</v>
      </c>
      <c r="G139" s="421">
        <v>4</v>
      </c>
      <c r="H139" s="421">
        <v>400000</v>
      </c>
      <c r="I139" s="252">
        <f t="shared" si="2"/>
        <v>75000</v>
      </c>
      <c r="J139" s="219"/>
    </row>
    <row r="140" spans="2:10" s="147" customFormat="1" ht="16.5" customHeight="1">
      <c r="B140" s="251">
        <v>134</v>
      </c>
      <c r="C140" s="420" t="s">
        <v>597</v>
      </c>
      <c r="D140" s="420" t="s">
        <v>606</v>
      </c>
      <c r="E140" s="420" t="s">
        <v>601</v>
      </c>
      <c r="F140" s="420" t="s">
        <v>607</v>
      </c>
      <c r="G140" s="421">
        <v>1</v>
      </c>
      <c r="H140" s="421">
        <v>150000</v>
      </c>
      <c r="I140" s="252">
        <f t="shared" si="2"/>
        <v>28125</v>
      </c>
      <c r="J140" s="219"/>
    </row>
    <row r="141" spans="2:10" s="147" customFormat="1" ht="16.5" customHeight="1">
      <c r="B141" s="251">
        <v>135</v>
      </c>
      <c r="C141" s="420" t="s">
        <v>597</v>
      </c>
      <c r="D141" s="420" t="s">
        <v>608</v>
      </c>
      <c r="E141" s="420" t="s">
        <v>609</v>
      </c>
      <c r="F141" s="420" t="s">
        <v>475</v>
      </c>
      <c r="G141" s="421">
        <v>3</v>
      </c>
      <c r="H141" s="421">
        <v>300000</v>
      </c>
      <c r="I141" s="252">
        <f t="shared" si="2"/>
        <v>56250</v>
      </c>
      <c r="J141" s="219"/>
    </row>
    <row r="142" spans="2:10" s="174" customFormat="1" ht="16.5" customHeight="1">
      <c r="B142" s="251">
        <v>136</v>
      </c>
      <c r="C142" s="420" t="s">
        <v>597</v>
      </c>
      <c r="D142" s="420" t="s">
        <v>610</v>
      </c>
      <c r="E142" s="420" t="s">
        <v>504</v>
      </c>
      <c r="F142" s="420" t="s">
        <v>478</v>
      </c>
      <c r="G142" s="421">
        <v>1</v>
      </c>
      <c r="H142" s="421">
        <v>40300</v>
      </c>
      <c r="I142" s="252">
        <f t="shared" si="2"/>
        <v>7556.25</v>
      </c>
      <c r="J142" s="341"/>
    </row>
    <row r="143" spans="2:10" s="174" customFormat="1" ht="16.5" customHeight="1">
      <c r="B143" s="251">
        <v>137</v>
      </c>
      <c r="C143" s="420" t="s">
        <v>597</v>
      </c>
      <c r="D143" s="420" t="s">
        <v>611</v>
      </c>
      <c r="E143" s="420" t="s">
        <v>601</v>
      </c>
      <c r="F143" s="420" t="s">
        <v>475</v>
      </c>
      <c r="G143" s="421">
        <v>3</v>
      </c>
      <c r="H143" s="421">
        <v>300000</v>
      </c>
      <c r="I143" s="252">
        <f t="shared" si="2"/>
        <v>56250</v>
      </c>
      <c r="J143" s="341"/>
    </row>
    <row r="144" spans="2:10" s="174" customFormat="1" ht="16.5" customHeight="1">
      <c r="B144" s="251">
        <v>138</v>
      </c>
      <c r="C144" s="420" t="s">
        <v>597</v>
      </c>
      <c r="D144" s="420" t="s">
        <v>528</v>
      </c>
      <c r="E144" s="420" t="s">
        <v>499</v>
      </c>
      <c r="F144" s="420" t="s">
        <v>481</v>
      </c>
      <c r="G144" s="421">
        <v>1</v>
      </c>
      <c r="H144" s="421">
        <v>40300</v>
      </c>
      <c r="I144" s="252">
        <f t="shared" si="2"/>
        <v>7556.25</v>
      </c>
      <c r="J144" s="341"/>
    </row>
    <row r="145" spans="2:10" s="174" customFormat="1" ht="16.5" customHeight="1">
      <c r="B145" s="251">
        <v>139</v>
      </c>
      <c r="C145" s="420" t="s">
        <v>597</v>
      </c>
      <c r="D145" s="420" t="s">
        <v>612</v>
      </c>
      <c r="E145" s="420" t="s">
        <v>537</v>
      </c>
      <c r="F145" s="420" t="s">
        <v>586</v>
      </c>
      <c r="G145" s="421">
        <v>1</v>
      </c>
      <c r="H145" s="421">
        <v>200000</v>
      </c>
      <c r="I145" s="252">
        <f t="shared" si="2"/>
        <v>37500</v>
      </c>
      <c r="J145" s="341"/>
    </row>
    <row r="146" spans="2:10" s="174" customFormat="1" ht="16.5" customHeight="1">
      <c r="B146" s="251">
        <v>140</v>
      </c>
      <c r="C146" s="420" t="s">
        <v>597</v>
      </c>
      <c r="D146" s="420" t="s">
        <v>613</v>
      </c>
      <c r="E146" s="420" t="s">
        <v>533</v>
      </c>
      <c r="F146" s="420" t="s">
        <v>614</v>
      </c>
      <c r="G146" s="421">
        <v>1</v>
      </c>
      <c r="H146" s="421">
        <v>372700</v>
      </c>
      <c r="I146" s="252">
        <f t="shared" si="2"/>
        <v>69881.25</v>
      </c>
      <c r="J146" s="341"/>
    </row>
    <row r="147" spans="2:10" s="174" customFormat="1" ht="16.5" customHeight="1">
      <c r="B147" s="251">
        <v>141</v>
      </c>
      <c r="C147" s="420" t="s">
        <v>615</v>
      </c>
      <c r="D147" s="420" t="s">
        <v>616</v>
      </c>
      <c r="E147" s="420" t="s">
        <v>502</v>
      </c>
      <c r="F147" s="420" t="s">
        <v>586</v>
      </c>
      <c r="G147" s="421">
        <v>1</v>
      </c>
      <c r="H147" s="421">
        <v>200000</v>
      </c>
      <c r="I147" s="252">
        <f t="shared" si="2"/>
        <v>37500</v>
      </c>
      <c r="J147" s="341"/>
    </row>
    <row r="148" spans="2:10" s="147" customFormat="1" ht="16.5" customHeight="1">
      <c r="B148" s="251">
        <v>142</v>
      </c>
      <c r="C148" s="420" t="s">
        <v>615</v>
      </c>
      <c r="D148" s="420" t="s">
        <v>617</v>
      </c>
      <c r="E148" s="420" t="s">
        <v>522</v>
      </c>
      <c r="F148" s="420" t="s">
        <v>475</v>
      </c>
      <c r="G148" s="421">
        <v>3</v>
      </c>
      <c r="H148" s="421">
        <v>300000</v>
      </c>
      <c r="I148" s="252">
        <f t="shared" si="2"/>
        <v>56250</v>
      </c>
      <c r="J148" s="219"/>
    </row>
    <row r="149" spans="2:10" s="147" customFormat="1" ht="16.5" customHeight="1">
      <c r="B149" s="251">
        <v>143</v>
      </c>
      <c r="C149" s="420" t="s">
        <v>615</v>
      </c>
      <c r="D149" s="420" t="s">
        <v>509</v>
      </c>
      <c r="E149" s="420" t="s">
        <v>510</v>
      </c>
      <c r="F149" s="420" t="s">
        <v>481</v>
      </c>
      <c r="G149" s="421">
        <v>1</v>
      </c>
      <c r="H149" s="421">
        <v>100000</v>
      </c>
      <c r="I149" s="252">
        <f t="shared" si="2"/>
        <v>18750</v>
      </c>
      <c r="J149" s="219"/>
    </row>
    <row r="150" spans="2:10" s="147" customFormat="1" ht="16.5" customHeight="1">
      <c r="B150" s="251">
        <v>144</v>
      </c>
      <c r="C150" s="420" t="s">
        <v>615</v>
      </c>
      <c r="D150" s="420" t="s">
        <v>618</v>
      </c>
      <c r="E150" s="420" t="s">
        <v>537</v>
      </c>
      <c r="F150" s="420" t="s">
        <v>488</v>
      </c>
      <c r="G150" s="421">
        <v>5</v>
      </c>
      <c r="H150" s="421">
        <v>500000</v>
      </c>
      <c r="I150" s="252">
        <f t="shared" si="2"/>
        <v>93750</v>
      </c>
      <c r="J150" s="219"/>
    </row>
    <row r="151" spans="2:10" s="147" customFormat="1" ht="16.5" customHeight="1">
      <c r="B151" s="251">
        <v>145</v>
      </c>
      <c r="C151" s="420" t="s">
        <v>615</v>
      </c>
      <c r="D151" s="420" t="s">
        <v>619</v>
      </c>
      <c r="E151" s="420" t="s">
        <v>591</v>
      </c>
      <c r="F151" s="420" t="s">
        <v>488</v>
      </c>
      <c r="G151" s="421">
        <v>10</v>
      </c>
      <c r="H151" s="421">
        <v>1000000</v>
      </c>
      <c r="I151" s="252">
        <f t="shared" si="2"/>
        <v>187500</v>
      </c>
      <c r="J151" s="219"/>
    </row>
    <row r="152" spans="2:10" s="147" customFormat="1" ht="16.5" customHeight="1">
      <c r="B152" s="251">
        <v>146</v>
      </c>
      <c r="C152" s="420" t="s">
        <v>615</v>
      </c>
      <c r="D152" s="420" t="s">
        <v>617</v>
      </c>
      <c r="E152" s="420" t="s">
        <v>522</v>
      </c>
      <c r="F152" s="420" t="s">
        <v>488</v>
      </c>
      <c r="G152" s="421">
        <v>3</v>
      </c>
      <c r="H152" s="421">
        <v>300000</v>
      </c>
      <c r="I152" s="252">
        <f t="shared" si="2"/>
        <v>56250</v>
      </c>
      <c r="J152" s="219"/>
    </row>
    <row r="153" spans="2:10" s="147" customFormat="1" ht="16.5" customHeight="1">
      <c r="B153" s="251">
        <v>147</v>
      </c>
      <c r="C153" s="420" t="s">
        <v>615</v>
      </c>
      <c r="D153" s="420" t="s">
        <v>620</v>
      </c>
      <c r="E153" s="420" t="s">
        <v>599</v>
      </c>
      <c r="F153" s="420" t="s">
        <v>546</v>
      </c>
      <c r="G153" s="421">
        <v>1</v>
      </c>
      <c r="H153" s="421">
        <v>400000</v>
      </c>
      <c r="I153" s="252">
        <f t="shared" si="2"/>
        <v>75000</v>
      </c>
      <c r="J153" s="219"/>
    </row>
    <row r="154" spans="2:10" s="147" customFormat="1" ht="16.5" customHeight="1">
      <c r="B154" s="251">
        <v>148</v>
      </c>
      <c r="C154" s="420" t="s">
        <v>615</v>
      </c>
      <c r="D154" s="420" t="s">
        <v>621</v>
      </c>
      <c r="E154" s="420" t="s">
        <v>622</v>
      </c>
      <c r="F154" s="420" t="s">
        <v>475</v>
      </c>
      <c r="G154" s="421">
        <v>2</v>
      </c>
      <c r="H154" s="421">
        <v>200000</v>
      </c>
      <c r="I154" s="252">
        <f t="shared" si="2"/>
        <v>37500</v>
      </c>
      <c r="J154" s="219"/>
    </row>
    <row r="155" spans="2:10" s="147" customFormat="1" ht="16.5" customHeight="1">
      <c r="B155" s="251">
        <v>149</v>
      </c>
      <c r="C155" s="420" t="s">
        <v>615</v>
      </c>
      <c r="D155" s="420" t="s">
        <v>623</v>
      </c>
      <c r="E155" s="420" t="s">
        <v>487</v>
      </c>
      <c r="F155" s="420" t="s">
        <v>488</v>
      </c>
      <c r="G155" s="421">
        <v>6</v>
      </c>
      <c r="H155" s="421">
        <v>600000</v>
      </c>
      <c r="I155" s="252">
        <f t="shared" si="2"/>
        <v>112500</v>
      </c>
      <c r="J155" s="219"/>
    </row>
    <row r="156" spans="2:10" s="147" customFormat="1" ht="16.5" customHeight="1">
      <c r="B156" s="251">
        <v>150</v>
      </c>
      <c r="C156" s="420" t="s">
        <v>615</v>
      </c>
      <c r="D156" s="420" t="s">
        <v>624</v>
      </c>
      <c r="E156" s="420" t="s">
        <v>480</v>
      </c>
      <c r="F156" s="420" t="s">
        <v>488</v>
      </c>
      <c r="G156" s="421">
        <v>1</v>
      </c>
      <c r="H156" s="421">
        <v>100000</v>
      </c>
      <c r="I156" s="252">
        <f t="shared" si="2"/>
        <v>18750</v>
      </c>
      <c r="J156" s="219"/>
    </row>
    <row r="157" spans="2:10" s="174" customFormat="1" ht="16.5" customHeight="1">
      <c r="B157" s="251">
        <v>151</v>
      </c>
      <c r="C157" s="420" t="s">
        <v>615</v>
      </c>
      <c r="D157" s="420" t="s">
        <v>476</v>
      </c>
      <c r="E157" s="420" t="s">
        <v>477</v>
      </c>
      <c r="F157" s="420" t="s">
        <v>481</v>
      </c>
      <c r="G157" s="421">
        <v>1</v>
      </c>
      <c r="H157" s="421">
        <v>40300</v>
      </c>
      <c r="I157" s="252">
        <f t="shared" si="2"/>
        <v>7556.25</v>
      </c>
      <c r="J157" s="341"/>
    </row>
    <row r="158" spans="2:10" s="174" customFormat="1" ht="16.5" customHeight="1">
      <c r="B158" s="251">
        <v>152</v>
      </c>
      <c r="C158" s="420" t="s">
        <v>615</v>
      </c>
      <c r="D158" s="420" t="s">
        <v>619</v>
      </c>
      <c r="E158" s="420" t="s">
        <v>591</v>
      </c>
      <c r="F158" s="420" t="s">
        <v>475</v>
      </c>
      <c r="G158" s="421">
        <v>7</v>
      </c>
      <c r="H158" s="421">
        <v>700000</v>
      </c>
      <c r="I158" s="252">
        <f t="shared" si="2"/>
        <v>131250</v>
      </c>
      <c r="J158" s="341"/>
    </row>
    <row r="159" spans="2:10" s="174" customFormat="1" ht="16.5" customHeight="1">
      <c r="B159" s="251">
        <v>153</v>
      </c>
      <c r="C159" s="420" t="s">
        <v>615</v>
      </c>
      <c r="D159" s="420" t="s">
        <v>623</v>
      </c>
      <c r="E159" s="420" t="s">
        <v>487</v>
      </c>
      <c r="F159" s="420" t="s">
        <v>475</v>
      </c>
      <c r="G159" s="421">
        <v>7</v>
      </c>
      <c r="H159" s="421">
        <v>700000</v>
      </c>
      <c r="I159" s="252">
        <f t="shared" si="2"/>
        <v>131250</v>
      </c>
      <c r="J159" s="341"/>
    </row>
    <row r="160" spans="2:10" s="174" customFormat="1" ht="16.5" customHeight="1">
      <c r="B160" s="251">
        <v>154</v>
      </c>
      <c r="C160" s="420" t="s">
        <v>615</v>
      </c>
      <c r="D160" s="420" t="s">
        <v>535</v>
      </c>
      <c r="E160" s="420" t="s">
        <v>485</v>
      </c>
      <c r="F160" s="420" t="s">
        <v>481</v>
      </c>
      <c r="G160" s="421">
        <v>1</v>
      </c>
      <c r="H160" s="421">
        <v>100000</v>
      </c>
      <c r="I160" s="252">
        <f t="shared" si="2"/>
        <v>18750</v>
      </c>
      <c r="J160" s="341"/>
    </row>
    <row r="161" spans="2:10" s="174" customFormat="1" ht="16.5" customHeight="1">
      <c r="B161" s="251">
        <v>155</v>
      </c>
      <c r="C161" s="420" t="s">
        <v>615</v>
      </c>
      <c r="D161" s="420" t="s">
        <v>616</v>
      </c>
      <c r="E161" s="420" t="s">
        <v>502</v>
      </c>
      <c r="F161" s="420" t="s">
        <v>625</v>
      </c>
      <c r="G161" s="421">
        <v>1</v>
      </c>
      <c r="H161" s="421">
        <v>300000</v>
      </c>
      <c r="I161" s="252">
        <f t="shared" si="2"/>
        <v>56250</v>
      </c>
      <c r="J161" s="341"/>
    </row>
    <row r="162" spans="2:10" s="174" customFormat="1" ht="16.5" customHeight="1">
      <c r="B162" s="251">
        <v>156</v>
      </c>
      <c r="C162" s="420" t="s">
        <v>615</v>
      </c>
      <c r="D162" s="420" t="s">
        <v>626</v>
      </c>
      <c r="E162" s="420" t="s">
        <v>480</v>
      </c>
      <c r="F162" s="420" t="s">
        <v>488</v>
      </c>
      <c r="G162" s="421">
        <v>1</v>
      </c>
      <c r="H162" s="421">
        <v>100000</v>
      </c>
      <c r="I162" s="252">
        <f t="shared" si="2"/>
        <v>18750</v>
      </c>
      <c r="J162" s="341"/>
    </row>
    <row r="163" spans="2:10" s="174" customFormat="1" ht="16.5" customHeight="1">
      <c r="B163" s="251">
        <v>157</v>
      </c>
      <c r="C163" s="420" t="s">
        <v>615</v>
      </c>
      <c r="D163" s="420" t="s">
        <v>618</v>
      </c>
      <c r="E163" s="420" t="s">
        <v>537</v>
      </c>
      <c r="F163" s="420" t="s">
        <v>475</v>
      </c>
      <c r="G163" s="421">
        <v>6</v>
      </c>
      <c r="H163" s="421">
        <v>600000</v>
      </c>
      <c r="I163" s="252">
        <f t="shared" si="2"/>
        <v>112500</v>
      </c>
      <c r="J163" s="341"/>
    </row>
    <row r="164" spans="2:10" s="174" customFormat="1" ht="16.5" customHeight="1">
      <c r="B164" s="251">
        <v>158</v>
      </c>
      <c r="C164" s="420" t="s">
        <v>615</v>
      </c>
      <c r="D164" s="420" t="s">
        <v>627</v>
      </c>
      <c r="E164" s="420" t="s">
        <v>599</v>
      </c>
      <c r="F164" s="420" t="s">
        <v>475</v>
      </c>
      <c r="G164" s="421">
        <v>6</v>
      </c>
      <c r="H164" s="421">
        <v>600000</v>
      </c>
      <c r="I164" s="252">
        <f t="shared" si="2"/>
        <v>112500</v>
      </c>
      <c r="J164" s="341"/>
    </row>
    <row r="165" spans="2:10" s="174" customFormat="1" ht="16.5" customHeight="1">
      <c r="B165" s="251">
        <v>159</v>
      </c>
      <c r="C165" s="420" t="s">
        <v>615</v>
      </c>
      <c r="D165" s="420" t="s">
        <v>529</v>
      </c>
      <c r="E165" s="420" t="s">
        <v>530</v>
      </c>
      <c r="F165" s="420" t="s">
        <v>481</v>
      </c>
      <c r="G165" s="421">
        <v>1</v>
      </c>
      <c r="H165" s="421">
        <v>40300</v>
      </c>
      <c r="I165" s="252">
        <f t="shared" si="2"/>
        <v>7556.25</v>
      </c>
      <c r="J165" s="341"/>
    </row>
    <row r="166" spans="2:10" s="174" customFormat="1" ht="16.5" customHeight="1">
      <c r="B166" s="251">
        <v>160</v>
      </c>
      <c r="C166" s="420" t="s">
        <v>615</v>
      </c>
      <c r="D166" s="420" t="s">
        <v>628</v>
      </c>
      <c r="E166" s="420" t="s">
        <v>575</v>
      </c>
      <c r="F166" s="420" t="s">
        <v>629</v>
      </c>
      <c r="G166" s="421">
        <v>1</v>
      </c>
      <c r="H166" s="421">
        <v>800000</v>
      </c>
      <c r="I166" s="252">
        <f t="shared" si="2"/>
        <v>150000</v>
      </c>
      <c r="J166" s="341"/>
    </row>
    <row r="167" spans="2:10" s="174" customFormat="1" ht="16.5" customHeight="1">
      <c r="B167" s="251">
        <v>161</v>
      </c>
      <c r="C167" s="420" t="s">
        <v>615</v>
      </c>
      <c r="D167" s="420" t="s">
        <v>621</v>
      </c>
      <c r="E167" s="420" t="s">
        <v>622</v>
      </c>
      <c r="F167" s="420" t="s">
        <v>488</v>
      </c>
      <c r="G167" s="421">
        <v>2</v>
      </c>
      <c r="H167" s="421">
        <v>200000</v>
      </c>
      <c r="I167" s="252">
        <f t="shared" si="2"/>
        <v>37500</v>
      </c>
      <c r="J167" s="341"/>
    </row>
    <row r="168" spans="2:10" s="147" customFormat="1" ht="16.5" customHeight="1">
      <c r="B168" s="251">
        <v>162</v>
      </c>
      <c r="C168" s="420" t="s">
        <v>615</v>
      </c>
      <c r="D168" s="420" t="s">
        <v>627</v>
      </c>
      <c r="E168" s="420" t="s">
        <v>599</v>
      </c>
      <c r="F168" s="420" t="s">
        <v>488</v>
      </c>
      <c r="G168" s="421">
        <v>4</v>
      </c>
      <c r="H168" s="421">
        <v>400000</v>
      </c>
      <c r="I168" s="252">
        <f t="shared" si="2"/>
        <v>75000</v>
      </c>
      <c r="J168" s="219"/>
    </row>
    <row r="169" spans="2:10" s="147" customFormat="1" ht="16.5" customHeight="1">
      <c r="B169" s="251">
        <v>163</v>
      </c>
      <c r="C169" s="420" t="s">
        <v>615</v>
      </c>
      <c r="D169" s="420" t="s">
        <v>619</v>
      </c>
      <c r="E169" s="420" t="s">
        <v>591</v>
      </c>
      <c r="F169" s="420" t="s">
        <v>579</v>
      </c>
      <c r="G169" s="421">
        <v>1</v>
      </c>
      <c r="H169" s="421">
        <v>101800</v>
      </c>
      <c r="I169" s="252">
        <f t="shared" si="2"/>
        <v>19087.5</v>
      </c>
      <c r="J169" s="219"/>
    </row>
    <row r="170" spans="2:10" s="147" customFormat="1" ht="16.5" customHeight="1">
      <c r="B170" s="251">
        <v>164</v>
      </c>
      <c r="C170" s="420" t="s">
        <v>615</v>
      </c>
      <c r="D170" s="420" t="s">
        <v>626</v>
      </c>
      <c r="E170" s="420" t="s">
        <v>480</v>
      </c>
      <c r="F170" s="420" t="s">
        <v>475</v>
      </c>
      <c r="G170" s="421">
        <v>1</v>
      </c>
      <c r="H170" s="421">
        <v>100000</v>
      </c>
      <c r="I170" s="252">
        <f t="shared" si="2"/>
        <v>18750</v>
      </c>
      <c r="J170" s="219"/>
    </row>
    <row r="171" spans="2:10" s="147" customFormat="1" ht="16.5" customHeight="1">
      <c r="B171" s="251">
        <v>165</v>
      </c>
      <c r="C171" s="420" t="s">
        <v>615</v>
      </c>
      <c r="D171" s="420" t="s">
        <v>630</v>
      </c>
      <c r="E171" s="420" t="s">
        <v>631</v>
      </c>
      <c r="F171" s="420" t="s">
        <v>614</v>
      </c>
      <c r="G171" s="421">
        <v>1</v>
      </c>
      <c r="H171" s="421">
        <v>372700</v>
      </c>
      <c r="I171" s="252">
        <f t="shared" si="2"/>
        <v>69881.25</v>
      </c>
      <c r="J171" s="219"/>
    </row>
    <row r="172" spans="2:10" s="147" customFormat="1" ht="16.5" customHeight="1">
      <c r="B172" s="251">
        <v>166</v>
      </c>
      <c r="C172" s="420" t="s">
        <v>632</v>
      </c>
      <c r="D172" s="420" t="s">
        <v>633</v>
      </c>
      <c r="E172" s="420" t="s">
        <v>140</v>
      </c>
      <c r="F172" s="420" t="s">
        <v>475</v>
      </c>
      <c r="G172" s="421">
        <v>2</v>
      </c>
      <c r="H172" s="421">
        <v>200000</v>
      </c>
      <c r="I172" s="252">
        <f t="shared" si="2"/>
        <v>37500</v>
      </c>
      <c r="J172" s="219"/>
    </row>
    <row r="173" spans="2:10" s="147" customFormat="1" ht="16.5" customHeight="1">
      <c r="B173" s="251">
        <v>167</v>
      </c>
      <c r="C173" s="420" t="s">
        <v>632</v>
      </c>
      <c r="D173" s="420" t="s">
        <v>633</v>
      </c>
      <c r="E173" s="420" t="s">
        <v>140</v>
      </c>
      <c r="F173" s="420" t="s">
        <v>478</v>
      </c>
      <c r="G173" s="421">
        <v>3</v>
      </c>
      <c r="H173" s="421">
        <v>300000</v>
      </c>
      <c r="I173" s="252">
        <f t="shared" si="2"/>
        <v>56250</v>
      </c>
      <c r="J173" s="219"/>
    </row>
    <row r="174" spans="2:10" s="147" customFormat="1" ht="16.5" customHeight="1">
      <c r="B174" s="251">
        <v>168</v>
      </c>
      <c r="C174" s="420" t="s">
        <v>632</v>
      </c>
      <c r="D174" s="420" t="s">
        <v>285</v>
      </c>
      <c r="E174" s="420" t="s">
        <v>477</v>
      </c>
      <c r="F174" s="420" t="s">
        <v>478</v>
      </c>
      <c r="G174" s="421">
        <v>3</v>
      </c>
      <c r="H174" s="421">
        <v>300000</v>
      </c>
      <c r="I174" s="252">
        <f t="shared" si="2"/>
        <v>56250</v>
      </c>
      <c r="J174" s="219"/>
    </row>
    <row r="175" spans="2:10" s="147" customFormat="1" ht="16.5" customHeight="1">
      <c r="B175" s="251">
        <v>169</v>
      </c>
      <c r="C175" s="420" t="s">
        <v>632</v>
      </c>
      <c r="D175" s="420" t="s">
        <v>634</v>
      </c>
      <c r="E175" s="420" t="s">
        <v>483</v>
      </c>
      <c r="F175" s="420" t="s">
        <v>475</v>
      </c>
      <c r="G175" s="421">
        <v>6</v>
      </c>
      <c r="H175" s="421">
        <v>600000</v>
      </c>
      <c r="I175" s="252">
        <f t="shared" si="2"/>
        <v>112500</v>
      </c>
      <c r="J175" s="219"/>
    </row>
    <row r="176" spans="2:10" s="147" customFormat="1" ht="16.5" customHeight="1">
      <c r="B176" s="251">
        <v>170</v>
      </c>
      <c r="C176" s="420" t="s">
        <v>632</v>
      </c>
      <c r="D176" s="420" t="s">
        <v>635</v>
      </c>
      <c r="E176" s="420" t="s">
        <v>512</v>
      </c>
      <c r="F176" s="420" t="s">
        <v>475</v>
      </c>
      <c r="G176" s="421">
        <v>20</v>
      </c>
      <c r="H176" s="421">
        <v>2000000</v>
      </c>
      <c r="I176" s="252">
        <f t="shared" si="2"/>
        <v>375000</v>
      </c>
      <c r="J176" s="219"/>
    </row>
    <row r="177" spans="2:10" s="147" customFormat="1" ht="16.5" customHeight="1">
      <c r="B177" s="251">
        <v>171</v>
      </c>
      <c r="C177" s="420" t="s">
        <v>632</v>
      </c>
      <c r="D177" s="420" t="s">
        <v>636</v>
      </c>
      <c r="E177" s="420" t="s">
        <v>143</v>
      </c>
      <c r="F177" s="420" t="s">
        <v>637</v>
      </c>
      <c r="G177" s="421">
        <v>1</v>
      </c>
      <c r="H177" s="421">
        <v>120000</v>
      </c>
      <c r="I177" s="252">
        <f t="shared" si="2"/>
        <v>22500</v>
      </c>
      <c r="J177" s="219"/>
    </row>
    <row r="178" spans="2:10" s="147" customFormat="1" ht="16.5" customHeight="1">
      <c r="B178" s="251">
        <v>172</v>
      </c>
      <c r="C178" s="420" t="s">
        <v>632</v>
      </c>
      <c r="D178" s="420" t="s">
        <v>638</v>
      </c>
      <c r="E178" s="420" t="s">
        <v>510</v>
      </c>
      <c r="F178" s="420" t="s">
        <v>475</v>
      </c>
      <c r="G178" s="421">
        <v>7</v>
      </c>
      <c r="H178" s="421">
        <v>700000</v>
      </c>
      <c r="I178" s="252">
        <f t="shared" si="2"/>
        <v>131250</v>
      </c>
      <c r="J178" s="219"/>
    </row>
    <row r="179" spans="2:10" s="147" customFormat="1" ht="16.5" customHeight="1">
      <c r="B179" s="251">
        <v>173</v>
      </c>
      <c r="C179" s="420" t="s">
        <v>632</v>
      </c>
      <c r="D179" s="420" t="s">
        <v>639</v>
      </c>
      <c r="E179" s="420" t="s">
        <v>565</v>
      </c>
      <c r="F179" s="420" t="s">
        <v>475</v>
      </c>
      <c r="G179" s="421">
        <v>3</v>
      </c>
      <c r="H179" s="421">
        <v>300000</v>
      </c>
      <c r="I179" s="252">
        <f t="shared" si="2"/>
        <v>56250</v>
      </c>
      <c r="J179" s="219"/>
    </row>
    <row r="180" spans="2:10" s="147" customFormat="1" ht="16.5" customHeight="1">
      <c r="B180" s="251">
        <v>174</v>
      </c>
      <c r="C180" s="420" t="s">
        <v>632</v>
      </c>
      <c r="D180" s="420" t="s">
        <v>640</v>
      </c>
      <c r="E180" s="420" t="s">
        <v>563</v>
      </c>
      <c r="F180" s="420" t="s">
        <v>475</v>
      </c>
      <c r="G180" s="421">
        <v>3</v>
      </c>
      <c r="H180" s="421">
        <v>300000</v>
      </c>
      <c r="I180" s="252">
        <f t="shared" si="2"/>
        <v>56250</v>
      </c>
      <c r="J180" s="219"/>
    </row>
    <row r="181" spans="2:10" s="147" customFormat="1" ht="16.5" customHeight="1">
      <c r="B181" s="251">
        <v>175</v>
      </c>
      <c r="C181" s="420" t="s">
        <v>632</v>
      </c>
      <c r="D181" s="420" t="s">
        <v>641</v>
      </c>
      <c r="E181" s="420" t="s">
        <v>491</v>
      </c>
      <c r="F181" s="420" t="s">
        <v>475</v>
      </c>
      <c r="G181" s="421">
        <v>1</v>
      </c>
      <c r="H181" s="421">
        <v>100000</v>
      </c>
      <c r="I181" s="252">
        <f t="shared" si="2"/>
        <v>18750</v>
      </c>
      <c r="J181" s="219"/>
    </row>
    <row r="182" spans="2:10" s="147" customFormat="1" ht="16.5" customHeight="1">
      <c r="B182" s="251">
        <v>176</v>
      </c>
      <c r="C182" s="420" t="s">
        <v>632</v>
      </c>
      <c r="D182" s="420" t="s">
        <v>285</v>
      </c>
      <c r="E182" s="420" t="s">
        <v>477</v>
      </c>
      <c r="F182" s="420" t="s">
        <v>475</v>
      </c>
      <c r="G182" s="421">
        <v>3</v>
      </c>
      <c r="H182" s="421">
        <v>300000</v>
      </c>
      <c r="I182" s="252">
        <f t="shared" si="2"/>
        <v>56250</v>
      </c>
      <c r="J182" s="219"/>
    </row>
    <row r="183" spans="2:10" s="147" customFormat="1" ht="16.5" customHeight="1">
      <c r="B183" s="251">
        <v>177</v>
      </c>
      <c r="C183" s="420" t="s">
        <v>632</v>
      </c>
      <c r="D183" s="420" t="s">
        <v>642</v>
      </c>
      <c r="E183" s="420" t="s">
        <v>480</v>
      </c>
      <c r="F183" s="420" t="s">
        <v>478</v>
      </c>
      <c r="G183" s="421">
        <v>3</v>
      </c>
      <c r="H183" s="421">
        <v>300000</v>
      </c>
      <c r="I183" s="252">
        <f t="shared" si="2"/>
        <v>56250</v>
      </c>
      <c r="J183" s="219"/>
    </row>
    <row r="184" spans="2:10" s="147" customFormat="1" ht="16.5" customHeight="1">
      <c r="B184" s="251">
        <v>178</v>
      </c>
      <c r="C184" s="420" t="s">
        <v>632</v>
      </c>
      <c r="D184" s="420" t="s">
        <v>643</v>
      </c>
      <c r="E184" s="420" t="s">
        <v>530</v>
      </c>
      <c r="F184" s="420" t="s">
        <v>481</v>
      </c>
      <c r="G184" s="421">
        <v>1</v>
      </c>
      <c r="H184" s="421">
        <v>100000</v>
      </c>
      <c r="I184" s="252">
        <f t="shared" si="2"/>
        <v>18750</v>
      </c>
      <c r="J184" s="219"/>
    </row>
    <row r="185" spans="2:10" s="147" customFormat="1" ht="16.5" customHeight="1">
      <c r="B185" s="251">
        <v>179</v>
      </c>
      <c r="C185" s="420" t="s">
        <v>632</v>
      </c>
      <c r="D185" s="420" t="s">
        <v>644</v>
      </c>
      <c r="E185" s="420" t="s">
        <v>645</v>
      </c>
      <c r="F185" s="420" t="s">
        <v>579</v>
      </c>
      <c r="G185" s="421">
        <v>1</v>
      </c>
      <c r="H185" s="421">
        <v>101800</v>
      </c>
      <c r="I185" s="252">
        <f t="shared" si="2"/>
        <v>19087.5</v>
      </c>
      <c r="J185" s="219"/>
    </row>
    <row r="186" spans="2:10" s="147" customFormat="1" ht="16.5" customHeight="1">
      <c r="B186" s="251">
        <v>180</v>
      </c>
      <c r="C186" s="420" t="s">
        <v>632</v>
      </c>
      <c r="D186" s="420" t="s">
        <v>635</v>
      </c>
      <c r="E186" s="420" t="s">
        <v>512</v>
      </c>
      <c r="F186" s="420" t="s">
        <v>478</v>
      </c>
      <c r="G186" s="421">
        <v>7</v>
      </c>
      <c r="H186" s="421">
        <v>700000</v>
      </c>
      <c r="I186" s="252">
        <f t="shared" si="2"/>
        <v>131250</v>
      </c>
      <c r="J186" s="219"/>
    </row>
    <row r="187" spans="2:10" s="147" customFormat="1" ht="16.5" customHeight="1">
      <c r="B187" s="251">
        <v>181</v>
      </c>
      <c r="C187" s="420" t="s">
        <v>632</v>
      </c>
      <c r="D187" s="420" t="s">
        <v>646</v>
      </c>
      <c r="E187" s="420" t="s">
        <v>174</v>
      </c>
      <c r="F187" s="420" t="s">
        <v>478</v>
      </c>
      <c r="G187" s="421">
        <v>3</v>
      </c>
      <c r="H187" s="421">
        <v>300000</v>
      </c>
      <c r="I187" s="252">
        <f t="shared" si="2"/>
        <v>56250</v>
      </c>
      <c r="J187" s="219"/>
    </row>
    <row r="188" spans="2:10" s="147" customFormat="1" ht="16.5" customHeight="1">
      <c r="B188" s="251">
        <v>182</v>
      </c>
      <c r="C188" s="420" t="s">
        <v>632</v>
      </c>
      <c r="D188" s="420" t="s">
        <v>647</v>
      </c>
      <c r="E188" s="420" t="s">
        <v>143</v>
      </c>
      <c r="F188" s="420" t="s">
        <v>488</v>
      </c>
      <c r="G188" s="421">
        <v>10</v>
      </c>
      <c r="H188" s="421">
        <v>1000000</v>
      </c>
      <c r="I188" s="252">
        <f t="shared" si="2"/>
        <v>187500</v>
      </c>
      <c r="J188" s="219"/>
    </row>
    <row r="189" spans="2:10" s="147" customFormat="1" ht="16.5" customHeight="1">
      <c r="B189" s="251">
        <v>183</v>
      </c>
      <c r="C189" s="420" t="s">
        <v>632</v>
      </c>
      <c r="D189" s="420" t="s">
        <v>646</v>
      </c>
      <c r="E189" s="420" t="s">
        <v>174</v>
      </c>
      <c r="F189" s="420" t="s">
        <v>475</v>
      </c>
      <c r="G189" s="421">
        <v>2</v>
      </c>
      <c r="H189" s="421">
        <v>200000</v>
      </c>
      <c r="I189" s="252">
        <f t="shared" si="2"/>
        <v>37500</v>
      </c>
      <c r="J189" s="219"/>
    </row>
    <row r="190" spans="2:10" s="147" customFormat="1" ht="16.5" customHeight="1">
      <c r="B190" s="251">
        <v>184</v>
      </c>
      <c r="C190" s="420" t="s">
        <v>632</v>
      </c>
      <c r="D190" s="420" t="s">
        <v>644</v>
      </c>
      <c r="E190" s="420" t="s">
        <v>645</v>
      </c>
      <c r="F190" s="420" t="s">
        <v>478</v>
      </c>
      <c r="G190" s="421">
        <v>3</v>
      </c>
      <c r="H190" s="421">
        <v>300000</v>
      </c>
      <c r="I190" s="252">
        <f t="shared" si="2"/>
        <v>56250</v>
      </c>
      <c r="J190" s="219"/>
    </row>
    <row r="191" spans="2:10" s="147" customFormat="1" ht="16.5" customHeight="1">
      <c r="B191" s="251">
        <v>185</v>
      </c>
      <c r="C191" s="420" t="s">
        <v>632</v>
      </c>
      <c r="D191" s="420" t="s">
        <v>648</v>
      </c>
      <c r="E191" s="420" t="s">
        <v>573</v>
      </c>
      <c r="F191" s="420" t="s">
        <v>478</v>
      </c>
      <c r="G191" s="421">
        <v>1</v>
      </c>
      <c r="H191" s="421">
        <v>100000</v>
      </c>
      <c r="I191" s="252">
        <f t="shared" si="2"/>
        <v>18750</v>
      </c>
      <c r="J191" s="219"/>
    </row>
    <row r="192" spans="2:10" s="147" customFormat="1" ht="16.5" customHeight="1">
      <c r="B192" s="251">
        <v>186</v>
      </c>
      <c r="C192" s="420" t="s">
        <v>632</v>
      </c>
      <c r="D192" s="420" t="s">
        <v>490</v>
      </c>
      <c r="E192" s="420" t="s">
        <v>491</v>
      </c>
      <c r="F192" s="420" t="s">
        <v>637</v>
      </c>
      <c r="G192" s="421">
        <v>1</v>
      </c>
      <c r="H192" s="421">
        <v>120000</v>
      </c>
      <c r="I192" s="252">
        <f t="shared" si="2"/>
        <v>22500</v>
      </c>
      <c r="J192" s="219"/>
    </row>
    <row r="193" spans="2:187" s="147" customFormat="1" ht="16.5" customHeight="1">
      <c r="B193" s="251">
        <v>187</v>
      </c>
      <c r="C193" s="420" t="s">
        <v>632</v>
      </c>
      <c r="D193" s="420" t="s">
        <v>287</v>
      </c>
      <c r="E193" s="420" t="s">
        <v>140</v>
      </c>
      <c r="F193" s="420" t="s">
        <v>475</v>
      </c>
      <c r="G193" s="421">
        <v>6</v>
      </c>
      <c r="H193" s="421">
        <v>600000</v>
      </c>
      <c r="I193" s="252">
        <f t="shared" si="2"/>
        <v>112500</v>
      </c>
      <c r="J193" s="219"/>
    </row>
    <row r="194" spans="2:187" s="147" customFormat="1" ht="16.5" customHeight="1">
      <c r="B194" s="251">
        <v>188</v>
      </c>
      <c r="C194" s="420" t="s">
        <v>632</v>
      </c>
      <c r="D194" s="420" t="s">
        <v>644</v>
      </c>
      <c r="E194" s="420" t="s">
        <v>645</v>
      </c>
      <c r="F194" s="420" t="s">
        <v>475</v>
      </c>
      <c r="G194" s="421">
        <v>2</v>
      </c>
      <c r="H194" s="421">
        <v>200000</v>
      </c>
      <c r="I194" s="252">
        <f t="shared" si="2"/>
        <v>37500</v>
      </c>
      <c r="J194" s="219"/>
    </row>
    <row r="195" spans="2:187" s="147" customFormat="1" ht="16.5" customHeight="1">
      <c r="B195" s="251">
        <v>189</v>
      </c>
      <c r="C195" s="420" t="s">
        <v>632</v>
      </c>
      <c r="D195" s="420" t="s">
        <v>634</v>
      </c>
      <c r="E195" s="420" t="s">
        <v>483</v>
      </c>
      <c r="F195" s="420" t="s">
        <v>478</v>
      </c>
      <c r="G195" s="421">
        <v>4</v>
      </c>
      <c r="H195" s="421">
        <v>400000</v>
      </c>
      <c r="I195" s="252">
        <f t="shared" si="2"/>
        <v>75000</v>
      </c>
      <c r="J195" s="219"/>
    </row>
    <row r="196" spans="2:187" s="147" customFormat="1" ht="16.5" customHeight="1">
      <c r="B196" s="251">
        <v>190</v>
      </c>
      <c r="C196" s="420" t="s">
        <v>632</v>
      </c>
      <c r="D196" s="420" t="s">
        <v>647</v>
      </c>
      <c r="E196" s="420" t="s">
        <v>143</v>
      </c>
      <c r="F196" s="420" t="s">
        <v>475</v>
      </c>
      <c r="G196" s="421">
        <v>7</v>
      </c>
      <c r="H196" s="421">
        <v>700000</v>
      </c>
      <c r="I196" s="252">
        <f t="shared" si="2"/>
        <v>131250</v>
      </c>
      <c r="J196" s="219"/>
    </row>
    <row r="197" spans="2:187" s="147" customFormat="1" ht="16.5" customHeight="1">
      <c r="B197" s="251">
        <v>191</v>
      </c>
      <c r="C197" s="420" t="s">
        <v>632</v>
      </c>
      <c r="D197" s="420" t="s">
        <v>649</v>
      </c>
      <c r="E197" s="420" t="s">
        <v>650</v>
      </c>
      <c r="F197" s="420" t="s">
        <v>569</v>
      </c>
      <c r="G197" s="421">
        <v>1</v>
      </c>
      <c r="H197" s="421">
        <v>100000</v>
      </c>
      <c r="I197" s="252">
        <f t="shared" si="2"/>
        <v>18750</v>
      </c>
      <c r="J197" s="219"/>
    </row>
    <row r="198" spans="2:187" s="147" customFormat="1" ht="16.5" customHeight="1">
      <c r="B198" s="251">
        <v>192</v>
      </c>
      <c r="C198" s="420" t="s">
        <v>632</v>
      </c>
      <c r="D198" s="420" t="s">
        <v>651</v>
      </c>
      <c r="E198" s="420" t="s">
        <v>645</v>
      </c>
      <c r="F198" s="420" t="s">
        <v>579</v>
      </c>
      <c r="G198" s="421">
        <v>1</v>
      </c>
      <c r="H198" s="421">
        <v>101800</v>
      </c>
      <c r="I198" s="252">
        <f t="shared" si="2"/>
        <v>19087.5</v>
      </c>
      <c r="J198" s="219"/>
    </row>
    <row r="199" spans="2:187" s="147" customFormat="1" ht="16.5" customHeight="1">
      <c r="B199" s="251">
        <v>193</v>
      </c>
      <c r="C199" s="420" t="s">
        <v>632</v>
      </c>
      <c r="D199" s="420" t="s">
        <v>640</v>
      </c>
      <c r="E199" s="420" t="s">
        <v>563</v>
      </c>
      <c r="F199" s="420" t="s">
        <v>478</v>
      </c>
      <c r="G199" s="421">
        <v>3</v>
      </c>
      <c r="H199" s="421">
        <v>300000</v>
      </c>
      <c r="I199" s="252">
        <f t="shared" si="2"/>
        <v>56250</v>
      </c>
      <c r="J199" s="219"/>
    </row>
    <row r="200" spans="2:187" s="147" customFormat="1" ht="16.5" customHeight="1">
      <c r="B200" s="251">
        <v>194</v>
      </c>
      <c r="C200" s="420" t="s">
        <v>632</v>
      </c>
      <c r="D200" s="420" t="s">
        <v>648</v>
      </c>
      <c r="E200" s="420" t="s">
        <v>573</v>
      </c>
      <c r="F200" s="420" t="s">
        <v>475</v>
      </c>
      <c r="G200" s="421">
        <v>1</v>
      </c>
      <c r="H200" s="421">
        <v>100000</v>
      </c>
      <c r="I200" s="252">
        <f t="shared" ref="I200:I263" si="3">H200*25%*75%</f>
        <v>18750</v>
      </c>
      <c r="J200" s="219"/>
    </row>
    <row r="201" spans="2:187" s="147" customFormat="1" ht="16.5" customHeight="1">
      <c r="B201" s="251">
        <v>195</v>
      </c>
      <c r="C201" s="420" t="s">
        <v>632</v>
      </c>
      <c r="D201" s="420" t="s">
        <v>556</v>
      </c>
      <c r="E201" s="420" t="s">
        <v>491</v>
      </c>
      <c r="F201" s="420" t="s">
        <v>481</v>
      </c>
      <c r="G201" s="421">
        <v>1</v>
      </c>
      <c r="H201" s="421">
        <v>40300</v>
      </c>
      <c r="I201" s="252">
        <f t="shared" si="3"/>
        <v>7556.25</v>
      </c>
      <c r="J201" s="219"/>
    </row>
    <row r="202" spans="2:187" s="147" customFormat="1" ht="16.5" customHeight="1">
      <c r="B202" s="251">
        <v>196</v>
      </c>
      <c r="C202" s="420" t="s">
        <v>632</v>
      </c>
      <c r="D202" s="420" t="s">
        <v>641</v>
      </c>
      <c r="E202" s="420" t="s">
        <v>491</v>
      </c>
      <c r="F202" s="420" t="s">
        <v>478</v>
      </c>
      <c r="G202" s="421">
        <v>1</v>
      </c>
      <c r="H202" s="421">
        <v>100000</v>
      </c>
      <c r="I202" s="252">
        <f t="shared" si="3"/>
        <v>18750</v>
      </c>
      <c r="J202" s="219"/>
    </row>
    <row r="203" spans="2:187" s="147" customFormat="1" ht="16.5" customHeight="1">
      <c r="B203" s="251">
        <v>197</v>
      </c>
      <c r="C203" s="420" t="s">
        <v>632</v>
      </c>
      <c r="D203" s="420" t="s">
        <v>652</v>
      </c>
      <c r="E203" s="420" t="s">
        <v>139</v>
      </c>
      <c r="F203" s="420" t="s">
        <v>478</v>
      </c>
      <c r="G203" s="421">
        <v>2</v>
      </c>
      <c r="H203" s="421">
        <v>200000</v>
      </c>
      <c r="I203" s="252">
        <f t="shared" si="3"/>
        <v>37500</v>
      </c>
      <c r="J203" s="219"/>
    </row>
    <row r="204" spans="2:187" s="147" customFormat="1" ht="16.5" customHeight="1">
      <c r="B204" s="251">
        <v>198</v>
      </c>
      <c r="C204" s="420" t="s">
        <v>632</v>
      </c>
      <c r="D204" s="420" t="s">
        <v>287</v>
      </c>
      <c r="E204" s="420" t="s">
        <v>140</v>
      </c>
      <c r="F204" s="420" t="s">
        <v>478</v>
      </c>
      <c r="G204" s="421">
        <v>3</v>
      </c>
      <c r="H204" s="421">
        <v>300000</v>
      </c>
      <c r="I204" s="252">
        <f t="shared" si="3"/>
        <v>56250</v>
      </c>
      <c r="J204" s="219"/>
    </row>
    <row r="205" spans="2:187" s="147" customFormat="1" ht="16.5" customHeight="1">
      <c r="B205" s="251">
        <v>199</v>
      </c>
      <c r="C205" s="420" t="s">
        <v>632</v>
      </c>
      <c r="D205" s="420" t="s">
        <v>651</v>
      </c>
      <c r="E205" s="420" t="s">
        <v>645</v>
      </c>
      <c r="F205" s="420" t="s">
        <v>478</v>
      </c>
      <c r="G205" s="421">
        <v>3</v>
      </c>
      <c r="H205" s="421">
        <v>300000</v>
      </c>
      <c r="I205" s="252">
        <f t="shared" si="3"/>
        <v>56250</v>
      </c>
      <c r="J205" s="219"/>
    </row>
    <row r="206" spans="2:187" s="147" customFormat="1" ht="16.5" customHeight="1">
      <c r="B206" s="251">
        <v>200</v>
      </c>
      <c r="C206" s="420" t="s">
        <v>632</v>
      </c>
      <c r="D206" s="420" t="s">
        <v>651</v>
      </c>
      <c r="E206" s="420" t="s">
        <v>645</v>
      </c>
      <c r="F206" s="420" t="s">
        <v>475</v>
      </c>
      <c r="G206" s="421">
        <v>3</v>
      </c>
      <c r="H206" s="421">
        <v>300000</v>
      </c>
      <c r="I206" s="252">
        <f t="shared" si="3"/>
        <v>56250</v>
      </c>
      <c r="J206" s="284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  <c r="CO206" s="259"/>
      <c r="CP206" s="259"/>
      <c r="CQ206" s="259"/>
      <c r="CR206" s="259"/>
      <c r="CS206" s="259"/>
      <c r="CT206" s="259"/>
      <c r="CU206" s="259"/>
      <c r="CV206" s="259"/>
      <c r="CW206" s="259"/>
      <c r="CX206" s="259"/>
      <c r="CY206" s="259"/>
      <c r="CZ206" s="259"/>
      <c r="DA206" s="259"/>
      <c r="DB206" s="259"/>
      <c r="DC206" s="259"/>
      <c r="DD206" s="259"/>
      <c r="DE206" s="259"/>
      <c r="DF206" s="259"/>
      <c r="DG206" s="259"/>
      <c r="DH206" s="259"/>
      <c r="DI206" s="259"/>
      <c r="DJ206" s="259"/>
      <c r="DK206" s="259"/>
      <c r="DL206" s="259"/>
      <c r="DM206" s="259"/>
      <c r="DN206" s="259"/>
      <c r="DO206" s="259"/>
      <c r="DP206" s="259"/>
      <c r="DQ206" s="259"/>
      <c r="DR206" s="259"/>
      <c r="DS206" s="259"/>
      <c r="DT206" s="259"/>
      <c r="DU206" s="259"/>
      <c r="DV206" s="259"/>
      <c r="DW206" s="259"/>
      <c r="DX206" s="259"/>
      <c r="DY206" s="259"/>
      <c r="DZ206" s="259"/>
      <c r="EA206" s="259"/>
      <c r="EB206" s="259"/>
      <c r="EC206" s="259"/>
      <c r="ED206" s="259"/>
      <c r="EE206" s="259"/>
      <c r="EF206" s="259"/>
      <c r="EG206" s="259"/>
      <c r="EH206" s="259"/>
      <c r="EI206" s="259"/>
      <c r="EJ206" s="259"/>
      <c r="EK206" s="259"/>
      <c r="EL206" s="259"/>
      <c r="EM206" s="259"/>
      <c r="EN206" s="259"/>
      <c r="EO206" s="259"/>
      <c r="EP206" s="259"/>
      <c r="EQ206" s="259"/>
      <c r="ER206" s="259"/>
      <c r="ES206" s="259"/>
      <c r="ET206" s="259"/>
      <c r="EU206" s="259"/>
      <c r="EV206" s="259"/>
      <c r="EW206" s="259"/>
      <c r="EX206" s="259"/>
      <c r="EY206" s="259"/>
      <c r="EZ206" s="259"/>
      <c r="FA206" s="259"/>
      <c r="FB206" s="259"/>
      <c r="FC206" s="259"/>
      <c r="FD206" s="259"/>
      <c r="FE206" s="259"/>
      <c r="FF206" s="259"/>
      <c r="FG206" s="259"/>
      <c r="FH206" s="259"/>
      <c r="FI206" s="259"/>
      <c r="FJ206" s="259"/>
      <c r="FK206" s="259"/>
      <c r="FL206" s="259"/>
      <c r="FM206" s="259"/>
      <c r="FN206" s="259"/>
      <c r="FO206" s="259"/>
      <c r="FP206" s="259"/>
      <c r="FQ206" s="259"/>
      <c r="FR206" s="259"/>
      <c r="FS206" s="259"/>
      <c r="FT206" s="259"/>
      <c r="FU206" s="259"/>
      <c r="FV206" s="259"/>
      <c r="FW206" s="259"/>
      <c r="FX206" s="259"/>
      <c r="FY206" s="259"/>
      <c r="FZ206" s="259"/>
      <c r="GA206" s="259"/>
      <c r="GB206" s="259"/>
      <c r="GC206" s="259"/>
      <c r="GD206" s="259"/>
      <c r="GE206" s="259"/>
    </row>
    <row r="207" spans="2:187" s="147" customFormat="1" ht="16.5" customHeight="1">
      <c r="B207" s="251">
        <v>201</v>
      </c>
      <c r="C207" s="420" t="s">
        <v>632</v>
      </c>
      <c r="D207" s="420" t="s">
        <v>652</v>
      </c>
      <c r="E207" s="420" t="s">
        <v>139</v>
      </c>
      <c r="F207" s="420" t="s">
        <v>475</v>
      </c>
      <c r="G207" s="421">
        <v>2</v>
      </c>
      <c r="H207" s="421">
        <v>200000</v>
      </c>
      <c r="I207" s="252">
        <f t="shared" si="3"/>
        <v>37500</v>
      </c>
      <c r="J207" s="219"/>
    </row>
    <row r="208" spans="2:187" s="147" customFormat="1" ht="16.5" customHeight="1">
      <c r="B208" s="251">
        <v>202</v>
      </c>
      <c r="C208" s="420" t="s">
        <v>632</v>
      </c>
      <c r="D208" s="420" t="s">
        <v>639</v>
      </c>
      <c r="E208" s="420" t="s">
        <v>565</v>
      </c>
      <c r="F208" s="420" t="s">
        <v>478</v>
      </c>
      <c r="G208" s="421">
        <v>3</v>
      </c>
      <c r="H208" s="421">
        <v>300000</v>
      </c>
      <c r="I208" s="252">
        <f t="shared" si="3"/>
        <v>56250</v>
      </c>
      <c r="J208" s="219"/>
    </row>
    <row r="209" spans="2:10" s="147" customFormat="1" ht="16.5" customHeight="1">
      <c r="B209" s="251">
        <v>203</v>
      </c>
      <c r="C209" s="420" t="s">
        <v>632</v>
      </c>
      <c r="D209" s="420" t="s">
        <v>634</v>
      </c>
      <c r="E209" s="420" t="s">
        <v>483</v>
      </c>
      <c r="F209" s="420" t="s">
        <v>653</v>
      </c>
      <c r="G209" s="421">
        <v>1</v>
      </c>
      <c r="H209" s="421">
        <v>400000</v>
      </c>
      <c r="I209" s="252">
        <f t="shared" si="3"/>
        <v>75000</v>
      </c>
      <c r="J209" s="219"/>
    </row>
    <row r="210" spans="2:10" s="147" customFormat="1" ht="16.5" customHeight="1">
      <c r="B210" s="251">
        <v>204</v>
      </c>
      <c r="C210" s="420" t="s">
        <v>632</v>
      </c>
      <c r="D210" s="420" t="s">
        <v>654</v>
      </c>
      <c r="E210" s="420" t="s">
        <v>522</v>
      </c>
      <c r="F210" s="420" t="s">
        <v>625</v>
      </c>
      <c r="G210" s="421">
        <v>1</v>
      </c>
      <c r="H210" s="421">
        <v>300000</v>
      </c>
      <c r="I210" s="252">
        <f t="shared" si="3"/>
        <v>56250</v>
      </c>
      <c r="J210" s="219"/>
    </row>
    <row r="211" spans="2:10" s="147" customFormat="1" ht="16.5" customHeight="1">
      <c r="B211" s="251">
        <v>205</v>
      </c>
      <c r="C211" s="420" t="s">
        <v>655</v>
      </c>
      <c r="D211" s="420" t="s">
        <v>656</v>
      </c>
      <c r="E211" s="420" t="s">
        <v>657</v>
      </c>
      <c r="F211" s="420" t="s">
        <v>658</v>
      </c>
      <c r="G211" s="421">
        <v>1</v>
      </c>
      <c r="H211" s="421">
        <v>372700</v>
      </c>
      <c r="I211" s="252">
        <f t="shared" si="3"/>
        <v>69881.25</v>
      </c>
      <c r="J211" s="219"/>
    </row>
    <row r="212" spans="2:10" s="147" customFormat="1" ht="16.5" customHeight="1">
      <c r="B212" s="251">
        <v>206</v>
      </c>
      <c r="C212" s="420" t="s">
        <v>659</v>
      </c>
      <c r="D212" s="420" t="s">
        <v>660</v>
      </c>
      <c r="E212" s="420" t="s">
        <v>139</v>
      </c>
      <c r="F212" s="420" t="s">
        <v>589</v>
      </c>
      <c r="G212" s="421">
        <v>1</v>
      </c>
      <c r="H212" s="421">
        <v>600000</v>
      </c>
      <c r="I212" s="252">
        <f t="shared" si="3"/>
        <v>112500</v>
      </c>
      <c r="J212" s="219"/>
    </row>
    <row r="213" spans="2:10" s="147" customFormat="1" ht="16.5" customHeight="1">
      <c r="B213" s="251">
        <v>207</v>
      </c>
      <c r="C213" s="420" t="s">
        <v>661</v>
      </c>
      <c r="D213" s="420" t="s">
        <v>662</v>
      </c>
      <c r="E213" s="420" t="s">
        <v>573</v>
      </c>
      <c r="F213" s="420" t="s">
        <v>475</v>
      </c>
      <c r="G213" s="421">
        <v>6</v>
      </c>
      <c r="H213" s="421">
        <v>600000</v>
      </c>
      <c r="I213" s="252">
        <f t="shared" si="3"/>
        <v>112500</v>
      </c>
      <c r="J213" s="219"/>
    </row>
    <row r="214" spans="2:10" s="147" customFormat="1" ht="16.5" customHeight="1">
      <c r="B214" s="251">
        <v>208</v>
      </c>
      <c r="C214" s="420" t="s">
        <v>661</v>
      </c>
      <c r="D214" s="420" t="s">
        <v>663</v>
      </c>
      <c r="E214" s="420" t="s">
        <v>533</v>
      </c>
      <c r="F214" s="420" t="s">
        <v>478</v>
      </c>
      <c r="G214" s="421">
        <v>2</v>
      </c>
      <c r="H214" s="421">
        <v>200000</v>
      </c>
      <c r="I214" s="252">
        <f t="shared" si="3"/>
        <v>37500</v>
      </c>
      <c r="J214" s="219"/>
    </row>
    <row r="215" spans="2:10" s="147" customFormat="1" ht="16.5" customHeight="1">
      <c r="B215" s="251">
        <v>209</v>
      </c>
      <c r="C215" s="420" t="s">
        <v>661</v>
      </c>
      <c r="D215" s="420" t="s">
        <v>664</v>
      </c>
      <c r="E215" s="420" t="s">
        <v>665</v>
      </c>
      <c r="F215" s="420" t="s">
        <v>475</v>
      </c>
      <c r="G215" s="421">
        <v>4</v>
      </c>
      <c r="H215" s="421">
        <v>400000</v>
      </c>
      <c r="I215" s="252">
        <f t="shared" si="3"/>
        <v>75000</v>
      </c>
      <c r="J215" s="219"/>
    </row>
    <row r="216" spans="2:10" s="147" customFormat="1" ht="16.5" customHeight="1">
      <c r="B216" s="251">
        <v>210</v>
      </c>
      <c r="C216" s="420" t="s">
        <v>661</v>
      </c>
      <c r="D216" s="420" t="s">
        <v>666</v>
      </c>
      <c r="E216" s="420" t="s">
        <v>667</v>
      </c>
      <c r="F216" s="420" t="s">
        <v>475</v>
      </c>
      <c r="G216" s="421">
        <v>4</v>
      </c>
      <c r="H216" s="421">
        <v>400000</v>
      </c>
      <c r="I216" s="252">
        <f t="shared" si="3"/>
        <v>75000</v>
      </c>
      <c r="J216" s="219"/>
    </row>
    <row r="217" spans="2:10" s="147" customFormat="1" ht="16.5" customHeight="1">
      <c r="B217" s="251">
        <v>211</v>
      </c>
      <c r="C217" s="420" t="s">
        <v>661</v>
      </c>
      <c r="D217" s="420" t="s">
        <v>668</v>
      </c>
      <c r="E217" s="420" t="s">
        <v>136</v>
      </c>
      <c r="F217" s="420" t="s">
        <v>475</v>
      </c>
      <c r="G217" s="421">
        <v>4</v>
      </c>
      <c r="H217" s="421">
        <v>400000</v>
      </c>
      <c r="I217" s="252">
        <f t="shared" si="3"/>
        <v>75000</v>
      </c>
      <c r="J217" s="219"/>
    </row>
    <row r="218" spans="2:10" s="147" customFormat="1" ht="16.5" customHeight="1">
      <c r="B218" s="251">
        <v>212</v>
      </c>
      <c r="C218" s="420" t="s">
        <v>661</v>
      </c>
      <c r="D218" s="420" t="s">
        <v>663</v>
      </c>
      <c r="E218" s="420" t="s">
        <v>533</v>
      </c>
      <c r="F218" s="420" t="s">
        <v>475</v>
      </c>
      <c r="G218" s="421">
        <v>1</v>
      </c>
      <c r="H218" s="421">
        <v>100000</v>
      </c>
      <c r="I218" s="252">
        <f t="shared" si="3"/>
        <v>18750</v>
      </c>
      <c r="J218" s="219"/>
    </row>
    <row r="219" spans="2:10" s="147" customFormat="1" ht="16.5" customHeight="1">
      <c r="B219" s="251">
        <v>213</v>
      </c>
      <c r="C219" s="420" t="s">
        <v>661</v>
      </c>
      <c r="D219" s="420" t="s">
        <v>669</v>
      </c>
      <c r="E219" s="420" t="s">
        <v>603</v>
      </c>
      <c r="F219" s="420" t="s">
        <v>475</v>
      </c>
      <c r="G219" s="421">
        <v>5</v>
      </c>
      <c r="H219" s="421">
        <v>500000</v>
      </c>
      <c r="I219" s="252">
        <f t="shared" si="3"/>
        <v>93750</v>
      </c>
      <c r="J219" s="219"/>
    </row>
    <row r="220" spans="2:10" s="147" customFormat="1" ht="16.5" customHeight="1">
      <c r="B220" s="251">
        <v>214</v>
      </c>
      <c r="C220" s="420" t="s">
        <v>661</v>
      </c>
      <c r="D220" s="420" t="s">
        <v>670</v>
      </c>
      <c r="E220" s="420" t="s">
        <v>139</v>
      </c>
      <c r="F220" s="420" t="s">
        <v>579</v>
      </c>
      <c r="G220" s="421">
        <v>1</v>
      </c>
      <c r="H220" s="421">
        <v>101800</v>
      </c>
      <c r="I220" s="252">
        <f t="shared" si="3"/>
        <v>19087.5</v>
      </c>
      <c r="J220" s="219"/>
    </row>
    <row r="221" spans="2:10" s="147" customFormat="1" ht="16.5" customHeight="1">
      <c r="B221" s="251">
        <v>215</v>
      </c>
      <c r="C221" s="420" t="s">
        <v>661</v>
      </c>
      <c r="D221" s="420" t="s">
        <v>670</v>
      </c>
      <c r="E221" s="420" t="s">
        <v>139</v>
      </c>
      <c r="F221" s="420" t="s">
        <v>478</v>
      </c>
      <c r="G221" s="421">
        <v>5</v>
      </c>
      <c r="H221" s="421">
        <v>500000</v>
      </c>
      <c r="I221" s="252">
        <f t="shared" si="3"/>
        <v>93750</v>
      </c>
      <c r="J221" s="219"/>
    </row>
    <row r="222" spans="2:10" s="147" customFormat="1" ht="16.5" customHeight="1">
      <c r="B222" s="251">
        <v>216</v>
      </c>
      <c r="C222" s="420" t="s">
        <v>661</v>
      </c>
      <c r="D222" s="420" t="s">
        <v>669</v>
      </c>
      <c r="E222" s="420" t="s">
        <v>603</v>
      </c>
      <c r="F222" s="420" t="s">
        <v>614</v>
      </c>
      <c r="G222" s="421">
        <v>1</v>
      </c>
      <c r="H222" s="421">
        <v>500000</v>
      </c>
      <c r="I222" s="252">
        <f t="shared" si="3"/>
        <v>93750</v>
      </c>
      <c r="J222" s="219"/>
    </row>
    <row r="223" spans="2:10" s="147" customFormat="1" ht="16.5" customHeight="1">
      <c r="B223" s="251">
        <v>217</v>
      </c>
      <c r="C223" s="420" t="s">
        <v>661</v>
      </c>
      <c r="D223" s="420" t="s">
        <v>666</v>
      </c>
      <c r="E223" s="420" t="s">
        <v>667</v>
      </c>
      <c r="F223" s="420" t="s">
        <v>478</v>
      </c>
      <c r="G223" s="421">
        <v>2</v>
      </c>
      <c r="H223" s="421">
        <v>200000</v>
      </c>
      <c r="I223" s="252">
        <f t="shared" si="3"/>
        <v>37500</v>
      </c>
      <c r="J223" s="219"/>
    </row>
    <row r="224" spans="2:10" s="147" customFormat="1" ht="16.5" customHeight="1">
      <c r="B224" s="251">
        <v>218</v>
      </c>
      <c r="C224" s="420" t="s">
        <v>661</v>
      </c>
      <c r="D224" s="420" t="s">
        <v>670</v>
      </c>
      <c r="E224" s="420" t="s">
        <v>139</v>
      </c>
      <c r="F224" s="420" t="s">
        <v>475</v>
      </c>
      <c r="G224" s="421">
        <v>4</v>
      </c>
      <c r="H224" s="421">
        <v>400000</v>
      </c>
      <c r="I224" s="252">
        <f t="shared" si="3"/>
        <v>75000</v>
      </c>
      <c r="J224" s="219"/>
    </row>
    <row r="225" spans="2:187" s="147" customFormat="1" ht="16.5" customHeight="1">
      <c r="B225" s="251">
        <v>219</v>
      </c>
      <c r="C225" s="420" t="s">
        <v>661</v>
      </c>
      <c r="D225" s="420" t="s">
        <v>669</v>
      </c>
      <c r="E225" s="420" t="s">
        <v>603</v>
      </c>
      <c r="F225" s="420" t="s">
        <v>478</v>
      </c>
      <c r="G225" s="421">
        <v>3</v>
      </c>
      <c r="H225" s="421">
        <v>300000</v>
      </c>
      <c r="I225" s="252">
        <f t="shared" si="3"/>
        <v>56250</v>
      </c>
      <c r="J225" s="284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  <c r="CO225" s="259"/>
      <c r="CP225" s="259"/>
      <c r="CQ225" s="259"/>
      <c r="CR225" s="259"/>
      <c r="CS225" s="259"/>
      <c r="CT225" s="259"/>
      <c r="CU225" s="259"/>
      <c r="CV225" s="259"/>
      <c r="CW225" s="259"/>
      <c r="CX225" s="259"/>
      <c r="CY225" s="259"/>
      <c r="CZ225" s="259"/>
      <c r="DA225" s="259"/>
      <c r="DB225" s="259"/>
      <c r="DC225" s="259"/>
      <c r="DD225" s="259"/>
      <c r="DE225" s="259"/>
      <c r="DF225" s="259"/>
      <c r="DG225" s="259"/>
      <c r="DH225" s="259"/>
      <c r="DI225" s="259"/>
      <c r="DJ225" s="259"/>
      <c r="DK225" s="259"/>
      <c r="DL225" s="259"/>
      <c r="DM225" s="259"/>
      <c r="DN225" s="259"/>
      <c r="DO225" s="259"/>
      <c r="DP225" s="259"/>
      <c r="DQ225" s="259"/>
      <c r="DR225" s="259"/>
      <c r="DS225" s="259"/>
      <c r="DT225" s="259"/>
      <c r="DU225" s="259"/>
      <c r="DV225" s="259"/>
      <c r="DW225" s="259"/>
      <c r="DX225" s="259"/>
      <c r="DY225" s="259"/>
      <c r="DZ225" s="259"/>
      <c r="EA225" s="259"/>
      <c r="EB225" s="259"/>
      <c r="EC225" s="259"/>
      <c r="ED225" s="259"/>
      <c r="EE225" s="259"/>
      <c r="EF225" s="259"/>
      <c r="EG225" s="259"/>
      <c r="EH225" s="259"/>
      <c r="EI225" s="259"/>
      <c r="EJ225" s="259"/>
      <c r="EK225" s="259"/>
      <c r="EL225" s="259"/>
      <c r="EM225" s="259"/>
      <c r="EN225" s="259"/>
      <c r="EO225" s="259"/>
      <c r="EP225" s="259"/>
      <c r="EQ225" s="259"/>
      <c r="ER225" s="259"/>
      <c r="ES225" s="259"/>
      <c r="ET225" s="259"/>
      <c r="EU225" s="259"/>
      <c r="EV225" s="259"/>
      <c r="EW225" s="259"/>
      <c r="EX225" s="259"/>
      <c r="EY225" s="259"/>
      <c r="EZ225" s="259"/>
      <c r="FA225" s="259"/>
      <c r="FB225" s="259"/>
      <c r="FC225" s="259"/>
      <c r="FD225" s="259"/>
      <c r="FE225" s="259"/>
      <c r="FF225" s="259"/>
      <c r="FG225" s="259"/>
      <c r="FH225" s="259"/>
      <c r="FI225" s="259"/>
      <c r="FJ225" s="259"/>
      <c r="FK225" s="259"/>
      <c r="FL225" s="259"/>
      <c r="FM225" s="259"/>
      <c r="FN225" s="259"/>
      <c r="FO225" s="259"/>
      <c r="FP225" s="259"/>
      <c r="FQ225" s="259"/>
      <c r="FR225" s="259"/>
      <c r="FS225" s="259"/>
      <c r="FT225" s="259"/>
      <c r="FU225" s="259"/>
      <c r="FV225" s="259"/>
      <c r="FW225" s="259"/>
      <c r="FX225" s="259"/>
      <c r="FY225" s="259"/>
      <c r="FZ225" s="259"/>
      <c r="GA225" s="259"/>
      <c r="GB225" s="259"/>
      <c r="GC225" s="259"/>
      <c r="GD225" s="259"/>
      <c r="GE225" s="259"/>
    </row>
    <row r="226" spans="2:187" s="147" customFormat="1" ht="16.5" customHeight="1">
      <c r="B226" s="251">
        <v>220</v>
      </c>
      <c r="C226" s="420" t="s">
        <v>661</v>
      </c>
      <c r="D226" s="420" t="s">
        <v>671</v>
      </c>
      <c r="E226" s="420" t="s">
        <v>145</v>
      </c>
      <c r="F226" s="420" t="s">
        <v>586</v>
      </c>
      <c r="G226" s="421">
        <v>1</v>
      </c>
      <c r="H226" s="421">
        <v>200000</v>
      </c>
      <c r="I226" s="252">
        <f t="shared" si="3"/>
        <v>37500</v>
      </c>
      <c r="J226" s="284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  <c r="CO226" s="259"/>
      <c r="CP226" s="259"/>
      <c r="CQ226" s="259"/>
      <c r="CR226" s="259"/>
      <c r="CS226" s="259"/>
      <c r="CT226" s="259"/>
      <c r="CU226" s="259"/>
      <c r="CV226" s="259"/>
      <c r="CW226" s="259"/>
      <c r="CX226" s="259"/>
      <c r="CY226" s="259"/>
      <c r="CZ226" s="259"/>
      <c r="DA226" s="259"/>
      <c r="DB226" s="259"/>
      <c r="DC226" s="259"/>
      <c r="DD226" s="259"/>
      <c r="DE226" s="259"/>
      <c r="DF226" s="259"/>
      <c r="DG226" s="259"/>
      <c r="DH226" s="259"/>
      <c r="DI226" s="259"/>
      <c r="DJ226" s="259"/>
      <c r="DK226" s="259"/>
      <c r="DL226" s="259"/>
      <c r="DM226" s="259"/>
      <c r="DN226" s="259"/>
      <c r="DO226" s="259"/>
      <c r="DP226" s="259"/>
      <c r="DQ226" s="259"/>
      <c r="DR226" s="259"/>
      <c r="DS226" s="259"/>
      <c r="DT226" s="259"/>
      <c r="DU226" s="259"/>
      <c r="DV226" s="259"/>
      <c r="DW226" s="259"/>
      <c r="DX226" s="259"/>
      <c r="DY226" s="259"/>
      <c r="DZ226" s="259"/>
      <c r="EA226" s="259"/>
      <c r="EB226" s="259"/>
      <c r="EC226" s="259"/>
      <c r="ED226" s="259"/>
      <c r="EE226" s="259"/>
      <c r="EF226" s="259"/>
      <c r="EG226" s="259"/>
      <c r="EH226" s="259"/>
      <c r="EI226" s="259"/>
      <c r="EJ226" s="259"/>
      <c r="EK226" s="259"/>
      <c r="EL226" s="259"/>
      <c r="EM226" s="259"/>
      <c r="EN226" s="259"/>
      <c r="EO226" s="259"/>
      <c r="EP226" s="259"/>
      <c r="EQ226" s="259"/>
      <c r="ER226" s="259"/>
      <c r="ES226" s="259"/>
      <c r="ET226" s="259"/>
      <c r="EU226" s="259"/>
      <c r="EV226" s="259"/>
      <c r="EW226" s="259"/>
      <c r="EX226" s="259"/>
      <c r="EY226" s="259"/>
      <c r="EZ226" s="259"/>
      <c r="FA226" s="259"/>
      <c r="FB226" s="259"/>
      <c r="FC226" s="259"/>
      <c r="FD226" s="259"/>
      <c r="FE226" s="259"/>
      <c r="FF226" s="259"/>
      <c r="FG226" s="259"/>
      <c r="FH226" s="259"/>
      <c r="FI226" s="259"/>
      <c r="FJ226" s="259"/>
      <c r="FK226" s="259"/>
      <c r="FL226" s="259"/>
      <c r="FM226" s="259"/>
      <c r="FN226" s="259"/>
      <c r="FO226" s="259"/>
      <c r="FP226" s="259"/>
      <c r="FQ226" s="259"/>
      <c r="FR226" s="259"/>
      <c r="FS226" s="259"/>
      <c r="FT226" s="259"/>
      <c r="FU226" s="259"/>
      <c r="FV226" s="259"/>
      <c r="FW226" s="259"/>
      <c r="FX226" s="259"/>
      <c r="FY226" s="259"/>
      <c r="FZ226" s="259"/>
      <c r="GA226" s="259"/>
      <c r="GB226" s="259"/>
      <c r="GC226" s="259"/>
      <c r="GD226" s="259"/>
      <c r="GE226" s="259"/>
    </row>
    <row r="227" spans="2:187" s="147" customFormat="1" ht="16.5" customHeight="1">
      <c r="B227" s="251">
        <v>221</v>
      </c>
      <c r="C227" s="420" t="s">
        <v>661</v>
      </c>
      <c r="D227" s="420" t="s">
        <v>672</v>
      </c>
      <c r="E227" s="420" t="s">
        <v>667</v>
      </c>
      <c r="F227" s="420" t="s">
        <v>478</v>
      </c>
      <c r="G227" s="421">
        <v>2</v>
      </c>
      <c r="H227" s="421">
        <v>200000</v>
      </c>
      <c r="I227" s="252">
        <f t="shared" si="3"/>
        <v>37500</v>
      </c>
      <c r="J227" s="219"/>
    </row>
    <row r="228" spans="2:187" s="147" customFormat="1" ht="16.5" customHeight="1">
      <c r="B228" s="251">
        <v>222</v>
      </c>
      <c r="C228" s="420" t="s">
        <v>661</v>
      </c>
      <c r="D228" s="420" t="s">
        <v>664</v>
      </c>
      <c r="E228" s="420" t="s">
        <v>665</v>
      </c>
      <c r="F228" s="420" t="s">
        <v>478</v>
      </c>
      <c r="G228" s="421">
        <v>4</v>
      </c>
      <c r="H228" s="421">
        <v>400000</v>
      </c>
      <c r="I228" s="252">
        <f t="shared" si="3"/>
        <v>75000</v>
      </c>
      <c r="J228" s="219"/>
    </row>
    <row r="229" spans="2:187" s="147" customFormat="1" ht="16.5" customHeight="1">
      <c r="B229" s="251">
        <v>223</v>
      </c>
      <c r="C229" s="420" t="s">
        <v>661</v>
      </c>
      <c r="D229" s="420" t="s">
        <v>673</v>
      </c>
      <c r="E229" s="420" t="s">
        <v>499</v>
      </c>
      <c r="F229" s="420" t="s">
        <v>475</v>
      </c>
      <c r="G229" s="421">
        <v>8</v>
      </c>
      <c r="H229" s="421">
        <v>800000</v>
      </c>
      <c r="I229" s="252">
        <f t="shared" si="3"/>
        <v>150000</v>
      </c>
      <c r="J229" s="219"/>
    </row>
    <row r="230" spans="2:187" s="147" customFormat="1" ht="16.5" customHeight="1">
      <c r="B230" s="251">
        <v>224</v>
      </c>
      <c r="C230" s="420" t="s">
        <v>661</v>
      </c>
      <c r="D230" s="420" t="s">
        <v>674</v>
      </c>
      <c r="E230" s="420" t="s">
        <v>143</v>
      </c>
      <c r="F230" s="420" t="s">
        <v>475</v>
      </c>
      <c r="G230" s="421">
        <v>10</v>
      </c>
      <c r="H230" s="421">
        <v>1000000</v>
      </c>
      <c r="I230" s="252">
        <f t="shared" si="3"/>
        <v>187500</v>
      </c>
      <c r="J230" s="219"/>
    </row>
    <row r="231" spans="2:187" s="147" customFormat="1" ht="16.5" customHeight="1">
      <c r="B231" s="251">
        <v>225</v>
      </c>
      <c r="C231" s="420" t="s">
        <v>661</v>
      </c>
      <c r="D231" s="420" t="s">
        <v>668</v>
      </c>
      <c r="E231" s="420" t="s">
        <v>136</v>
      </c>
      <c r="F231" s="420" t="s">
        <v>478</v>
      </c>
      <c r="G231" s="421">
        <v>3</v>
      </c>
      <c r="H231" s="421">
        <v>300000</v>
      </c>
      <c r="I231" s="252">
        <f t="shared" si="3"/>
        <v>56250</v>
      </c>
      <c r="J231" s="284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  <c r="CO231" s="259"/>
      <c r="CP231" s="259"/>
      <c r="CQ231" s="259"/>
      <c r="CR231" s="259"/>
      <c r="CS231" s="259"/>
      <c r="CT231" s="259"/>
      <c r="CU231" s="259"/>
      <c r="CV231" s="259"/>
      <c r="CW231" s="259"/>
      <c r="CX231" s="259"/>
      <c r="CY231" s="259"/>
      <c r="CZ231" s="259"/>
      <c r="DA231" s="259"/>
      <c r="DB231" s="259"/>
      <c r="DC231" s="259"/>
      <c r="DD231" s="259"/>
      <c r="DE231" s="259"/>
      <c r="DF231" s="259"/>
      <c r="DG231" s="259"/>
      <c r="DH231" s="259"/>
      <c r="DI231" s="259"/>
      <c r="DJ231" s="259"/>
      <c r="DK231" s="259"/>
      <c r="DL231" s="259"/>
      <c r="DM231" s="259"/>
      <c r="DN231" s="259"/>
      <c r="DO231" s="259"/>
      <c r="DP231" s="259"/>
      <c r="DQ231" s="259"/>
      <c r="DR231" s="259"/>
      <c r="DS231" s="259"/>
      <c r="DT231" s="259"/>
      <c r="DU231" s="259"/>
      <c r="DV231" s="259"/>
      <c r="DW231" s="259"/>
      <c r="DX231" s="259"/>
      <c r="DY231" s="259"/>
      <c r="DZ231" s="259"/>
      <c r="EA231" s="259"/>
      <c r="EB231" s="259"/>
      <c r="EC231" s="259"/>
      <c r="ED231" s="259"/>
      <c r="EE231" s="259"/>
      <c r="EF231" s="259"/>
      <c r="EG231" s="259"/>
      <c r="EH231" s="259"/>
      <c r="EI231" s="259"/>
      <c r="EJ231" s="259"/>
      <c r="EK231" s="259"/>
      <c r="EL231" s="259"/>
      <c r="EM231" s="259"/>
      <c r="EN231" s="259"/>
      <c r="EO231" s="259"/>
      <c r="EP231" s="259"/>
      <c r="EQ231" s="259"/>
      <c r="ER231" s="259"/>
      <c r="ES231" s="259"/>
      <c r="ET231" s="259"/>
      <c r="EU231" s="259"/>
      <c r="EV231" s="259"/>
      <c r="EW231" s="259"/>
      <c r="EX231" s="259"/>
      <c r="EY231" s="259"/>
      <c r="EZ231" s="259"/>
      <c r="FA231" s="259"/>
      <c r="FB231" s="259"/>
      <c r="FC231" s="259"/>
      <c r="FD231" s="259"/>
      <c r="FE231" s="259"/>
      <c r="FF231" s="259"/>
      <c r="FG231" s="259"/>
      <c r="FH231" s="259"/>
      <c r="FI231" s="259"/>
      <c r="FJ231" s="259"/>
      <c r="FK231" s="259"/>
      <c r="FL231" s="259"/>
      <c r="FM231" s="259"/>
      <c r="FN231" s="259"/>
      <c r="FO231" s="259"/>
      <c r="FP231" s="259"/>
      <c r="FQ231" s="259"/>
      <c r="FR231" s="259"/>
      <c r="FS231" s="259"/>
      <c r="FT231" s="259"/>
      <c r="FU231" s="259"/>
      <c r="FV231" s="259"/>
      <c r="FW231" s="259"/>
      <c r="FX231" s="259"/>
      <c r="FY231" s="259"/>
      <c r="FZ231" s="259"/>
      <c r="GA231" s="259"/>
      <c r="GB231" s="259"/>
      <c r="GC231" s="259"/>
      <c r="GD231" s="259"/>
      <c r="GE231" s="259"/>
    </row>
    <row r="232" spans="2:187" s="147" customFormat="1" ht="16.5" customHeight="1">
      <c r="B232" s="251">
        <v>226</v>
      </c>
      <c r="C232" s="420" t="s">
        <v>661</v>
      </c>
      <c r="D232" s="420" t="s">
        <v>672</v>
      </c>
      <c r="E232" s="420" t="s">
        <v>667</v>
      </c>
      <c r="F232" s="420" t="s">
        <v>675</v>
      </c>
      <c r="G232" s="421">
        <v>1</v>
      </c>
      <c r="H232" s="421">
        <v>400000</v>
      </c>
      <c r="I232" s="252">
        <f t="shared" si="3"/>
        <v>75000</v>
      </c>
      <c r="J232" s="284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  <c r="CO232" s="259"/>
      <c r="CP232" s="259"/>
      <c r="CQ232" s="259"/>
      <c r="CR232" s="259"/>
      <c r="CS232" s="259"/>
      <c r="CT232" s="259"/>
      <c r="CU232" s="259"/>
      <c r="CV232" s="259"/>
      <c r="CW232" s="259"/>
      <c r="CX232" s="259"/>
      <c r="CY232" s="259"/>
      <c r="CZ232" s="259"/>
      <c r="DA232" s="259"/>
      <c r="DB232" s="259"/>
      <c r="DC232" s="259"/>
      <c r="DD232" s="259"/>
      <c r="DE232" s="259"/>
      <c r="DF232" s="259"/>
      <c r="DG232" s="259"/>
      <c r="DH232" s="259"/>
      <c r="DI232" s="259"/>
      <c r="DJ232" s="259"/>
      <c r="DK232" s="259"/>
      <c r="DL232" s="259"/>
      <c r="DM232" s="259"/>
      <c r="DN232" s="259"/>
      <c r="DO232" s="259"/>
      <c r="DP232" s="259"/>
      <c r="DQ232" s="259"/>
      <c r="DR232" s="259"/>
      <c r="DS232" s="259"/>
      <c r="DT232" s="259"/>
      <c r="DU232" s="259"/>
      <c r="DV232" s="259"/>
      <c r="DW232" s="259"/>
      <c r="DX232" s="259"/>
      <c r="DY232" s="259"/>
      <c r="DZ232" s="259"/>
      <c r="EA232" s="259"/>
      <c r="EB232" s="259"/>
      <c r="EC232" s="259"/>
      <c r="ED232" s="259"/>
      <c r="EE232" s="259"/>
      <c r="EF232" s="259"/>
      <c r="EG232" s="259"/>
      <c r="EH232" s="259"/>
      <c r="EI232" s="259"/>
      <c r="EJ232" s="259"/>
      <c r="EK232" s="259"/>
      <c r="EL232" s="259"/>
      <c r="EM232" s="259"/>
      <c r="EN232" s="259"/>
      <c r="EO232" s="259"/>
      <c r="EP232" s="259"/>
      <c r="EQ232" s="259"/>
      <c r="ER232" s="259"/>
      <c r="ES232" s="259"/>
      <c r="ET232" s="259"/>
      <c r="EU232" s="259"/>
      <c r="EV232" s="259"/>
      <c r="EW232" s="259"/>
      <c r="EX232" s="259"/>
      <c r="EY232" s="259"/>
      <c r="EZ232" s="259"/>
      <c r="FA232" s="259"/>
      <c r="FB232" s="259"/>
      <c r="FC232" s="259"/>
      <c r="FD232" s="259"/>
      <c r="FE232" s="259"/>
      <c r="FF232" s="259"/>
      <c r="FG232" s="259"/>
      <c r="FH232" s="259"/>
      <c r="FI232" s="259"/>
      <c r="FJ232" s="259"/>
      <c r="FK232" s="259"/>
      <c r="FL232" s="259"/>
      <c r="FM232" s="259"/>
      <c r="FN232" s="259"/>
      <c r="FO232" s="259"/>
      <c r="FP232" s="259"/>
      <c r="FQ232" s="259"/>
      <c r="FR232" s="259"/>
      <c r="FS232" s="259"/>
      <c r="FT232" s="259"/>
      <c r="FU232" s="259"/>
      <c r="FV232" s="259"/>
      <c r="FW232" s="259"/>
      <c r="FX232" s="259"/>
      <c r="FY232" s="259"/>
      <c r="FZ232" s="259"/>
      <c r="GA232" s="259"/>
      <c r="GB232" s="259"/>
      <c r="GC232" s="259"/>
      <c r="GD232" s="259"/>
      <c r="GE232" s="259"/>
    </row>
    <row r="233" spans="2:187" s="147" customFormat="1" ht="16.5" customHeight="1">
      <c r="B233" s="251">
        <v>227</v>
      </c>
      <c r="C233" s="420" t="s">
        <v>661</v>
      </c>
      <c r="D233" s="420" t="s">
        <v>672</v>
      </c>
      <c r="E233" s="420" t="s">
        <v>667</v>
      </c>
      <c r="F233" s="420" t="s">
        <v>475</v>
      </c>
      <c r="G233" s="421">
        <v>3</v>
      </c>
      <c r="H233" s="421">
        <v>300000</v>
      </c>
      <c r="I233" s="252">
        <f t="shared" si="3"/>
        <v>56250</v>
      </c>
      <c r="J233" s="284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  <c r="CO233" s="259"/>
      <c r="CP233" s="259"/>
      <c r="CQ233" s="259"/>
      <c r="CR233" s="259"/>
      <c r="CS233" s="259"/>
      <c r="CT233" s="259"/>
      <c r="CU233" s="259"/>
      <c r="CV233" s="259"/>
      <c r="CW233" s="259"/>
      <c r="CX233" s="259"/>
      <c r="CY233" s="259"/>
      <c r="CZ233" s="259"/>
      <c r="DA233" s="259"/>
      <c r="DB233" s="259"/>
      <c r="DC233" s="259"/>
      <c r="DD233" s="259"/>
      <c r="DE233" s="259"/>
      <c r="DF233" s="259"/>
      <c r="DG233" s="259"/>
      <c r="DH233" s="259"/>
      <c r="DI233" s="259"/>
      <c r="DJ233" s="259"/>
      <c r="DK233" s="259"/>
      <c r="DL233" s="259"/>
      <c r="DM233" s="259"/>
      <c r="DN233" s="259"/>
      <c r="DO233" s="259"/>
      <c r="DP233" s="259"/>
      <c r="DQ233" s="259"/>
      <c r="DR233" s="259"/>
      <c r="DS233" s="259"/>
      <c r="DT233" s="259"/>
      <c r="DU233" s="259"/>
      <c r="DV233" s="259"/>
      <c r="DW233" s="259"/>
      <c r="DX233" s="259"/>
      <c r="DY233" s="259"/>
      <c r="DZ233" s="259"/>
      <c r="EA233" s="259"/>
      <c r="EB233" s="259"/>
      <c r="EC233" s="259"/>
      <c r="ED233" s="259"/>
      <c r="EE233" s="259"/>
      <c r="EF233" s="259"/>
      <c r="EG233" s="259"/>
      <c r="EH233" s="259"/>
      <c r="EI233" s="259"/>
      <c r="EJ233" s="259"/>
      <c r="EK233" s="259"/>
      <c r="EL233" s="259"/>
      <c r="EM233" s="259"/>
      <c r="EN233" s="259"/>
      <c r="EO233" s="259"/>
      <c r="EP233" s="259"/>
      <c r="EQ233" s="259"/>
      <c r="ER233" s="259"/>
      <c r="ES233" s="259"/>
      <c r="ET233" s="259"/>
      <c r="EU233" s="259"/>
      <c r="EV233" s="259"/>
      <c r="EW233" s="259"/>
      <c r="EX233" s="259"/>
      <c r="EY233" s="259"/>
      <c r="EZ233" s="259"/>
      <c r="FA233" s="259"/>
      <c r="FB233" s="259"/>
      <c r="FC233" s="259"/>
      <c r="FD233" s="259"/>
      <c r="FE233" s="259"/>
      <c r="FF233" s="259"/>
      <c r="FG233" s="259"/>
      <c r="FH233" s="259"/>
      <c r="FI233" s="259"/>
      <c r="FJ233" s="259"/>
      <c r="FK233" s="259"/>
      <c r="FL233" s="259"/>
      <c r="FM233" s="259"/>
      <c r="FN233" s="259"/>
      <c r="FO233" s="259"/>
      <c r="FP233" s="259"/>
      <c r="FQ233" s="259"/>
      <c r="FR233" s="259"/>
      <c r="FS233" s="259"/>
      <c r="FT233" s="259"/>
      <c r="FU233" s="259"/>
      <c r="FV233" s="259"/>
      <c r="FW233" s="259"/>
      <c r="FX233" s="259"/>
      <c r="FY233" s="259"/>
      <c r="FZ233" s="259"/>
      <c r="GA233" s="259"/>
      <c r="GB233" s="259"/>
      <c r="GC233" s="259"/>
      <c r="GD233" s="259"/>
      <c r="GE233" s="259"/>
    </row>
    <row r="234" spans="2:187" s="147" customFormat="1" ht="16.5" customHeight="1">
      <c r="B234" s="251">
        <v>228</v>
      </c>
      <c r="C234" s="420" t="s">
        <v>661</v>
      </c>
      <c r="D234" s="420" t="s">
        <v>662</v>
      </c>
      <c r="E234" s="420" t="s">
        <v>573</v>
      </c>
      <c r="F234" s="420" t="s">
        <v>478</v>
      </c>
      <c r="G234" s="421">
        <v>4</v>
      </c>
      <c r="H234" s="421">
        <v>400000</v>
      </c>
      <c r="I234" s="252">
        <f t="shared" si="3"/>
        <v>75000</v>
      </c>
      <c r="J234" s="284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  <c r="CO234" s="259"/>
      <c r="CP234" s="259"/>
      <c r="CQ234" s="259"/>
      <c r="CR234" s="259"/>
      <c r="CS234" s="259"/>
      <c r="CT234" s="259"/>
      <c r="CU234" s="259"/>
      <c r="CV234" s="259"/>
      <c r="CW234" s="259"/>
      <c r="CX234" s="259"/>
      <c r="CY234" s="259"/>
      <c r="CZ234" s="259"/>
      <c r="DA234" s="259"/>
      <c r="DB234" s="259"/>
      <c r="DC234" s="259"/>
      <c r="DD234" s="259"/>
      <c r="DE234" s="259"/>
      <c r="DF234" s="259"/>
      <c r="DG234" s="259"/>
      <c r="DH234" s="259"/>
      <c r="DI234" s="259"/>
      <c r="DJ234" s="259"/>
      <c r="DK234" s="259"/>
      <c r="DL234" s="259"/>
      <c r="DM234" s="259"/>
      <c r="DN234" s="259"/>
      <c r="DO234" s="259"/>
      <c r="DP234" s="259"/>
      <c r="DQ234" s="259"/>
      <c r="DR234" s="259"/>
      <c r="DS234" s="259"/>
      <c r="DT234" s="259"/>
      <c r="DU234" s="259"/>
      <c r="DV234" s="259"/>
      <c r="DW234" s="259"/>
      <c r="DX234" s="259"/>
      <c r="DY234" s="259"/>
      <c r="DZ234" s="259"/>
      <c r="EA234" s="259"/>
      <c r="EB234" s="259"/>
      <c r="EC234" s="259"/>
      <c r="ED234" s="259"/>
      <c r="EE234" s="259"/>
      <c r="EF234" s="259"/>
      <c r="EG234" s="259"/>
      <c r="EH234" s="259"/>
      <c r="EI234" s="259"/>
      <c r="EJ234" s="259"/>
      <c r="EK234" s="259"/>
      <c r="EL234" s="259"/>
      <c r="EM234" s="259"/>
      <c r="EN234" s="259"/>
      <c r="EO234" s="259"/>
      <c r="EP234" s="259"/>
      <c r="EQ234" s="259"/>
      <c r="ER234" s="259"/>
      <c r="ES234" s="259"/>
      <c r="ET234" s="259"/>
      <c r="EU234" s="259"/>
      <c r="EV234" s="259"/>
      <c r="EW234" s="259"/>
      <c r="EX234" s="259"/>
      <c r="EY234" s="259"/>
      <c r="EZ234" s="259"/>
      <c r="FA234" s="259"/>
      <c r="FB234" s="259"/>
      <c r="FC234" s="259"/>
      <c r="FD234" s="259"/>
      <c r="FE234" s="259"/>
      <c r="FF234" s="259"/>
      <c r="FG234" s="259"/>
      <c r="FH234" s="259"/>
      <c r="FI234" s="259"/>
      <c r="FJ234" s="259"/>
      <c r="FK234" s="259"/>
      <c r="FL234" s="259"/>
      <c r="FM234" s="259"/>
      <c r="FN234" s="259"/>
      <c r="FO234" s="259"/>
      <c r="FP234" s="259"/>
      <c r="FQ234" s="259"/>
      <c r="FR234" s="259"/>
      <c r="FS234" s="259"/>
      <c r="FT234" s="259"/>
      <c r="FU234" s="259"/>
      <c r="FV234" s="259"/>
      <c r="FW234" s="259"/>
      <c r="FX234" s="259"/>
      <c r="FY234" s="259"/>
      <c r="FZ234" s="259"/>
      <c r="GA234" s="259"/>
      <c r="GB234" s="259"/>
      <c r="GC234" s="259"/>
      <c r="GD234" s="259"/>
      <c r="GE234" s="259"/>
    </row>
    <row r="235" spans="2:187" s="147" customFormat="1" ht="16.5" customHeight="1">
      <c r="B235" s="251">
        <v>229</v>
      </c>
      <c r="C235" s="420" t="s">
        <v>661</v>
      </c>
      <c r="D235" s="420" t="s">
        <v>676</v>
      </c>
      <c r="E235" s="420" t="s">
        <v>537</v>
      </c>
      <c r="F235" s="420" t="s">
        <v>677</v>
      </c>
      <c r="G235" s="421">
        <v>1</v>
      </c>
      <c r="H235" s="421">
        <v>282000</v>
      </c>
      <c r="I235" s="252">
        <f t="shared" si="3"/>
        <v>52875</v>
      </c>
      <c r="J235" s="284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  <c r="CO235" s="259"/>
      <c r="CP235" s="259"/>
      <c r="CQ235" s="259"/>
      <c r="CR235" s="259"/>
      <c r="CS235" s="259"/>
      <c r="CT235" s="259"/>
      <c r="CU235" s="259"/>
      <c r="CV235" s="259"/>
      <c r="CW235" s="259"/>
      <c r="CX235" s="259"/>
      <c r="CY235" s="259"/>
      <c r="CZ235" s="259"/>
      <c r="DA235" s="259"/>
      <c r="DB235" s="259"/>
      <c r="DC235" s="259"/>
      <c r="DD235" s="259"/>
      <c r="DE235" s="259"/>
      <c r="DF235" s="259"/>
      <c r="DG235" s="259"/>
      <c r="DH235" s="259"/>
      <c r="DI235" s="259"/>
      <c r="DJ235" s="259"/>
      <c r="DK235" s="259"/>
      <c r="DL235" s="259"/>
      <c r="DM235" s="259"/>
      <c r="DN235" s="259"/>
      <c r="DO235" s="259"/>
      <c r="DP235" s="259"/>
      <c r="DQ235" s="259"/>
      <c r="DR235" s="259"/>
      <c r="DS235" s="259"/>
      <c r="DT235" s="259"/>
      <c r="DU235" s="259"/>
      <c r="DV235" s="259"/>
      <c r="DW235" s="259"/>
      <c r="DX235" s="259"/>
      <c r="DY235" s="259"/>
      <c r="DZ235" s="259"/>
      <c r="EA235" s="259"/>
      <c r="EB235" s="259"/>
      <c r="EC235" s="259"/>
      <c r="ED235" s="259"/>
      <c r="EE235" s="259"/>
      <c r="EF235" s="259"/>
      <c r="EG235" s="259"/>
      <c r="EH235" s="259"/>
      <c r="EI235" s="259"/>
      <c r="EJ235" s="259"/>
      <c r="EK235" s="259"/>
      <c r="EL235" s="259"/>
      <c r="EM235" s="259"/>
      <c r="EN235" s="259"/>
      <c r="EO235" s="259"/>
      <c r="EP235" s="259"/>
      <c r="EQ235" s="259"/>
      <c r="ER235" s="259"/>
      <c r="ES235" s="259"/>
      <c r="ET235" s="259"/>
      <c r="EU235" s="259"/>
      <c r="EV235" s="259"/>
      <c r="EW235" s="259"/>
      <c r="EX235" s="259"/>
      <c r="EY235" s="259"/>
      <c r="EZ235" s="259"/>
      <c r="FA235" s="259"/>
      <c r="FB235" s="259"/>
      <c r="FC235" s="259"/>
      <c r="FD235" s="259"/>
      <c r="FE235" s="259"/>
      <c r="FF235" s="259"/>
      <c r="FG235" s="259"/>
      <c r="FH235" s="259"/>
      <c r="FI235" s="259"/>
      <c r="FJ235" s="259"/>
      <c r="FK235" s="259"/>
      <c r="FL235" s="259"/>
      <c r="FM235" s="259"/>
      <c r="FN235" s="259"/>
      <c r="FO235" s="259"/>
      <c r="FP235" s="259"/>
      <c r="FQ235" s="259"/>
      <c r="FR235" s="259"/>
      <c r="FS235" s="259"/>
      <c r="FT235" s="259"/>
      <c r="FU235" s="259"/>
      <c r="FV235" s="259"/>
      <c r="FW235" s="259"/>
      <c r="FX235" s="259"/>
      <c r="FY235" s="259"/>
      <c r="FZ235" s="259"/>
      <c r="GA235" s="259"/>
      <c r="GB235" s="259"/>
      <c r="GC235" s="259"/>
      <c r="GD235" s="259"/>
      <c r="GE235" s="259"/>
    </row>
    <row r="236" spans="2:187" s="147" customFormat="1" ht="16.5" customHeight="1">
      <c r="B236" s="251">
        <v>230</v>
      </c>
      <c r="C236" s="420" t="s">
        <v>661</v>
      </c>
      <c r="D236" s="420" t="s">
        <v>666</v>
      </c>
      <c r="E236" s="420" t="s">
        <v>667</v>
      </c>
      <c r="F236" s="420" t="s">
        <v>614</v>
      </c>
      <c r="G236" s="421">
        <v>1</v>
      </c>
      <c r="H236" s="421">
        <v>372700</v>
      </c>
      <c r="I236" s="252">
        <f t="shared" si="3"/>
        <v>69881.25</v>
      </c>
      <c r="J236" s="219"/>
    </row>
    <row r="237" spans="2:187" s="147" customFormat="1" ht="16.5" customHeight="1">
      <c r="B237" s="251">
        <v>231</v>
      </c>
      <c r="C237" s="420" t="s">
        <v>678</v>
      </c>
      <c r="D237" s="420" t="s">
        <v>679</v>
      </c>
      <c r="E237" s="420" t="s">
        <v>542</v>
      </c>
      <c r="F237" s="420" t="s">
        <v>475</v>
      </c>
      <c r="G237" s="421">
        <v>1</v>
      </c>
      <c r="H237" s="421">
        <v>100000</v>
      </c>
      <c r="I237" s="252">
        <f t="shared" si="3"/>
        <v>18750</v>
      </c>
      <c r="J237" s="219"/>
    </row>
    <row r="238" spans="2:187" s="147" customFormat="1" ht="16.5" customHeight="1">
      <c r="B238" s="251">
        <v>232</v>
      </c>
      <c r="C238" s="420" t="s">
        <v>678</v>
      </c>
      <c r="D238" s="420" t="s">
        <v>626</v>
      </c>
      <c r="E238" s="420" t="s">
        <v>480</v>
      </c>
      <c r="F238" s="420" t="s">
        <v>481</v>
      </c>
      <c r="G238" s="421">
        <v>1</v>
      </c>
      <c r="H238" s="421">
        <v>100000</v>
      </c>
      <c r="I238" s="252">
        <f t="shared" si="3"/>
        <v>18750</v>
      </c>
      <c r="J238" s="219"/>
    </row>
    <row r="239" spans="2:187" s="147" customFormat="1" ht="16.5" customHeight="1">
      <c r="B239" s="251">
        <v>233</v>
      </c>
      <c r="C239" s="420" t="s">
        <v>678</v>
      </c>
      <c r="D239" s="420" t="s">
        <v>680</v>
      </c>
      <c r="E239" s="420" t="s">
        <v>522</v>
      </c>
      <c r="F239" s="420" t="s">
        <v>488</v>
      </c>
      <c r="G239" s="421">
        <v>3</v>
      </c>
      <c r="H239" s="421">
        <v>300000</v>
      </c>
      <c r="I239" s="252">
        <f t="shared" si="3"/>
        <v>56250</v>
      </c>
      <c r="J239" s="219"/>
    </row>
    <row r="240" spans="2:187" s="147" customFormat="1" ht="16.5" customHeight="1">
      <c r="B240" s="251">
        <v>234</v>
      </c>
      <c r="C240" s="420" t="s">
        <v>678</v>
      </c>
      <c r="D240" s="420" t="s">
        <v>681</v>
      </c>
      <c r="E240" s="420" t="s">
        <v>474</v>
      </c>
      <c r="F240" s="420" t="s">
        <v>540</v>
      </c>
      <c r="G240" s="421">
        <v>1</v>
      </c>
      <c r="H240" s="421">
        <v>600000</v>
      </c>
      <c r="I240" s="252">
        <f t="shared" si="3"/>
        <v>112500</v>
      </c>
      <c r="J240" s="284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59"/>
      <c r="BK240" s="259"/>
      <c r="BL240" s="259"/>
      <c r="BM240" s="259"/>
      <c r="BN240" s="259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59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  <c r="CO240" s="259"/>
      <c r="CP240" s="259"/>
      <c r="CQ240" s="259"/>
      <c r="CR240" s="259"/>
      <c r="CS240" s="259"/>
      <c r="CT240" s="259"/>
      <c r="CU240" s="259"/>
      <c r="CV240" s="259"/>
      <c r="CW240" s="259"/>
      <c r="CX240" s="259"/>
      <c r="CY240" s="259"/>
      <c r="CZ240" s="259"/>
      <c r="DA240" s="259"/>
      <c r="DB240" s="259"/>
      <c r="DC240" s="259"/>
      <c r="DD240" s="259"/>
      <c r="DE240" s="259"/>
      <c r="DF240" s="259"/>
      <c r="DG240" s="259"/>
      <c r="DH240" s="259"/>
      <c r="DI240" s="259"/>
      <c r="DJ240" s="259"/>
      <c r="DK240" s="259"/>
      <c r="DL240" s="259"/>
      <c r="DM240" s="259"/>
      <c r="DN240" s="259"/>
      <c r="DO240" s="259"/>
      <c r="DP240" s="259"/>
      <c r="DQ240" s="259"/>
      <c r="DR240" s="259"/>
      <c r="DS240" s="259"/>
      <c r="DT240" s="259"/>
      <c r="DU240" s="259"/>
      <c r="DV240" s="259"/>
      <c r="DW240" s="259"/>
      <c r="DX240" s="259"/>
      <c r="DY240" s="259"/>
      <c r="DZ240" s="259"/>
      <c r="EA240" s="259"/>
      <c r="EB240" s="259"/>
      <c r="EC240" s="259"/>
      <c r="ED240" s="259"/>
      <c r="EE240" s="259"/>
      <c r="EF240" s="259"/>
      <c r="EG240" s="259"/>
      <c r="EH240" s="259"/>
      <c r="EI240" s="259"/>
      <c r="EJ240" s="259"/>
      <c r="EK240" s="259"/>
      <c r="EL240" s="259"/>
      <c r="EM240" s="259"/>
      <c r="EN240" s="259"/>
      <c r="EO240" s="259"/>
      <c r="EP240" s="259"/>
      <c r="EQ240" s="259"/>
      <c r="ER240" s="259"/>
      <c r="ES240" s="259"/>
      <c r="ET240" s="259"/>
      <c r="EU240" s="259"/>
      <c r="EV240" s="259"/>
      <c r="EW240" s="259"/>
      <c r="EX240" s="259"/>
      <c r="EY240" s="259"/>
      <c r="EZ240" s="259"/>
      <c r="FA240" s="259"/>
      <c r="FB240" s="259"/>
      <c r="FC240" s="259"/>
      <c r="FD240" s="259"/>
      <c r="FE240" s="259"/>
      <c r="FF240" s="259"/>
      <c r="FG240" s="259"/>
      <c r="FH240" s="259"/>
      <c r="FI240" s="259"/>
      <c r="FJ240" s="259"/>
      <c r="FK240" s="259"/>
      <c r="FL240" s="259"/>
      <c r="FM240" s="259"/>
      <c r="FN240" s="259"/>
      <c r="FO240" s="259"/>
      <c r="FP240" s="259"/>
      <c r="FQ240" s="259"/>
      <c r="FR240" s="259"/>
      <c r="FS240" s="259"/>
      <c r="FT240" s="259"/>
      <c r="FU240" s="259"/>
      <c r="FV240" s="259"/>
      <c r="FW240" s="259"/>
      <c r="FX240" s="259"/>
      <c r="FY240" s="259"/>
      <c r="FZ240" s="259"/>
      <c r="GA240" s="259"/>
      <c r="GB240" s="259"/>
      <c r="GC240" s="259"/>
      <c r="GD240" s="259"/>
      <c r="GE240" s="259"/>
    </row>
    <row r="241" spans="2:187" s="147" customFormat="1" ht="16.5" customHeight="1">
      <c r="B241" s="251">
        <v>235</v>
      </c>
      <c r="C241" s="420" t="s">
        <v>678</v>
      </c>
      <c r="D241" s="420" t="s">
        <v>682</v>
      </c>
      <c r="E241" s="420" t="s">
        <v>683</v>
      </c>
      <c r="F241" s="420" t="s">
        <v>475</v>
      </c>
      <c r="G241" s="421">
        <v>10</v>
      </c>
      <c r="H241" s="421">
        <v>1000000</v>
      </c>
      <c r="I241" s="252">
        <f t="shared" si="3"/>
        <v>187500</v>
      </c>
      <c r="J241" s="284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59"/>
      <c r="BK241" s="259"/>
      <c r="BL241" s="259"/>
      <c r="BM241" s="259"/>
      <c r="BN241" s="259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59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  <c r="CO241" s="259"/>
      <c r="CP241" s="259"/>
      <c r="CQ241" s="259"/>
      <c r="CR241" s="259"/>
      <c r="CS241" s="259"/>
      <c r="CT241" s="259"/>
      <c r="CU241" s="259"/>
      <c r="CV241" s="259"/>
      <c r="CW241" s="259"/>
      <c r="CX241" s="259"/>
      <c r="CY241" s="259"/>
      <c r="CZ241" s="259"/>
      <c r="DA241" s="259"/>
      <c r="DB241" s="259"/>
      <c r="DC241" s="259"/>
      <c r="DD241" s="259"/>
      <c r="DE241" s="259"/>
      <c r="DF241" s="259"/>
      <c r="DG241" s="259"/>
      <c r="DH241" s="259"/>
      <c r="DI241" s="259"/>
      <c r="DJ241" s="259"/>
      <c r="DK241" s="259"/>
      <c r="DL241" s="259"/>
      <c r="DM241" s="259"/>
      <c r="DN241" s="259"/>
      <c r="DO241" s="259"/>
      <c r="DP241" s="259"/>
      <c r="DQ241" s="259"/>
      <c r="DR241" s="259"/>
      <c r="DS241" s="259"/>
      <c r="DT241" s="259"/>
      <c r="DU241" s="259"/>
      <c r="DV241" s="259"/>
      <c r="DW241" s="259"/>
      <c r="DX241" s="259"/>
      <c r="DY241" s="259"/>
      <c r="DZ241" s="259"/>
      <c r="EA241" s="259"/>
      <c r="EB241" s="259"/>
      <c r="EC241" s="259"/>
      <c r="ED241" s="259"/>
      <c r="EE241" s="259"/>
      <c r="EF241" s="259"/>
      <c r="EG241" s="259"/>
      <c r="EH241" s="259"/>
      <c r="EI241" s="259"/>
      <c r="EJ241" s="259"/>
      <c r="EK241" s="259"/>
      <c r="EL241" s="259"/>
      <c r="EM241" s="259"/>
      <c r="EN241" s="259"/>
      <c r="EO241" s="259"/>
      <c r="EP241" s="259"/>
      <c r="EQ241" s="259"/>
      <c r="ER241" s="259"/>
      <c r="ES241" s="259"/>
      <c r="ET241" s="259"/>
      <c r="EU241" s="259"/>
      <c r="EV241" s="259"/>
      <c r="EW241" s="259"/>
      <c r="EX241" s="259"/>
      <c r="EY241" s="259"/>
      <c r="EZ241" s="259"/>
      <c r="FA241" s="259"/>
      <c r="FB241" s="259"/>
      <c r="FC241" s="259"/>
      <c r="FD241" s="259"/>
      <c r="FE241" s="259"/>
      <c r="FF241" s="259"/>
      <c r="FG241" s="259"/>
      <c r="FH241" s="259"/>
      <c r="FI241" s="259"/>
      <c r="FJ241" s="259"/>
      <c r="FK241" s="259"/>
      <c r="FL241" s="259"/>
      <c r="FM241" s="259"/>
      <c r="FN241" s="259"/>
      <c r="FO241" s="259"/>
      <c r="FP241" s="259"/>
      <c r="FQ241" s="259"/>
      <c r="FR241" s="259"/>
      <c r="FS241" s="259"/>
      <c r="FT241" s="259"/>
      <c r="FU241" s="259"/>
      <c r="FV241" s="259"/>
      <c r="FW241" s="259"/>
      <c r="FX241" s="259"/>
      <c r="FY241" s="259"/>
      <c r="FZ241" s="259"/>
      <c r="GA241" s="259"/>
      <c r="GB241" s="259"/>
      <c r="GC241" s="259"/>
      <c r="GD241" s="259"/>
      <c r="GE241" s="259"/>
    </row>
    <row r="242" spans="2:187" s="147" customFormat="1" ht="16.5" customHeight="1">
      <c r="B242" s="251">
        <v>236</v>
      </c>
      <c r="C242" s="420" t="s">
        <v>678</v>
      </c>
      <c r="D242" s="420" t="s">
        <v>684</v>
      </c>
      <c r="E242" s="420" t="s">
        <v>480</v>
      </c>
      <c r="F242" s="420" t="s">
        <v>488</v>
      </c>
      <c r="G242" s="421">
        <v>12</v>
      </c>
      <c r="H242" s="421">
        <v>1200000</v>
      </c>
      <c r="I242" s="252">
        <f t="shared" si="3"/>
        <v>225000</v>
      </c>
      <c r="J242" s="284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59"/>
      <c r="BK242" s="259"/>
      <c r="BL242" s="259"/>
      <c r="BM242" s="259"/>
      <c r="BN242" s="259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59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  <c r="CO242" s="259"/>
      <c r="CP242" s="259"/>
      <c r="CQ242" s="259"/>
      <c r="CR242" s="259"/>
      <c r="CS242" s="259"/>
      <c r="CT242" s="259"/>
      <c r="CU242" s="259"/>
      <c r="CV242" s="259"/>
      <c r="CW242" s="259"/>
      <c r="CX242" s="259"/>
      <c r="CY242" s="259"/>
      <c r="CZ242" s="259"/>
      <c r="DA242" s="259"/>
      <c r="DB242" s="259"/>
      <c r="DC242" s="259"/>
      <c r="DD242" s="259"/>
      <c r="DE242" s="259"/>
      <c r="DF242" s="259"/>
      <c r="DG242" s="259"/>
      <c r="DH242" s="259"/>
      <c r="DI242" s="259"/>
      <c r="DJ242" s="259"/>
      <c r="DK242" s="259"/>
      <c r="DL242" s="259"/>
      <c r="DM242" s="259"/>
      <c r="DN242" s="259"/>
      <c r="DO242" s="259"/>
      <c r="DP242" s="259"/>
      <c r="DQ242" s="259"/>
      <c r="DR242" s="259"/>
      <c r="DS242" s="259"/>
      <c r="DT242" s="259"/>
      <c r="DU242" s="259"/>
      <c r="DV242" s="259"/>
      <c r="DW242" s="259"/>
      <c r="DX242" s="259"/>
      <c r="DY242" s="259"/>
      <c r="DZ242" s="259"/>
      <c r="EA242" s="259"/>
      <c r="EB242" s="259"/>
      <c r="EC242" s="259"/>
      <c r="ED242" s="259"/>
      <c r="EE242" s="259"/>
      <c r="EF242" s="259"/>
      <c r="EG242" s="259"/>
      <c r="EH242" s="259"/>
      <c r="EI242" s="259"/>
      <c r="EJ242" s="259"/>
      <c r="EK242" s="259"/>
      <c r="EL242" s="259"/>
      <c r="EM242" s="259"/>
      <c r="EN242" s="259"/>
      <c r="EO242" s="259"/>
      <c r="EP242" s="259"/>
      <c r="EQ242" s="259"/>
      <c r="ER242" s="259"/>
      <c r="ES242" s="259"/>
      <c r="ET242" s="259"/>
      <c r="EU242" s="259"/>
      <c r="EV242" s="259"/>
      <c r="EW242" s="259"/>
      <c r="EX242" s="259"/>
      <c r="EY242" s="259"/>
      <c r="EZ242" s="259"/>
      <c r="FA242" s="259"/>
      <c r="FB242" s="259"/>
      <c r="FC242" s="259"/>
      <c r="FD242" s="259"/>
      <c r="FE242" s="259"/>
      <c r="FF242" s="259"/>
      <c r="FG242" s="259"/>
      <c r="FH242" s="259"/>
      <c r="FI242" s="259"/>
      <c r="FJ242" s="259"/>
      <c r="FK242" s="259"/>
      <c r="FL242" s="259"/>
      <c r="FM242" s="259"/>
      <c r="FN242" s="259"/>
      <c r="FO242" s="259"/>
      <c r="FP242" s="259"/>
      <c r="FQ242" s="259"/>
      <c r="FR242" s="259"/>
      <c r="FS242" s="259"/>
      <c r="FT242" s="259"/>
      <c r="FU242" s="259"/>
      <c r="FV242" s="259"/>
      <c r="FW242" s="259"/>
      <c r="FX242" s="259"/>
      <c r="FY242" s="259"/>
      <c r="FZ242" s="259"/>
      <c r="GA242" s="259"/>
      <c r="GB242" s="259"/>
      <c r="GC242" s="259"/>
      <c r="GD242" s="259"/>
      <c r="GE242" s="259"/>
    </row>
    <row r="243" spans="2:187" s="147" customFormat="1" ht="16.5" customHeight="1">
      <c r="B243" s="251">
        <v>237</v>
      </c>
      <c r="C243" s="420" t="s">
        <v>678</v>
      </c>
      <c r="D243" s="420" t="s">
        <v>685</v>
      </c>
      <c r="E243" s="420" t="s">
        <v>502</v>
      </c>
      <c r="F243" s="420" t="s">
        <v>686</v>
      </c>
      <c r="G243" s="421">
        <v>1</v>
      </c>
      <c r="H243" s="421">
        <v>167000</v>
      </c>
      <c r="I243" s="252">
        <f t="shared" si="3"/>
        <v>31312.5</v>
      </c>
      <c r="J243" s="284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59"/>
      <c r="BK243" s="259"/>
      <c r="BL243" s="259"/>
      <c r="BM243" s="259"/>
      <c r="BN243" s="259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59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  <c r="CO243" s="259"/>
      <c r="CP243" s="259"/>
      <c r="CQ243" s="259"/>
      <c r="CR243" s="259"/>
      <c r="CS243" s="259"/>
      <c r="CT243" s="259"/>
      <c r="CU243" s="259"/>
      <c r="CV243" s="259"/>
      <c r="CW243" s="259"/>
      <c r="CX243" s="259"/>
      <c r="CY243" s="259"/>
      <c r="CZ243" s="259"/>
      <c r="DA243" s="259"/>
      <c r="DB243" s="259"/>
      <c r="DC243" s="259"/>
      <c r="DD243" s="259"/>
      <c r="DE243" s="259"/>
      <c r="DF243" s="259"/>
      <c r="DG243" s="259"/>
      <c r="DH243" s="259"/>
      <c r="DI243" s="259"/>
      <c r="DJ243" s="259"/>
      <c r="DK243" s="259"/>
      <c r="DL243" s="259"/>
      <c r="DM243" s="259"/>
      <c r="DN243" s="259"/>
      <c r="DO243" s="259"/>
      <c r="DP243" s="259"/>
      <c r="DQ243" s="259"/>
      <c r="DR243" s="259"/>
      <c r="DS243" s="259"/>
      <c r="DT243" s="259"/>
      <c r="DU243" s="259"/>
      <c r="DV243" s="259"/>
      <c r="DW243" s="259"/>
      <c r="DX243" s="259"/>
      <c r="DY243" s="259"/>
      <c r="DZ243" s="259"/>
      <c r="EA243" s="259"/>
      <c r="EB243" s="259"/>
      <c r="EC243" s="259"/>
      <c r="ED243" s="259"/>
      <c r="EE243" s="259"/>
      <c r="EF243" s="259"/>
      <c r="EG243" s="259"/>
      <c r="EH243" s="259"/>
      <c r="EI243" s="259"/>
      <c r="EJ243" s="259"/>
      <c r="EK243" s="259"/>
      <c r="EL243" s="259"/>
      <c r="EM243" s="259"/>
      <c r="EN243" s="259"/>
      <c r="EO243" s="259"/>
      <c r="EP243" s="259"/>
      <c r="EQ243" s="259"/>
      <c r="ER243" s="259"/>
      <c r="ES243" s="259"/>
      <c r="ET243" s="259"/>
      <c r="EU243" s="259"/>
      <c r="EV243" s="259"/>
      <c r="EW243" s="259"/>
      <c r="EX243" s="259"/>
      <c r="EY243" s="259"/>
      <c r="EZ243" s="259"/>
      <c r="FA243" s="259"/>
      <c r="FB243" s="259"/>
      <c r="FC243" s="259"/>
      <c r="FD243" s="259"/>
      <c r="FE243" s="259"/>
      <c r="FF243" s="259"/>
      <c r="FG243" s="259"/>
      <c r="FH243" s="259"/>
      <c r="FI243" s="259"/>
      <c r="FJ243" s="259"/>
      <c r="FK243" s="259"/>
      <c r="FL243" s="259"/>
      <c r="FM243" s="259"/>
      <c r="FN243" s="259"/>
      <c r="FO243" s="259"/>
      <c r="FP243" s="259"/>
      <c r="FQ243" s="259"/>
      <c r="FR243" s="259"/>
      <c r="FS243" s="259"/>
      <c r="FT243" s="259"/>
      <c r="FU243" s="259"/>
      <c r="FV243" s="259"/>
      <c r="FW243" s="259"/>
      <c r="FX243" s="259"/>
      <c r="FY243" s="259"/>
      <c r="FZ243" s="259"/>
      <c r="GA243" s="259"/>
      <c r="GB243" s="259"/>
      <c r="GC243" s="259"/>
      <c r="GD243" s="259"/>
      <c r="GE243" s="259"/>
    </row>
    <row r="244" spans="2:187" s="147" customFormat="1" ht="16.5" customHeight="1">
      <c r="B244" s="251">
        <v>238</v>
      </c>
      <c r="C244" s="420" t="s">
        <v>678</v>
      </c>
      <c r="D244" s="420" t="s">
        <v>682</v>
      </c>
      <c r="E244" s="420" t="s">
        <v>683</v>
      </c>
      <c r="F244" s="420" t="s">
        <v>488</v>
      </c>
      <c r="G244" s="421">
        <v>2</v>
      </c>
      <c r="H244" s="421">
        <v>200000</v>
      </c>
      <c r="I244" s="252">
        <f t="shared" si="3"/>
        <v>37500</v>
      </c>
      <c r="J244" s="284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59"/>
      <c r="BK244" s="259"/>
      <c r="BL244" s="259"/>
      <c r="BM244" s="259"/>
      <c r="BN244" s="259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59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  <c r="CO244" s="259"/>
      <c r="CP244" s="259"/>
      <c r="CQ244" s="259"/>
      <c r="CR244" s="259"/>
      <c r="CS244" s="259"/>
      <c r="CT244" s="259"/>
      <c r="CU244" s="259"/>
      <c r="CV244" s="259"/>
      <c r="CW244" s="259"/>
      <c r="CX244" s="259"/>
      <c r="CY244" s="259"/>
      <c r="CZ244" s="259"/>
      <c r="DA244" s="259"/>
      <c r="DB244" s="259"/>
      <c r="DC244" s="259"/>
      <c r="DD244" s="259"/>
      <c r="DE244" s="259"/>
      <c r="DF244" s="259"/>
      <c r="DG244" s="259"/>
      <c r="DH244" s="259"/>
      <c r="DI244" s="259"/>
      <c r="DJ244" s="259"/>
      <c r="DK244" s="259"/>
      <c r="DL244" s="259"/>
      <c r="DM244" s="259"/>
      <c r="DN244" s="259"/>
      <c r="DO244" s="259"/>
      <c r="DP244" s="259"/>
      <c r="DQ244" s="259"/>
      <c r="DR244" s="259"/>
      <c r="DS244" s="259"/>
      <c r="DT244" s="259"/>
      <c r="DU244" s="259"/>
      <c r="DV244" s="259"/>
      <c r="DW244" s="259"/>
      <c r="DX244" s="259"/>
      <c r="DY244" s="259"/>
      <c r="DZ244" s="259"/>
      <c r="EA244" s="259"/>
      <c r="EB244" s="259"/>
      <c r="EC244" s="259"/>
      <c r="ED244" s="259"/>
      <c r="EE244" s="259"/>
      <c r="EF244" s="259"/>
      <c r="EG244" s="259"/>
      <c r="EH244" s="259"/>
      <c r="EI244" s="259"/>
      <c r="EJ244" s="259"/>
      <c r="EK244" s="259"/>
      <c r="EL244" s="259"/>
      <c r="EM244" s="259"/>
      <c r="EN244" s="259"/>
      <c r="EO244" s="259"/>
      <c r="EP244" s="259"/>
      <c r="EQ244" s="259"/>
      <c r="ER244" s="259"/>
      <c r="ES244" s="259"/>
      <c r="ET244" s="259"/>
      <c r="EU244" s="259"/>
      <c r="EV244" s="259"/>
      <c r="EW244" s="259"/>
      <c r="EX244" s="259"/>
      <c r="EY244" s="259"/>
      <c r="EZ244" s="259"/>
      <c r="FA244" s="259"/>
      <c r="FB244" s="259"/>
      <c r="FC244" s="259"/>
      <c r="FD244" s="259"/>
      <c r="FE244" s="259"/>
      <c r="FF244" s="259"/>
      <c r="FG244" s="259"/>
      <c r="FH244" s="259"/>
      <c r="FI244" s="259"/>
      <c r="FJ244" s="259"/>
      <c r="FK244" s="259"/>
      <c r="FL244" s="259"/>
      <c r="FM244" s="259"/>
      <c r="FN244" s="259"/>
      <c r="FO244" s="259"/>
      <c r="FP244" s="259"/>
      <c r="FQ244" s="259"/>
      <c r="FR244" s="259"/>
      <c r="FS244" s="259"/>
      <c r="FT244" s="259"/>
      <c r="FU244" s="259"/>
      <c r="FV244" s="259"/>
      <c r="FW244" s="259"/>
      <c r="FX244" s="259"/>
      <c r="FY244" s="259"/>
      <c r="FZ244" s="259"/>
      <c r="GA244" s="259"/>
      <c r="GB244" s="259"/>
      <c r="GC244" s="259"/>
      <c r="GD244" s="259"/>
      <c r="GE244" s="259"/>
    </row>
    <row r="245" spans="2:187" s="147" customFormat="1" ht="16.5" customHeight="1">
      <c r="B245" s="251">
        <v>239</v>
      </c>
      <c r="C245" s="420" t="s">
        <v>678</v>
      </c>
      <c r="D245" s="420" t="s">
        <v>680</v>
      </c>
      <c r="E245" s="420" t="s">
        <v>522</v>
      </c>
      <c r="F245" s="420" t="s">
        <v>475</v>
      </c>
      <c r="G245" s="421">
        <v>4</v>
      </c>
      <c r="H245" s="421">
        <v>400000</v>
      </c>
      <c r="I245" s="252">
        <f t="shared" si="3"/>
        <v>75000</v>
      </c>
      <c r="J245" s="284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59"/>
      <c r="BK245" s="259"/>
      <c r="BL245" s="259"/>
      <c r="BM245" s="259"/>
      <c r="BN245" s="259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59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  <c r="CO245" s="259"/>
      <c r="CP245" s="259"/>
      <c r="CQ245" s="259"/>
      <c r="CR245" s="259"/>
      <c r="CS245" s="259"/>
      <c r="CT245" s="259"/>
      <c r="CU245" s="259"/>
      <c r="CV245" s="259"/>
      <c r="CW245" s="259"/>
      <c r="CX245" s="259"/>
      <c r="CY245" s="259"/>
      <c r="CZ245" s="259"/>
      <c r="DA245" s="259"/>
      <c r="DB245" s="259"/>
      <c r="DC245" s="259"/>
      <c r="DD245" s="259"/>
      <c r="DE245" s="259"/>
      <c r="DF245" s="259"/>
      <c r="DG245" s="259"/>
      <c r="DH245" s="259"/>
      <c r="DI245" s="259"/>
      <c r="DJ245" s="259"/>
      <c r="DK245" s="259"/>
      <c r="DL245" s="259"/>
      <c r="DM245" s="259"/>
      <c r="DN245" s="259"/>
      <c r="DO245" s="259"/>
      <c r="DP245" s="259"/>
      <c r="DQ245" s="259"/>
      <c r="DR245" s="259"/>
      <c r="DS245" s="259"/>
      <c r="DT245" s="259"/>
      <c r="DU245" s="259"/>
      <c r="DV245" s="259"/>
      <c r="DW245" s="259"/>
      <c r="DX245" s="259"/>
      <c r="DY245" s="259"/>
      <c r="DZ245" s="259"/>
      <c r="EA245" s="259"/>
      <c r="EB245" s="259"/>
      <c r="EC245" s="259"/>
      <c r="ED245" s="259"/>
      <c r="EE245" s="259"/>
      <c r="EF245" s="259"/>
      <c r="EG245" s="259"/>
      <c r="EH245" s="259"/>
      <c r="EI245" s="259"/>
      <c r="EJ245" s="259"/>
      <c r="EK245" s="259"/>
      <c r="EL245" s="259"/>
      <c r="EM245" s="259"/>
      <c r="EN245" s="259"/>
      <c r="EO245" s="259"/>
      <c r="EP245" s="259"/>
      <c r="EQ245" s="259"/>
      <c r="ER245" s="259"/>
      <c r="ES245" s="259"/>
      <c r="ET245" s="259"/>
      <c r="EU245" s="259"/>
      <c r="EV245" s="259"/>
      <c r="EW245" s="259"/>
      <c r="EX245" s="259"/>
      <c r="EY245" s="259"/>
      <c r="EZ245" s="259"/>
      <c r="FA245" s="259"/>
      <c r="FB245" s="259"/>
      <c r="FC245" s="259"/>
      <c r="FD245" s="259"/>
      <c r="FE245" s="259"/>
      <c r="FF245" s="259"/>
      <c r="FG245" s="259"/>
      <c r="FH245" s="259"/>
      <c r="FI245" s="259"/>
      <c r="FJ245" s="259"/>
      <c r="FK245" s="259"/>
      <c r="FL245" s="259"/>
      <c r="FM245" s="259"/>
      <c r="FN245" s="259"/>
      <c r="FO245" s="259"/>
      <c r="FP245" s="259"/>
      <c r="FQ245" s="259"/>
      <c r="FR245" s="259"/>
      <c r="FS245" s="259"/>
      <c r="FT245" s="259"/>
      <c r="FU245" s="259"/>
      <c r="FV245" s="259"/>
      <c r="FW245" s="259"/>
      <c r="FX245" s="259"/>
      <c r="FY245" s="259"/>
      <c r="FZ245" s="259"/>
      <c r="GA245" s="259"/>
      <c r="GB245" s="259"/>
      <c r="GC245" s="259"/>
      <c r="GD245" s="259"/>
      <c r="GE245" s="259"/>
    </row>
    <row r="246" spans="2:187" s="147" customFormat="1" ht="16.5" customHeight="1">
      <c r="B246" s="251">
        <v>240</v>
      </c>
      <c r="C246" s="420" t="s">
        <v>678</v>
      </c>
      <c r="D246" s="420" t="s">
        <v>562</v>
      </c>
      <c r="E246" s="420" t="s">
        <v>563</v>
      </c>
      <c r="F246" s="420" t="s">
        <v>481</v>
      </c>
      <c r="G246" s="421">
        <v>1</v>
      </c>
      <c r="H246" s="421">
        <v>100000</v>
      </c>
      <c r="I246" s="252">
        <f t="shared" si="3"/>
        <v>18750</v>
      </c>
      <c r="J246" s="284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59"/>
      <c r="BK246" s="259"/>
      <c r="BL246" s="259"/>
      <c r="BM246" s="259"/>
      <c r="BN246" s="259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59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  <c r="CO246" s="259"/>
      <c r="CP246" s="259"/>
      <c r="CQ246" s="259"/>
      <c r="CR246" s="259"/>
      <c r="CS246" s="259"/>
      <c r="CT246" s="259"/>
      <c r="CU246" s="259"/>
      <c r="CV246" s="259"/>
      <c r="CW246" s="259"/>
      <c r="CX246" s="259"/>
      <c r="CY246" s="259"/>
      <c r="CZ246" s="259"/>
      <c r="DA246" s="259"/>
      <c r="DB246" s="259"/>
      <c r="DC246" s="259"/>
      <c r="DD246" s="259"/>
      <c r="DE246" s="259"/>
      <c r="DF246" s="259"/>
      <c r="DG246" s="259"/>
      <c r="DH246" s="259"/>
      <c r="DI246" s="259"/>
      <c r="DJ246" s="259"/>
      <c r="DK246" s="259"/>
      <c r="DL246" s="259"/>
      <c r="DM246" s="259"/>
      <c r="DN246" s="259"/>
      <c r="DO246" s="259"/>
      <c r="DP246" s="259"/>
      <c r="DQ246" s="259"/>
      <c r="DR246" s="259"/>
      <c r="DS246" s="259"/>
      <c r="DT246" s="259"/>
      <c r="DU246" s="259"/>
      <c r="DV246" s="259"/>
      <c r="DW246" s="259"/>
      <c r="DX246" s="259"/>
      <c r="DY246" s="259"/>
      <c r="DZ246" s="259"/>
      <c r="EA246" s="259"/>
      <c r="EB246" s="259"/>
      <c r="EC246" s="259"/>
      <c r="ED246" s="259"/>
      <c r="EE246" s="259"/>
      <c r="EF246" s="259"/>
      <c r="EG246" s="259"/>
      <c r="EH246" s="259"/>
      <c r="EI246" s="259"/>
      <c r="EJ246" s="259"/>
      <c r="EK246" s="259"/>
      <c r="EL246" s="259"/>
      <c r="EM246" s="259"/>
      <c r="EN246" s="259"/>
      <c r="EO246" s="259"/>
      <c r="EP246" s="259"/>
      <c r="EQ246" s="259"/>
      <c r="ER246" s="259"/>
      <c r="ES246" s="259"/>
      <c r="ET246" s="259"/>
      <c r="EU246" s="259"/>
      <c r="EV246" s="259"/>
      <c r="EW246" s="259"/>
      <c r="EX246" s="259"/>
      <c r="EY246" s="259"/>
      <c r="EZ246" s="259"/>
      <c r="FA246" s="259"/>
      <c r="FB246" s="259"/>
      <c r="FC246" s="259"/>
      <c r="FD246" s="259"/>
      <c r="FE246" s="259"/>
      <c r="FF246" s="259"/>
      <c r="FG246" s="259"/>
      <c r="FH246" s="259"/>
      <c r="FI246" s="259"/>
      <c r="FJ246" s="259"/>
      <c r="FK246" s="259"/>
      <c r="FL246" s="259"/>
      <c r="FM246" s="259"/>
      <c r="FN246" s="259"/>
      <c r="FO246" s="259"/>
      <c r="FP246" s="259"/>
      <c r="FQ246" s="259"/>
      <c r="FR246" s="259"/>
      <c r="FS246" s="259"/>
      <c r="FT246" s="259"/>
      <c r="FU246" s="259"/>
      <c r="FV246" s="259"/>
      <c r="FW246" s="259"/>
      <c r="FX246" s="259"/>
      <c r="FY246" s="259"/>
      <c r="FZ246" s="259"/>
      <c r="GA246" s="259"/>
      <c r="GB246" s="259"/>
      <c r="GC246" s="259"/>
      <c r="GD246" s="259"/>
      <c r="GE246" s="259"/>
    </row>
    <row r="247" spans="2:187" s="147" customFormat="1" ht="16.5" customHeight="1">
      <c r="B247" s="251">
        <v>241</v>
      </c>
      <c r="C247" s="420" t="s">
        <v>678</v>
      </c>
      <c r="D247" s="420" t="s">
        <v>684</v>
      </c>
      <c r="E247" s="420" t="s">
        <v>480</v>
      </c>
      <c r="F247" s="420" t="s">
        <v>475</v>
      </c>
      <c r="G247" s="421">
        <v>10</v>
      </c>
      <c r="H247" s="421">
        <v>1000000</v>
      </c>
      <c r="I247" s="252">
        <f t="shared" si="3"/>
        <v>187500</v>
      </c>
      <c r="J247" s="284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59"/>
      <c r="BK247" s="259"/>
      <c r="BL247" s="259"/>
      <c r="BM247" s="259"/>
      <c r="BN247" s="259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59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  <c r="CO247" s="259"/>
      <c r="CP247" s="259"/>
      <c r="CQ247" s="259"/>
      <c r="CR247" s="259"/>
      <c r="CS247" s="259"/>
      <c r="CT247" s="259"/>
      <c r="CU247" s="259"/>
      <c r="CV247" s="259"/>
      <c r="CW247" s="259"/>
      <c r="CX247" s="259"/>
      <c r="CY247" s="259"/>
      <c r="CZ247" s="259"/>
      <c r="DA247" s="259"/>
      <c r="DB247" s="259"/>
      <c r="DC247" s="259"/>
      <c r="DD247" s="259"/>
      <c r="DE247" s="259"/>
      <c r="DF247" s="259"/>
      <c r="DG247" s="259"/>
      <c r="DH247" s="259"/>
      <c r="DI247" s="259"/>
      <c r="DJ247" s="259"/>
      <c r="DK247" s="259"/>
      <c r="DL247" s="259"/>
      <c r="DM247" s="259"/>
      <c r="DN247" s="259"/>
      <c r="DO247" s="259"/>
      <c r="DP247" s="259"/>
      <c r="DQ247" s="259"/>
      <c r="DR247" s="259"/>
      <c r="DS247" s="259"/>
      <c r="DT247" s="259"/>
      <c r="DU247" s="259"/>
      <c r="DV247" s="259"/>
      <c r="DW247" s="259"/>
      <c r="DX247" s="259"/>
      <c r="DY247" s="259"/>
      <c r="DZ247" s="259"/>
      <c r="EA247" s="259"/>
      <c r="EB247" s="259"/>
      <c r="EC247" s="259"/>
      <c r="ED247" s="259"/>
      <c r="EE247" s="259"/>
      <c r="EF247" s="259"/>
      <c r="EG247" s="259"/>
      <c r="EH247" s="259"/>
      <c r="EI247" s="259"/>
      <c r="EJ247" s="259"/>
      <c r="EK247" s="259"/>
      <c r="EL247" s="259"/>
      <c r="EM247" s="259"/>
      <c r="EN247" s="259"/>
      <c r="EO247" s="259"/>
      <c r="EP247" s="259"/>
      <c r="EQ247" s="259"/>
      <c r="ER247" s="259"/>
      <c r="ES247" s="259"/>
      <c r="ET247" s="259"/>
      <c r="EU247" s="259"/>
      <c r="EV247" s="259"/>
      <c r="EW247" s="259"/>
      <c r="EX247" s="259"/>
      <c r="EY247" s="259"/>
      <c r="EZ247" s="259"/>
      <c r="FA247" s="259"/>
      <c r="FB247" s="259"/>
      <c r="FC247" s="259"/>
      <c r="FD247" s="259"/>
      <c r="FE247" s="259"/>
      <c r="FF247" s="259"/>
      <c r="FG247" s="259"/>
      <c r="FH247" s="259"/>
      <c r="FI247" s="259"/>
      <c r="FJ247" s="259"/>
      <c r="FK247" s="259"/>
      <c r="FL247" s="259"/>
      <c r="FM247" s="259"/>
      <c r="FN247" s="259"/>
      <c r="FO247" s="259"/>
      <c r="FP247" s="259"/>
      <c r="FQ247" s="259"/>
      <c r="FR247" s="259"/>
      <c r="FS247" s="259"/>
      <c r="FT247" s="259"/>
      <c r="FU247" s="259"/>
      <c r="FV247" s="259"/>
      <c r="FW247" s="259"/>
      <c r="FX247" s="259"/>
      <c r="FY247" s="259"/>
      <c r="FZ247" s="259"/>
      <c r="GA247" s="259"/>
      <c r="GB247" s="259"/>
      <c r="GC247" s="259"/>
      <c r="GD247" s="259"/>
      <c r="GE247" s="259"/>
    </row>
    <row r="248" spans="2:187" s="147" customFormat="1" ht="16.5" customHeight="1">
      <c r="B248" s="251">
        <v>242</v>
      </c>
      <c r="C248" s="420" t="s">
        <v>678</v>
      </c>
      <c r="D248" s="420" t="s">
        <v>310</v>
      </c>
      <c r="E248" s="420" t="s">
        <v>687</v>
      </c>
      <c r="F248" s="420" t="s">
        <v>475</v>
      </c>
      <c r="G248" s="421">
        <v>4</v>
      </c>
      <c r="H248" s="421">
        <v>400000</v>
      </c>
      <c r="I248" s="252">
        <f t="shared" si="3"/>
        <v>75000</v>
      </c>
      <c r="J248" s="284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59"/>
      <c r="BK248" s="259"/>
      <c r="BL248" s="259"/>
      <c r="BM248" s="259"/>
      <c r="BN248" s="259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59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  <c r="CO248" s="259"/>
      <c r="CP248" s="259"/>
      <c r="CQ248" s="259"/>
      <c r="CR248" s="259"/>
      <c r="CS248" s="259"/>
      <c r="CT248" s="259"/>
      <c r="CU248" s="259"/>
      <c r="CV248" s="259"/>
      <c r="CW248" s="259"/>
      <c r="CX248" s="259"/>
      <c r="CY248" s="259"/>
      <c r="CZ248" s="259"/>
      <c r="DA248" s="259"/>
      <c r="DB248" s="259"/>
      <c r="DC248" s="259"/>
      <c r="DD248" s="259"/>
      <c r="DE248" s="259"/>
      <c r="DF248" s="259"/>
      <c r="DG248" s="259"/>
      <c r="DH248" s="259"/>
      <c r="DI248" s="259"/>
      <c r="DJ248" s="259"/>
      <c r="DK248" s="259"/>
      <c r="DL248" s="259"/>
      <c r="DM248" s="259"/>
      <c r="DN248" s="259"/>
      <c r="DO248" s="259"/>
      <c r="DP248" s="259"/>
      <c r="DQ248" s="259"/>
      <c r="DR248" s="259"/>
      <c r="DS248" s="259"/>
      <c r="DT248" s="259"/>
      <c r="DU248" s="259"/>
      <c r="DV248" s="259"/>
      <c r="DW248" s="259"/>
      <c r="DX248" s="259"/>
      <c r="DY248" s="259"/>
      <c r="DZ248" s="259"/>
      <c r="EA248" s="259"/>
      <c r="EB248" s="259"/>
      <c r="EC248" s="259"/>
      <c r="ED248" s="259"/>
      <c r="EE248" s="259"/>
      <c r="EF248" s="259"/>
      <c r="EG248" s="259"/>
      <c r="EH248" s="259"/>
      <c r="EI248" s="259"/>
      <c r="EJ248" s="259"/>
      <c r="EK248" s="259"/>
      <c r="EL248" s="259"/>
      <c r="EM248" s="259"/>
      <c r="EN248" s="259"/>
      <c r="EO248" s="259"/>
      <c r="EP248" s="259"/>
      <c r="EQ248" s="259"/>
      <c r="ER248" s="259"/>
      <c r="ES248" s="259"/>
      <c r="ET248" s="259"/>
      <c r="EU248" s="259"/>
      <c r="EV248" s="259"/>
      <c r="EW248" s="259"/>
      <c r="EX248" s="259"/>
      <c r="EY248" s="259"/>
      <c r="EZ248" s="259"/>
      <c r="FA248" s="259"/>
      <c r="FB248" s="259"/>
      <c r="FC248" s="259"/>
      <c r="FD248" s="259"/>
      <c r="FE248" s="259"/>
      <c r="FF248" s="259"/>
      <c r="FG248" s="259"/>
      <c r="FH248" s="259"/>
      <c r="FI248" s="259"/>
      <c r="FJ248" s="259"/>
      <c r="FK248" s="259"/>
      <c r="FL248" s="259"/>
      <c r="FM248" s="259"/>
      <c r="FN248" s="259"/>
      <c r="FO248" s="259"/>
      <c r="FP248" s="259"/>
      <c r="FQ248" s="259"/>
      <c r="FR248" s="259"/>
      <c r="FS248" s="259"/>
      <c r="FT248" s="259"/>
      <c r="FU248" s="259"/>
      <c r="FV248" s="259"/>
      <c r="FW248" s="259"/>
      <c r="FX248" s="259"/>
      <c r="FY248" s="259"/>
      <c r="FZ248" s="259"/>
      <c r="GA248" s="259"/>
      <c r="GB248" s="259"/>
      <c r="GC248" s="259"/>
      <c r="GD248" s="259"/>
      <c r="GE248" s="259"/>
    </row>
    <row r="249" spans="2:187" s="147" customFormat="1" ht="16.5" customHeight="1">
      <c r="B249" s="251">
        <v>243</v>
      </c>
      <c r="C249" s="420" t="s">
        <v>678</v>
      </c>
      <c r="D249" s="420" t="s">
        <v>640</v>
      </c>
      <c r="E249" s="420" t="s">
        <v>563</v>
      </c>
      <c r="F249" s="420" t="s">
        <v>481</v>
      </c>
      <c r="G249" s="421">
        <v>1</v>
      </c>
      <c r="H249" s="421">
        <v>100000</v>
      </c>
      <c r="I249" s="252">
        <f t="shared" si="3"/>
        <v>18750</v>
      </c>
      <c r="J249" s="284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59"/>
      <c r="BK249" s="259"/>
      <c r="BL249" s="259"/>
      <c r="BM249" s="259"/>
      <c r="BN249" s="259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59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  <c r="CO249" s="259"/>
      <c r="CP249" s="259"/>
      <c r="CQ249" s="259"/>
      <c r="CR249" s="259"/>
      <c r="CS249" s="259"/>
      <c r="CT249" s="259"/>
      <c r="CU249" s="259"/>
      <c r="CV249" s="259"/>
      <c r="CW249" s="259"/>
      <c r="CX249" s="259"/>
      <c r="CY249" s="259"/>
      <c r="CZ249" s="259"/>
      <c r="DA249" s="259"/>
      <c r="DB249" s="259"/>
      <c r="DC249" s="259"/>
      <c r="DD249" s="259"/>
      <c r="DE249" s="259"/>
      <c r="DF249" s="259"/>
      <c r="DG249" s="259"/>
      <c r="DH249" s="259"/>
      <c r="DI249" s="259"/>
      <c r="DJ249" s="259"/>
      <c r="DK249" s="259"/>
      <c r="DL249" s="259"/>
      <c r="DM249" s="259"/>
      <c r="DN249" s="259"/>
      <c r="DO249" s="259"/>
      <c r="DP249" s="259"/>
      <c r="DQ249" s="259"/>
      <c r="DR249" s="259"/>
      <c r="DS249" s="259"/>
      <c r="DT249" s="259"/>
      <c r="DU249" s="259"/>
      <c r="DV249" s="259"/>
      <c r="DW249" s="259"/>
      <c r="DX249" s="259"/>
      <c r="DY249" s="259"/>
      <c r="DZ249" s="259"/>
      <c r="EA249" s="259"/>
      <c r="EB249" s="259"/>
      <c r="EC249" s="259"/>
      <c r="ED249" s="259"/>
      <c r="EE249" s="259"/>
      <c r="EF249" s="259"/>
      <c r="EG249" s="259"/>
      <c r="EH249" s="259"/>
      <c r="EI249" s="259"/>
      <c r="EJ249" s="259"/>
      <c r="EK249" s="259"/>
      <c r="EL249" s="259"/>
      <c r="EM249" s="259"/>
      <c r="EN249" s="259"/>
      <c r="EO249" s="259"/>
      <c r="EP249" s="259"/>
      <c r="EQ249" s="259"/>
      <c r="ER249" s="259"/>
      <c r="ES249" s="259"/>
      <c r="ET249" s="259"/>
      <c r="EU249" s="259"/>
      <c r="EV249" s="259"/>
      <c r="EW249" s="259"/>
      <c r="EX249" s="259"/>
      <c r="EY249" s="259"/>
      <c r="EZ249" s="259"/>
      <c r="FA249" s="259"/>
      <c r="FB249" s="259"/>
      <c r="FC249" s="259"/>
      <c r="FD249" s="259"/>
      <c r="FE249" s="259"/>
      <c r="FF249" s="259"/>
      <c r="FG249" s="259"/>
      <c r="FH249" s="259"/>
      <c r="FI249" s="259"/>
      <c r="FJ249" s="259"/>
      <c r="FK249" s="259"/>
      <c r="FL249" s="259"/>
      <c r="FM249" s="259"/>
      <c r="FN249" s="259"/>
      <c r="FO249" s="259"/>
      <c r="FP249" s="259"/>
      <c r="FQ249" s="259"/>
      <c r="FR249" s="259"/>
      <c r="FS249" s="259"/>
      <c r="FT249" s="259"/>
      <c r="FU249" s="259"/>
      <c r="FV249" s="259"/>
      <c r="FW249" s="259"/>
      <c r="FX249" s="259"/>
      <c r="FY249" s="259"/>
      <c r="FZ249" s="259"/>
      <c r="GA249" s="259"/>
      <c r="GB249" s="259"/>
      <c r="GC249" s="259"/>
      <c r="GD249" s="259"/>
      <c r="GE249" s="259"/>
    </row>
    <row r="250" spans="2:187" s="147" customFormat="1" ht="16.5" customHeight="1">
      <c r="B250" s="251">
        <v>244</v>
      </c>
      <c r="C250" s="420" t="s">
        <v>678</v>
      </c>
      <c r="D250" s="420" t="s">
        <v>688</v>
      </c>
      <c r="E250" s="420" t="s">
        <v>542</v>
      </c>
      <c r="F250" s="420" t="s">
        <v>475</v>
      </c>
      <c r="G250" s="421">
        <v>3</v>
      </c>
      <c r="H250" s="421">
        <v>300000</v>
      </c>
      <c r="I250" s="252">
        <f t="shared" si="3"/>
        <v>56250</v>
      </c>
      <c r="J250" s="284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59"/>
      <c r="BK250" s="259"/>
      <c r="BL250" s="259"/>
      <c r="BM250" s="259"/>
      <c r="BN250" s="259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59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  <c r="CO250" s="259"/>
      <c r="CP250" s="259"/>
      <c r="CQ250" s="259"/>
      <c r="CR250" s="259"/>
      <c r="CS250" s="259"/>
      <c r="CT250" s="259"/>
      <c r="CU250" s="259"/>
      <c r="CV250" s="259"/>
      <c r="CW250" s="259"/>
      <c r="CX250" s="259"/>
      <c r="CY250" s="259"/>
      <c r="CZ250" s="259"/>
      <c r="DA250" s="259"/>
      <c r="DB250" s="259"/>
      <c r="DC250" s="259"/>
      <c r="DD250" s="259"/>
      <c r="DE250" s="259"/>
      <c r="DF250" s="259"/>
      <c r="DG250" s="259"/>
      <c r="DH250" s="259"/>
      <c r="DI250" s="259"/>
      <c r="DJ250" s="259"/>
      <c r="DK250" s="259"/>
      <c r="DL250" s="259"/>
      <c r="DM250" s="259"/>
      <c r="DN250" s="259"/>
      <c r="DO250" s="259"/>
      <c r="DP250" s="259"/>
      <c r="DQ250" s="259"/>
      <c r="DR250" s="259"/>
      <c r="DS250" s="259"/>
      <c r="DT250" s="259"/>
      <c r="DU250" s="259"/>
      <c r="DV250" s="259"/>
      <c r="DW250" s="259"/>
      <c r="DX250" s="259"/>
      <c r="DY250" s="259"/>
      <c r="DZ250" s="259"/>
      <c r="EA250" s="259"/>
      <c r="EB250" s="259"/>
      <c r="EC250" s="259"/>
      <c r="ED250" s="259"/>
      <c r="EE250" s="259"/>
      <c r="EF250" s="259"/>
      <c r="EG250" s="259"/>
      <c r="EH250" s="259"/>
      <c r="EI250" s="259"/>
      <c r="EJ250" s="259"/>
      <c r="EK250" s="259"/>
      <c r="EL250" s="259"/>
      <c r="EM250" s="259"/>
      <c r="EN250" s="259"/>
      <c r="EO250" s="259"/>
      <c r="EP250" s="259"/>
      <c r="EQ250" s="259"/>
      <c r="ER250" s="259"/>
      <c r="ES250" s="259"/>
      <c r="ET250" s="259"/>
      <c r="EU250" s="259"/>
      <c r="EV250" s="259"/>
      <c r="EW250" s="259"/>
      <c r="EX250" s="259"/>
      <c r="EY250" s="259"/>
      <c r="EZ250" s="259"/>
      <c r="FA250" s="259"/>
      <c r="FB250" s="259"/>
      <c r="FC250" s="259"/>
      <c r="FD250" s="259"/>
      <c r="FE250" s="259"/>
      <c r="FF250" s="259"/>
      <c r="FG250" s="259"/>
      <c r="FH250" s="259"/>
      <c r="FI250" s="259"/>
      <c r="FJ250" s="259"/>
      <c r="FK250" s="259"/>
      <c r="FL250" s="259"/>
      <c r="FM250" s="259"/>
      <c r="FN250" s="259"/>
      <c r="FO250" s="259"/>
      <c r="FP250" s="259"/>
      <c r="FQ250" s="259"/>
      <c r="FR250" s="259"/>
      <c r="FS250" s="259"/>
      <c r="FT250" s="259"/>
      <c r="FU250" s="259"/>
      <c r="FV250" s="259"/>
      <c r="FW250" s="259"/>
      <c r="FX250" s="259"/>
      <c r="FY250" s="259"/>
      <c r="FZ250" s="259"/>
      <c r="GA250" s="259"/>
      <c r="GB250" s="259"/>
      <c r="GC250" s="259"/>
      <c r="GD250" s="259"/>
      <c r="GE250" s="259"/>
    </row>
    <row r="251" spans="2:187" s="147" customFormat="1" ht="16.5" customHeight="1">
      <c r="B251" s="251">
        <v>245</v>
      </c>
      <c r="C251" s="420" t="s">
        <v>678</v>
      </c>
      <c r="D251" s="420" t="s">
        <v>310</v>
      </c>
      <c r="E251" s="420" t="s">
        <v>687</v>
      </c>
      <c r="F251" s="420" t="s">
        <v>488</v>
      </c>
      <c r="G251" s="421">
        <v>4</v>
      </c>
      <c r="H251" s="421">
        <v>400000</v>
      </c>
      <c r="I251" s="252">
        <f t="shared" si="3"/>
        <v>75000</v>
      </c>
      <c r="J251" s="284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59"/>
      <c r="BK251" s="259"/>
      <c r="BL251" s="259"/>
      <c r="BM251" s="259"/>
      <c r="BN251" s="259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59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  <c r="CO251" s="259"/>
      <c r="CP251" s="259"/>
      <c r="CQ251" s="259"/>
      <c r="CR251" s="259"/>
      <c r="CS251" s="259"/>
      <c r="CT251" s="259"/>
      <c r="CU251" s="259"/>
      <c r="CV251" s="259"/>
      <c r="CW251" s="259"/>
      <c r="CX251" s="259"/>
      <c r="CY251" s="259"/>
      <c r="CZ251" s="259"/>
      <c r="DA251" s="259"/>
      <c r="DB251" s="259"/>
      <c r="DC251" s="259"/>
      <c r="DD251" s="259"/>
      <c r="DE251" s="259"/>
      <c r="DF251" s="259"/>
      <c r="DG251" s="259"/>
      <c r="DH251" s="259"/>
      <c r="DI251" s="259"/>
      <c r="DJ251" s="259"/>
      <c r="DK251" s="259"/>
      <c r="DL251" s="259"/>
      <c r="DM251" s="259"/>
      <c r="DN251" s="259"/>
      <c r="DO251" s="259"/>
      <c r="DP251" s="259"/>
      <c r="DQ251" s="259"/>
      <c r="DR251" s="259"/>
      <c r="DS251" s="259"/>
      <c r="DT251" s="259"/>
      <c r="DU251" s="259"/>
      <c r="DV251" s="259"/>
      <c r="DW251" s="259"/>
      <c r="DX251" s="259"/>
      <c r="DY251" s="259"/>
      <c r="DZ251" s="259"/>
      <c r="EA251" s="259"/>
      <c r="EB251" s="259"/>
      <c r="EC251" s="259"/>
      <c r="ED251" s="259"/>
      <c r="EE251" s="259"/>
      <c r="EF251" s="259"/>
      <c r="EG251" s="259"/>
      <c r="EH251" s="259"/>
      <c r="EI251" s="259"/>
      <c r="EJ251" s="259"/>
      <c r="EK251" s="259"/>
      <c r="EL251" s="259"/>
      <c r="EM251" s="259"/>
      <c r="EN251" s="259"/>
      <c r="EO251" s="259"/>
      <c r="EP251" s="259"/>
      <c r="EQ251" s="259"/>
      <c r="ER251" s="259"/>
      <c r="ES251" s="259"/>
      <c r="ET251" s="259"/>
      <c r="EU251" s="259"/>
      <c r="EV251" s="259"/>
      <c r="EW251" s="259"/>
      <c r="EX251" s="259"/>
      <c r="EY251" s="259"/>
      <c r="EZ251" s="259"/>
      <c r="FA251" s="259"/>
      <c r="FB251" s="259"/>
      <c r="FC251" s="259"/>
      <c r="FD251" s="259"/>
      <c r="FE251" s="259"/>
      <c r="FF251" s="259"/>
      <c r="FG251" s="259"/>
      <c r="FH251" s="259"/>
      <c r="FI251" s="259"/>
      <c r="FJ251" s="259"/>
      <c r="FK251" s="259"/>
      <c r="FL251" s="259"/>
      <c r="FM251" s="259"/>
      <c r="FN251" s="259"/>
      <c r="FO251" s="259"/>
      <c r="FP251" s="259"/>
      <c r="FQ251" s="259"/>
      <c r="FR251" s="259"/>
      <c r="FS251" s="259"/>
      <c r="FT251" s="259"/>
      <c r="FU251" s="259"/>
      <c r="FV251" s="259"/>
      <c r="FW251" s="259"/>
      <c r="FX251" s="259"/>
      <c r="FY251" s="259"/>
      <c r="FZ251" s="259"/>
      <c r="GA251" s="259"/>
      <c r="GB251" s="259"/>
      <c r="GC251" s="259"/>
      <c r="GD251" s="259"/>
      <c r="GE251" s="259"/>
    </row>
    <row r="252" spans="2:187" s="147" customFormat="1" ht="16.5" customHeight="1">
      <c r="B252" s="251">
        <v>246</v>
      </c>
      <c r="C252" s="420" t="s">
        <v>678</v>
      </c>
      <c r="D252" s="420" t="s">
        <v>680</v>
      </c>
      <c r="E252" s="420" t="s">
        <v>522</v>
      </c>
      <c r="F252" s="420" t="s">
        <v>625</v>
      </c>
      <c r="G252" s="421">
        <v>1</v>
      </c>
      <c r="H252" s="421">
        <v>300000</v>
      </c>
      <c r="I252" s="252">
        <f t="shared" si="3"/>
        <v>56250</v>
      </c>
      <c r="J252" s="284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59"/>
      <c r="BK252" s="259"/>
      <c r="BL252" s="259"/>
      <c r="BM252" s="259"/>
      <c r="BN252" s="259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59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  <c r="CO252" s="259"/>
      <c r="CP252" s="259"/>
      <c r="CQ252" s="259"/>
      <c r="CR252" s="259"/>
      <c r="CS252" s="259"/>
      <c r="CT252" s="259"/>
      <c r="CU252" s="259"/>
      <c r="CV252" s="259"/>
      <c r="CW252" s="259"/>
      <c r="CX252" s="259"/>
      <c r="CY252" s="259"/>
      <c r="CZ252" s="259"/>
      <c r="DA252" s="259"/>
      <c r="DB252" s="259"/>
      <c r="DC252" s="259"/>
      <c r="DD252" s="259"/>
      <c r="DE252" s="259"/>
      <c r="DF252" s="259"/>
      <c r="DG252" s="259"/>
      <c r="DH252" s="259"/>
      <c r="DI252" s="259"/>
      <c r="DJ252" s="259"/>
      <c r="DK252" s="259"/>
      <c r="DL252" s="259"/>
      <c r="DM252" s="259"/>
      <c r="DN252" s="259"/>
      <c r="DO252" s="259"/>
      <c r="DP252" s="259"/>
      <c r="DQ252" s="259"/>
      <c r="DR252" s="259"/>
      <c r="DS252" s="259"/>
      <c r="DT252" s="259"/>
      <c r="DU252" s="259"/>
      <c r="DV252" s="259"/>
      <c r="DW252" s="259"/>
      <c r="DX252" s="259"/>
      <c r="DY252" s="259"/>
      <c r="DZ252" s="259"/>
      <c r="EA252" s="259"/>
      <c r="EB252" s="259"/>
      <c r="EC252" s="259"/>
      <c r="ED252" s="259"/>
      <c r="EE252" s="259"/>
      <c r="EF252" s="259"/>
      <c r="EG252" s="259"/>
      <c r="EH252" s="259"/>
      <c r="EI252" s="259"/>
      <c r="EJ252" s="259"/>
      <c r="EK252" s="259"/>
      <c r="EL252" s="259"/>
      <c r="EM252" s="259"/>
      <c r="EN252" s="259"/>
      <c r="EO252" s="259"/>
      <c r="EP252" s="259"/>
      <c r="EQ252" s="259"/>
      <c r="ER252" s="259"/>
      <c r="ES252" s="259"/>
      <c r="ET252" s="259"/>
      <c r="EU252" s="259"/>
      <c r="EV252" s="259"/>
      <c r="EW252" s="259"/>
      <c r="EX252" s="259"/>
      <c r="EY252" s="259"/>
      <c r="EZ252" s="259"/>
      <c r="FA252" s="259"/>
      <c r="FB252" s="259"/>
      <c r="FC252" s="259"/>
      <c r="FD252" s="259"/>
      <c r="FE252" s="259"/>
      <c r="FF252" s="259"/>
      <c r="FG252" s="259"/>
      <c r="FH252" s="259"/>
      <c r="FI252" s="259"/>
      <c r="FJ252" s="259"/>
      <c r="FK252" s="259"/>
      <c r="FL252" s="259"/>
      <c r="FM252" s="259"/>
      <c r="FN252" s="259"/>
      <c r="FO252" s="259"/>
      <c r="FP252" s="259"/>
      <c r="FQ252" s="259"/>
      <c r="FR252" s="259"/>
      <c r="FS252" s="259"/>
      <c r="FT252" s="259"/>
      <c r="FU252" s="259"/>
      <c r="FV252" s="259"/>
      <c r="FW252" s="259"/>
      <c r="FX252" s="259"/>
      <c r="FY252" s="259"/>
      <c r="FZ252" s="259"/>
      <c r="GA252" s="259"/>
      <c r="GB252" s="259"/>
      <c r="GC252" s="259"/>
      <c r="GD252" s="259"/>
      <c r="GE252" s="259"/>
    </row>
    <row r="253" spans="2:187" s="147" customFormat="1" ht="16.5" customHeight="1">
      <c r="B253" s="251">
        <v>247</v>
      </c>
      <c r="C253" s="420" t="s">
        <v>689</v>
      </c>
      <c r="D253" s="420" t="s">
        <v>627</v>
      </c>
      <c r="E253" s="420" t="s">
        <v>599</v>
      </c>
      <c r="F253" s="420" t="s">
        <v>481</v>
      </c>
      <c r="G253" s="421">
        <v>1</v>
      </c>
      <c r="H253" s="421">
        <v>40300</v>
      </c>
      <c r="I253" s="252">
        <f t="shared" si="3"/>
        <v>7556.25</v>
      </c>
      <c r="J253" s="284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59"/>
      <c r="BK253" s="259"/>
      <c r="BL253" s="259"/>
      <c r="BM253" s="259"/>
      <c r="BN253" s="259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59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  <c r="CO253" s="259"/>
      <c r="CP253" s="259"/>
      <c r="CQ253" s="259"/>
      <c r="CR253" s="259"/>
      <c r="CS253" s="259"/>
      <c r="CT253" s="259"/>
      <c r="CU253" s="259"/>
      <c r="CV253" s="259"/>
      <c r="CW253" s="259"/>
      <c r="CX253" s="259"/>
      <c r="CY253" s="259"/>
      <c r="CZ253" s="259"/>
      <c r="DA253" s="259"/>
      <c r="DB253" s="259"/>
      <c r="DC253" s="259"/>
      <c r="DD253" s="259"/>
      <c r="DE253" s="259"/>
      <c r="DF253" s="259"/>
      <c r="DG253" s="259"/>
      <c r="DH253" s="259"/>
      <c r="DI253" s="259"/>
      <c r="DJ253" s="259"/>
      <c r="DK253" s="259"/>
      <c r="DL253" s="259"/>
      <c r="DM253" s="259"/>
      <c r="DN253" s="259"/>
      <c r="DO253" s="259"/>
      <c r="DP253" s="259"/>
      <c r="DQ253" s="259"/>
      <c r="DR253" s="259"/>
      <c r="DS253" s="259"/>
      <c r="DT253" s="259"/>
      <c r="DU253" s="259"/>
      <c r="DV253" s="259"/>
      <c r="DW253" s="259"/>
      <c r="DX253" s="259"/>
      <c r="DY253" s="259"/>
      <c r="DZ253" s="259"/>
      <c r="EA253" s="259"/>
      <c r="EB253" s="259"/>
      <c r="EC253" s="259"/>
      <c r="ED253" s="259"/>
      <c r="EE253" s="259"/>
      <c r="EF253" s="259"/>
      <c r="EG253" s="259"/>
      <c r="EH253" s="259"/>
      <c r="EI253" s="259"/>
      <c r="EJ253" s="259"/>
      <c r="EK253" s="259"/>
      <c r="EL253" s="259"/>
      <c r="EM253" s="259"/>
      <c r="EN253" s="259"/>
      <c r="EO253" s="259"/>
      <c r="EP253" s="259"/>
      <c r="EQ253" s="259"/>
      <c r="ER253" s="259"/>
      <c r="ES253" s="259"/>
      <c r="ET253" s="259"/>
      <c r="EU253" s="259"/>
      <c r="EV253" s="259"/>
      <c r="EW253" s="259"/>
      <c r="EX253" s="259"/>
      <c r="EY253" s="259"/>
      <c r="EZ253" s="259"/>
      <c r="FA253" s="259"/>
      <c r="FB253" s="259"/>
      <c r="FC253" s="259"/>
      <c r="FD253" s="259"/>
      <c r="FE253" s="259"/>
      <c r="FF253" s="259"/>
      <c r="FG253" s="259"/>
      <c r="FH253" s="259"/>
      <c r="FI253" s="259"/>
      <c r="FJ253" s="259"/>
      <c r="FK253" s="259"/>
      <c r="FL253" s="259"/>
      <c r="FM253" s="259"/>
      <c r="FN253" s="259"/>
      <c r="FO253" s="259"/>
      <c r="FP253" s="259"/>
      <c r="FQ253" s="259"/>
      <c r="FR253" s="259"/>
      <c r="FS253" s="259"/>
      <c r="FT253" s="259"/>
      <c r="FU253" s="259"/>
      <c r="FV253" s="259"/>
      <c r="FW253" s="259"/>
      <c r="FX253" s="259"/>
      <c r="FY253" s="259"/>
      <c r="FZ253" s="259"/>
      <c r="GA253" s="259"/>
      <c r="GB253" s="259"/>
      <c r="GC253" s="259"/>
      <c r="GD253" s="259"/>
      <c r="GE253" s="259"/>
    </row>
    <row r="254" spans="2:187" s="147" customFormat="1" ht="16.5" customHeight="1">
      <c r="B254" s="251">
        <v>248</v>
      </c>
      <c r="C254" s="420" t="s">
        <v>689</v>
      </c>
      <c r="D254" s="420" t="s">
        <v>690</v>
      </c>
      <c r="E254" s="420" t="s">
        <v>499</v>
      </c>
      <c r="F254" s="420" t="s">
        <v>475</v>
      </c>
      <c r="G254" s="421">
        <v>3</v>
      </c>
      <c r="H254" s="421">
        <v>300000</v>
      </c>
      <c r="I254" s="252">
        <f t="shared" si="3"/>
        <v>56250</v>
      </c>
      <c r="J254" s="284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  <c r="CO254" s="259"/>
      <c r="CP254" s="259"/>
      <c r="CQ254" s="259"/>
      <c r="CR254" s="259"/>
      <c r="CS254" s="259"/>
      <c r="CT254" s="259"/>
      <c r="CU254" s="259"/>
      <c r="CV254" s="259"/>
      <c r="CW254" s="259"/>
      <c r="CX254" s="259"/>
      <c r="CY254" s="259"/>
      <c r="CZ254" s="259"/>
      <c r="DA254" s="259"/>
      <c r="DB254" s="259"/>
      <c r="DC254" s="259"/>
      <c r="DD254" s="259"/>
      <c r="DE254" s="259"/>
      <c r="DF254" s="259"/>
      <c r="DG254" s="259"/>
      <c r="DH254" s="259"/>
      <c r="DI254" s="259"/>
      <c r="DJ254" s="259"/>
      <c r="DK254" s="259"/>
      <c r="DL254" s="259"/>
      <c r="DM254" s="259"/>
      <c r="DN254" s="259"/>
      <c r="DO254" s="259"/>
      <c r="DP254" s="259"/>
      <c r="DQ254" s="259"/>
      <c r="DR254" s="259"/>
      <c r="DS254" s="259"/>
      <c r="DT254" s="259"/>
      <c r="DU254" s="259"/>
      <c r="DV254" s="259"/>
      <c r="DW254" s="259"/>
      <c r="DX254" s="259"/>
      <c r="DY254" s="259"/>
      <c r="DZ254" s="259"/>
      <c r="EA254" s="259"/>
      <c r="EB254" s="259"/>
      <c r="EC254" s="259"/>
      <c r="ED254" s="259"/>
      <c r="EE254" s="259"/>
      <c r="EF254" s="259"/>
      <c r="EG254" s="259"/>
      <c r="EH254" s="259"/>
      <c r="EI254" s="259"/>
      <c r="EJ254" s="259"/>
      <c r="EK254" s="259"/>
      <c r="EL254" s="259"/>
      <c r="EM254" s="259"/>
      <c r="EN254" s="259"/>
      <c r="EO254" s="259"/>
      <c r="EP254" s="259"/>
      <c r="EQ254" s="259"/>
      <c r="ER254" s="259"/>
      <c r="ES254" s="259"/>
      <c r="ET254" s="259"/>
      <c r="EU254" s="259"/>
      <c r="EV254" s="259"/>
      <c r="EW254" s="259"/>
      <c r="EX254" s="259"/>
      <c r="EY254" s="259"/>
      <c r="EZ254" s="259"/>
      <c r="FA254" s="259"/>
      <c r="FB254" s="259"/>
      <c r="FC254" s="259"/>
      <c r="FD254" s="259"/>
      <c r="FE254" s="259"/>
      <c r="FF254" s="259"/>
      <c r="FG254" s="259"/>
      <c r="FH254" s="259"/>
      <c r="FI254" s="259"/>
      <c r="FJ254" s="259"/>
      <c r="FK254" s="259"/>
      <c r="FL254" s="259"/>
      <c r="FM254" s="259"/>
      <c r="FN254" s="259"/>
      <c r="FO254" s="259"/>
      <c r="FP254" s="259"/>
      <c r="FQ254" s="259"/>
      <c r="FR254" s="259"/>
      <c r="FS254" s="259"/>
      <c r="FT254" s="259"/>
      <c r="FU254" s="259"/>
      <c r="FV254" s="259"/>
      <c r="FW254" s="259"/>
      <c r="FX254" s="259"/>
      <c r="FY254" s="259"/>
      <c r="FZ254" s="259"/>
      <c r="GA254" s="259"/>
      <c r="GB254" s="259"/>
      <c r="GC254" s="259"/>
      <c r="GD254" s="259"/>
      <c r="GE254" s="259"/>
    </row>
    <row r="255" spans="2:187" s="147" customFormat="1" ht="16.5" customHeight="1">
      <c r="B255" s="251">
        <v>249</v>
      </c>
      <c r="C255" s="420" t="s">
        <v>689</v>
      </c>
      <c r="D255" s="420" t="s">
        <v>605</v>
      </c>
      <c r="E255" s="420" t="s">
        <v>494</v>
      </c>
      <c r="F255" s="420" t="s">
        <v>481</v>
      </c>
      <c r="G255" s="421">
        <v>1</v>
      </c>
      <c r="H255" s="421">
        <v>100000</v>
      </c>
      <c r="I255" s="252">
        <f t="shared" si="3"/>
        <v>18750</v>
      </c>
      <c r="J255" s="284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  <c r="CO255" s="259"/>
      <c r="CP255" s="259"/>
      <c r="CQ255" s="259"/>
      <c r="CR255" s="259"/>
      <c r="CS255" s="259"/>
      <c r="CT255" s="259"/>
      <c r="CU255" s="259"/>
      <c r="CV255" s="259"/>
      <c r="CW255" s="259"/>
      <c r="CX255" s="259"/>
      <c r="CY255" s="259"/>
      <c r="CZ255" s="259"/>
      <c r="DA255" s="259"/>
      <c r="DB255" s="259"/>
      <c r="DC255" s="259"/>
      <c r="DD255" s="259"/>
      <c r="DE255" s="259"/>
      <c r="DF255" s="259"/>
      <c r="DG255" s="259"/>
      <c r="DH255" s="259"/>
      <c r="DI255" s="259"/>
      <c r="DJ255" s="259"/>
      <c r="DK255" s="259"/>
      <c r="DL255" s="259"/>
      <c r="DM255" s="259"/>
      <c r="DN255" s="259"/>
      <c r="DO255" s="259"/>
      <c r="DP255" s="259"/>
      <c r="DQ255" s="259"/>
      <c r="DR255" s="259"/>
      <c r="DS255" s="259"/>
      <c r="DT255" s="259"/>
      <c r="DU255" s="259"/>
      <c r="DV255" s="259"/>
      <c r="DW255" s="259"/>
      <c r="DX255" s="259"/>
      <c r="DY255" s="259"/>
      <c r="DZ255" s="259"/>
      <c r="EA255" s="259"/>
      <c r="EB255" s="259"/>
      <c r="EC255" s="259"/>
      <c r="ED255" s="259"/>
      <c r="EE255" s="259"/>
      <c r="EF255" s="259"/>
      <c r="EG255" s="259"/>
      <c r="EH255" s="259"/>
      <c r="EI255" s="259"/>
      <c r="EJ255" s="259"/>
      <c r="EK255" s="259"/>
      <c r="EL255" s="259"/>
      <c r="EM255" s="259"/>
      <c r="EN255" s="259"/>
      <c r="EO255" s="259"/>
      <c r="EP255" s="259"/>
      <c r="EQ255" s="259"/>
      <c r="ER255" s="259"/>
      <c r="ES255" s="259"/>
      <c r="ET255" s="259"/>
      <c r="EU255" s="259"/>
      <c r="EV255" s="259"/>
      <c r="EW255" s="259"/>
      <c r="EX255" s="259"/>
      <c r="EY255" s="259"/>
      <c r="EZ255" s="259"/>
      <c r="FA255" s="259"/>
      <c r="FB255" s="259"/>
      <c r="FC255" s="259"/>
      <c r="FD255" s="259"/>
      <c r="FE255" s="259"/>
      <c r="FF255" s="259"/>
      <c r="FG255" s="259"/>
      <c r="FH255" s="259"/>
      <c r="FI255" s="259"/>
      <c r="FJ255" s="259"/>
      <c r="FK255" s="259"/>
      <c r="FL255" s="259"/>
      <c r="FM255" s="259"/>
      <c r="FN255" s="259"/>
      <c r="FO255" s="259"/>
      <c r="FP255" s="259"/>
      <c r="FQ255" s="259"/>
      <c r="FR255" s="259"/>
      <c r="FS255" s="259"/>
      <c r="FT255" s="259"/>
      <c r="FU255" s="259"/>
      <c r="FV255" s="259"/>
      <c r="FW255" s="259"/>
      <c r="FX255" s="259"/>
      <c r="FY255" s="259"/>
      <c r="FZ255" s="259"/>
      <c r="GA255" s="259"/>
      <c r="GB255" s="259"/>
      <c r="GC255" s="259"/>
      <c r="GD255" s="259"/>
      <c r="GE255" s="259"/>
    </row>
    <row r="256" spans="2:187" s="147" customFormat="1" ht="16.5" customHeight="1">
      <c r="B256" s="251">
        <v>250</v>
      </c>
      <c r="C256" s="420" t="s">
        <v>689</v>
      </c>
      <c r="D256" s="420" t="s">
        <v>691</v>
      </c>
      <c r="E256" s="420" t="s">
        <v>525</v>
      </c>
      <c r="F256" s="420" t="s">
        <v>475</v>
      </c>
      <c r="G256" s="421">
        <v>1</v>
      </c>
      <c r="H256" s="421">
        <v>100000</v>
      </c>
      <c r="I256" s="252">
        <f t="shared" si="3"/>
        <v>18750</v>
      </c>
      <c r="J256" s="284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  <c r="CO256" s="259"/>
      <c r="CP256" s="259"/>
      <c r="CQ256" s="259"/>
      <c r="CR256" s="259"/>
      <c r="CS256" s="259"/>
      <c r="CT256" s="259"/>
      <c r="CU256" s="259"/>
      <c r="CV256" s="259"/>
      <c r="CW256" s="259"/>
      <c r="CX256" s="259"/>
      <c r="CY256" s="259"/>
      <c r="CZ256" s="259"/>
      <c r="DA256" s="259"/>
      <c r="DB256" s="259"/>
      <c r="DC256" s="259"/>
      <c r="DD256" s="259"/>
      <c r="DE256" s="259"/>
      <c r="DF256" s="259"/>
      <c r="DG256" s="259"/>
      <c r="DH256" s="259"/>
      <c r="DI256" s="259"/>
      <c r="DJ256" s="259"/>
      <c r="DK256" s="259"/>
      <c r="DL256" s="259"/>
      <c r="DM256" s="259"/>
      <c r="DN256" s="259"/>
      <c r="DO256" s="259"/>
      <c r="DP256" s="259"/>
      <c r="DQ256" s="259"/>
      <c r="DR256" s="259"/>
      <c r="DS256" s="259"/>
      <c r="DT256" s="259"/>
      <c r="DU256" s="259"/>
      <c r="DV256" s="259"/>
      <c r="DW256" s="259"/>
      <c r="DX256" s="259"/>
      <c r="DY256" s="259"/>
      <c r="DZ256" s="259"/>
      <c r="EA256" s="259"/>
      <c r="EB256" s="259"/>
      <c r="EC256" s="259"/>
      <c r="ED256" s="259"/>
      <c r="EE256" s="259"/>
      <c r="EF256" s="259"/>
      <c r="EG256" s="259"/>
      <c r="EH256" s="259"/>
      <c r="EI256" s="259"/>
      <c r="EJ256" s="259"/>
      <c r="EK256" s="259"/>
      <c r="EL256" s="259"/>
      <c r="EM256" s="259"/>
      <c r="EN256" s="259"/>
      <c r="EO256" s="259"/>
      <c r="EP256" s="259"/>
      <c r="EQ256" s="259"/>
      <c r="ER256" s="259"/>
      <c r="ES256" s="259"/>
      <c r="ET256" s="259"/>
      <c r="EU256" s="259"/>
      <c r="EV256" s="259"/>
      <c r="EW256" s="259"/>
      <c r="EX256" s="259"/>
      <c r="EY256" s="259"/>
      <c r="EZ256" s="259"/>
      <c r="FA256" s="259"/>
      <c r="FB256" s="259"/>
      <c r="FC256" s="259"/>
      <c r="FD256" s="259"/>
      <c r="FE256" s="259"/>
      <c r="FF256" s="259"/>
      <c r="FG256" s="259"/>
      <c r="FH256" s="259"/>
      <c r="FI256" s="259"/>
      <c r="FJ256" s="259"/>
      <c r="FK256" s="259"/>
      <c r="FL256" s="259"/>
      <c r="FM256" s="259"/>
      <c r="FN256" s="259"/>
      <c r="FO256" s="259"/>
      <c r="FP256" s="259"/>
      <c r="FQ256" s="259"/>
      <c r="FR256" s="259"/>
      <c r="FS256" s="259"/>
      <c r="FT256" s="259"/>
      <c r="FU256" s="259"/>
      <c r="FV256" s="259"/>
      <c r="FW256" s="259"/>
      <c r="FX256" s="259"/>
      <c r="FY256" s="259"/>
      <c r="FZ256" s="259"/>
      <c r="GA256" s="259"/>
      <c r="GB256" s="259"/>
      <c r="GC256" s="259"/>
      <c r="GD256" s="259"/>
      <c r="GE256" s="259"/>
    </row>
    <row r="257" spans="2:187" s="147" customFormat="1" ht="16.5" customHeight="1">
      <c r="B257" s="251">
        <v>251</v>
      </c>
      <c r="C257" s="420" t="s">
        <v>689</v>
      </c>
      <c r="D257" s="420" t="s">
        <v>691</v>
      </c>
      <c r="E257" s="420" t="s">
        <v>525</v>
      </c>
      <c r="F257" s="420" t="s">
        <v>488</v>
      </c>
      <c r="G257" s="421">
        <v>1</v>
      </c>
      <c r="H257" s="421">
        <v>100000</v>
      </c>
      <c r="I257" s="252">
        <f t="shared" si="3"/>
        <v>18750</v>
      </c>
      <c r="J257" s="284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  <c r="CO257" s="259"/>
      <c r="CP257" s="259"/>
      <c r="CQ257" s="259"/>
      <c r="CR257" s="259"/>
      <c r="CS257" s="259"/>
      <c r="CT257" s="259"/>
      <c r="CU257" s="259"/>
      <c r="CV257" s="259"/>
      <c r="CW257" s="259"/>
      <c r="CX257" s="259"/>
      <c r="CY257" s="259"/>
      <c r="CZ257" s="259"/>
      <c r="DA257" s="259"/>
      <c r="DB257" s="259"/>
      <c r="DC257" s="259"/>
      <c r="DD257" s="259"/>
      <c r="DE257" s="259"/>
      <c r="DF257" s="259"/>
      <c r="DG257" s="259"/>
      <c r="DH257" s="259"/>
      <c r="DI257" s="259"/>
      <c r="DJ257" s="259"/>
      <c r="DK257" s="259"/>
      <c r="DL257" s="259"/>
      <c r="DM257" s="259"/>
      <c r="DN257" s="259"/>
      <c r="DO257" s="259"/>
      <c r="DP257" s="259"/>
      <c r="DQ257" s="259"/>
      <c r="DR257" s="259"/>
      <c r="DS257" s="259"/>
      <c r="DT257" s="259"/>
      <c r="DU257" s="259"/>
      <c r="DV257" s="259"/>
      <c r="DW257" s="259"/>
      <c r="DX257" s="259"/>
      <c r="DY257" s="259"/>
      <c r="DZ257" s="259"/>
      <c r="EA257" s="259"/>
      <c r="EB257" s="259"/>
      <c r="EC257" s="259"/>
      <c r="ED257" s="259"/>
      <c r="EE257" s="259"/>
      <c r="EF257" s="259"/>
      <c r="EG257" s="259"/>
      <c r="EH257" s="259"/>
      <c r="EI257" s="259"/>
      <c r="EJ257" s="259"/>
      <c r="EK257" s="259"/>
      <c r="EL257" s="259"/>
      <c r="EM257" s="259"/>
      <c r="EN257" s="259"/>
      <c r="EO257" s="259"/>
      <c r="EP257" s="259"/>
      <c r="EQ257" s="259"/>
      <c r="ER257" s="259"/>
      <c r="ES257" s="259"/>
      <c r="ET257" s="259"/>
      <c r="EU257" s="259"/>
      <c r="EV257" s="259"/>
      <c r="EW257" s="259"/>
      <c r="EX257" s="259"/>
      <c r="EY257" s="259"/>
      <c r="EZ257" s="259"/>
      <c r="FA257" s="259"/>
      <c r="FB257" s="259"/>
      <c r="FC257" s="259"/>
      <c r="FD257" s="259"/>
      <c r="FE257" s="259"/>
      <c r="FF257" s="259"/>
      <c r="FG257" s="259"/>
      <c r="FH257" s="259"/>
      <c r="FI257" s="259"/>
      <c r="FJ257" s="259"/>
      <c r="FK257" s="259"/>
      <c r="FL257" s="259"/>
      <c r="FM257" s="259"/>
      <c r="FN257" s="259"/>
      <c r="FO257" s="259"/>
      <c r="FP257" s="259"/>
      <c r="FQ257" s="259"/>
      <c r="FR257" s="259"/>
      <c r="FS257" s="259"/>
      <c r="FT257" s="259"/>
      <c r="FU257" s="259"/>
      <c r="FV257" s="259"/>
      <c r="FW257" s="259"/>
      <c r="FX257" s="259"/>
      <c r="FY257" s="259"/>
      <c r="FZ257" s="259"/>
      <c r="GA257" s="259"/>
      <c r="GB257" s="259"/>
      <c r="GC257" s="259"/>
      <c r="GD257" s="259"/>
      <c r="GE257" s="259"/>
    </row>
    <row r="258" spans="2:187" s="147" customFormat="1" ht="16.5" customHeight="1">
      <c r="B258" s="251">
        <v>252</v>
      </c>
      <c r="C258" s="420" t="s">
        <v>689</v>
      </c>
      <c r="D258" s="420" t="s">
        <v>690</v>
      </c>
      <c r="E258" s="420" t="s">
        <v>499</v>
      </c>
      <c r="F258" s="420" t="s">
        <v>488</v>
      </c>
      <c r="G258" s="421">
        <v>3</v>
      </c>
      <c r="H258" s="421">
        <v>300000</v>
      </c>
      <c r="I258" s="252">
        <f t="shared" si="3"/>
        <v>56250</v>
      </c>
      <c r="J258" s="284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  <c r="CO258" s="259"/>
      <c r="CP258" s="259"/>
      <c r="CQ258" s="259"/>
      <c r="CR258" s="259"/>
      <c r="CS258" s="259"/>
      <c r="CT258" s="259"/>
      <c r="CU258" s="259"/>
      <c r="CV258" s="259"/>
      <c r="CW258" s="259"/>
      <c r="CX258" s="259"/>
      <c r="CY258" s="259"/>
      <c r="CZ258" s="259"/>
      <c r="DA258" s="259"/>
      <c r="DB258" s="259"/>
      <c r="DC258" s="259"/>
      <c r="DD258" s="259"/>
      <c r="DE258" s="259"/>
      <c r="DF258" s="259"/>
      <c r="DG258" s="259"/>
      <c r="DH258" s="259"/>
      <c r="DI258" s="259"/>
      <c r="DJ258" s="259"/>
      <c r="DK258" s="259"/>
      <c r="DL258" s="259"/>
      <c r="DM258" s="259"/>
      <c r="DN258" s="259"/>
      <c r="DO258" s="259"/>
      <c r="DP258" s="259"/>
      <c r="DQ258" s="259"/>
      <c r="DR258" s="259"/>
      <c r="DS258" s="259"/>
      <c r="DT258" s="259"/>
      <c r="DU258" s="259"/>
      <c r="DV258" s="259"/>
      <c r="DW258" s="259"/>
      <c r="DX258" s="259"/>
      <c r="DY258" s="259"/>
      <c r="DZ258" s="259"/>
      <c r="EA258" s="259"/>
      <c r="EB258" s="259"/>
      <c r="EC258" s="259"/>
      <c r="ED258" s="259"/>
      <c r="EE258" s="259"/>
      <c r="EF258" s="259"/>
      <c r="EG258" s="259"/>
      <c r="EH258" s="259"/>
      <c r="EI258" s="259"/>
      <c r="EJ258" s="259"/>
      <c r="EK258" s="259"/>
      <c r="EL258" s="259"/>
      <c r="EM258" s="259"/>
      <c r="EN258" s="259"/>
      <c r="EO258" s="259"/>
      <c r="EP258" s="259"/>
      <c r="EQ258" s="259"/>
      <c r="ER258" s="259"/>
      <c r="ES258" s="259"/>
      <c r="ET258" s="259"/>
      <c r="EU258" s="259"/>
      <c r="EV258" s="259"/>
      <c r="EW258" s="259"/>
      <c r="EX258" s="259"/>
      <c r="EY258" s="259"/>
      <c r="EZ258" s="259"/>
      <c r="FA258" s="259"/>
      <c r="FB258" s="259"/>
      <c r="FC258" s="259"/>
      <c r="FD258" s="259"/>
      <c r="FE258" s="259"/>
      <c r="FF258" s="259"/>
      <c r="FG258" s="259"/>
      <c r="FH258" s="259"/>
      <c r="FI258" s="259"/>
      <c r="FJ258" s="259"/>
      <c r="FK258" s="259"/>
      <c r="FL258" s="259"/>
      <c r="FM258" s="259"/>
      <c r="FN258" s="259"/>
      <c r="FO258" s="259"/>
      <c r="FP258" s="259"/>
      <c r="FQ258" s="259"/>
      <c r="FR258" s="259"/>
      <c r="FS258" s="259"/>
      <c r="FT258" s="259"/>
      <c r="FU258" s="259"/>
      <c r="FV258" s="259"/>
      <c r="FW258" s="259"/>
      <c r="FX258" s="259"/>
      <c r="FY258" s="259"/>
      <c r="FZ258" s="259"/>
      <c r="GA258" s="259"/>
      <c r="GB258" s="259"/>
      <c r="GC258" s="259"/>
      <c r="GD258" s="259"/>
      <c r="GE258" s="259"/>
    </row>
    <row r="259" spans="2:187" s="147" customFormat="1" ht="16.5" customHeight="1">
      <c r="B259" s="251">
        <v>253</v>
      </c>
      <c r="C259" s="420" t="s">
        <v>689</v>
      </c>
      <c r="D259" s="420" t="s">
        <v>651</v>
      </c>
      <c r="E259" s="420" t="s">
        <v>645</v>
      </c>
      <c r="F259" s="420" t="s">
        <v>481</v>
      </c>
      <c r="G259" s="421">
        <v>1</v>
      </c>
      <c r="H259" s="421">
        <v>100000</v>
      </c>
      <c r="I259" s="252">
        <f t="shared" si="3"/>
        <v>18750</v>
      </c>
      <c r="J259" s="284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  <c r="CO259" s="259"/>
      <c r="CP259" s="259"/>
      <c r="CQ259" s="259"/>
      <c r="CR259" s="259"/>
      <c r="CS259" s="259"/>
      <c r="CT259" s="259"/>
      <c r="CU259" s="259"/>
      <c r="CV259" s="259"/>
      <c r="CW259" s="259"/>
      <c r="CX259" s="259"/>
      <c r="CY259" s="259"/>
      <c r="CZ259" s="259"/>
      <c r="DA259" s="259"/>
      <c r="DB259" s="259"/>
      <c r="DC259" s="259"/>
      <c r="DD259" s="259"/>
      <c r="DE259" s="259"/>
      <c r="DF259" s="259"/>
      <c r="DG259" s="259"/>
      <c r="DH259" s="259"/>
      <c r="DI259" s="259"/>
      <c r="DJ259" s="259"/>
      <c r="DK259" s="259"/>
      <c r="DL259" s="259"/>
      <c r="DM259" s="259"/>
      <c r="DN259" s="259"/>
      <c r="DO259" s="259"/>
      <c r="DP259" s="259"/>
      <c r="DQ259" s="259"/>
      <c r="DR259" s="259"/>
      <c r="DS259" s="259"/>
      <c r="DT259" s="259"/>
      <c r="DU259" s="259"/>
      <c r="DV259" s="259"/>
      <c r="DW259" s="259"/>
      <c r="DX259" s="259"/>
      <c r="DY259" s="259"/>
      <c r="DZ259" s="259"/>
      <c r="EA259" s="259"/>
      <c r="EB259" s="259"/>
      <c r="EC259" s="259"/>
      <c r="ED259" s="259"/>
      <c r="EE259" s="259"/>
      <c r="EF259" s="259"/>
      <c r="EG259" s="259"/>
      <c r="EH259" s="259"/>
      <c r="EI259" s="259"/>
      <c r="EJ259" s="259"/>
      <c r="EK259" s="259"/>
      <c r="EL259" s="259"/>
      <c r="EM259" s="259"/>
      <c r="EN259" s="259"/>
      <c r="EO259" s="259"/>
      <c r="EP259" s="259"/>
      <c r="EQ259" s="259"/>
      <c r="ER259" s="259"/>
      <c r="ES259" s="259"/>
      <c r="ET259" s="259"/>
      <c r="EU259" s="259"/>
      <c r="EV259" s="259"/>
      <c r="EW259" s="259"/>
      <c r="EX259" s="259"/>
      <c r="EY259" s="259"/>
      <c r="EZ259" s="259"/>
      <c r="FA259" s="259"/>
      <c r="FB259" s="259"/>
      <c r="FC259" s="259"/>
      <c r="FD259" s="259"/>
      <c r="FE259" s="259"/>
      <c r="FF259" s="259"/>
      <c r="FG259" s="259"/>
      <c r="FH259" s="259"/>
      <c r="FI259" s="259"/>
      <c r="FJ259" s="259"/>
      <c r="FK259" s="259"/>
      <c r="FL259" s="259"/>
      <c r="FM259" s="259"/>
      <c r="FN259" s="259"/>
      <c r="FO259" s="259"/>
      <c r="FP259" s="259"/>
      <c r="FQ259" s="259"/>
      <c r="FR259" s="259"/>
      <c r="FS259" s="259"/>
      <c r="FT259" s="259"/>
      <c r="FU259" s="259"/>
      <c r="FV259" s="259"/>
      <c r="FW259" s="259"/>
      <c r="FX259" s="259"/>
      <c r="FY259" s="259"/>
      <c r="FZ259" s="259"/>
      <c r="GA259" s="259"/>
      <c r="GB259" s="259"/>
      <c r="GC259" s="259"/>
      <c r="GD259" s="259"/>
      <c r="GE259" s="259"/>
    </row>
    <row r="260" spans="2:187" s="147" customFormat="1" ht="16.5" customHeight="1">
      <c r="B260" s="251">
        <v>254</v>
      </c>
      <c r="C260" s="420" t="s">
        <v>689</v>
      </c>
      <c r="D260" s="420" t="s">
        <v>690</v>
      </c>
      <c r="E260" s="420" t="s">
        <v>499</v>
      </c>
      <c r="F260" s="420" t="s">
        <v>495</v>
      </c>
      <c r="G260" s="421">
        <v>1</v>
      </c>
      <c r="H260" s="421">
        <v>200000</v>
      </c>
      <c r="I260" s="252">
        <f t="shared" si="3"/>
        <v>37500</v>
      </c>
      <c r="J260" s="284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  <c r="CO260" s="259"/>
      <c r="CP260" s="259"/>
      <c r="CQ260" s="259"/>
      <c r="CR260" s="259"/>
      <c r="CS260" s="259"/>
      <c r="CT260" s="259"/>
      <c r="CU260" s="259"/>
      <c r="CV260" s="259"/>
      <c r="CW260" s="259"/>
      <c r="CX260" s="259"/>
      <c r="CY260" s="259"/>
      <c r="CZ260" s="259"/>
      <c r="DA260" s="259"/>
      <c r="DB260" s="259"/>
      <c r="DC260" s="259"/>
      <c r="DD260" s="259"/>
      <c r="DE260" s="259"/>
      <c r="DF260" s="259"/>
      <c r="DG260" s="259"/>
      <c r="DH260" s="259"/>
      <c r="DI260" s="259"/>
      <c r="DJ260" s="259"/>
      <c r="DK260" s="259"/>
      <c r="DL260" s="259"/>
      <c r="DM260" s="259"/>
      <c r="DN260" s="259"/>
      <c r="DO260" s="259"/>
      <c r="DP260" s="259"/>
      <c r="DQ260" s="259"/>
      <c r="DR260" s="259"/>
      <c r="DS260" s="259"/>
      <c r="DT260" s="259"/>
      <c r="DU260" s="259"/>
      <c r="DV260" s="259"/>
      <c r="DW260" s="259"/>
      <c r="DX260" s="259"/>
      <c r="DY260" s="259"/>
      <c r="DZ260" s="259"/>
      <c r="EA260" s="259"/>
      <c r="EB260" s="259"/>
      <c r="EC260" s="259"/>
      <c r="ED260" s="259"/>
      <c r="EE260" s="259"/>
      <c r="EF260" s="259"/>
      <c r="EG260" s="259"/>
      <c r="EH260" s="259"/>
      <c r="EI260" s="259"/>
      <c r="EJ260" s="259"/>
      <c r="EK260" s="259"/>
      <c r="EL260" s="259"/>
      <c r="EM260" s="259"/>
      <c r="EN260" s="259"/>
      <c r="EO260" s="259"/>
      <c r="EP260" s="259"/>
      <c r="EQ260" s="259"/>
      <c r="ER260" s="259"/>
      <c r="ES260" s="259"/>
      <c r="ET260" s="259"/>
      <c r="EU260" s="259"/>
      <c r="EV260" s="259"/>
      <c r="EW260" s="259"/>
      <c r="EX260" s="259"/>
      <c r="EY260" s="259"/>
      <c r="EZ260" s="259"/>
      <c r="FA260" s="259"/>
      <c r="FB260" s="259"/>
      <c r="FC260" s="259"/>
      <c r="FD260" s="259"/>
      <c r="FE260" s="259"/>
      <c r="FF260" s="259"/>
      <c r="FG260" s="259"/>
      <c r="FH260" s="259"/>
      <c r="FI260" s="259"/>
      <c r="FJ260" s="259"/>
      <c r="FK260" s="259"/>
      <c r="FL260" s="259"/>
      <c r="FM260" s="259"/>
      <c r="FN260" s="259"/>
      <c r="FO260" s="259"/>
      <c r="FP260" s="259"/>
      <c r="FQ260" s="259"/>
      <c r="FR260" s="259"/>
      <c r="FS260" s="259"/>
      <c r="FT260" s="259"/>
      <c r="FU260" s="259"/>
      <c r="FV260" s="259"/>
      <c r="FW260" s="259"/>
      <c r="FX260" s="259"/>
      <c r="FY260" s="259"/>
      <c r="FZ260" s="259"/>
      <c r="GA260" s="259"/>
      <c r="GB260" s="259"/>
      <c r="GC260" s="259"/>
      <c r="GD260" s="259"/>
      <c r="GE260" s="259"/>
    </row>
    <row r="261" spans="2:187" s="147" customFormat="1" ht="16.5" customHeight="1">
      <c r="B261" s="251">
        <v>255</v>
      </c>
      <c r="C261" s="420" t="s">
        <v>689</v>
      </c>
      <c r="D261" s="420" t="s">
        <v>692</v>
      </c>
      <c r="E261" s="420" t="s">
        <v>539</v>
      </c>
      <c r="F261" s="420" t="s">
        <v>540</v>
      </c>
      <c r="G261" s="421">
        <v>1</v>
      </c>
      <c r="H261" s="421">
        <v>600000</v>
      </c>
      <c r="I261" s="252">
        <f t="shared" si="3"/>
        <v>112500</v>
      </c>
      <c r="J261" s="284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  <c r="CO261" s="259"/>
      <c r="CP261" s="259"/>
      <c r="CQ261" s="259"/>
      <c r="CR261" s="259"/>
      <c r="CS261" s="259"/>
      <c r="CT261" s="259"/>
      <c r="CU261" s="259"/>
      <c r="CV261" s="259"/>
      <c r="CW261" s="259"/>
      <c r="CX261" s="259"/>
      <c r="CY261" s="259"/>
      <c r="CZ261" s="259"/>
      <c r="DA261" s="259"/>
      <c r="DB261" s="259"/>
      <c r="DC261" s="259"/>
      <c r="DD261" s="259"/>
      <c r="DE261" s="259"/>
      <c r="DF261" s="259"/>
      <c r="DG261" s="259"/>
      <c r="DH261" s="259"/>
      <c r="DI261" s="259"/>
      <c r="DJ261" s="259"/>
      <c r="DK261" s="259"/>
      <c r="DL261" s="259"/>
      <c r="DM261" s="259"/>
      <c r="DN261" s="259"/>
      <c r="DO261" s="259"/>
      <c r="DP261" s="259"/>
      <c r="DQ261" s="259"/>
      <c r="DR261" s="259"/>
      <c r="DS261" s="259"/>
      <c r="DT261" s="259"/>
      <c r="DU261" s="259"/>
      <c r="DV261" s="259"/>
      <c r="DW261" s="259"/>
      <c r="DX261" s="259"/>
      <c r="DY261" s="259"/>
      <c r="DZ261" s="259"/>
      <c r="EA261" s="259"/>
      <c r="EB261" s="259"/>
      <c r="EC261" s="259"/>
      <c r="ED261" s="259"/>
      <c r="EE261" s="259"/>
      <c r="EF261" s="259"/>
      <c r="EG261" s="259"/>
      <c r="EH261" s="259"/>
      <c r="EI261" s="259"/>
      <c r="EJ261" s="259"/>
      <c r="EK261" s="259"/>
      <c r="EL261" s="259"/>
      <c r="EM261" s="259"/>
      <c r="EN261" s="259"/>
      <c r="EO261" s="259"/>
      <c r="EP261" s="259"/>
      <c r="EQ261" s="259"/>
      <c r="ER261" s="259"/>
      <c r="ES261" s="259"/>
      <c r="ET261" s="259"/>
      <c r="EU261" s="259"/>
      <c r="EV261" s="259"/>
      <c r="EW261" s="259"/>
      <c r="EX261" s="259"/>
      <c r="EY261" s="259"/>
      <c r="EZ261" s="259"/>
      <c r="FA261" s="259"/>
      <c r="FB261" s="259"/>
      <c r="FC261" s="259"/>
      <c r="FD261" s="259"/>
      <c r="FE261" s="259"/>
      <c r="FF261" s="259"/>
      <c r="FG261" s="259"/>
      <c r="FH261" s="259"/>
      <c r="FI261" s="259"/>
      <c r="FJ261" s="259"/>
      <c r="FK261" s="259"/>
      <c r="FL261" s="259"/>
      <c r="FM261" s="259"/>
      <c r="FN261" s="259"/>
      <c r="FO261" s="259"/>
      <c r="FP261" s="259"/>
      <c r="FQ261" s="259"/>
      <c r="FR261" s="259"/>
      <c r="FS261" s="259"/>
      <c r="FT261" s="259"/>
      <c r="FU261" s="259"/>
      <c r="FV261" s="259"/>
      <c r="FW261" s="259"/>
      <c r="FX261" s="259"/>
      <c r="FY261" s="259"/>
      <c r="FZ261" s="259"/>
      <c r="GA261" s="259"/>
      <c r="GB261" s="259"/>
      <c r="GC261" s="259"/>
      <c r="GD261" s="259"/>
      <c r="GE261" s="259"/>
    </row>
    <row r="262" spans="2:187" s="147" customFormat="1" ht="16.5" customHeight="1">
      <c r="B262" s="251">
        <v>256</v>
      </c>
      <c r="C262" s="420" t="s">
        <v>689</v>
      </c>
      <c r="D262" s="420" t="s">
        <v>693</v>
      </c>
      <c r="E262" s="420" t="s">
        <v>504</v>
      </c>
      <c r="F262" s="420" t="s">
        <v>653</v>
      </c>
      <c r="G262" s="421">
        <v>1</v>
      </c>
      <c r="H262" s="421">
        <v>257000</v>
      </c>
      <c r="I262" s="252">
        <f t="shared" si="3"/>
        <v>48187.5</v>
      </c>
      <c r="J262" s="284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  <c r="CO262" s="259"/>
      <c r="CP262" s="259"/>
      <c r="CQ262" s="259"/>
      <c r="CR262" s="259"/>
      <c r="CS262" s="259"/>
      <c r="CT262" s="259"/>
      <c r="CU262" s="259"/>
      <c r="CV262" s="259"/>
      <c r="CW262" s="259"/>
      <c r="CX262" s="259"/>
      <c r="CY262" s="259"/>
      <c r="CZ262" s="259"/>
      <c r="DA262" s="259"/>
      <c r="DB262" s="259"/>
      <c r="DC262" s="259"/>
      <c r="DD262" s="259"/>
      <c r="DE262" s="259"/>
      <c r="DF262" s="259"/>
      <c r="DG262" s="259"/>
      <c r="DH262" s="259"/>
      <c r="DI262" s="259"/>
      <c r="DJ262" s="259"/>
      <c r="DK262" s="259"/>
      <c r="DL262" s="259"/>
      <c r="DM262" s="259"/>
      <c r="DN262" s="259"/>
      <c r="DO262" s="259"/>
      <c r="DP262" s="259"/>
      <c r="DQ262" s="259"/>
      <c r="DR262" s="259"/>
      <c r="DS262" s="259"/>
      <c r="DT262" s="259"/>
      <c r="DU262" s="259"/>
      <c r="DV262" s="259"/>
      <c r="DW262" s="259"/>
      <c r="DX262" s="259"/>
      <c r="DY262" s="259"/>
      <c r="DZ262" s="259"/>
      <c r="EA262" s="259"/>
      <c r="EB262" s="259"/>
      <c r="EC262" s="259"/>
      <c r="ED262" s="259"/>
      <c r="EE262" s="259"/>
      <c r="EF262" s="259"/>
      <c r="EG262" s="259"/>
      <c r="EH262" s="259"/>
      <c r="EI262" s="259"/>
      <c r="EJ262" s="259"/>
      <c r="EK262" s="259"/>
      <c r="EL262" s="259"/>
      <c r="EM262" s="259"/>
      <c r="EN262" s="259"/>
      <c r="EO262" s="259"/>
      <c r="EP262" s="259"/>
      <c r="EQ262" s="259"/>
      <c r="ER262" s="259"/>
      <c r="ES262" s="259"/>
      <c r="ET262" s="259"/>
      <c r="EU262" s="259"/>
      <c r="EV262" s="259"/>
      <c r="EW262" s="259"/>
      <c r="EX262" s="259"/>
      <c r="EY262" s="259"/>
      <c r="EZ262" s="259"/>
      <c r="FA262" s="259"/>
      <c r="FB262" s="259"/>
      <c r="FC262" s="259"/>
      <c r="FD262" s="259"/>
      <c r="FE262" s="259"/>
      <c r="FF262" s="259"/>
      <c r="FG262" s="259"/>
      <c r="FH262" s="259"/>
      <c r="FI262" s="259"/>
      <c r="FJ262" s="259"/>
      <c r="FK262" s="259"/>
      <c r="FL262" s="259"/>
      <c r="FM262" s="259"/>
      <c r="FN262" s="259"/>
      <c r="FO262" s="259"/>
      <c r="FP262" s="259"/>
      <c r="FQ262" s="259"/>
      <c r="FR262" s="259"/>
      <c r="FS262" s="259"/>
      <c r="FT262" s="259"/>
      <c r="FU262" s="259"/>
      <c r="FV262" s="259"/>
      <c r="FW262" s="259"/>
      <c r="FX262" s="259"/>
      <c r="FY262" s="259"/>
      <c r="FZ262" s="259"/>
      <c r="GA262" s="259"/>
      <c r="GB262" s="259"/>
      <c r="GC262" s="259"/>
      <c r="GD262" s="259"/>
      <c r="GE262" s="259"/>
    </row>
    <row r="263" spans="2:187" s="147" customFormat="1" ht="16.5" customHeight="1">
      <c r="B263" s="251">
        <v>257</v>
      </c>
      <c r="C263" s="420" t="s">
        <v>694</v>
      </c>
      <c r="D263" s="420" t="s">
        <v>695</v>
      </c>
      <c r="E263" s="420" t="s">
        <v>485</v>
      </c>
      <c r="F263" s="420" t="s">
        <v>475</v>
      </c>
      <c r="G263" s="421">
        <v>1</v>
      </c>
      <c r="H263" s="421">
        <v>100000</v>
      </c>
      <c r="I263" s="252">
        <f t="shared" si="3"/>
        <v>18750</v>
      </c>
      <c r="J263" s="284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  <c r="CO263" s="259"/>
      <c r="CP263" s="259"/>
      <c r="CQ263" s="259"/>
      <c r="CR263" s="259"/>
      <c r="CS263" s="259"/>
      <c r="CT263" s="259"/>
      <c r="CU263" s="259"/>
      <c r="CV263" s="259"/>
      <c r="CW263" s="259"/>
      <c r="CX263" s="259"/>
      <c r="CY263" s="259"/>
      <c r="CZ263" s="259"/>
      <c r="DA263" s="259"/>
      <c r="DB263" s="259"/>
      <c r="DC263" s="259"/>
      <c r="DD263" s="259"/>
      <c r="DE263" s="259"/>
      <c r="DF263" s="259"/>
      <c r="DG263" s="259"/>
      <c r="DH263" s="259"/>
      <c r="DI263" s="259"/>
      <c r="DJ263" s="259"/>
      <c r="DK263" s="259"/>
      <c r="DL263" s="259"/>
      <c r="DM263" s="259"/>
      <c r="DN263" s="259"/>
      <c r="DO263" s="259"/>
      <c r="DP263" s="259"/>
      <c r="DQ263" s="259"/>
      <c r="DR263" s="259"/>
      <c r="DS263" s="259"/>
      <c r="DT263" s="259"/>
      <c r="DU263" s="259"/>
      <c r="DV263" s="259"/>
      <c r="DW263" s="259"/>
      <c r="DX263" s="259"/>
      <c r="DY263" s="259"/>
      <c r="DZ263" s="259"/>
      <c r="EA263" s="259"/>
      <c r="EB263" s="259"/>
      <c r="EC263" s="259"/>
      <c r="ED263" s="259"/>
      <c r="EE263" s="259"/>
      <c r="EF263" s="259"/>
      <c r="EG263" s="259"/>
      <c r="EH263" s="259"/>
      <c r="EI263" s="259"/>
      <c r="EJ263" s="259"/>
      <c r="EK263" s="259"/>
      <c r="EL263" s="259"/>
      <c r="EM263" s="259"/>
      <c r="EN263" s="259"/>
      <c r="EO263" s="259"/>
      <c r="EP263" s="259"/>
      <c r="EQ263" s="259"/>
      <c r="ER263" s="259"/>
      <c r="ES263" s="259"/>
      <c r="ET263" s="259"/>
      <c r="EU263" s="259"/>
      <c r="EV263" s="259"/>
      <c r="EW263" s="259"/>
      <c r="EX263" s="259"/>
      <c r="EY263" s="259"/>
      <c r="EZ263" s="259"/>
      <c r="FA263" s="259"/>
      <c r="FB263" s="259"/>
      <c r="FC263" s="259"/>
      <c r="FD263" s="259"/>
      <c r="FE263" s="259"/>
      <c r="FF263" s="259"/>
      <c r="FG263" s="259"/>
      <c r="FH263" s="259"/>
      <c r="FI263" s="259"/>
      <c r="FJ263" s="259"/>
      <c r="FK263" s="259"/>
      <c r="FL263" s="259"/>
      <c r="FM263" s="259"/>
      <c r="FN263" s="259"/>
      <c r="FO263" s="259"/>
      <c r="FP263" s="259"/>
      <c r="FQ263" s="259"/>
      <c r="FR263" s="259"/>
      <c r="FS263" s="259"/>
      <c r="FT263" s="259"/>
      <c r="FU263" s="259"/>
      <c r="FV263" s="259"/>
      <c r="FW263" s="259"/>
      <c r="FX263" s="259"/>
      <c r="FY263" s="259"/>
      <c r="FZ263" s="259"/>
      <c r="GA263" s="259"/>
      <c r="GB263" s="259"/>
      <c r="GC263" s="259"/>
      <c r="GD263" s="259"/>
      <c r="GE263" s="259"/>
    </row>
    <row r="264" spans="2:187" s="147" customFormat="1" ht="16.5" customHeight="1">
      <c r="B264" s="251">
        <v>258</v>
      </c>
      <c r="C264" s="420" t="s">
        <v>694</v>
      </c>
      <c r="D264" s="420" t="s">
        <v>696</v>
      </c>
      <c r="E264" s="420" t="s">
        <v>145</v>
      </c>
      <c r="F264" s="420" t="s">
        <v>475</v>
      </c>
      <c r="G264" s="421">
        <v>2</v>
      </c>
      <c r="H264" s="421">
        <v>200000</v>
      </c>
      <c r="I264" s="252">
        <f t="shared" ref="I264:I327" si="4">H264*25%*75%</f>
        <v>37500</v>
      </c>
      <c r="J264" s="284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  <c r="CO264" s="259"/>
      <c r="CP264" s="259"/>
      <c r="CQ264" s="259"/>
      <c r="CR264" s="259"/>
      <c r="CS264" s="259"/>
      <c r="CT264" s="259"/>
      <c r="CU264" s="259"/>
      <c r="CV264" s="259"/>
      <c r="CW264" s="259"/>
      <c r="CX264" s="259"/>
      <c r="CY264" s="259"/>
      <c r="CZ264" s="259"/>
      <c r="DA264" s="259"/>
      <c r="DB264" s="259"/>
      <c r="DC264" s="259"/>
      <c r="DD264" s="259"/>
      <c r="DE264" s="259"/>
      <c r="DF264" s="259"/>
      <c r="DG264" s="259"/>
      <c r="DH264" s="259"/>
      <c r="DI264" s="259"/>
      <c r="DJ264" s="259"/>
      <c r="DK264" s="259"/>
      <c r="DL264" s="259"/>
      <c r="DM264" s="259"/>
      <c r="DN264" s="259"/>
      <c r="DO264" s="259"/>
      <c r="DP264" s="259"/>
      <c r="DQ264" s="259"/>
      <c r="DR264" s="259"/>
      <c r="DS264" s="259"/>
      <c r="DT264" s="259"/>
      <c r="DU264" s="259"/>
      <c r="DV264" s="259"/>
      <c r="DW264" s="259"/>
      <c r="DX264" s="259"/>
      <c r="DY264" s="259"/>
      <c r="DZ264" s="259"/>
      <c r="EA264" s="259"/>
      <c r="EB264" s="259"/>
      <c r="EC264" s="259"/>
      <c r="ED264" s="259"/>
      <c r="EE264" s="259"/>
      <c r="EF264" s="259"/>
      <c r="EG264" s="259"/>
      <c r="EH264" s="259"/>
      <c r="EI264" s="259"/>
      <c r="EJ264" s="259"/>
      <c r="EK264" s="259"/>
      <c r="EL264" s="259"/>
      <c r="EM264" s="259"/>
      <c r="EN264" s="259"/>
      <c r="EO264" s="259"/>
      <c r="EP264" s="259"/>
      <c r="EQ264" s="259"/>
      <c r="ER264" s="259"/>
      <c r="ES264" s="259"/>
      <c r="ET264" s="259"/>
      <c r="EU264" s="259"/>
      <c r="EV264" s="259"/>
      <c r="EW264" s="259"/>
      <c r="EX264" s="259"/>
      <c r="EY264" s="259"/>
      <c r="EZ264" s="259"/>
      <c r="FA264" s="259"/>
      <c r="FB264" s="259"/>
      <c r="FC264" s="259"/>
      <c r="FD264" s="259"/>
      <c r="FE264" s="259"/>
      <c r="FF264" s="259"/>
      <c r="FG264" s="259"/>
      <c r="FH264" s="259"/>
      <c r="FI264" s="259"/>
      <c r="FJ264" s="259"/>
      <c r="FK264" s="259"/>
      <c r="FL264" s="259"/>
      <c r="FM264" s="259"/>
      <c r="FN264" s="259"/>
      <c r="FO264" s="259"/>
      <c r="FP264" s="259"/>
      <c r="FQ264" s="259"/>
      <c r="FR264" s="259"/>
      <c r="FS264" s="259"/>
      <c r="FT264" s="259"/>
      <c r="FU264" s="259"/>
      <c r="FV264" s="259"/>
      <c r="FW264" s="259"/>
      <c r="FX264" s="259"/>
      <c r="FY264" s="259"/>
      <c r="FZ264" s="259"/>
      <c r="GA264" s="259"/>
      <c r="GB264" s="259"/>
      <c r="GC264" s="259"/>
      <c r="GD264" s="259"/>
      <c r="GE264" s="259"/>
    </row>
    <row r="265" spans="2:187" s="147" customFormat="1" ht="16.5" customHeight="1">
      <c r="B265" s="251">
        <v>259</v>
      </c>
      <c r="C265" s="420" t="s">
        <v>694</v>
      </c>
      <c r="D265" s="420" t="s">
        <v>697</v>
      </c>
      <c r="E265" s="420" t="s">
        <v>657</v>
      </c>
      <c r="F265" s="420" t="s">
        <v>475</v>
      </c>
      <c r="G265" s="421">
        <v>1</v>
      </c>
      <c r="H265" s="421">
        <v>100000</v>
      </c>
      <c r="I265" s="252">
        <f t="shared" si="4"/>
        <v>18750</v>
      </c>
      <c r="J265" s="284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  <c r="CO265" s="259"/>
      <c r="CP265" s="259"/>
      <c r="CQ265" s="259"/>
      <c r="CR265" s="259"/>
      <c r="CS265" s="259"/>
      <c r="CT265" s="259"/>
      <c r="CU265" s="259"/>
      <c r="CV265" s="259"/>
      <c r="CW265" s="259"/>
      <c r="CX265" s="259"/>
      <c r="CY265" s="259"/>
      <c r="CZ265" s="259"/>
      <c r="DA265" s="259"/>
      <c r="DB265" s="259"/>
      <c r="DC265" s="259"/>
      <c r="DD265" s="259"/>
      <c r="DE265" s="259"/>
      <c r="DF265" s="259"/>
      <c r="DG265" s="259"/>
      <c r="DH265" s="259"/>
      <c r="DI265" s="259"/>
      <c r="DJ265" s="259"/>
      <c r="DK265" s="259"/>
      <c r="DL265" s="259"/>
      <c r="DM265" s="259"/>
      <c r="DN265" s="259"/>
      <c r="DO265" s="259"/>
      <c r="DP265" s="259"/>
      <c r="DQ265" s="259"/>
      <c r="DR265" s="259"/>
      <c r="DS265" s="259"/>
      <c r="DT265" s="259"/>
      <c r="DU265" s="259"/>
      <c r="DV265" s="259"/>
      <c r="DW265" s="259"/>
      <c r="DX265" s="259"/>
      <c r="DY265" s="259"/>
      <c r="DZ265" s="259"/>
      <c r="EA265" s="259"/>
      <c r="EB265" s="259"/>
      <c r="EC265" s="259"/>
      <c r="ED265" s="259"/>
      <c r="EE265" s="259"/>
      <c r="EF265" s="259"/>
      <c r="EG265" s="259"/>
      <c r="EH265" s="259"/>
      <c r="EI265" s="259"/>
      <c r="EJ265" s="259"/>
      <c r="EK265" s="259"/>
      <c r="EL265" s="259"/>
      <c r="EM265" s="259"/>
      <c r="EN265" s="259"/>
      <c r="EO265" s="259"/>
      <c r="EP265" s="259"/>
      <c r="EQ265" s="259"/>
      <c r="ER265" s="259"/>
      <c r="ES265" s="259"/>
      <c r="ET265" s="259"/>
      <c r="EU265" s="259"/>
      <c r="EV265" s="259"/>
      <c r="EW265" s="259"/>
      <c r="EX265" s="259"/>
      <c r="EY265" s="259"/>
      <c r="EZ265" s="259"/>
      <c r="FA265" s="259"/>
      <c r="FB265" s="259"/>
      <c r="FC265" s="259"/>
      <c r="FD265" s="259"/>
      <c r="FE265" s="259"/>
      <c r="FF265" s="259"/>
      <c r="FG265" s="259"/>
      <c r="FH265" s="259"/>
      <c r="FI265" s="259"/>
      <c r="FJ265" s="259"/>
      <c r="FK265" s="259"/>
      <c r="FL265" s="259"/>
      <c r="FM265" s="259"/>
      <c r="FN265" s="259"/>
      <c r="FO265" s="259"/>
      <c r="FP265" s="259"/>
      <c r="FQ265" s="259"/>
      <c r="FR265" s="259"/>
      <c r="FS265" s="259"/>
      <c r="FT265" s="259"/>
      <c r="FU265" s="259"/>
      <c r="FV265" s="259"/>
      <c r="FW265" s="259"/>
      <c r="FX265" s="259"/>
      <c r="FY265" s="259"/>
      <c r="FZ265" s="259"/>
      <c r="GA265" s="259"/>
      <c r="GB265" s="259"/>
      <c r="GC265" s="259"/>
      <c r="GD265" s="259"/>
      <c r="GE265" s="259"/>
    </row>
    <row r="266" spans="2:187" s="147" customFormat="1" ht="16.5" customHeight="1">
      <c r="B266" s="251">
        <v>260</v>
      </c>
      <c r="C266" s="420" t="s">
        <v>694</v>
      </c>
      <c r="D266" s="420" t="s">
        <v>641</v>
      </c>
      <c r="E266" s="420" t="s">
        <v>491</v>
      </c>
      <c r="F266" s="420" t="s">
        <v>481</v>
      </c>
      <c r="G266" s="421">
        <v>1</v>
      </c>
      <c r="H266" s="421">
        <v>40300</v>
      </c>
      <c r="I266" s="252">
        <f t="shared" si="4"/>
        <v>7556.25</v>
      </c>
      <c r="J266" s="284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  <c r="CO266" s="259"/>
      <c r="CP266" s="259"/>
      <c r="CQ266" s="259"/>
      <c r="CR266" s="259"/>
      <c r="CS266" s="259"/>
      <c r="CT266" s="259"/>
      <c r="CU266" s="259"/>
      <c r="CV266" s="259"/>
      <c r="CW266" s="259"/>
      <c r="CX266" s="259"/>
      <c r="CY266" s="259"/>
      <c r="CZ266" s="259"/>
      <c r="DA266" s="259"/>
      <c r="DB266" s="259"/>
      <c r="DC266" s="259"/>
      <c r="DD266" s="259"/>
      <c r="DE266" s="259"/>
      <c r="DF266" s="259"/>
      <c r="DG266" s="259"/>
      <c r="DH266" s="259"/>
      <c r="DI266" s="259"/>
      <c r="DJ266" s="259"/>
      <c r="DK266" s="259"/>
      <c r="DL266" s="259"/>
      <c r="DM266" s="259"/>
      <c r="DN266" s="259"/>
      <c r="DO266" s="259"/>
      <c r="DP266" s="259"/>
      <c r="DQ266" s="259"/>
      <c r="DR266" s="259"/>
      <c r="DS266" s="259"/>
      <c r="DT266" s="259"/>
      <c r="DU266" s="259"/>
      <c r="DV266" s="259"/>
      <c r="DW266" s="259"/>
      <c r="DX266" s="259"/>
      <c r="DY266" s="259"/>
      <c r="DZ266" s="259"/>
      <c r="EA266" s="259"/>
      <c r="EB266" s="259"/>
      <c r="EC266" s="259"/>
      <c r="ED266" s="259"/>
      <c r="EE266" s="259"/>
      <c r="EF266" s="259"/>
      <c r="EG266" s="259"/>
      <c r="EH266" s="259"/>
      <c r="EI266" s="259"/>
      <c r="EJ266" s="259"/>
      <c r="EK266" s="259"/>
      <c r="EL266" s="259"/>
      <c r="EM266" s="259"/>
      <c r="EN266" s="259"/>
      <c r="EO266" s="259"/>
      <c r="EP266" s="259"/>
      <c r="EQ266" s="259"/>
      <c r="ER266" s="259"/>
      <c r="ES266" s="259"/>
      <c r="ET266" s="259"/>
      <c r="EU266" s="259"/>
      <c r="EV266" s="259"/>
      <c r="EW266" s="259"/>
      <c r="EX266" s="259"/>
      <c r="EY266" s="259"/>
      <c r="EZ266" s="259"/>
      <c r="FA266" s="259"/>
      <c r="FB266" s="259"/>
      <c r="FC266" s="259"/>
      <c r="FD266" s="259"/>
      <c r="FE266" s="259"/>
      <c r="FF266" s="259"/>
      <c r="FG266" s="259"/>
      <c r="FH266" s="259"/>
      <c r="FI266" s="259"/>
      <c r="FJ266" s="259"/>
      <c r="FK266" s="259"/>
      <c r="FL266" s="259"/>
      <c r="FM266" s="259"/>
      <c r="FN266" s="259"/>
      <c r="FO266" s="259"/>
      <c r="FP266" s="259"/>
      <c r="FQ266" s="259"/>
      <c r="FR266" s="259"/>
      <c r="FS266" s="259"/>
      <c r="FT266" s="259"/>
      <c r="FU266" s="259"/>
      <c r="FV266" s="259"/>
      <c r="FW266" s="259"/>
      <c r="FX266" s="259"/>
      <c r="FY266" s="259"/>
      <c r="FZ266" s="259"/>
      <c r="GA266" s="259"/>
      <c r="GB266" s="259"/>
      <c r="GC266" s="259"/>
      <c r="GD266" s="259"/>
      <c r="GE266" s="259"/>
    </row>
    <row r="267" spans="2:187" s="147" customFormat="1" ht="16.5" customHeight="1">
      <c r="B267" s="251">
        <v>261</v>
      </c>
      <c r="C267" s="420" t="s">
        <v>694</v>
      </c>
      <c r="D267" s="420" t="s">
        <v>698</v>
      </c>
      <c r="E267" s="420" t="s">
        <v>603</v>
      </c>
      <c r="F267" s="420" t="s">
        <v>478</v>
      </c>
      <c r="G267" s="421">
        <v>1</v>
      </c>
      <c r="H267" s="421">
        <v>100000</v>
      </c>
      <c r="I267" s="252">
        <f t="shared" si="4"/>
        <v>18750</v>
      </c>
      <c r="J267" s="284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  <c r="CO267" s="259"/>
      <c r="CP267" s="259"/>
      <c r="CQ267" s="259"/>
      <c r="CR267" s="259"/>
      <c r="CS267" s="259"/>
      <c r="CT267" s="259"/>
      <c r="CU267" s="259"/>
      <c r="CV267" s="259"/>
      <c r="CW267" s="259"/>
      <c r="CX267" s="259"/>
      <c r="CY267" s="259"/>
      <c r="CZ267" s="259"/>
      <c r="DA267" s="259"/>
      <c r="DB267" s="259"/>
      <c r="DC267" s="259"/>
      <c r="DD267" s="259"/>
      <c r="DE267" s="259"/>
      <c r="DF267" s="259"/>
      <c r="DG267" s="259"/>
      <c r="DH267" s="259"/>
      <c r="DI267" s="259"/>
      <c r="DJ267" s="259"/>
      <c r="DK267" s="259"/>
      <c r="DL267" s="259"/>
      <c r="DM267" s="259"/>
      <c r="DN267" s="259"/>
      <c r="DO267" s="259"/>
      <c r="DP267" s="259"/>
      <c r="DQ267" s="259"/>
      <c r="DR267" s="259"/>
      <c r="DS267" s="259"/>
      <c r="DT267" s="259"/>
      <c r="DU267" s="259"/>
      <c r="DV267" s="259"/>
      <c r="DW267" s="259"/>
      <c r="DX267" s="259"/>
      <c r="DY267" s="259"/>
      <c r="DZ267" s="259"/>
      <c r="EA267" s="259"/>
      <c r="EB267" s="259"/>
      <c r="EC267" s="259"/>
      <c r="ED267" s="259"/>
      <c r="EE267" s="259"/>
      <c r="EF267" s="259"/>
      <c r="EG267" s="259"/>
      <c r="EH267" s="259"/>
      <c r="EI267" s="259"/>
      <c r="EJ267" s="259"/>
      <c r="EK267" s="259"/>
      <c r="EL267" s="259"/>
      <c r="EM267" s="259"/>
      <c r="EN267" s="259"/>
      <c r="EO267" s="259"/>
      <c r="EP267" s="259"/>
      <c r="EQ267" s="259"/>
      <c r="ER267" s="259"/>
      <c r="ES267" s="259"/>
      <c r="ET267" s="259"/>
      <c r="EU267" s="259"/>
      <c r="EV267" s="259"/>
      <c r="EW267" s="259"/>
      <c r="EX267" s="259"/>
      <c r="EY267" s="259"/>
      <c r="EZ267" s="259"/>
      <c r="FA267" s="259"/>
      <c r="FB267" s="259"/>
      <c r="FC267" s="259"/>
      <c r="FD267" s="259"/>
      <c r="FE267" s="259"/>
      <c r="FF267" s="259"/>
      <c r="FG267" s="259"/>
      <c r="FH267" s="259"/>
      <c r="FI267" s="259"/>
      <c r="FJ267" s="259"/>
      <c r="FK267" s="259"/>
      <c r="FL267" s="259"/>
      <c r="FM267" s="259"/>
      <c r="FN267" s="259"/>
      <c r="FO267" s="259"/>
      <c r="FP267" s="259"/>
      <c r="FQ267" s="259"/>
      <c r="FR267" s="259"/>
      <c r="FS267" s="259"/>
      <c r="FT267" s="259"/>
      <c r="FU267" s="259"/>
      <c r="FV267" s="259"/>
      <c r="FW267" s="259"/>
      <c r="FX267" s="259"/>
      <c r="FY267" s="259"/>
      <c r="FZ267" s="259"/>
      <c r="GA267" s="259"/>
      <c r="GB267" s="259"/>
      <c r="GC267" s="259"/>
      <c r="GD267" s="259"/>
      <c r="GE267" s="259"/>
    </row>
    <row r="268" spans="2:187" s="147" customFormat="1" ht="16.5" customHeight="1">
      <c r="B268" s="251">
        <v>262</v>
      </c>
      <c r="C268" s="420" t="s">
        <v>694</v>
      </c>
      <c r="D268" s="420" t="s">
        <v>695</v>
      </c>
      <c r="E268" s="420" t="s">
        <v>485</v>
      </c>
      <c r="F268" s="420" t="s">
        <v>478</v>
      </c>
      <c r="G268" s="421">
        <v>1</v>
      </c>
      <c r="H268" s="421">
        <v>100000</v>
      </c>
      <c r="I268" s="252">
        <f t="shared" si="4"/>
        <v>18750</v>
      </c>
      <c r="J268" s="219"/>
    </row>
    <row r="269" spans="2:187" s="147" customFormat="1" ht="16.5" customHeight="1">
      <c r="B269" s="251">
        <v>263</v>
      </c>
      <c r="C269" s="420" t="s">
        <v>694</v>
      </c>
      <c r="D269" s="420" t="s">
        <v>698</v>
      </c>
      <c r="E269" s="420" t="s">
        <v>603</v>
      </c>
      <c r="F269" s="420" t="s">
        <v>475</v>
      </c>
      <c r="G269" s="421">
        <v>1</v>
      </c>
      <c r="H269" s="421">
        <v>100000</v>
      </c>
      <c r="I269" s="252">
        <f t="shared" si="4"/>
        <v>18750</v>
      </c>
      <c r="J269" s="219"/>
    </row>
    <row r="270" spans="2:187" s="147" customFormat="1" ht="16.5" customHeight="1">
      <c r="B270" s="251">
        <v>264</v>
      </c>
      <c r="C270" s="420" t="s">
        <v>694</v>
      </c>
      <c r="D270" s="420" t="s">
        <v>646</v>
      </c>
      <c r="E270" s="420" t="s">
        <v>174</v>
      </c>
      <c r="F270" s="420" t="s">
        <v>481</v>
      </c>
      <c r="G270" s="421">
        <v>1</v>
      </c>
      <c r="H270" s="421">
        <v>40300</v>
      </c>
      <c r="I270" s="252">
        <f t="shared" si="4"/>
        <v>7556.25</v>
      </c>
      <c r="J270" s="219"/>
    </row>
    <row r="271" spans="2:187" s="147" customFormat="1" ht="16.5" customHeight="1">
      <c r="B271" s="251">
        <v>265</v>
      </c>
      <c r="C271" s="420" t="s">
        <v>694</v>
      </c>
      <c r="D271" s="420" t="s">
        <v>697</v>
      </c>
      <c r="E271" s="420" t="s">
        <v>657</v>
      </c>
      <c r="F271" s="420" t="s">
        <v>478</v>
      </c>
      <c r="G271" s="421">
        <v>1</v>
      </c>
      <c r="H271" s="421">
        <v>100000</v>
      </c>
      <c r="I271" s="252">
        <f t="shared" si="4"/>
        <v>18750</v>
      </c>
      <c r="J271" s="219"/>
    </row>
    <row r="272" spans="2:187" s="147" customFormat="1" ht="16.5" customHeight="1">
      <c r="B272" s="251">
        <v>266</v>
      </c>
      <c r="C272" s="420" t="s">
        <v>694</v>
      </c>
      <c r="D272" s="420" t="s">
        <v>696</v>
      </c>
      <c r="E272" s="420" t="s">
        <v>145</v>
      </c>
      <c r="F272" s="420" t="s">
        <v>478</v>
      </c>
      <c r="G272" s="421">
        <v>2</v>
      </c>
      <c r="H272" s="421">
        <v>200000</v>
      </c>
      <c r="I272" s="252">
        <f t="shared" si="4"/>
        <v>37500</v>
      </c>
      <c r="J272" s="219"/>
    </row>
    <row r="273" spans="2:187" s="147" customFormat="1" ht="16.5" customHeight="1">
      <c r="B273" s="251">
        <v>267</v>
      </c>
      <c r="C273" s="420" t="s">
        <v>694</v>
      </c>
      <c r="D273" s="420" t="s">
        <v>699</v>
      </c>
      <c r="E273" s="420" t="s">
        <v>657</v>
      </c>
      <c r="F273" s="420" t="s">
        <v>475</v>
      </c>
      <c r="G273" s="421">
        <v>4</v>
      </c>
      <c r="H273" s="421">
        <v>400000</v>
      </c>
      <c r="I273" s="252">
        <f t="shared" si="4"/>
        <v>75000</v>
      </c>
      <c r="J273" s="219"/>
    </row>
    <row r="274" spans="2:187" s="147" customFormat="1" ht="16.5" customHeight="1">
      <c r="B274" s="251">
        <v>268</v>
      </c>
      <c r="C274" s="420" t="s">
        <v>694</v>
      </c>
      <c r="D274" s="420" t="s">
        <v>699</v>
      </c>
      <c r="E274" s="420" t="s">
        <v>657</v>
      </c>
      <c r="F274" s="420" t="s">
        <v>478</v>
      </c>
      <c r="G274" s="421">
        <v>6</v>
      </c>
      <c r="H274" s="421">
        <v>600000</v>
      </c>
      <c r="I274" s="252">
        <f t="shared" si="4"/>
        <v>112500</v>
      </c>
      <c r="J274" s="219"/>
    </row>
    <row r="275" spans="2:187" s="147" customFormat="1" ht="16.5" customHeight="1">
      <c r="B275" s="251">
        <v>269</v>
      </c>
      <c r="C275" s="420" t="s">
        <v>694</v>
      </c>
      <c r="D275" s="420" t="s">
        <v>644</v>
      </c>
      <c r="E275" s="420" t="s">
        <v>645</v>
      </c>
      <c r="F275" s="420" t="s">
        <v>481</v>
      </c>
      <c r="G275" s="421">
        <v>1</v>
      </c>
      <c r="H275" s="421">
        <v>100000</v>
      </c>
      <c r="I275" s="252">
        <f t="shared" si="4"/>
        <v>18750</v>
      </c>
      <c r="J275" s="219"/>
    </row>
    <row r="276" spans="2:187" s="147" customFormat="1" ht="16.5" customHeight="1">
      <c r="B276" s="251">
        <v>270</v>
      </c>
      <c r="C276" s="420" t="s">
        <v>694</v>
      </c>
      <c r="D276" s="420" t="s">
        <v>593</v>
      </c>
      <c r="E276" s="420" t="s">
        <v>594</v>
      </c>
      <c r="F276" s="420" t="s">
        <v>481</v>
      </c>
      <c r="G276" s="421">
        <v>1</v>
      </c>
      <c r="H276" s="421">
        <v>40300</v>
      </c>
      <c r="I276" s="252">
        <f t="shared" si="4"/>
        <v>7556.25</v>
      </c>
      <c r="J276" s="219"/>
    </row>
    <row r="277" spans="2:187" s="147" customFormat="1" ht="16.5" customHeight="1">
      <c r="B277" s="251">
        <v>271</v>
      </c>
      <c r="C277" s="420" t="s">
        <v>694</v>
      </c>
      <c r="D277" s="420" t="s">
        <v>554</v>
      </c>
      <c r="E277" s="420" t="s">
        <v>555</v>
      </c>
      <c r="F277" s="420" t="s">
        <v>637</v>
      </c>
      <c r="G277" s="421">
        <v>1</v>
      </c>
      <c r="H277" s="421">
        <v>120000</v>
      </c>
      <c r="I277" s="252">
        <f t="shared" si="4"/>
        <v>22500</v>
      </c>
      <c r="J277" s="219"/>
    </row>
    <row r="278" spans="2:187" s="147" customFormat="1" ht="16.5" customHeight="1">
      <c r="B278" s="251">
        <v>272</v>
      </c>
      <c r="C278" s="420" t="s">
        <v>694</v>
      </c>
      <c r="D278" s="420" t="s">
        <v>617</v>
      </c>
      <c r="E278" s="420" t="s">
        <v>522</v>
      </c>
      <c r="F278" s="420" t="s">
        <v>481</v>
      </c>
      <c r="G278" s="421">
        <v>1</v>
      </c>
      <c r="H278" s="421">
        <v>100000</v>
      </c>
      <c r="I278" s="252">
        <f t="shared" si="4"/>
        <v>18750</v>
      </c>
      <c r="J278" s="219"/>
    </row>
    <row r="279" spans="2:187" s="147" customFormat="1" ht="16.5" customHeight="1">
      <c r="B279" s="251">
        <v>273</v>
      </c>
      <c r="C279" s="420" t="s">
        <v>694</v>
      </c>
      <c r="D279" s="420" t="s">
        <v>633</v>
      </c>
      <c r="E279" s="420" t="s">
        <v>140</v>
      </c>
      <c r="F279" s="420" t="s">
        <v>481</v>
      </c>
      <c r="G279" s="421">
        <v>1</v>
      </c>
      <c r="H279" s="421">
        <v>100000</v>
      </c>
      <c r="I279" s="252">
        <f t="shared" si="4"/>
        <v>18750</v>
      </c>
      <c r="J279" s="219"/>
    </row>
    <row r="280" spans="2:187" s="147" customFormat="1" ht="16.5" customHeight="1">
      <c r="B280" s="251">
        <v>274</v>
      </c>
      <c r="C280" s="420" t="s">
        <v>694</v>
      </c>
      <c r="D280" s="420" t="s">
        <v>700</v>
      </c>
      <c r="E280" s="420" t="s">
        <v>573</v>
      </c>
      <c r="F280" s="420" t="s">
        <v>701</v>
      </c>
      <c r="G280" s="421">
        <v>1</v>
      </c>
      <c r="H280" s="421">
        <v>372700</v>
      </c>
      <c r="I280" s="252">
        <f t="shared" si="4"/>
        <v>69881.25</v>
      </c>
      <c r="J280" s="219"/>
    </row>
    <row r="281" spans="2:187" s="147" customFormat="1" ht="16.5" customHeight="1">
      <c r="B281" s="251">
        <v>275</v>
      </c>
      <c r="C281" s="420" t="s">
        <v>694</v>
      </c>
      <c r="D281" s="420" t="s">
        <v>598</v>
      </c>
      <c r="E281" s="420" t="s">
        <v>599</v>
      </c>
      <c r="F281" s="420" t="s">
        <v>481</v>
      </c>
      <c r="G281" s="421">
        <v>1</v>
      </c>
      <c r="H281" s="421">
        <v>40300</v>
      </c>
      <c r="I281" s="252">
        <f t="shared" si="4"/>
        <v>7556.25</v>
      </c>
      <c r="J281" s="219"/>
    </row>
    <row r="282" spans="2:187" s="147" customFormat="1" ht="16.5" customHeight="1">
      <c r="B282" s="251">
        <v>276</v>
      </c>
      <c r="C282" s="420" t="s">
        <v>694</v>
      </c>
      <c r="D282" s="420" t="s">
        <v>699</v>
      </c>
      <c r="E282" s="420" t="s">
        <v>657</v>
      </c>
      <c r="F282" s="420" t="s">
        <v>625</v>
      </c>
      <c r="G282" s="421">
        <v>1</v>
      </c>
      <c r="H282" s="421">
        <v>300000</v>
      </c>
      <c r="I282" s="252">
        <f t="shared" si="4"/>
        <v>56250</v>
      </c>
      <c r="J282" s="219"/>
    </row>
    <row r="283" spans="2:187" s="147" customFormat="1" ht="16.5" customHeight="1">
      <c r="B283" s="251">
        <v>277</v>
      </c>
      <c r="C283" s="420" t="s">
        <v>702</v>
      </c>
      <c r="D283" s="420" t="s">
        <v>703</v>
      </c>
      <c r="E283" s="420" t="s">
        <v>573</v>
      </c>
      <c r="F283" s="420" t="s">
        <v>475</v>
      </c>
      <c r="G283" s="421">
        <v>2</v>
      </c>
      <c r="H283" s="421">
        <v>200000</v>
      </c>
      <c r="I283" s="252">
        <f t="shared" si="4"/>
        <v>37500</v>
      </c>
      <c r="J283" s="219"/>
    </row>
    <row r="284" spans="2:187" s="147" customFormat="1" ht="16.5" customHeight="1">
      <c r="B284" s="251">
        <v>278</v>
      </c>
      <c r="C284" s="420" t="s">
        <v>702</v>
      </c>
      <c r="D284" s="420" t="s">
        <v>704</v>
      </c>
      <c r="E284" s="420" t="s">
        <v>142</v>
      </c>
      <c r="F284" s="420" t="s">
        <v>478</v>
      </c>
      <c r="G284" s="421">
        <v>3</v>
      </c>
      <c r="H284" s="421">
        <v>300000</v>
      </c>
      <c r="I284" s="252">
        <f t="shared" si="4"/>
        <v>56250</v>
      </c>
      <c r="J284" s="284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59"/>
      <c r="BK284" s="259"/>
      <c r="BL284" s="259"/>
      <c r="BM284" s="259"/>
      <c r="BN284" s="259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59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  <c r="CO284" s="259"/>
      <c r="CP284" s="259"/>
      <c r="CQ284" s="259"/>
      <c r="CR284" s="259"/>
      <c r="CS284" s="259"/>
      <c r="CT284" s="259"/>
      <c r="CU284" s="259"/>
      <c r="CV284" s="259"/>
      <c r="CW284" s="259"/>
      <c r="CX284" s="259"/>
      <c r="CY284" s="259"/>
      <c r="CZ284" s="259"/>
      <c r="DA284" s="259"/>
      <c r="DB284" s="259"/>
      <c r="DC284" s="259"/>
      <c r="DD284" s="259"/>
      <c r="DE284" s="259"/>
      <c r="DF284" s="259"/>
      <c r="DG284" s="259"/>
      <c r="DH284" s="259"/>
      <c r="DI284" s="259"/>
      <c r="DJ284" s="259"/>
      <c r="DK284" s="259"/>
      <c r="DL284" s="259"/>
      <c r="DM284" s="259"/>
      <c r="DN284" s="259"/>
      <c r="DO284" s="259"/>
      <c r="DP284" s="259"/>
      <c r="DQ284" s="259"/>
      <c r="DR284" s="259"/>
      <c r="DS284" s="259"/>
      <c r="DT284" s="259"/>
      <c r="DU284" s="259"/>
      <c r="DV284" s="259"/>
      <c r="DW284" s="259"/>
      <c r="DX284" s="259"/>
      <c r="DY284" s="259"/>
      <c r="DZ284" s="259"/>
      <c r="EA284" s="259"/>
      <c r="EB284" s="259"/>
      <c r="EC284" s="259"/>
      <c r="ED284" s="259"/>
      <c r="EE284" s="259"/>
      <c r="EF284" s="259"/>
      <c r="EG284" s="259"/>
      <c r="EH284" s="259"/>
      <c r="EI284" s="259"/>
      <c r="EJ284" s="259"/>
      <c r="EK284" s="259"/>
      <c r="EL284" s="259"/>
      <c r="EM284" s="259"/>
      <c r="EN284" s="259"/>
      <c r="EO284" s="259"/>
      <c r="EP284" s="259"/>
      <c r="EQ284" s="259"/>
      <c r="ER284" s="259"/>
      <c r="ES284" s="259"/>
      <c r="ET284" s="259"/>
      <c r="EU284" s="259"/>
      <c r="EV284" s="259"/>
      <c r="EW284" s="259"/>
      <c r="EX284" s="259"/>
      <c r="EY284" s="259"/>
      <c r="EZ284" s="259"/>
      <c r="FA284" s="259"/>
      <c r="FB284" s="259"/>
      <c r="FC284" s="259"/>
      <c r="FD284" s="259"/>
      <c r="FE284" s="259"/>
      <c r="FF284" s="259"/>
      <c r="FG284" s="259"/>
      <c r="FH284" s="259"/>
      <c r="FI284" s="259"/>
      <c r="FJ284" s="259"/>
      <c r="FK284" s="259"/>
      <c r="FL284" s="259"/>
      <c r="FM284" s="259"/>
      <c r="FN284" s="259"/>
      <c r="FO284" s="259"/>
      <c r="FP284" s="259"/>
      <c r="FQ284" s="259"/>
      <c r="FR284" s="259"/>
      <c r="FS284" s="259"/>
      <c r="FT284" s="259"/>
      <c r="FU284" s="259"/>
      <c r="FV284" s="259"/>
      <c r="FW284" s="259"/>
      <c r="FX284" s="259"/>
      <c r="FY284" s="259"/>
      <c r="FZ284" s="259"/>
      <c r="GA284" s="259"/>
      <c r="GB284" s="259"/>
      <c r="GC284" s="259"/>
      <c r="GD284" s="259"/>
      <c r="GE284" s="259"/>
    </row>
    <row r="285" spans="2:187" s="147" customFormat="1" ht="16.5" customHeight="1">
      <c r="B285" s="251">
        <v>279</v>
      </c>
      <c r="C285" s="420" t="s">
        <v>702</v>
      </c>
      <c r="D285" s="420" t="s">
        <v>705</v>
      </c>
      <c r="E285" s="420" t="s">
        <v>706</v>
      </c>
      <c r="F285" s="420" t="s">
        <v>478</v>
      </c>
      <c r="G285" s="421">
        <v>1</v>
      </c>
      <c r="H285" s="421">
        <v>100000</v>
      </c>
      <c r="I285" s="252">
        <f t="shared" si="4"/>
        <v>18750</v>
      </c>
      <c r="J285" s="284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59"/>
      <c r="BK285" s="259"/>
      <c r="BL285" s="259"/>
      <c r="BM285" s="259"/>
      <c r="BN285" s="259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59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  <c r="CO285" s="259"/>
      <c r="CP285" s="259"/>
      <c r="CQ285" s="259"/>
      <c r="CR285" s="259"/>
      <c r="CS285" s="259"/>
      <c r="CT285" s="259"/>
      <c r="CU285" s="259"/>
      <c r="CV285" s="259"/>
      <c r="CW285" s="259"/>
      <c r="CX285" s="259"/>
      <c r="CY285" s="259"/>
      <c r="CZ285" s="259"/>
      <c r="DA285" s="259"/>
      <c r="DB285" s="259"/>
      <c r="DC285" s="259"/>
      <c r="DD285" s="259"/>
      <c r="DE285" s="259"/>
      <c r="DF285" s="259"/>
      <c r="DG285" s="259"/>
      <c r="DH285" s="259"/>
      <c r="DI285" s="259"/>
      <c r="DJ285" s="259"/>
      <c r="DK285" s="259"/>
      <c r="DL285" s="259"/>
      <c r="DM285" s="259"/>
      <c r="DN285" s="259"/>
      <c r="DO285" s="259"/>
      <c r="DP285" s="259"/>
      <c r="DQ285" s="259"/>
      <c r="DR285" s="259"/>
      <c r="DS285" s="259"/>
      <c r="DT285" s="259"/>
      <c r="DU285" s="259"/>
      <c r="DV285" s="259"/>
      <c r="DW285" s="259"/>
      <c r="DX285" s="259"/>
      <c r="DY285" s="259"/>
      <c r="DZ285" s="259"/>
      <c r="EA285" s="259"/>
      <c r="EB285" s="259"/>
      <c r="EC285" s="259"/>
      <c r="ED285" s="259"/>
      <c r="EE285" s="259"/>
      <c r="EF285" s="259"/>
      <c r="EG285" s="259"/>
      <c r="EH285" s="259"/>
      <c r="EI285" s="259"/>
      <c r="EJ285" s="259"/>
      <c r="EK285" s="259"/>
      <c r="EL285" s="259"/>
      <c r="EM285" s="259"/>
      <c r="EN285" s="259"/>
      <c r="EO285" s="259"/>
      <c r="EP285" s="259"/>
      <c r="EQ285" s="259"/>
      <c r="ER285" s="259"/>
      <c r="ES285" s="259"/>
      <c r="ET285" s="259"/>
      <c r="EU285" s="259"/>
      <c r="EV285" s="259"/>
      <c r="EW285" s="259"/>
      <c r="EX285" s="259"/>
      <c r="EY285" s="259"/>
      <c r="EZ285" s="259"/>
      <c r="FA285" s="259"/>
      <c r="FB285" s="259"/>
      <c r="FC285" s="259"/>
      <c r="FD285" s="259"/>
      <c r="FE285" s="259"/>
      <c r="FF285" s="259"/>
      <c r="FG285" s="259"/>
      <c r="FH285" s="259"/>
      <c r="FI285" s="259"/>
      <c r="FJ285" s="259"/>
      <c r="FK285" s="259"/>
      <c r="FL285" s="259"/>
      <c r="FM285" s="259"/>
      <c r="FN285" s="259"/>
      <c r="FO285" s="259"/>
      <c r="FP285" s="259"/>
      <c r="FQ285" s="259"/>
      <c r="FR285" s="259"/>
      <c r="FS285" s="259"/>
      <c r="FT285" s="259"/>
      <c r="FU285" s="259"/>
      <c r="FV285" s="259"/>
      <c r="FW285" s="259"/>
      <c r="FX285" s="259"/>
      <c r="FY285" s="259"/>
      <c r="FZ285" s="259"/>
      <c r="GA285" s="259"/>
      <c r="GB285" s="259"/>
      <c r="GC285" s="259"/>
      <c r="GD285" s="259"/>
      <c r="GE285" s="259"/>
    </row>
    <row r="286" spans="2:187" s="147" customFormat="1" ht="16.5" customHeight="1">
      <c r="B286" s="251">
        <v>280</v>
      </c>
      <c r="C286" s="420" t="s">
        <v>702</v>
      </c>
      <c r="D286" s="420" t="s">
        <v>707</v>
      </c>
      <c r="E286" s="420" t="s">
        <v>542</v>
      </c>
      <c r="F286" s="420" t="s">
        <v>475</v>
      </c>
      <c r="G286" s="421">
        <v>1</v>
      </c>
      <c r="H286" s="421">
        <v>100000</v>
      </c>
      <c r="I286" s="252">
        <f t="shared" si="4"/>
        <v>18750</v>
      </c>
      <c r="J286" s="284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59"/>
      <c r="BK286" s="259"/>
      <c r="BL286" s="259"/>
      <c r="BM286" s="259"/>
      <c r="BN286" s="259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59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  <c r="CO286" s="259"/>
      <c r="CP286" s="259"/>
      <c r="CQ286" s="259"/>
      <c r="CR286" s="259"/>
      <c r="CS286" s="259"/>
      <c r="CT286" s="259"/>
      <c r="CU286" s="259"/>
      <c r="CV286" s="259"/>
      <c r="CW286" s="259"/>
      <c r="CX286" s="259"/>
      <c r="CY286" s="259"/>
      <c r="CZ286" s="259"/>
      <c r="DA286" s="259"/>
      <c r="DB286" s="259"/>
      <c r="DC286" s="259"/>
      <c r="DD286" s="259"/>
      <c r="DE286" s="259"/>
      <c r="DF286" s="259"/>
      <c r="DG286" s="259"/>
      <c r="DH286" s="259"/>
      <c r="DI286" s="259"/>
      <c r="DJ286" s="259"/>
      <c r="DK286" s="259"/>
      <c r="DL286" s="259"/>
      <c r="DM286" s="259"/>
      <c r="DN286" s="259"/>
      <c r="DO286" s="259"/>
      <c r="DP286" s="259"/>
      <c r="DQ286" s="259"/>
      <c r="DR286" s="259"/>
      <c r="DS286" s="259"/>
      <c r="DT286" s="259"/>
      <c r="DU286" s="259"/>
      <c r="DV286" s="259"/>
      <c r="DW286" s="259"/>
      <c r="DX286" s="259"/>
      <c r="DY286" s="259"/>
      <c r="DZ286" s="259"/>
      <c r="EA286" s="259"/>
      <c r="EB286" s="259"/>
      <c r="EC286" s="259"/>
      <c r="ED286" s="259"/>
      <c r="EE286" s="259"/>
      <c r="EF286" s="259"/>
      <c r="EG286" s="259"/>
      <c r="EH286" s="259"/>
      <c r="EI286" s="259"/>
      <c r="EJ286" s="259"/>
      <c r="EK286" s="259"/>
      <c r="EL286" s="259"/>
      <c r="EM286" s="259"/>
      <c r="EN286" s="259"/>
      <c r="EO286" s="259"/>
      <c r="EP286" s="259"/>
      <c r="EQ286" s="259"/>
      <c r="ER286" s="259"/>
      <c r="ES286" s="259"/>
      <c r="ET286" s="259"/>
      <c r="EU286" s="259"/>
      <c r="EV286" s="259"/>
      <c r="EW286" s="259"/>
      <c r="EX286" s="259"/>
      <c r="EY286" s="259"/>
      <c r="EZ286" s="259"/>
      <c r="FA286" s="259"/>
      <c r="FB286" s="259"/>
      <c r="FC286" s="259"/>
      <c r="FD286" s="259"/>
      <c r="FE286" s="259"/>
      <c r="FF286" s="259"/>
      <c r="FG286" s="259"/>
      <c r="FH286" s="259"/>
      <c r="FI286" s="259"/>
      <c r="FJ286" s="259"/>
      <c r="FK286" s="259"/>
      <c r="FL286" s="259"/>
      <c r="FM286" s="259"/>
      <c r="FN286" s="259"/>
      <c r="FO286" s="259"/>
      <c r="FP286" s="259"/>
      <c r="FQ286" s="259"/>
      <c r="FR286" s="259"/>
      <c r="FS286" s="259"/>
      <c r="FT286" s="259"/>
      <c r="FU286" s="259"/>
      <c r="FV286" s="259"/>
      <c r="FW286" s="259"/>
      <c r="FX286" s="259"/>
      <c r="FY286" s="259"/>
      <c r="FZ286" s="259"/>
      <c r="GA286" s="259"/>
      <c r="GB286" s="259"/>
      <c r="GC286" s="259"/>
      <c r="GD286" s="259"/>
      <c r="GE286" s="259"/>
    </row>
    <row r="287" spans="2:187" s="147" customFormat="1" ht="16.5" customHeight="1">
      <c r="B287" s="251">
        <v>281</v>
      </c>
      <c r="C287" s="420" t="s">
        <v>702</v>
      </c>
      <c r="D287" s="420" t="s">
        <v>708</v>
      </c>
      <c r="E287" s="420" t="s">
        <v>599</v>
      </c>
      <c r="F287" s="420" t="s">
        <v>475</v>
      </c>
      <c r="G287" s="421">
        <v>3</v>
      </c>
      <c r="H287" s="421">
        <v>300000</v>
      </c>
      <c r="I287" s="252">
        <f t="shared" si="4"/>
        <v>56250</v>
      </c>
      <c r="J287" s="284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59"/>
      <c r="BK287" s="259"/>
      <c r="BL287" s="259"/>
      <c r="BM287" s="259"/>
      <c r="BN287" s="259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59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  <c r="CO287" s="259"/>
      <c r="CP287" s="259"/>
      <c r="CQ287" s="259"/>
      <c r="CR287" s="259"/>
      <c r="CS287" s="259"/>
      <c r="CT287" s="259"/>
      <c r="CU287" s="259"/>
      <c r="CV287" s="259"/>
      <c r="CW287" s="259"/>
      <c r="CX287" s="259"/>
      <c r="CY287" s="259"/>
      <c r="CZ287" s="259"/>
      <c r="DA287" s="259"/>
      <c r="DB287" s="259"/>
      <c r="DC287" s="259"/>
      <c r="DD287" s="259"/>
      <c r="DE287" s="259"/>
      <c r="DF287" s="259"/>
      <c r="DG287" s="259"/>
      <c r="DH287" s="259"/>
      <c r="DI287" s="259"/>
      <c r="DJ287" s="259"/>
      <c r="DK287" s="259"/>
      <c r="DL287" s="259"/>
      <c r="DM287" s="259"/>
      <c r="DN287" s="259"/>
      <c r="DO287" s="259"/>
      <c r="DP287" s="259"/>
      <c r="DQ287" s="259"/>
      <c r="DR287" s="259"/>
      <c r="DS287" s="259"/>
      <c r="DT287" s="259"/>
      <c r="DU287" s="259"/>
      <c r="DV287" s="259"/>
      <c r="DW287" s="259"/>
      <c r="DX287" s="259"/>
      <c r="DY287" s="259"/>
      <c r="DZ287" s="259"/>
      <c r="EA287" s="259"/>
      <c r="EB287" s="259"/>
      <c r="EC287" s="259"/>
      <c r="ED287" s="259"/>
      <c r="EE287" s="259"/>
      <c r="EF287" s="259"/>
      <c r="EG287" s="259"/>
      <c r="EH287" s="259"/>
      <c r="EI287" s="259"/>
      <c r="EJ287" s="259"/>
      <c r="EK287" s="259"/>
      <c r="EL287" s="259"/>
      <c r="EM287" s="259"/>
      <c r="EN287" s="259"/>
      <c r="EO287" s="259"/>
      <c r="EP287" s="259"/>
      <c r="EQ287" s="259"/>
      <c r="ER287" s="259"/>
      <c r="ES287" s="259"/>
      <c r="ET287" s="259"/>
      <c r="EU287" s="259"/>
      <c r="EV287" s="259"/>
      <c r="EW287" s="259"/>
      <c r="EX287" s="259"/>
      <c r="EY287" s="259"/>
      <c r="EZ287" s="259"/>
      <c r="FA287" s="259"/>
      <c r="FB287" s="259"/>
      <c r="FC287" s="259"/>
      <c r="FD287" s="259"/>
      <c r="FE287" s="259"/>
      <c r="FF287" s="259"/>
      <c r="FG287" s="259"/>
      <c r="FH287" s="259"/>
      <c r="FI287" s="259"/>
      <c r="FJ287" s="259"/>
      <c r="FK287" s="259"/>
      <c r="FL287" s="259"/>
      <c r="FM287" s="259"/>
      <c r="FN287" s="259"/>
      <c r="FO287" s="259"/>
      <c r="FP287" s="259"/>
      <c r="FQ287" s="259"/>
      <c r="FR287" s="259"/>
      <c r="FS287" s="259"/>
      <c r="FT287" s="259"/>
      <c r="FU287" s="259"/>
      <c r="FV287" s="259"/>
      <c r="FW287" s="259"/>
      <c r="FX287" s="259"/>
      <c r="FY287" s="259"/>
      <c r="FZ287" s="259"/>
      <c r="GA287" s="259"/>
      <c r="GB287" s="259"/>
      <c r="GC287" s="259"/>
      <c r="GD287" s="259"/>
      <c r="GE287" s="259"/>
    </row>
    <row r="288" spans="2:187" s="147" customFormat="1" ht="16.5" customHeight="1">
      <c r="B288" s="251">
        <v>282</v>
      </c>
      <c r="C288" s="420" t="s">
        <v>702</v>
      </c>
      <c r="D288" s="420" t="s">
        <v>634</v>
      </c>
      <c r="E288" s="420" t="s">
        <v>483</v>
      </c>
      <c r="F288" s="420" t="s">
        <v>481</v>
      </c>
      <c r="G288" s="421">
        <v>1</v>
      </c>
      <c r="H288" s="421">
        <v>40300</v>
      </c>
      <c r="I288" s="252">
        <f t="shared" si="4"/>
        <v>7556.25</v>
      </c>
      <c r="J288" s="284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59"/>
      <c r="BK288" s="259"/>
      <c r="BL288" s="259"/>
      <c r="BM288" s="259"/>
      <c r="BN288" s="259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59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  <c r="CO288" s="259"/>
      <c r="CP288" s="259"/>
      <c r="CQ288" s="259"/>
      <c r="CR288" s="259"/>
      <c r="CS288" s="259"/>
      <c r="CT288" s="259"/>
      <c r="CU288" s="259"/>
      <c r="CV288" s="259"/>
      <c r="CW288" s="259"/>
      <c r="CX288" s="259"/>
      <c r="CY288" s="259"/>
      <c r="CZ288" s="259"/>
      <c r="DA288" s="259"/>
      <c r="DB288" s="259"/>
      <c r="DC288" s="259"/>
      <c r="DD288" s="259"/>
      <c r="DE288" s="259"/>
      <c r="DF288" s="259"/>
      <c r="DG288" s="259"/>
      <c r="DH288" s="259"/>
      <c r="DI288" s="259"/>
      <c r="DJ288" s="259"/>
      <c r="DK288" s="259"/>
      <c r="DL288" s="259"/>
      <c r="DM288" s="259"/>
      <c r="DN288" s="259"/>
      <c r="DO288" s="259"/>
      <c r="DP288" s="259"/>
      <c r="DQ288" s="259"/>
      <c r="DR288" s="259"/>
      <c r="DS288" s="259"/>
      <c r="DT288" s="259"/>
      <c r="DU288" s="259"/>
      <c r="DV288" s="259"/>
      <c r="DW288" s="259"/>
      <c r="DX288" s="259"/>
      <c r="DY288" s="259"/>
      <c r="DZ288" s="259"/>
      <c r="EA288" s="259"/>
      <c r="EB288" s="259"/>
      <c r="EC288" s="259"/>
      <c r="ED288" s="259"/>
      <c r="EE288" s="259"/>
      <c r="EF288" s="259"/>
      <c r="EG288" s="259"/>
      <c r="EH288" s="259"/>
      <c r="EI288" s="259"/>
      <c r="EJ288" s="259"/>
      <c r="EK288" s="259"/>
      <c r="EL288" s="259"/>
      <c r="EM288" s="259"/>
      <c r="EN288" s="259"/>
      <c r="EO288" s="259"/>
      <c r="EP288" s="259"/>
      <c r="EQ288" s="259"/>
      <c r="ER288" s="259"/>
      <c r="ES288" s="259"/>
      <c r="ET288" s="259"/>
      <c r="EU288" s="259"/>
      <c r="EV288" s="259"/>
      <c r="EW288" s="259"/>
      <c r="EX288" s="259"/>
      <c r="EY288" s="259"/>
      <c r="EZ288" s="259"/>
      <c r="FA288" s="259"/>
      <c r="FB288" s="259"/>
      <c r="FC288" s="259"/>
      <c r="FD288" s="259"/>
      <c r="FE288" s="259"/>
      <c r="FF288" s="259"/>
      <c r="FG288" s="259"/>
      <c r="FH288" s="259"/>
      <c r="FI288" s="259"/>
      <c r="FJ288" s="259"/>
      <c r="FK288" s="259"/>
      <c r="FL288" s="259"/>
      <c r="FM288" s="259"/>
      <c r="FN288" s="259"/>
      <c r="FO288" s="259"/>
      <c r="FP288" s="259"/>
      <c r="FQ288" s="259"/>
      <c r="FR288" s="259"/>
      <c r="FS288" s="259"/>
      <c r="FT288" s="259"/>
      <c r="FU288" s="259"/>
      <c r="FV288" s="259"/>
      <c r="FW288" s="259"/>
      <c r="FX288" s="259"/>
      <c r="FY288" s="259"/>
      <c r="FZ288" s="259"/>
      <c r="GA288" s="259"/>
      <c r="GB288" s="259"/>
      <c r="GC288" s="259"/>
      <c r="GD288" s="259"/>
      <c r="GE288" s="259"/>
    </row>
    <row r="289" spans="2:187" s="147" customFormat="1" ht="16.5" customHeight="1">
      <c r="B289" s="251">
        <v>283</v>
      </c>
      <c r="C289" s="420" t="s">
        <v>702</v>
      </c>
      <c r="D289" s="420" t="s">
        <v>618</v>
      </c>
      <c r="E289" s="420" t="s">
        <v>537</v>
      </c>
      <c r="F289" s="420" t="s">
        <v>481</v>
      </c>
      <c r="G289" s="421">
        <v>1</v>
      </c>
      <c r="H289" s="421">
        <v>40300</v>
      </c>
      <c r="I289" s="252">
        <f t="shared" si="4"/>
        <v>7556.25</v>
      </c>
      <c r="J289" s="284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59"/>
      <c r="BK289" s="259"/>
      <c r="BL289" s="259"/>
      <c r="BM289" s="259"/>
      <c r="BN289" s="259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59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  <c r="CO289" s="259"/>
      <c r="CP289" s="259"/>
      <c r="CQ289" s="259"/>
      <c r="CR289" s="259"/>
      <c r="CS289" s="259"/>
      <c r="CT289" s="259"/>
      <c r="CU289" s="259"/>
      <c r="CV289" s="259"/>
      <c r="CW289" s="259"/>
      <c r="CX289" s="259"/>
      <c r="CY289" s="259"/>
      <c r="CZ289" s="259"/>
      <c r="DA289" s="259"/>
      <c r="DB289" s="259"/>
      <c r="DC289" s="259"/>
      <c r="DD289" s="259"/>
      <c r="DE289" s="259"/>
      <c r="DF289" s="259"/>
      <c r="DG289" s="259"/>
      <c r="DH289" s="259"/>
      <c r="DI289" s="259"/>
      <c r="DJ289" s="259"/>
      <c r="DK289" s="259"/>
      <c r="DL289" s="259"/>
      <c r="DM289" s="259"/>
      <c r="DN289" s="259"/>
      <c r="DO289" s="259"/>
      <c r="DP289" s="259"/>
      <c r="DQ289" s="259"/>
      <c r="DR289" s="259"/>
      <c r="DS289" s="259"/>
      <c r="DT289" s="259"/>
      <c r="DU289" s="259"/>
      <c r="DV289" s="259"/>
      <c r="DW289" s="259"/>
      <c r="DX289" s="259"/>
      <c r="DY289" s="259"/>
      <c r="DZ289" s="259"/>
      <c r="EA289" s="259"/>
      <c r="EB289" s="259"/>
      <c r="EC289" s="259"/>
      <c r="ED289" s="259"/>
      <c r="EE289" s="259"/>
      <c r="EF289" s="259"/>
      <c r="EG289" s="259"/>
      <c r="EH289" s="259"/>
      <c r="EI289" s="259"/>
      <c r="EJ289" s="259"/>
      <c r="EK289" s="259"/>
      <c r="EL289" s="259"/>
      <c r="EM289" s="259"/>
      <c r="EN289" s="259"/>
      <c r="EO289" s="259"/>
      <c r="EP289" s="259"/>
      <c r="EQ289" s="259"/>
      <c r="ER289" s="259"/>
      <c r="ES289" s="259"/>
      <c r="ET289" s="259"/>
      <c r="EU289" s="259"/>
      <c r="EV289" s="259"/>
      <c r="EW289" s="259"/>
      <c r="EX289" s="259"/>
      <c r="EY289" s="259"/>
      <c r="EZ289" s="259"/>
      <c r="FA289" s="259"/>
      <c r="FB289" s="259"/>
      <c r="FC289" s="259"/>
      <c r="FD289" s="259"/>
      <c r="FE289" s="259"/>
      <c r="FF289" s="259"/>
      <c r="FG289" s="259"/>
      <c r="FH289" s="259"/>
      <c r="FI289" s="259"/>
      <c r="FJ289" s="259"/>
      <c r="FK289" s="259"/>
      <c r="FL289" s="259"/>
      <c r="FM289" s="259"/>
      <c r="FN289" s="259"/>
      <c r="FO289" s="259"/>
      <c r="FP289" s="259"/>
      <c r="FQ289" s="259"/>
      <c r="FR289" s="259"/>
      <c r="FS289" s="259"/>
      <c r="FT289" s="259"/>
      <c r="FU289" s="259"/>
      <c r="FV289" s="259"/>
      <c r="FW289" s="259"/>
      <c r="FX289" s="259"/>
      <c r="FY289" s="259"/>
      <c r="FZ289" s="259"/>
      <c r="GA289" s="259"/>
      <c r="GB289" s="259"/>
      <c r="GC289" s="259"/>
      <c r="GD289" s="259"/>
      <c r="GE289" s="259"/>
    </row>
    <row r="290" spans="2:187" s="147" customFormat="1" ht="16.5" customHeight="1">
      <c r="B290" s="251">
        <v>284</v>
      </c>
      <c r="C290" s="420" t="s">
        <v>702</v>
      </c>
      <c r="D290" s="420" t="s">
        <v>707</v>
      </c>
      <c r="E290" s="420" t="s">
        <v>542</v>
      </c>
      <c r="F290" s="420" t="s">
        <v>488</v>
      </c>
      <c r="G290" s="421">
        <v>1</v>
      </c>
      <c r="H290" s="421">
        <v>100000</v>
      </c>
      <c r="I290" s="252">
        <f t="shared" si="4"/>
        <v>18750</v>
      </c>
      <c r="J290" s="284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59"/>
      <c r="BK290" s="259"/>
      <c r="BL290" s="259"/>
      <c r="BM290" s="259"/>
      <c r="BN290" s="259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59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  <c r="CO290" s="259"/>
      <c r="CP290" s="259"/>
      <c r="CQ290" s="259"/>
      <c r="CR290" s="259"/>
      <c r="CS290" s="259"/>
      <c r="CT290" s="259"/>
      <c r="CU290" s="259"/>
      <c r="CV290" s="259"/>
      <c r="CW290" s="259"/>
      <c r="CX290" s="259"/>
      <c r="CY290" s="259"/>
      <c r="CZ290" s="259"/>
      <c r="DA290" s="259"/>
      <c r="DB290" s="259"/>
      <c r="DC290" s="259"/>
      <c r="DD290" s="259"/>
      <c r="DE290" s="259"/>
      <c r="DF290" s="259"/>
      <c r="DG290" s="259"/>
      <c r="DH290" s="259"/>
      <c r="DI290" s="259"/>
      <c r="DJ290" s="259"/>
      <c r="DK290" s="259"/>
      <c r="DL290" s="259"/>
      <c r="DM290" s="259"/>
      <c r="DN290" s="259"/>
      <c r="DO290" s="259"/>
      <c r="DP290" s="259"/>
      <c r="DQ290" s="259"/>
      <c r="DR290" s="259"/>
      <c r="DS290" s="259"/>
      <c r="DT290" s="259"/>
      <c r="DU290" s="259"/>
      <c r="DV290" s="259"/>
      <c r="DW290" s="259"/>
      <c r="DX290" s="259"/>
      <c r="DY290" s="259"/>
      <c r="DZ290" s="259"/>
      <c r="EA290" s="259"/>
      <c r="EB290" s="259"/>
      <c r="EC290" s="259"/>
      <c r="ED290" s="259"/>
      <c r="EE290" s="259"/>
      <c r="EF290" s="259"/>
      <c r="EG290" s="259"/>
      <c r="EH290" s="259"/>
      <c r="EI290" s="259"/>
      <c r="EJ290" s="259"/>
      <c r="EK290" s="259"/>
      <c r="EL290" s="259"/>
      <c r="EM290" s="259"/>
      <c r="EN290" s="259"/>
      <c r="EO290" s="259"/>
      <c r="EP290" s="259"/>
      <c r="EQ290" s="259"/>
      <c r="ER290" s="259"/>
      <c r="ES290" s="259"/>
      <c r="ET290" s="259"/>
      <c r="EU290" s="259"/>
      <c r="EV290" s="259"/>
      <c r="EW290" s="259"/>
      <c r="EX290" s="259"/>
      <c r="EY290" s="259"/>
      <c r="EZ290" s="259"/>
      <c r="FA290" s="259"/>
      <c r="FB290" s="259"/>
      <c r="FC290" s="259"/>
      <c r="FD290" s="259"/>
      <c r="FE290" s="259"/>
      <c r="FF290" s="259"/>
      <c r="FG290" s="259"/>
      <c r="FH290" s="259"/>
      <c r="FI290" s="259"/>
      <c r="FJ290" s="259"/>
      <c r="FK290" s="259"/>
      <c r="FL290" s="259"/>
      <c r="FM290" s="259"/>
      <c r="FN290" s="259"/>
      <c r="FO290" s="259"/>
      <c r="FP290" s="259"/>
      <c r="FQ290" s="259"/>
      <c r="FR290" s="259"/>
      <c r="FS290" s="259"/>
      <c r="FT290" s="259"/>
      <c r="FU290" s="259"/>
      <c r="FV290" s="259"/>
      <c r="FW290" s="259"/>
      <c r="FX290" s="259"/>
      <c r="FY290" s="259"/>
      <c r="FZ290" s="259"/>
      <c r="GA290" s="259"/>
      <c r="GB290" s="259"/>
      <c r="GC290" s="259"/>
      <c r="GD290" s="259"/>
      <c r="GE290" s="259"/>
    </row>
    <row r="291" spans="2:187" s="147" customFormat="1" ht="16.5" customHeight="1">
      <c r="B291" s="251">
        <v>285</v>
      </c>
      <c r="C291" s="420" t="s">
        <v>702</v>
      </c>
      <c r="D291" s="420" t="s">
        <v>709</v>
      </c>
      <c r="E291" s="420" t="s">
        <v>555</v>
      </c>
      <c r="F291" s="420" t="s">
        <v>475</v>
      </c>
      <c r="G291" s="421">
        <v>6</v>
      </c>
      <c r="H291" s="421">
        <v>600000</v>
      </c>
      <c r="I291" s="252">
        <f t="shared" si="4"/>
        <v>112500</v>
      </c>
      <c r="J291" s="284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59"/>
      <c r="BK291" s="259"/>
      <c r="BL291" s="259"/>
      <c r="BM291" s="259"/>
      <c r="BN291" s="259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59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  <c r="CO291" s="259"/>
      <c r="CP291" s="259"/>
      <c r="CQ291" s="259"/>
      <c r="CR291" s="259"/>
      <c r="CS291" s="259"/>
      <c r="CT291" s="259"/>
      <c r="CU291" s="259"/>
      <c r="CV291" s="259"/>
      <c r="CW291" s="259"/>
      <c r="CX291" s="259"/>
      <c r="CY291" s="259"/>
      <c r="CZ291" s="259"/>
      <c r="DA291" s="259"/>
      <c r="DB291" s="259"/>
      <c r="DC291" s="259"/>
      <c r="DD291" s="259"/>
      <c r="DE291" s="259"/>
      <c r="DF291" s="259"/>
      <c r="DG291" s="259"/>
      <c r="DH291" s="259"/>
      <c r="DI291" s="259"/>
      <c r="DJ291" s="259"/>
      <c r="DK291" s="259"/>
      <c r="DL291" s="259"/>
      <c r="DM291" s="259"/>
      <c r="DN291" s="259"/>
      <c r="DO291" s="259"/>
      <c r="DP291" s="259"/>
      <c r="DQ291" s="259"/>
      <c r="DR291" s="259"/>
      <c r="DS291" s="259"/>
      <c r="DT291" s="259"/>
      <c r="DU291" s="259"/>
      <c r="DV291" s="259"/>
      <c r="DW291" s="259"/>
      <c r="DX291" s="259"/>
      <c r="DY291" s="259"/>
      <c r="DZ291" s="259"/>
      <c r="EA291" s="259"/>
      <c r="EB291" s="259"/>
      <c r="EC291" s="259"/>
      <c r="ED291" s="259"/>
      <c r="EE291" s="259"/>
      <c r="EF291" s="259"/>
      <c r="EG291" s="259"/>
      <c r="EH291" s="259"/>
      <c r="EI291" s="259"/>
      <c r="EJ291" s="259"/>
      <c r="EK291" s="259"/>
      <c r="EL291" s="259"/>
      <c r="EM291" s="259"/>
      <c r="EN291" s="259"/>
      <c r="EO291" s="259"/>
      <c r="EP291" s="259"/>
      <c r="EQ291" s="259"/>
      <c r="ER291" s="259"/>
      <c r="ES291" s="259"/>
      <c r="ET291" s="259"/>
      <c r="EU291" s="259"/>
      <c r="EV291" s="259"/>
      <c r="EW291" s="259"/>
      <c r="EX291" s="259"/>
      <c r="EY291" s="259"/>
      <c r="EZ291" s="259"/>
      <c r="FA291" s="259"/>
      <c r="FB291" s="259"/>
      <c r="FC291" s="259"/>
      <c r="FD291" s="259"/>
      <c r="FE291" s="259"/>
      <c r="FF291" s="259"/>
      <c r="FG291" s="259"/>
      <c r="FH291" s="259"/>
      <c r="FI291" s="259"/>
      <c r="FJ291" s="259"/>
      <c r="FK291" s="259"/>
      <c r="FL291" s="259"/>
      <c r="FM291" s="259"/>
      <c r="FN291" s="259"/>
      <c r="FO291" s="259"/>
      <c r="FP291" s="259"/>
      <c r="FQ291" s="259"/>
      <c r="FR291" s="259"/>
      <c r="FS291" s="259"/>
      <c r="FT291" s="259"/>
      <c r="FU291" s="259"/>
      <c r="FV291" s="259"/>
      <c r="FW291" s="259"/>
      <c r="FX291" s="259"/>
      <c r="FY291" s="259"/>
      <c r="FZ291" s="259"/>
      <c r="GA291" s="259"/>
      <c r="GB291" s="259"/>
      <c r="GC291" s="259"/>
      <c r="GD291" s="259"/>
      <c r="GE291" s="259"/>
    </row>
    <row r="292" spans="2:187" s="147" customFormat="1" ht="16.5" customHeight="1">
      <c r="B292" s="251">
        <v>286</v>
      </c>
      <c r="C292" s="420" t="s">
        <v>702</v>
      </c>
      <c r="D292" s="420" t="s">
        <v>704</v>
      </c>
      <c r="E292" s="420" t="s">
        <v>142</v>
      </c>
      <c r="F292" s="420" t="s">
        <v>475</v>
      </c>
      <c r="G292" s="421">
        <v>4</v>
      </c>
      <c r="H292" s="421">
        <v>400000</v>
      </c>
      <c r="I292" s="252">
        <f t="shared" si="4"/>
        <v>75000</v>
      </c>
      <c r="J292" s="284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59"/>
      <c r="BK292" s="259"/>
      <c r="BL292" s="259"/>
      <c r="BM292" s="259"/>
      <c r="BN292" s="259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59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  <c r="CO292" s="259"/>
      <c r="CP292" s="259"/>
      <c r="CQ292" s="259"/>
      <c r="CR292" s="259"/>
      <c r="CS292" s="259"/>
      <c r="CT292" s="259"/>
      <c r="CU292" s="259"/>
      <c r="CV292" s="259"/>
      <c r="CW292" s="259"/>
      <c r="CX292" s="259"/>
      <c r="CY292" s="259"/>
      <c r="CZ292" s="259"/>
      <c r="DA292" s="259"/>
      <c r="DB292" s="259"/>
      <c r="DC292" s="259"/>
      <c r="DD292" s="259"/>
      <c r="DE292" s="259"/>
      <c r="DF292" s="259"/>
      <c r="DG292" s="259"/>
      <c r="DH292" s="259"/>
      <c r="DI292" s="259"/>
      <c r="DJ292" s="259"/>
      <c r="DK292" s="259"/>
      <c r="DL292" s="259"/>
      <c r="DM292" s="259"/>
      <c r="DN292" s="259"/>
      <c r="DO292" s="259"/>
      <c r="DP292" s="259"/>
      <c r="DQ292" s="259"/>
      <c r="DR292" s="259"/>
      <c r="DS292" s="259"/>
      <c r="DT292" s="259"/>
      <c r="DU292" s="259"/>
      <c r="DV292" s="259"/>
      <c r="DW292" s="259"/>
      <c r="DX292" s="259"/>
      <c r="DY292" s="259"/>
      <c r="DZ292" s="259"/>
      <c r="EA292" s="259"/>
      <c r="EB292" s="259"/>
      <c r="EC292" s="259"/>
      <c r="ED292" s="259"/>
      <c r="EE292" s="259"/>
      <c r="EF292" s="259"/>
      <c r="EG292" s="259"/>
      <c r="EH292" s="259"/>
      <c r="EI292" s="259"/>
      <c r="EJ292" s="259"/>
      <c r="EK292" s="259"/>
      <c r="EL292" s="259"/>
      <c r="EM292" s="259"/>
      <c r="EN292" s="259"/>
      <c r="EO292" s="259"/>
      <c r="EP292" s="259"/>
      <c r="EQ292" s="259"/>
      <c r="ER292" s="259"/>
      <c r="ES292" s="259"/>
      <c r="ET292" s="259"/>
      <c r="EU292" s="259"/>
      <c r="EV292" s="259"/>
      <c r="EW292" s="259"/>
      <c r="EX292" s="259"/>
      <c r="EY292" s="259"/>
      <c r="EZ292" s="259"/>
      <c r="FA292" s="259"/>
      <c r="FB292" s="259"/>
      <c r="FC292" s="259"/>
      <c r="FD292" s="259"/>
      <c r="FE292" s="259"/>
      <c r="FF292" s="259"/>
      <c r="FG292" s="259"/>
      <c r="FH292" s="259"/>
      <c r="FI292" s="259"/>
      <c r="FJ292" s="259"/>
      <c r="FK292" s="259"/>
      <c r="FL292" s="259"/>
      <c r="FM292" s="259"/>
      <c r="FN292" s="259"/>
      <c r="FO292" s="259"/>
      <c r="FP292" s="259"/>
      <c r="FQ292" s="259"/>
      <c r="FR292" s="259"/>
      <c r="FS292" s="259"/>
      <c r="FT292" s="259"/>
      <c r="FU292" s="259"/>
      <c r="FV292" s="259"/>
      <c r="FW292" s="259"/>
      <c r="FX292" s="259"/>
      <c r="FY292" s="259"/>
      <c r="FZ292" s="259"/>
      <c r="GA292" s="259"/>
      <c r="GB292" s="259"/>
      <c r="GC292" s="259"/>
      <c r="GD292" s="259"/>
      <c r="GE292" s="259"/>
    </row>
    <row r="293" spans="2:187" s="147" customFormat="1" ht="16.5" customHeight="1">
      <c r="B293" s="251">
        <v>287</v>
      </c>
      <c r="C293" s="420" t="s">
        <v>702</v>
      </c>
      <c r="D293" s="420" t="s">
        <v>710</v>
      </c>
      <c r="E293" s="420" t="s">
        <v>575</v>
      </c>
      <c r="F293" s="420" t="s">
        <v>475</v>
      </c>
      <c r="G293" s="421">
        <v>3</v>
      </c>
      <c r="H293" s="421">
        <v>300000</v>
      </c>
      <c r="I293" s="252">
        <f t="shared" si="4"/>
        <v>56250</v>
      </c>
      <c r="J293" s="284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59"/>
      <c r="BK293" s="259"/>
      <c r="BL293" s="259"/>
      <c r="BM293" s="259"/>
      <c r="BN293" s="259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59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  <c r="CO293" s="259"/>
      <c r="CP293" s="259"/>
      <c r="CQ293" s="259"/>
      <c r="CR293" s="259"/>
      <c r="CS293" s="259"/>
      <c r="CT293" s="259"/>
      <c r="CU293" s="259"/>
      <c r="CV293" s="259"/>
      <c r="CW293" s="259"/>
      <c r="CX293" s="259"/>
      <c r="CY293" s="259"/>
      <c r="CZ293" s="259"/>
      <c r="DA293" s="259"/>
      <c r="DB293" s="259"/>
      <c r="DC293" s="259"/>
      <c r="DD293" s="259"/>
      <c r="DE293" s="259"/>
      <c r="DF293" s="259"/>
      <c r="DG293" s="259"/>
      <c r="DH293" s="259"/>
      <c r="DI293" s="259"/>
      <c r="DJ293" s="259"/>
      <c r="DK293" s="259"/>
      <c r="DL293" s="259"/>
      <c r="DM293" s="259"/>
      <c r="DN293" s="259"/>
      <c r="DO293" s="259"/>
      <c r="DP293" s="259"/>
      <c r="DQ293" s="259"/>
      <c r="DR293" s="259"/>
      <c r="DS293" s="259"/>
      <c r="DT293" s="259"/>
      <c r="DU293" s="259"/>
      <c r="DV293" s="259"/>
      <c r="DW293" s="259"/>
      <c r="DX293" s="259"/>
      <c r="DY293" s="259"/>
      <c r="DZ293" s="259"/>
      <c r="EA293" s="259"/>
      <c r="EB293" s="259"/>
      <c r="EC293" s="259"/>
      <c r="ED293" s="259"/>
      <c r="EE293" s="259"/>
      <c r="EF293" s="259"/>
      <c r="EG293" s="259"/>
      <c r="EH293" s="259"/>
      <c r="EI293" s="259"/>
      <c r="EJ293" s="259"/>
      <c r="EK293" s="259"/>
      <c r="EL293" s="259"/>
      <c r="EM293" s="259"/>
      <c r="EN293" s="259"/>
      <c r="EO293" s="259"/>
      <c r="EP293" s="259"/>
      <c r="EQ293" s="259"/>
      <c r="ER293" s="259"/>
      <c r="ES293" s="259"/>
      <c r="ET293" s="259"/>
      <c r="EU293" s="259"/>
      <c r="EV293" s="259"/>
      <c r="EW293" s="259"/>
      <c r="EX293" s="259"/>
      <c r="EY293" s="259"/>
      <c r="EZ293" s="259"/>
      <c r="FA293" s="259"/>
      <c r="FB293" s="259"/>
      <c r="FC293" s="259"/>
      <c r="FD293" s="259"/>
      <c r="FE293" s="259"/>
      <c r="FF293" s="259"/>
      <c r="FG293" s="259"/>
      <c r="FH293" s="259"/>
      <c r="FI293" s="259"/>
      <c r="FJ293" s="259"/>
      <c r="FK293" s="259"/>
      <c r="FL293" s="259"/>
      <c r="FM293" s="259"/>
      <c r="FN293" s="259"/>
      <c r="FO293" s="259"/>
      <c r="FP293" s="259"/>
      <c r="FQ293" s="259"/>
      <c r="FR293" s="259"/>
      <c r="FS293" s="259"/>
      <c r="FT293" s="259"/>
      <c r="FU293" s="259"/>
      <c r="FV293" s="259"/>
      <c r="FW293" s="259"/>
      <c r="FX293" s="259"/>
      <c r="FY293" s="259"/>
      <c r="FZ293" s="259"/>
      <c r="GA293" s="259"/>
      <c r="GB293" s="259"/>
      <c r="GC293" s="259"/>
      <c r="GD293" s="259"/>
      <c r="GE293" s="259"/>
    </row>
    <row r="294" spans="2:187" s="147" customFormat="1" ht="16.5" customHeight="1">
      <c r="B294" s="251">
        <v>288</v>
      </c>
      <c r="C294" s="420" t="s">
        <v>702</v>
      </c>
      <c r="D294" s="420" t="s">
        <v>709</v>
      </c>
      <c r="E294" s="420" t="s">
        <v>555</v>
      </c>
      <c r="F294" s="420" t="s">
        <v>488</v>
      </c>
      <c r="G294" s="421">
        <v>7</v>
      </c>
      <c r="H294" s="421">
        <v>700000</v>
      </c>
      <c r="I294" s="252">
        <f t="shared" si="4"/>
        <v>131250</v>
      </c>
      <c r="J294" s="284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59"/>
      <c r="BK294" s="259"/>
      <c r="BL294" s="259"/>
      <c r="BM294" s="259"/>
      <c r="BN294" s="259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59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  <c r="CO294" s="259"/>
      <c r="CP294" s="259"/>
      <c r="CQ294" s="259"/>
      <c r="CR294" s="259"/>
      <c r="CS294" s="259"/>
      <c r="CT294" s="259"/>
      <c r="CU294" s="259"/>
      <c r="CV294" s="259"/>
      <c r="CW294" s="259"/>
      <c r="CX294" s="259"/>
      <c r="CY294" s="259"/>
      <c r="CZ294" s="259"/>
      <c r="DA294" s="259"/>
      <c r="DB294" s="259"/>
      <c r="DC294" s="259"/>
      <c r="DD294" s="259"/>
      <c r="DE294" s="259"/>
      <c r="DF294" s="259"/>
      <c r="DG294" s="259"/>
      <c r="DH294" s="259"/>
      <c r="DI294" s="259"/>
      <c r="DJ294" s="259"/>
      <c r="DK294" s="259"/>
      <c r="DL294" s="259"/>
      <c r="DM294" s="259"/>
      <c r="DN294" s="259"/>
      <c r="DO294" s="259"/>
      <c r="DP294" s="259"/>
      <c r="DQ294" s="259"/>
      <c r="DR294" s="259"/>
      <c r="DS294" s="259"/>
      <c r="DT294" s="259"/>
      <c r="DU294" s="259"/>
      <c r="DV294" s="259"/>
      <c r="DW294" s="259"/>
      <c r="DX294" s="259"/>
      <c r="DY294" s="259"/>
      <c r="DZ294" s="259"/>
      <c r="EA294" s="259"/>
      <c r="EB294" s="259"/>
      <c r="EC294" s="259"/>
      <c r="ED294" s="259"/>
      <c r="EE294" s="259"/>
      <c r="EF294" s="259"/>
      <c r="EG294" s="259"/>
      <c r="EH294" s="259"/>
      <c r="EI294" s="259"/>
      <c r="EJ294" s="259"/>
      <c r="EK294" s="259"/>
      <c r="EL294" s="259"/>
      <c r="EM294" s="259"/>
      <c r="EN294" s="259"/>
      <c r="EO294" s="259"/>
      <c r="EP294" s="259"/>
      <c r="EQ294" s="259"/>
      <c r="ER294" s="259"/>
      <c r="ES294" s="259"/>
      <c r="ET294" s="259"/>
      <c r="EU294" s="259"/>
      <c r="EV294" s="259"/>
      <c r="EW294" s="259"/>
      <c r="EX294" s="259"/>
      <c r="EY294" s="259"/>
      <c r="EZ294" s="259"/>
      <c r="FA294" s="259"/>
      <c r="FB294" s="259"/>
      <c r="FC294" s="259"/>
      <c r="FD294" s="259"/>
      <c r="FE294" s="259"/>
      <c r="FF294" s="259"/>
      <c r="FG294" s="259"/>
      <c r="FH294" s="259"/>
      <c r="FI294" s="259"/>
      <c r="FJ294" s="259"/>
      <c r="FK294" s="259"/>
      <c r="FL294" s="259"/>
      <c r="FM294" s="259"/>
      <c r="FN294" s="259"/>
      <c r="FO294" s="259"/>
      <c r="FP294" s="259"/>
      <c r="FQ294" s="259"/>
      <c r="FR294" s="259"/>
      <c r="FS294" s="259"/>
      <c r="FT294" s="259"/>
      <c r="FU294" s="259"/>
      <c r="FV294" s="259"/>
      <c r="FW294" s="259"/>
      <c r="FX294" s="259"/>
      <c r="FY294" s="259"/>
      <c r="FZ294" s="259"/>
      <c r="GA294" s="259"/>
      <c r="GB294" s="259"/>
      <c r="GC294" s="259"/>
      <c r="GD294" s="259"/>
      <c r="GE294" s="259"/>
    </row>
    <row r="295" spans="2:187" s="147" customFormat="1" ht="16.5" customHeight="1">
      <c r="B295" s="251">
        <v>289</v>
      </c>
      <c r="C295" s="420" t="s">
        <v>702</v>
      </c>
      <c r="D295" s="420" t="s">
        <v>711</v>
      </c>
      <c r="E295" s="420" t="s">
        <v>474</v>
      </c>
      <c r="F295" s="420" t="s">
        <v>475</v>
      </c>
      <c r="G295" s="421">
        <v>4</v>
      </c>
      <c r="H295" s="421">
        <v>400000</v>
      </c>
      <c r="I295" s="252">
        <f t="shared" si="4"/>
        <v>75000</v>
      </c>
      <c r="J295" s="284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59"/>
      <c r="BK295" s="259"/>
      <c r="BL295" s="259"/>
      <c r="BM295" s="259"/>
      <c r="BN295" s="259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59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  <c r="CO295" s="259"/>
      <c r="CP295" s="259"/>
      <c r="CQ295" s="259"/>
      <c r="CR295" s="259"/>
      <c r="CS295" s="259"/>
      <c r="CT295" s="259"/>
      <c r="CU295" s="259"/>
      <c r="CV295" s="259"/>
      <c r="CW295" s="259"/>
      <c r="CX295" s="259"/>
      <c r="CY295" s="259"/>
      <c r="CZ295" s="259"/>
      <c r="DA295" s="259"/>
      <c r="DB295" s="259"/>
      <c r="DC295" s="259"/>
      <c r="DD295" s="259"/>
      <c r="DE295" s="259"/>
      <c r="DF295" s="259"/>
      <c r="DG295" s="259"/>
      <c r="DH295" s="259"/>
      <c r="DI295" s="259"/>
      <c r="DJ295" s="259"/>
      <c r="DK295" s="259"/>
      <c r="DL295" s="259"/>
      <c r="DM295" s="259"/>
      <c r="DN295" s="259"/>
      <c r="DO295" s="259"/>
      <c r="DP295" s="259"/>
      <c r="DQ295" s="259"/>
      <c r="DR295" s="259"/>
      <c r="DS295" s="259"/>
      <c r="DT295" s="259"/>
      <c r="DU295" s="259"/>
      <c r="DV295" s="259"/>
      <c r="DW295" s="259"/>
      <c r="DX295" s="259"/>
      <c r="DY295" s="259"/>
      <c r="DZ295" s="259"/>
      <c r="EA295" s="259"/>
      <c r="EB295" s="259"/>
      <c r="EC295" s="259"/>
      <c r="ED295" s="259"/>
      <c r="EE295" s="259"/>
      <c r="EF295" s="259"/>
      <c r="EG295" s="259"/>
      <c r="EH295" s="259"/>
      <c r="EI295" s="259"/>
      <c r="EJ295" s="259"/>
      <c r="EK295" s="259"/>
      <c r="EL295" s="259"/>
      <c r="EM295" s="259"/>
      <c r="EN295" s="259"/>
      <c r="EO295" s="259"/>
      <c r="EP295" s="259"/>
      <c r="EQ295" s="259"/>
      <c r="ER295" s="259"/>
      <c r="ES295" s="259"/>
      <c r="ET295" s="259"/>
      <c r="EU295" s="259"/>
      <c r="EV295" s="259"/>
      <c r="EW295" s="259"/>
      <c r="EX295" s="259"/>
      <c r="EY295" s="259"/>
      <c r="EZ295" s="259"/>
      <c r="FA295" s="259"/>
      <c r="FB295" s="259"/>
      <c r="FC295" s="259"/>
      <c r="FD295" s="259"/>
      <c r="FE295" s="259"/>
      <c r="FF295" s="259"/>
      <c r="FG295" s="259"/>
      <c r="FH295" s="259"/>
      <c r="FI295" s="259"/>
      <c r="FJ295" s="259"/>
      <c r="FK295" s="259"/>
      <c r="FL295" s="259"/>
      <c r="FM295" s="259"/>
      <c r="FN295" s="259"/>
      <c r="FO295" s="259"/>
      <c r="FP295" s="259"/>
      <c r="FQ295" s="259"/>
      <c r="FR295" s="259"/>
      <c r="FS295" s="259"/>
      <c r="FT295" s="259"/>
      <c r="FU295" s="259"/>
      <c r="FV295" s="259"/>
      <c r="FW295" s="259"/>
      <c r="FX295" s="259"/>
      <c r="FY295" s="259"/>
      <c r="FZ295" s="259"/>
      <c r="GA295" s="259"/>
      <c r="GB295" s="259"/>
      <c r="GC295" s="259"/>
      <c r="GD295" s="259"/>
      <c r="GE295" s="259"/>
    </row>
    <row r="296" spans="2:187" s="147" customFormat="1" ht="16.5" customHeight="1">
      <c r="B296" s="251">
        <v>290</v>
      </c>
      <c r="C296" s="420" t="s">
        <v>702</v>
      </c>
      <c r="D296" s="420" t="s">
        <v>710</v>
      </c>
      <c r="E296" s="420" t="s">
        <v>575</v>
      </c>
      <c r="F296" s="420" t="s">
        <v>488</v>
      </c>
      <c r="G296" s="421">
        <v>2</v>
      </c>
      <c r="H296" s="421">
        <v>200000</v>
      </c>
      <c r="I296" s="252">
        <f t="shared" si="4"/>
        <v>37500</v>
      </c>
      <c r="J296" s="284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59"/>
      <c r="BK296" s="259"/>
      <c r="BL296" s="259"/>
      <c r="BM296" s="259"/>
      <c r="BN296" s="259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59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  <c r="CO296" s="259"/>
      <c r="CP296" s="259"/>
      <c r="CQ296" s="259"/>
      <c r="CR296" s="259"/>
      <c r="CS296" s="259"/>
      <c r="CT296" s="259"/>
      <c r="CU296" s="259"/>
      <c r="CV296" s="259"/>
      <c r="CW296" s="259"/>
      <c r="CX296" s="259"/>
      <c r="CY296" s="259"/>
      <c r="CZ296" s="259"/>
      <c r="DA296" s="259"/>
      <c r="DB296" s="259"/>
      <c r="DC296" s="259"/>
      <c r="DD296" s="259"/>
      <c r="DE296" s="259"/>
      <c r="DF296" s="259"/>
      <c r="DG296" s="259"/>
      <c r="DH296" s="259"/>
      <c r="DI296" s="259"/>
      <c r="DJ296" s="259"/>
      <c r="DK296" s="259"/>
      <c r="DL296" s="259"/>
      <c r="DM296" s="259"/>
      <c r="DN296" s="259"/>
      <c r="DO296" s="259"/>
      <c r="DP296" s="259"/>
      <c r="DQ296" s="259"/>
      <c r="DR296" s="259"/>
      <c r="DS296" s="259"/>
      <c r="DT296" s="259"/>
      <c r="DU296" s="259"/>
      <c r="DV296" s="259"/>
      <c r="DW296" s="259"/>
      <c r="DX296" s="259"/>
      <c r="DY296" s="259"/>
      <c r="DZ296" s="259"/>
      <c r="EA296" s="259"/>
      <c r="EB296" s="259"/>
      <c r="EC296" s="259"/>
      <c r="ED296" s="259"/>
      <c r="EE296" s="259"/>
      <c r="EF296" s="259"/>
      <c r="EG296" s="259"/>
      <c r="EH296" s="259"/>
      <c r="EI296" s="259"/>
      <c r="EJ296" s="259"/>
      <c r="EK296" s="259"/>
      <c r="EL296" s="259"/>
      <c r="EM296" s="259"/>
      <c r="EN296" s="259"/>
      <c r="EO296" s="259"/>
      <c r="EP296" s="259"/>
      <c r="EQ296" s="259"/>
      <c r="ER296" s="259"/>
      <c r="ES296" s="259"/>
      <c r="ET296" s="259"/>
      <c r="EU296" s="259"/>
      <c r="EV296" s="259"/>
      <c r="EW296" s="259"/>
      <c r="EX296" s="259"/>
      <c r="EY296" s="259"/>
      <c r="EZ296" s="259"/>
      <c r="FA296" s="259"/>
      <c r="FB296" s="259"/>
      <c r="FC296" s="259"/>
      <c r="FD296" s="259"/>
      <c r="FE296" s="259"/>
      <c r="FF296" s="259"/>
      <c r="FG296" s="259"/>
      <c r="FH296" s="259"/>
      <c r="FI296" s="259"/>
      <c r="FJ296" s="259"/>
      <c r="FK296" s="259"/>
      <c r="FL296" s="259"/>
      <c r="FM296" s="259"/>
      <c r="FN296" s="259"/>
      <c r="FO296" s="259"/>
      <c r="FP296" s="259"/>
      <c r="FQ296" s="259"/>
      <c r="FR296" s="259"/>
      <c r="FS296" s="259"/>
      <c r="FT296" s="259"/>
      <c r="FU296" s="259"/>
      <c r="FV296" s="259"/>
      <c r="FW296" s="259"/>
      <c r="FX296" s="259"/>
      <c r="FY296" s="259"/>
      <c r="FZ296" s="259"/>
      <c r="GA296" s="259"/>
      <c r="GB296" s="259"/>
      <c r="GC296" s="259"/>
      <c r="GD296" s="259"/>
      <c r="GE296" s="259"/>
    </row>
    <row r="297" spans="2:187" s="147" customFormat="1" ht="16.5" customHeight="1">
      <c r="B297" s="251">
        <v>291</v>
      </c>
      <c r="C297" s="420" t="s">
        <v>702</v>
      </c>
      <c r="D297" s="420" t="s">
        <v>712</v>
      </c>
      <c r="E297" s="420" t="s">
        <v>525</v>
      </c>
      <c r="F297" s="420" t="s">
        <v>569</v>
      </c>
      <c r="G297" s="421">
        <v>1</v>
      </c>
      <c r="H297" s="421">
        <v>100000</v>
      </c>
      <c r="I297" s="252">
        <f t="shared" si="4"/>
        <v>18750</v>
      </c>
      <c r="J297" s="284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59"/>
      <c r="BK297" s="259"/>
      <c r="BL297" s="259"/>
      <c r="BM297" s="259"/>
      <c r="BN297" s="259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59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  <c r="CO297" s="259"/>
      <c r="CP297" s="259"/>
      <c r="CQ297" s="259"/>
      <c r="CR297" s="259"/>
      <c r="CS297" s="259"/>
      <c r="CT297" s="259"/>
      <c r="CU297" s="259"/>
      <c r="CV297" s="259"/>
      <c r="CW297" s="259"/>
      <c r="CX297" s="259"/>
      <c r="CY297" s="259"/>
      <c r="CZ297" s="259"/>
      <c r="DA297" s="259"/>
      <c r="DB297" s="259"/>
      <c r="DC297" s="259"/>
      <c r="DD297" s="259"/>
      <c r="DE297" s="259"/>
      <c r="DF297" s="259"/>
      <c r="DG297" s="259"/>
      <c r="DH297" s="259"/>
      <c r="DI297" s="259"/>
      <c r="DJ297" s="259"/>
      <c r="DK297" s="259"/>
      <c r="DL297" s="259"/>
      <c r="DM297" s="259"/>
      <c r="DN297" s="259"/>
      <c r="DO297" s="259"/>
      <c r="DP297" s="259"/>
      <c r="DQ297" s="259"/>
      <c r="DR297" s="259"/>
      <c r="DS297" s="259"/>
      <c r="DT297" s="259"/>
      <c r="DU297" s="259"/>
      <c r="DV297" s="259"/>
      <c r="DW297" s="259"/>
      <c r="DX297" s="259"/>
      <c r="DY297" s="259"/>
      <c r="DZ297" s="259"/>
      <c r="EA297" s="259"/>
      <c r="EB297" s="259"/>
      <c r="EC297" s="259"/>
      <c r="ED297" s="259"/>
      <c r="EE297" s="259"/>
      <c r="EF297" s="259"/>
      <c r="EG297" s="259"/>
      <c r="EH297" s="259"/>
      <c r="EI297" s="259"/>
      <c r="EJ297" s="259"/>
      <c r="EK297" s="259"/>
      <c r="EL297" s="259"/>
      <c r="EM297" s="259"/>
      <c r="EN297" s="259"/>
      <c r="EO297" s="259"/>
      <c r="EP297" s="259"/>
      <c r="EQ297" s="259"/>
      <c r="ER297" s="259"/>
      <c r="ES297" s="259"/>
      <c r="ET297" s="259"/>
      <c r="EU297" s="259"/>
      <c r="EV297" s="259"/>
      <c r="EW297" s="259"/>
      <c r="EX297" s="259"/>
      <c r="EY297" s="259"/>
      <c r="EZ297" s="259"/>
      <c r="FA297" s="259"/>
      <c r="FB297" s="259"/>
      <c r="FC297" s="259"/>
      <c r="FD297" s="259"/>
      <c r="FE297" s="259"/>
      <c r="FF297" s="259"/>
      <c r="FG297" s="259"/>
      <c r="FH297" s="259"/>
      <c r="FI297" s="259"/>
      <c r="FJ297" s="259"/>
      <c r="FK297" s="259"/>
      <c r="FL297" s="259"/>
      <c r="FM297" s="259"/>
      <c r="FN297" s="259"/>
      <c r="FO297" s="259"/>
      <c r="FP297" s="259"/>
      <c r="FQ297" s="259"/>
      <c r="FR297" s="259"/>
      <c r="FS297" s="259"/>
      <c r="FT297" s="259"/>
      <c r="FU297" s="259"/>
      <c r="FV297" s="259"/>
      <c r="FW297" s="259"/>
      <c r="FX297" s="259"/>
      <c r="FY297" s="259"/>
      <c r="FZ297" s="259"/>
      <c r="GA297" s="259"/>
      <c r="GB297" s="259"/>
      <c r="GC297" s="259"/>
      <c r="GD297" s="259"/>
      <c r="GE297" s="259"/>
    </row>
    <row r="298" spans="2:187" s="147" customFormat="1" ht="16.5" customHeight="1">
      <c r="B298" s="251">
        <v>292</v>
      </c>
      <c r="C298" s="420" t="s">
        <v>702</v>
      </c>
      <c r="D298" s="420" t="s">
        <v>703</v>
      </c>
      <c r="E298" s="420" t="s">
        <v>573</v>
      </c>
      <c r="F298" s="420" t="s">
        <v>488</v>
      </c>
      <c r="G298" s="421">
        <v>2</v>
      </c>
      <c r="H298" s="421">
        <v>200000</v>
      </c>
      <c r="I298" s="252">
        <f t="shared" si="4"/>
        <v>37500</v>
      </c>
      <c r="J298" s="284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59"/>
      <c r="BK298" s="259"/>
      <c r="BL298" s="259"/>
      <c r="BM298" s="259"/>
      <c r="BN298" s="259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59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  <c r="CO298" s="259"/>
      <c r="CP298" s="259"/>
      <c r="CQ298" s="259"/>
      <c r="CR298" s="259"/>
      <c r="CS298" s="259"/>
      <c r="CT298" s="259"/>
      <c r="CU298" s="259"/>
      <c r="CV298" s="259"/>
      <c r="CW298" s="259"/>
      <c r="CX298" s="259"/>
      <c r="CY298" s="259"/>
      <c r="CZ298" s="259"/>
      <c r="DA298" s="259"/>
      <c r="DB298" s="259"/>
      <c r="DC298" s="259"/>
      <c r="DD298" s="259"/>
      <c r="DE298" s="259"/>
      <c r="DF298" s="259"/>
      <c r="DG298" s="259"/>
      <c r="DH298" s="259"/>
      <c r="DI298" s="259"/>
      <c r="DJ298" s="259"/>
      <c r="DK298" s="259"/>
      <c r="DL298" s="259"/>
      <c r="DM298" s="259"/>
      <c r="DN298" s="259"/>
      <c r="DO298" s="259"/>
      <c r="DP298" s="259"/>
      <c r="DQ298" s="259"/>
      <c r="DR298" s="259"/>
      <c r="DS298" s="259"/>
      <c r="DT298" s="259"/>
      <c r="DU298" s="259"/>
      <c r="DV298" s="259"/>
      <c r="DW298" s="259"/>
      <c r="DX298" s="259"/>
      <c r="DY298" s="259"/>
      <c r="DZ298" s="259"/>
      <c r="EA298" s="259"/>
      <c r="EB298" s="259"/>
      <c r="EC298" s="259"/>
      <c r="ED298" s="259"/>
      <c r="EE298" s="259"/>
      <c r="EF298" s="259"/>
      <c r="EG298" s="259"/>
      <c r="EH298" s="259"/>
      <c r="EI298" s="259"/>
      <c r="EJ298" s="259"/>
      <c r="EK298" s="259"/>
      <c r="EL298" s="259"/>
      <c r="EM298" s="259"/>
      <c r="EN298" s="259"/>
      <c r="EO298" s="259"/>
      <c r="EP298" s="259"/>
      <c r="EQ298" s="259"/>
      <c r="ER298" s="259"/>
      <c r="ES298" s="259"/>
      <c r="ET298" s="259"/>
      <c r="EU298" s="259"/>
      <c r="EV298" s="259"/>
      <c r="EW298" s="259"/>
      <c r="EX298" s="259"/>
      <c r="EY298" s="259"/>
      <c r="EZ298" s="259"/>
      <c r="FA298" s="259"/>
      <c r="FB298" s="259"/>
      <c r="FC298" s="259"/>
      <c r="FD298" s="259"/>
      <c r="FE298" s="259"/>
      <c r="FF298" s="259"/>
      <c r="FG298" s="259"/>
      <c r="FH298" s="259"/>
      <c r="FI298" s="259"/>
      <c r="FJ298" s="259"/>
      <c r="FK298" s="259"/>
      <c r="FL298" s="259"/>
      <c r="FM298" s="259"/>
      <c r="FN298" s="259"/>
      <c r="FO298" s="259"/>
      <c r="FP298" s="259"/>
      <c r="FQ298" s="259"/>
      <c r="FR298" s="259"/>
      <c r="FS298" s="259"/>
      <c r="FT298" s="259"/>
      <c r="FU298" s="259"/>
      <c r="FV298" s="259"/>
      <c r="FW298" s="259"/>
      <c r="FX298" s="259"/>
      <c r="FY298" s="259"/>
      <c r="FZ298" s="259"/>
      <c r="GA298" s="259"/>
      <c r="GB298" s="259"/>
      <c r="GC298" s="259"/>
      <c r="GD298" s="259"/>
      <c r="GE298" s="259"/>
    </row>
    <row r="299" spans="2:187" s="147" customFormat="1" ht="16.5" customHeight="1">
      <c r="B299" s="251">
        <v>293</v>
      </c>
      <c r="C299" s="420" t="s">
        <v>702</v>
      </c>
      <c r="D299" s="420" t="s">
        <v>710</v>
      </c>
      <c r="E299" s="420" t="s">
        <v>575</v>
      </c>
      <c r="F299" s="420" t="s">
        <v>579</v>
      </c>
      <c r="G299" s="421">
        <v>1</v>
      </c>
      <c r="H299" s="421">
        <v>101800</v>
      </c>
      <c r="I299" s="252">
        <f t="shared" si="4"/>
        <v>19087.5</v>
      </c>
      <c r="J299" s="284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59"/>
      <c r="BK299" s="259"/>
      <c r="BL299" s="259"/>
      <c r="BM299" s="259"/>
      <c r="BN299" s="259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59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  <c r="CO299" s="259"/>
      <c r="CP299" s="259"/>
      <c r="CQ299" s="259"/>
      <c r="CR299" s="259"/>
      <c r="CS299" s="259"/>
      <c r="CT299" s="259"/>
      <c r="CU299" s="259"/>
      <c r="CV299" s="259"/>
      <c r="CW299" s="259"/>
      <c r="CX299" s="259"/>
      <c r="CY299" s="259"/>
      <c r="CZ299" s="259"/>
      <c r="DA299" s="259"/>
      <c r="DB299" s="259"/>
      <c r="DC299" s="259"/>
      <c r="DD299" s="259"/>
      <c r="DE299" s="259"/>
      <c r="DF299" s="259"/>
      <c r="DG299" s="259"/>
      <c r="DH299" s="259"/>
      <c r="DI299" s="259"/>
      <c r="DJ299" s="259"/>
      <c r="DK299" s="259"/>
      <c r="DL299" s="259"/>
      <c r="DM299" s="259"/>
      <c r="DN299" s="259"/>
      <c r="DO299" s="259"/>
      <c r="DP299" s="259"/>
      <c r="DQ299" s="259"/>
      <c r="DR299" s="259"/>
      <c r="DS299" s="259"/>
      <c r="DT299" s="259"/>
      <c r="DU299" s="259"/>
      <c r="DV299" s="259"/>
      <c r="DW299" s="259"/>
      <c r="DX299" s="259"/>
      <c r="DY299" s="259"/>
      <c r="DZ299" s="259"/>
      <c r="EA299" s="259"/>
      <c r="EB299" s="259"/>
      <c r="EC299" s="259"/>
      <c r="ED299" s="259"/>
      <c r="EE299" s="259"/>
      <c r="EF299" s="259"/>
      <c r="EG299" s="259"/>
      <c r="EH299" s="259"/>
      <c r="EI299" s="259"/>
      <c r="EJ299" s="259"/>
      <c r="EK299" s="259"/>
      <c r="EL299" s="259"/>
      <c r="EM299" s="259"/>
      <c r="EN299" s="259"/>
      <c r="EO299" s="259"/>
      <c r="EP299" s="259"/>
      <c r="EQ299" s="259"/>
      <c r="ER299" s="259"/>
      <c r="ES299" s="259"/>
      <c r="ET299" s="259"/>
      <c r="EU299" s="259"/>
      <c r="EV299" s="259"/>
      <c r="EW299" s="259"/>
      <c r="EX299" s="259"/>
      <c r="EY299" s="259"/>
      <c r="EZ299" s="259"/>
      <c r="FA299" s="259"/>
      <c r="FB299" s="259"/>
      <c r="FC299" s="259"/>
      <c r="FD299" s="259"/>
      <c r="FE299" s="259"/>
      <c r="FF299" s="259"/>
      <c r="FG299" s="259"/>
      <c r="FH299" s="259"/>
      <c r="FI299" s="259"/>
      <c r="FJ299" s="259"/>
      <c r="FK299" s="259"/>
      <c r="FL299" s="259"/>
      <c r="FM299" s="259"/>
      <c r="FN299" s="259"/>
      <c r="FO299" s="259"/>
      <c r="FP299" s="259"/>
      <c r="FQ299" s="259"/>
      <c r="FR299" s="259"/>
      <c r="FS299" s="259"/>
      <c r="FT299" s="259"/>
      <c r="FU299" s="259"/>
      <c r="FV299" s="259"/>
      <c r="FW299" s="259"/>
      <c r="FX299" s="259"/>
      <c r="FY299" s="259"/>
      <c r="FZ299" s="259"/>
      <c r="GA299" s="259"/>
      <c r="GB299" s="259"/>
      <c r="GC299" s="259"/>
      <c r="GD299" s="259"/>
      <c r="GE299" s="259"/>
    </row>
    <row r="300" spans="2:187" s="147" customFormat="1" ht="16.5" customHeight="1">
      <c r="B300" s="251">
        <v>294</v>
      </c>
      <c r="C300" s="420" t="s">
        <v>702</v>
      </c>
      <c r="D300" s="420" t="s">
        <v>704</v>
      </c>
      <c r="E300" s="420" t="s">
        <v>142</v>
      </c>
      <c r="F300" s="420" t="s">
        <v>713</v>
      </c>
      <c r="G300" s="421">
        <v>1</v>
      </c>
      <c r="H300" s="421">
        <v>434600</v>
      </c>
      <c r="I300" s="252">
        <f t="shared" si="4"/>
        <v>81487.5</v>
      </c>
      <c r="J300" s="284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59"/>
      <c r="BK300" s="259"/>
      <c r="BL300" s="259"/>
      <c r="BM300" s="259"/>
      <c r="BN300" s="259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59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  <c r="CO300" s="259"/>
      <c r="CP300" s="259"/>
      <c r="CQ300" s="259"/>
      <c r="CR300" s="259"/>
      <c r="CS300" s="259"/>
      <c r="CT300" s="259"/>
      <c r="CU300" s="259"/>
      <c r="CV300" s="259"/>
      <c r="CW300" s="259"/>
      <c r="CX300" s="259"/>
      <c r="CY300" s="259"/>
      <c r="CZ300" s="259"/>
      <c r="DA300" s="259"/>
      <c r="DB300" s="259"/>
      <c r="DC300" s="259"/>
      <c r="DD300" s="259"/>
      <c r="DE300" s="259"/>
      <c r="DF300" s="259"/>
      <c r="DG300" s="259"/>
      <c r="DH300" s="259"/>
      <c r="DI300" s="259"/>
      <c r="DJ300" s="259"/>
      <c r="DK300" s="259"/>
      <c r="DL300" s="259"/>
      <c r="DM300" s="259"/>
      <c r="DN300" s="259"/>
      <c r="DO300" s="259"/>
      <c r="DP300" s="259"/>
      <c r="DQ300" s="259"/>
      <c r="DR300" s="259"/>
      <c r="DS300" s="259"/>
      <c r="DT300" s="259"/>
      <c r="DU300" s="259"/>
      <c r="DV300" s="259"/>
      <c r="DW300" s="259"/>
      <c r="DX300" s="259"/>
      <c r="DY300" s="259"/>
      <c r="DZ300" s="259"/>
      <c r="EA300" s="259"/>
      <c r="EB300" s="259"/>
      <c r="EC300" s="259"/>
      <c r="ED300" s="259"/>
      <c r="EE300" s="259"/>
      <c r="EF300" s="259"/>
      <c r="EG300" s="259"/>
      <c r="EH300" s="259"/>
      <c r="EI300" s="259"/>
      <c r="EJ300" s="259"/>
      <c r="EK300" s="259"/>
      <c r="EL300" s="259"/>
      <c r="EM300" s="259"/>
      <c r="EN300" s="259"/>
      <c r="EO300" s="259"/>
      <c r="EP300" s="259"/>
      <c r="EQ300" s="259"/>
      <c r="ER300" s="259"/>
      <c r="ES300" s="259"/>
      <c r="ET300" s="259"/>
      <c r="EU300" s="259"/>
      <c r="EV300" s="259"/>
      <c r="EW300" s="259"/>
      <c r="EX300" s="259"/>
      <c r="EY300" s="259"/>
      <c r="EZ300" s="259"/>
      <c r="FA300" s="259"/>
      <c r="FB300" s="259"/>
      <c r="FC300" s="259"/>
      <c r="FD300" s="259"/>
      <c r="FE300" s="259"/>
      <c r="FF300" s="259"/>
      <c r="FG300" s="259"/>
      <c r="FH300" s="259"/>
      <c r="FI300" s="259"/>
      <c r="FJ300" s="259"/>
      <c r="FK300" s="259"/>
      <c r="FL300" s="259"/>
      <c r="FM300" s="259"/>
      <c r="FN300" s="259"/>
      <c r="FO300" s="259"/>
      <c r="FP300" s="259"/>
      <c r="FQ300" s="259"/>
      <c r="FR300" s="259"/>
      <c r="FS300" s="259"/>
      <c r="FT300" s="259"/>
      <c r="FU300" s="259"/>
      <c r="FV300" s="259"/>
      <c r="FW300" s="259"/>
      <c r="FX300" s="259"/>
      <c r="FY300" s="259"/>
      <c r="FZ300" s="259"/>
      <c r="GA300" s="259"/>
      <c r="GB300" s="259"/>
      <c r="GC300" s="259"/>
      <c r="GD300" s="259"/>
      <c r="GE300" s="259"/>
    </row>
    <row r="301" spans="2:187" s="147" customFormat="1" ht="16.5" customHeight="1">
      <c r="B301" s="251">
        <v>295</v>
      </c>
      <c r="C301" s="420" t="s">
        <v>702</v>
      </c>
      <c r="D301" s="420" t="s">
        <v>710</v>
      </c>
      <c r="E301" s="420" t="s">
        <v>575</v>
      </c>
      <c r="F301" s="420" t="s">
        <v>495</v>
      </c>
      <c r="G301" s="421">
        <v>1</v>
      </c>
      <c r="H301" s="421">
        <v>200000</v>
      </c>
      <c r="I301" s="252">
        <f t="shared" si="4"/>
        <v>37500</v>
      </c>
      <c r="J301" s="284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59"/>
      <c r="BK301" s="259"/>
      <c r="BL301" s="259"/>
      <c r="BM301" s="259"/>
      <c r="BN301" s="259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59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  <c r="CO301" s="259"/>
      <c r="CP301" s="259"/>
      <c r="CQ301" s="259"/>
      <c r="CR301" s="259"/>
      <c r="CS301" s="259"/>
      <c r="CT301" s="259"/>
      <c r="CU301" s="259"/>
      <c r="CV301" s="259"/>
      <c r="CW301" s="259"/>
      <c r="CX301" s="259"/>
      <c r="CY301" s="259"/>
      <c r="CZ301" s="259"/>
      <c r="DA301" s="259"/>
      <c r="DB301" s="259"/>
      <c r="DC301" s="259"/>
      <c r="DD301" s="259"/>
      <c r="DE301" s="259"/>
      <c r="DF301" s="259"/>
      <c r="DG301" s="259"/>
      <c r="DH301" s="259"/>
      <c r="DI301" s="259"/>
      <c r="DJ301" s="259"/>
      <c r="DK301" s="259"/>
      <c r="DL301" s="259"/>
      <c r="DM301" s="259"/>
      <c r="DN301" s="259"/>
      <c r="DO301" s="259"/>
      <c r="DP301" s="259"/>
      <c r="DQ301" s="259"/>
      <c r="DR301" s="259"/>
      <c r="DS301" s="259"/>
      <c r="DT301" s="259"/>
      <c r="DU301" s="259"/>
      <c r="DV301" s="259"/>
      <c r="DW301" s="259"/>
      <c r="DX301" s="259"/>
      <c r="DY301" s="259"/>
      <c r="DZ301" s="259"/>
      <c r="EA301" s="259"/>
      <c r="EB301" s="259"/>
      <c r="EC301" s="259"/>
      <c r="ED301" s="259"/>
      <c r="EE301" s="259"/>
      <c r="EF301" s="259"/>
      <c r="EG301" s="259"/>
      <c r="EH301" s="259"/>
      <c r="EI301" s="259"/>
      <c r="EJ301" s="259"/>
      <c r="EK301" s="259"/>
      <c r="EL301" s="259"/>
      <c r="EM301" s="259"/>
      <c r="EN301" s="259"/>
      <c r="EO301" s="259"/>
      <c r="EP301" s="259"/>
      <c r="EQ301" s="259"/>
      <c r="ER301" s="259"/>
      <c r="ES301" s="259"/>
      <c r="ET301" s="259"/>
      <c r="EU301" s="259"/>
      <c r="EV301" s="259"/>
      <c r="EW301" s="259"/>
      <c r="EX301" s="259"/>
      <c r="EY301" s="259"/>
      <c r="EZ301" s="259"/>
      <c r="FA301" s="259"/>
      <c r="FB301" s="259"/>
      <c r="FC301" s="259"/>
      <c r="FD301" s="259"/>
      <c r="FE301" s="259"/>
      <c r="FF301" s="259"/>
      <c r="FG301" s="259"/>
      <c r="FH301" s="259"/>
      <c r="FI301" s="259"/>
      <c r="FJ301" s="259"/>
      <c r="FK301" s="259"/>
      <c r="FL301" s="259"/>
      <c r="FM301" s="259"/>
      <c r="FN301" s="259"/>
      <c r="FO301" s="259"/>
      <c r="FP301" s="259"/>
      <c r="FQ301" s="259"/>
      <c r="FR301" s="259"/>
      <c r="FS301" s="259"/>
      <c r="FT301" s="259"/>
      <c r="FU301" s="259"/>
      <c r="FV301" s="259"/>
      <c r="FW301" s="259"/>
      <c r="FX301" s="259"/>
      <c r="FY301" s="259"/>
      <c r="FZ301" s="259"/>
      <c r="GA301" s="259"/>
      <c r="GB301" s="259"/>
      <c r="GC301" s="259"/>
      <c r="GD301" s="259"/>
      <c r="GE301" s="259"/>
    </row>
    <row r="302" spans="2:187" s="147" customFormat="1" ht="16.5" customHeight="1">
      <c r="B302" s="251">
        <v>296</v>
      </c>
      <c r="C302" s="420" t="s">
        <v>702</v>
      </c>
      <c r="D302" s="420" t="s">
        <v>693</v>
      </c>
      <c r="E302" s="420" t="s">
        <v>504</v>
      </c>
      <c r="F302" s="420" t="s">
        <v>653</v>
      </c>
      <c r="G302" s="421">
        <v>1</v>
      </c>
      <c r="H302" s="421">
        <v>257000</v>
      </c>
      <c r="I302" s="252">
        <f t="shared" si="4"/>
        <v>48187.5</v>
      </c>
      <c r="J302" s="284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59"/>
      <c r="BK302" s="259"/>
      <c r="BL302" s="259"/>
      <c r="BM302" s="259"/>
      <c r="BN302" s="259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59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  <c r="CO302" s="259"/>
      <c r="CP302" s="259"/>
      <c r="CQ302" s="259"/>
      <c r="CR302" s="259"/>
      <c r="CS302" s="259"/>
      <c r="CT302" s="259"/>
      <c r="CU302" s="259"/>
      <c r="CV302" s="259"/>
      <c r="CW302" s="259"/>
      <c r="CX302" s="259"/>
      <c r="CY302" s="259"/>
      <c r="CZ302" s="259"/>
      <c r="DA302" s="259"/>
      <c r="DB302" s="259"/>
      <c r="DC302" s="259"/>
      <c r="DD302" s="259"/>
      <c r="DE302" s="259"/>
      <c r="DF302" s="259"/>
      <c r="DG302" s="259"/>
      <c r="DH302" s="259"/>
      <c r="DI302" s="259"/>
      <c r="DJ302" s="259"/>
      <c r="DK302" s="259"/>
      <c r="DL302" s="259"/>
      <c r="DM302" s="259"/>
      <c r="DN302" s="259"/>
      <c r="DO302" s="259"/>
      <c r="DP302" s="259"/>
      <c r="DQ302" s="259"/>
      <c r="DR302" s="259"/>
      <c r="DS302" s="259"/>
      <c r="DT302" s="259"/>
      <c r="DU302" s="259"/>
      <c r="DV302" s="259"/>
      <c r="DW302" s="259"/>
      <c r="DX302" s="259"/>
      <c r="DY302" s="259"/>
      <c r="DZ302" s="259"/>
      <c r="EA302" s="259"/>
      <c r="EB302" s="259"/>
      <c r="EC302" s="259"/>
      <c r="ED302" s="259"/>
      <c r="EE302" s="259"/>
      <c r="EF302" s="259"/>
      <c r="EG302" s="259"/>
      <c r="EH302" s="259"/>
      <c r="EI302" s="259"/>
      <c r="EJ302" s="259"/>
      <c r="EK302" s="259"/>
      <c r="EL302" s="259"/>
      <c r="EM302" s="259"/>
      <c r="EN302" s="259"/>
      <c r="EO302" s="259"/>
      <c r="EP302" s="259"/>
      <c r="EQ302" s="259"/>
      <c r="ER302" s="259"/>
      <c r="ES302" s="259"/>
      <c r="ET302" s="259"/>
      <c r="EU302" s="259"/>
      <c r="EV302" s="259"/>
      <c r="EW302" s="259"/>
      <c r="EX302" s="259"/>
      <c r="EY302" s="259"/>
      <c r="EZ302" s="259"/>
      <c r="FA302" s="259"/>
      <c r="FB302" s="259"/>
      <c r="FC302" s="259"/>
      <c r="FD302" s="259"/>
      <c r="FE302" s="259"/>
      <c r="FF302" s="259"/>
      <c r="FG302" s="259"/>
      <c r="FH302" s="259"/>
      <c r="FI302" s="259"/>
      <c r="FJ302" s="259"/>
      <c r="FK302" s="259"/>
      <c r="FL302" s="259"/>
      <c r="FM302" s="259"/>
      <c r="FN302" s="259"/>
      <c r="FO302" s="259"/>
      <c r="FP302" s="259"/>
      <c r="FQ302" s="259"/>
      <c r="FR302" s="259"/>
      <c r="FS302" s="259"/>
      <c r="FT302" s="259"/>
      <c r="FU302" s="259"/>
      <c r="FV302" s="259"/>
      <c r="FW302" s="259"/>
      <c r="FX302" s="259"/>
      <c r="FY302" s="259"/>
      <c r="FZ302" s="259"/>
      <c r="GA302" s="259"/>
      <c r="GB302" s="259"/>
      <c r="GC302" s="259"/>
      <c r="GD302" s="259"/>
      <c r="GE302" s="259"/>
    </row>
    <row r="303" spans="2:187" s="147" customFormat="1" ht="16.5" customHeight="1">
      <c r="B303" s="251">
        <v>297</v>
      </c>
      <c r="C303" s="420" t="s">
        <v>702</v>
      </c>
      <c r="D303" s="420" t="s">
        <v>714</v>
      </c>
      <c r="E303" s="420" t="s">
        <v>687</v>
      </c>
      <c r="F303" s="420" t="s">
        <v>495</v>
      </c>
      <c r="G303" s="421">
        <v>1</v>
      </c>
      <c r="H303" s="421">
        <v>200000</v>
      </c>
      <c r="I303" s="252">
        <f t="shared" si="4"/>
        <v>37500</v>
      </c>
      <c r="J303" s="219"/>
    </row>
    <row r="304" spans="2:187" s="147" customFormat="1" ht="16.5" customHeight="1">
      <c r="B304" s="251">
        <v>298</v>
      </c>
      <c r="C304" s="420" t="s">
        <v>715</v>
      </c>
      <c r="D304" s="420" t="s">
        <v>716</v>
      </c>
      <c r="E304" s="420" t="s">
        <v>667</v>
      </c>
      <c r="F304" s="420" t="s">
        <v>495</v>
      </c>
      <c r="G304" s="421">
        <v>1</v>
      </c>
      <c r="H304" s="421">
        <v>200000</v>
      </c>
      <c r="I304" s="252">
        <f t="shared" si="4"/>
        <v>37500</v>
      </c>
      <c r="J304" s="219"/>
    </row>
    <row r="305" spans="2:10" s="147" customFormat="1" ht="16.5" customHeight="1">
      <c r="B305" s="251">
        <v>299</v>
      </c>
      <c r="C305" s="420" t="s">
        <v>717</v>
      </c>
      <c r="D305" s="420" t="s">
        <v>718</v>
      </c>
      <c r="E305" s="420" t="s">
        <v>591</v>
      </c>
      <c r="F305" s="420" t="s">
        <v>614</v>
      </c>
      <c r="G305" s="421">
        <v>1</v>
      </c>
      <c r="H305" s="421">
        <v>372700</v>
      </c>
      <c r="I305" s="252">
        <f t="shared" si="4"/>
        <v>69881.25</v>
      </c>
      <c r="J305" s="219"/>
    </row>
    <row r="306" spans="2:10" s="147" customFormat="1" ht="16.5" customHeight="1">
      <c r="B306" s="251">
        <v>300</v>
      </c>
      <c r="C306" s="420" t="s">
        <v>719</v>
      </c>
      <c r="D306" s="420" t="s">
        <v>720</v>
      </c>
      <c r="E306" s="420" t="s">
        <v>577</v>
      </c>
      <c r="F306" s="420" t="s">
        <v>488</v>
      </c>
      <c r="G306" s="421">
        <v>4</v>
      </c>
      <c r="H306" s="421">
        <v>400000</v>
      </c>
      <c r="I306" s="252">
        <f t="shared" si="4"/>
        <v>75000</v>
      </c>
      <c r="J306" s="219"/>
    </row>
    <row r="307" spans="2:10" s="147" customFormat="1" ht="16.5" customHeight="1">
      <c r="B307" s="251">
        <v>301</v>
      </c>
      <c r="C307" s="420" t="s">
        <v>719</v>
      </c>
      <c r="D307" s="420" t="s">
        <v>721</v>
      </c>
      <c r="E307" s="420" t="s">
        <v>722</v>
      </c>
      <c r="F307" s="420" t="s">
        <v>488</v>
      </c>
      <c r="G307" s="421">
        <v>4</v>
      </c>
      <c r="H307" s="421">
        <v>400000</v>
      </c>
      <c r="I307" s="252">
        <f t="shared" si="4"/>
        <v>75000</v>
      </c>
      <c r="J307" s="219"/>
    </row>
    <row r="308" spans="2:10" s="147" customFormat="1" ht="16.5" customHeight="1">
      <c r="B308" s="251">
        <v>302</v>
      </c>
      <c r="C308" s="420" t="s">
        <v>719</v>
      </c>
      <c r="D308" s="420" t="s">
        <v>723</v>
      </c>
      <c r="E308" s="420" t="s">
        <v>144</v>
      </c>
      <c r="F308" s="420" t="s">
        <v>475</v>
      </c>
      <c r="G308" s="421">
        <v>4</v>
      </c>
      <c r="H308" s="421">
        <v>400000</v>
      </c>
      <c r="I308" s="252">
        <f t="shared" si="4"/>
        <v>75000</v>
      </c>
      <c r="J308" s="219"/>
    </row>
    <row r="309" spans="2:10" s="147" customFormat="1" ht="16.5" customHeight="1">
      <c r="B309" s="251">
        <v>303</v>
      </c>
      <c r="C309" s="420" t="s">
        <v>719</v>
      </c>
      <c r="D309" s="420" t="s">
        <v>724</v>
      </c>
      <c r="E309" s="420" t="s">
        <v>480</v>
      </c>
      <c r="F309" s="420" t="s">
        <v>475</v>
      </c>
      <c r="G309" s="421">
        <v>7</v>
      </c>
      <c r="H309" s="421">
        <v>700000</v>
      </c>
      <c r="I309" s="252">
        <f t="shared" si="4"/>
        <v>131250</v>
      </c>
      <c r="J309" s="219"/>
    </row>
    <row r="310" spans="2:10" s="147" customFormat="1" ht="16.5" customHeight="1">
      <c r="B310" s="251">
        <v>304</v>
      </c>
      <c r="C310" s="420" t="s">
        <v>719</v>
      </c>
      <c r="D310" s="420" t="s">
        <v>725</v>
      </c>
      <c r="E310" s="420" t="s">
        <v>601</v>
      </c>
      <c r="F310" s="420" t="s">
        <v>726</v>
      </c>
      <c r="G310" s="421">
        <v>1</v>
      </c>
      <c r="H310" s="421">
        <v>400000</v>
      </c>
      <c r="I310" s="252">
        <f t="shared" si="4"/>
        <v>75000</v>
      </c>
      <c r="J310" s="219"/>
    </row>
    <row r="311" spans="2:10" s="147" customFormat="1" ht="16.5" customHeight="1">
      <c r="B311" s="251">
        <v>305</v>
      </c>
      <c r="C311" s="420" t="s">
        <v>719</v>
      </c>
      <c r="D311" s="420" t="s">
        <v>727</v>
      </c>
      <c r="E311" s="420" t="s">
        <v>667</v>
      </c>
      <c r="F311" s="420" t="s">
        <v>475</v>
      </c>
      <c r="G311" s="421">
        <v>3</v>
      </c>
      <c r="H311" s="421">
        <v>300000</v>
      </c>
      <c r="I311" s="252">
        <f t="shared" si="4"/>
        <v>56250</v>
      </c>
      <c r="J311" s="219"/>
    </row>
    <row r="312" spans="2:10" s="147" customFormat="1" ht="16.5" customHeight="1">
      <c r="B312" s="251">
        <v>306</v>
      </c>
      <c r="C312" s="420" t="s">
        <v>719</v>
      </c>
      <c r="D312" s="420" t="s">
        <v>728</v>
      </c>
      <c r="E312" s="420" t="s">
        <v>485</v>
      </c>
      <c r="F312" s="420" t="s">
        <v>475</v>
      </c>
      <c r="G312" s="421">
        <v>2</v>
      </c>
      <c r="H312" s="421">
        <v>200000</v>
      </c>
      <c r="I312" s="252">
        <f t="shared" si="4"/>
        <v>37500</v>
      </c>
      <c r="J312" s="219"/>
    </row>
    <row r="313" spans="2:10" s="147" customFormat="1" ht="16.5" customHeight="1">
      <c r="B313" s="251">
        <v>307</v>
      </c>
      <c r="C313" s="420" t="s">
        <v>719</v>
      </c>
      <c r="D313" s="420" t="s">
        <v>727</v>
      </c>
      <c r="E313" s="420" t="s">
        <v>667</v>
      </c>
      <c r="F313" s="420" t="s">
        <v>488</v>
      </c>
      <c r="G313" s="421">
        <v>3</v>
      </c>
      <c r="H313" s="421">
        <v>300000</v>
      </c>
      <c r="I313" s="252">
        <f t="shared" si="4"/>
        <v>56250</v>
      </c>
      <c r="J313" s="219"/>
    </row>
    <row r="314" spans="2:10" s="147" customFormat="1" ht="16.5" customHeight="1">
      <c r="B314" s="251">
        <v>308</v>
      </c>
      <c r="C314" s="420" t="s">
        <v>719</v>
      </c>
      <c r="D314" s="420" t="s">
        <v>664</v>
      </c>
      <c r="E314" s="420" t="s">
        <v>665</v>
      </c>
      <c r="F314" s="420" t="s">
        <v>481</v>
      </c>
      <c r="G314" s="421">
        <v>1</v>
      </c>
      <c r="H314" s="421">
        <v>40300</v>
      </c>
      <c r="I314" s="252">
        <f t="shared" si="4"/>
        <v>7556.25</v>
      </c>
      <c r="J314" s="219"/>
    </row>
    <row r="315" spans="2:10" s="147" customFormat="1" ht="16.5" customHeight="1">
      <c r="B315" s="251">
        <v>309</v>
      </c>
      <c r="C315" s="420" t="s">
        <v>719</v>
      </c>
      <c r="D315" s="420" t="s">
        <v>728</v>
      </c>
      <c r="E315" s="420" t="s">
        <v>485</v>
      </c>
      <c r="F315" s="420" t="s">
        <v>488</v>
      </c>
      <c r="G315" s="421">
        <v>4</v>
      </c>
      <c r="H315" s="421">
        <v>400000</v>
      </c>
      <c r="I315" s="252">
        <f t="shared" si="4"/>
        <v>75000</v>
      </c>
      <c r="J315" s="219"/>
    </row>
    <row r="316" spans="2:10" s="147" customFormat="1" ht="16.5" customHeight="1">
      <c r="B316" s="251">
        <v>310</v>
      </c>
      <c r="C316" s="420" t="s">
        <v>719</v>
      </c>
      <c r="D316" s="420" t="s">
        <v>729</v>
      </c>
      <c r="E316" s="420" t="s">
        <v>138</v>
      </c>
      <c r="F316" s="420" t="s">
        <v>475</v>
      </c>
      <c r="G316" s="421">
        <v>1</v>
      </c>
      <c r="H316" s="421">
        <v>100000</v>
      </c>
      <c r="I316" s="252">
        <f t="shared" si="4"/>
        <v>18750</v>
      </c>
      <c r="J316" s="219"/>
    </row>
    <row r="317" spans="2:10" s="147" customFormat="1" ht="16.5" customHeight="1">
      <c r="B317" s="251">
        <v>311</v>
      </c>
      <c r="C317" s="420" t="s">
        <v>719</v>
      </c>
      <c r="D317" s="420" t="s">
        <v>730</v>
      </c>
      <c r="E317" s="420" t="s">
        <v>537</v>
      </c>
      <c r="F317" s="420" t="s">
        <v>488</v>
      </c>
      <c r="G317" s="421">
        <v>3</v>
      </c>
      <c r="H317" s="421">
        <v>300000</v>
      </c>
      <c r="I317" s="252">
        <f t="shared" si="4"/>
        <v>56250</v>
      </c>
      <c r="J317" s="219"/>
    </row>
    <row r="318" spans="2:10" s="147" customFormat="1" ht="16.5" customHeight="1">
      <c r="B318" s="251">
        <v>312</v>
      </c>
      <c r="C318" s="420" t="s">
        <v>719</v>
      </c>
      <c r="D318" s="420" t="s">
        <v>720</v>
      </c>
      <c r="E318" s="420" t="s">
        <v>577</v>
      </c>
      <c r="F318" s="420" t="s">
        <v>475</v>
      </c>
      <c r="G318" s="421">
        <v>3</v>
      </c>
      <c r="H318" s="421">
        <v>300000</v>
      </c>
      <c r="I318" s="252">
        <f t="shared" si="4"/>
        <v>56250</v>
      </c>
      <c r="J318" s="219"/>
    </row>
    <row r="319" spans="2:10" s="147" customFormat="1" ht="16.5" customHeight="1">
      <c r="B319" s="251">
        <v>313</v>
      </c>
      <c r="C319" s="420" t="s">
        <v>719</v>
      </c>
      <c r="D319" s="420" t="s">
        <v>731</v>
      </c>
      <c r="E319" s="420" t="s">
        <v>732</v>
      </c>
      <c r="F319" s="420" t="s">
        <v>475</v>
      </c>
      <c r="G319" s="421">
        <v>7</v>
      </c>
      <c r="H319" s="421">
        <v>700000</v>
      </c>
      <c r="I319" s="252">
        <f t="shared" si="4"/>
        <v>131250</v>
      </c>
      <c r="J319" s="219"/>
    </row>
    <row r="320" spans="2:10" s="147" customFormat="1" ht="16.5" customHeight="1">
      <c r="B320" s="251">
        <v>314</v>
      </c>
      <c r="C320" s="420" t="s">
        <v>719</v>
      </c>
      <c r="D320" s="420" t="s">
        <v>723</v>
      </c>
      <c r="E320" s="420" t="s">
        <v>144</v>
      </c>
      <c r="F320" s="420" t="s">
        <v>488</v>
      </c>
      <c r="G320" s="421">
        <v>2</v>
      </c>
      <c r="H320" s="421">
        <v>200000</v>
      </c>
      <c r="I320" s="252">
        <f t="shared" si="4"/>
        <v>37500</v>
      </c>
      <c r="J320" s="219"/>
    </row>
    <row r="321" spans="2:10" s="147" customFormat="1" ht="16.5" customHeight="1">
      <c r="B321" s="251">
        <v>315</v>
      </c>
      <c r="C321" s="420" t="s">
        <v>719</v>
      </c>
      <c r="D321" s="420" t="s">
        <v>733</v>
      </c>
      <c r="E321" s="420" t="s">
        <v>665</v>
      </c>
      <c r="F321" s="420" t="s">
        <v>475</v>
      </c>
      <c r="G321" s="421">
        <v>6</v>
      </c>
      <c r="H321" s="421">
        <v>600000</v>
      </c>
      <c r="I321" s="252">
        <f t="shared" si="4"/>
        <v>112500</v>
      </c>
      <c r="J321" s="219"/>
    </row>
    <row r="322" spans="2:10" s="147" customFormat="1" ht="16.5" customHeight="1">
      <c r="B322" s="251">
        <v>316</v>
      </c>
      <c r="C322" s="420" t="s">
        <v>719</v>
      </c>
      <c r="D322" s="420" t="s">
        <v>734</v>
      </c>
      <c r="E322" s="420" t="s">
        <v>480</v>
      </c>
      <c r="F322" s="420" t="s">
        <v>475</v>
      </c>
      <c r="G322" s="421">
        <v>2</v>
      </c>
      <c r="H322" s="421">
        <v>200000</v>
      </c>
      <c r="I322" s="252">
        <f t="shared" si="4"/>
        <v>37500</v>
      </c>
      <c r="J322" s="219"/>
    </row>
    <row r="323" spans="2:10" s="147" customFormat="1" ht="16.5" customHeight="1">
      <c r="B323" s="251">
        <v>317</v>
      </c>
      <c r="C323" s="420" t="s">
        <v>719</v>
      </c>
      <c r="D323" s="420" t="s">
        <v>730</v>
      </c>
      <c r="E323" s="420" t="s">
        <v>537</v>
      </c>
      <c r="F323" s="420" t="s">
        <v>579</v>
      </c>
      <c r="G323" s="421">
        <v>1</v>
      </c>
      <c r="H323" s="421">
        <v>101800</v>
      </c>
      <c r="I323" s="252">
        <f t="shared" si="4"/>
        <v>19087.5</v>
      </c>
      <c r="J323" s="219"/>
    </row>
    <row r="324" spans="2:10" s="147" customFormat="1" ht="16.5" customHeight="1">
      <c r="B324" s="251">
        <v>318</v>
      </c>
      <c r="C324" s="420" t="s">
        <v>719</v>
      </c>
      <c r="D324" s="420" t="s">
        <v>670</v>
      </c>
      <c r="E324" s="420" t="s">
        <v>139</v>
      </c>
      <c r="F324" s="420" t="s">
        <v>481</v>
      </c>
      <c r="G324" s="421">
        <v>1</v>
      </c>
      <c r="H324" s="421">
        <v>40300</v>
      </c>
      <c r="I324" s="252">
        <f t="shared" si="4"/>
        <v>7556.25</v>
      </c>
      <c r="J324" s="219"/>
    </row>
    <row r="325" spans="2:10" s="147" customFormat="1" ht="16.5" customHeight="1">
      <c r="B325" s="251">
        <v>319</v>
      </c>
      <c r="C325" s="420" t="s">
        <v>719</v>
      </c>
      <c r="D325" s="420" t="s">
        <v>735</v>
      </c>
      <c r="E325" s="420" t="s">
        <v>575</v>
      </c>
      <c r="F325" s="420" t="s">
        <v>488</v>
      </c>
      <c r="G325" s="421">
        <v>3</v>
      </c>
      <c r="H325" s="421">
        <v>300000</v>
      </c>
      <c r="I325" s="252">
        <f t="shared" si="4"/>
        <v>56250</v>
      </c>
      <c r="J325" s="219"/>
    </row>
    <row r="326" spans="2:10" s="147" customFormat="1" ht="16.5" customHeight="1">
      <c r="B326" s="251">
        <v>320</v>
      </c>
      <c r="C326" s="420" t="s">
        <v>719</v>
      </c>
      <c r="D326" s="420" t="s">
        <v>652</v>
      </c>
      <c r="E326" s="420" t="s">
        <v>139</v>
      </c>
      <c r="F326" s="420" t="s">
        <v>481</v>
      </c>
      <c r="G326" s="421">
        <v>1</v>
      </c>
      <c r="H326" s="421">
        <v>40300</v>
      </c>
      <c r="I326" s="252">
        <f t="shared" si="4"/>
        <v>7556.25</v>
      </c>
      <c r="J326" s="219"/>
    </row>
    <row r="327" spans="2:10" s="147" customFormat="1" ht="16.5" customHeight="1">
      <c r="B327" s="251">
        <v>321</v>
      </c>
      <c r="C327" s="420" t="s">
        <v>719</v>
      </c>
      <c r="D327" s="420" t="s">
        <v>731</v>
      </c>
      <c r="E327" s="420" t="s">
        <v>732</v>
      </c>
      <c r="F327" s="420" t="s">
        <v>488</v>
      </c>
      <c r="G327" s="421">
        <v>5</v>
      </c>
      <c r="H327" s="421">
        <v>500000</v>
      </c>
      <c r="I327" s="252">
        <f t="shared" si="4"/>
        <v>93750</v>
      </c>
      <c r="J327" s="219"/>
    </row>
    <row r="328" spans="2:10" s="147" customFormat="1" ht="16.5" customHeight="1">
      <c r="B328" s="251">
        <v>322</v>
      </c>
      <c r="C328" s="420" t="s">
        <v>719</v>
      </c>
      <c r="D328" s="420" t="s">
        <v>736</v>
      </c>
      <c r="E328" s="420" t="s">
        <v>474</v>
      </c>
      <c r="F328" s="420" t="s">
        <v>488</v>
      </c>
      <c r="G328" s="421">
        <v>5</v>
      </c>
      <c r="H328" s="421">
        <v>500000</v>
      </c>
      <c r="I328" s="252">
        <f t="shared" ref="I328:I391" si="5">H328*25%*75%</f>
        <v>93750</v>
      </c>
      <c r="J328" s="219"/>
    </row>
    <row r="329" spans="2:10" s="147" customFormat="1" ht="16.5" customHeight="1">
      <c r="B329" s="251">
        <v>323</v>
      </c>
      <c r="C329" s="420" t="s">
        <v>719</v>
      </c>
      <c r="D329" s="420" t="s">
        <v>735</v>
      </c>
      <c r="E329" s="420" t="s">
        <v>575</v>
      </c>
      <c r="F329" s="420" t="s">
        <v>475</v>
      </c>
      <c r="G329" s="421">
        <v>3</v>
      </c>
      <c r="H329" s="421">
        <v>300000</v>
      </c>
      <c r="I329" s="252">
        <f t="shared" si="5"/>
        <v>56250</v>
      </c>
      <c r="J329" s="219"/>
    </row>
    <row r="330" spans="2:10" s="147" customFormat="1" ht="16.5" customHeight="1">
      <c r="B330" s="251">
        <v>324</v>
      </c>
      <c r="C330" s="420" t="s">
        <v>719</v>
      </c>
      <c r="D330" s="420" t="s">
        <v>729</v>
      </c>
      <c r="E330" s="420" t="s">
        <v>138</v>
      </c>
      <c r="F330" s="420" t="s">
        <v>488</v>
      </c>
      <c r="G330" s="421">
        <v>2</v>
      </c>
      <c r="H330" s="421">
        <v>200000</v>
      </c>
      <c r="I330" s="252">
        <f t="shared" si="5"/>
        <v>37500</v>
      </c>
      <c r="J330" s="219"/>
    </row>
    <row r="331" spans="2:10" s="147" customFormat="1" ht="16.5" customHeight="1">
      <c r="B331" s="251">
        <v>325</v>
      </c>
      <c r="C331" s="420" t="s">
        <v>719</v>
      </c>
      <c r="D331" s="420" t="s">
        <v>737</v>
      </c>
      <c r="E331" s="420" t="s">
        <v>487</v>
      </c>
      <c r="F331" s="420" t="s">
        <v>475</v>
      </c>
      <c r="G331" s="421">
        <v>3</v>
      </c>
      <c r="H331" s="421">
        <v>300000</v>
      </c>
      <c r="I331" s="252">
        <f t="shared" si="5"/>
        <v>56250</v>
      </c>
      <c r="J331" s="219"/>
    </row>
    <row r="332" spans="2:10" s="147" customFormat="1" ht="16.5" customHeight="1">
      <c r="B332" s="251">
        <v>326</v>
      </c>
      <c r="C332" s="420" t="s">
        <v>719</v>
      </c>
      <c r="D332" s="420" t="s">
        <v>730</v>
      </c>
      <c r="E332" s="420" t="s">
        <v>537</v>
      </c>
      <c r="F332" s="420" t="s">
        <v>475</v>
      </c>
      <c r="G332" s="421">
        <v>3</v>
      </c>
      <c r="H332" s="421">
        <v>300000</v>
      </c>
      <c r="I332" s="252">
        <f t="shared" si="5"/>
        <v>56250</v>
      </c>
      <c r="J332" s="219"/>
    </row>
    <row r="333" spans="2:10" s="147" customFormat="1" ht="16.5" customHeight="1">
      <c r="B333" s="251">
        <v>327</v>
      </c>
      <c r="C333" s="420" t="s">
        <v>719</v>
      </c>
      <c r="D333" s="420" t="s">
        <v>738</v>
      </c>
      <c r="E333" s="420" t="s">
        <v>683</v>
      </c>
      <c r="F333" s="420" t="s">
        <v>475</v>
      </c>
      <c r="G333" s="421">
        <v>10</v>
      </c>
      <c r="H333" s="421">
        <v>1000000</v>
      </c>
      <c r="I333" s="252">
        <f t="shared" si="5"/>
        <v>187500</v>
      </c>
      <c r="J333" s="219"/>
    </row>
    <row r="334" spans="2:10" s="147" customFormat="1" ht="16.5" customHeight="1">
      <c r="B334" s="251">
        <v>328</v>
      </c>
      <c r="C334" s="420" t="s">
        <v>719</v>
      </c>
      <c r="D334" s="420" t="s">
        <v>737</v>
      </c>
      <c r="E334" s="420" t="s">
        <v>487</v>
      </c>
      <c r="F334" s="420" t="s">
        <v>488</v>
      </c>
      <c r="G334" s="421">
        <v>4</v>
      </c>
      <c r="H334" s="421">
        <v>400000</v>
      </c>
      <c r="I334" s="252">
        <f t="shared" si="5"/>
        <v>75000</v>
      </c>
      <c r="J334" s="219"/>
    </row>
    <row r="335" spans="2:10" s="147" customFormat="1" ht="16.5" customHeight="1">
      <c r="B335" s="251">
        <v>329</v>
      </c>
      <c r="C335" s="420" t="s">
        <v>719</v>
      </c>
      <c r="D335" s="420" t="s">
        <v>734</v>
      </c>
      <c r="E335" s="420" t="s">
        <v>480</v>
      </c>
      <c r="F335" s="420" t="s">
        <v>495</v>
      </c>
      <c r="G335" s="421">
        <v>1</v>
      </c>
      <c r="H335" s="421">
        <v>200000</v>
      </c>
      <c r="I335" s="252">
        <f t="shared" si="5"/>
        <v>37500</v>
      </c>
      <c r="J335" s="219"/>
    </row>
    <row r="336" spans="2:10" s="147" customFormat="1" ht="16.5" customHeight="1">
      <c r="B336" s="251">
        <v>330</v>
      </c>
      <c r="C336" s="420" t="s">
        <v>719</v>
      </c>
      <c r="D336" s="420" t="s">
        <v>721</v>
      </c>
      <c r="E336" s="420" t="s">
        <v>722</v>
      </c>
      <c r="F336" s="420" t="s">
        <v>475</v>
      </c>
      <c r="G336" s="421">
        <v>4</v>
      </c>
      <c r="H336" s="421">
        <v>400000</v>
      </c>
      <c r="I336" s="252">
        <f t="shared" si="5"/>
        <v>75000</v>
      </c>
      <c r="J336" s="219"/>
    </row>
    <row r="337" spans="2:10" s="147" customFormat="1" ht="16.5" customHeight="1">
      <c r="B337" s="251">
        <v>331</v>
      </c>
      <c r="C337" s="420" t="s">
        <v>719</v>
      </c>
      <c r="D337" s="420" t="s">
        <v>733</v>
      </c>
      <c r="E337" s="420" t="s">
        <v>665</v>
      </c>
      <c r="F337" s="420" t="s">
        <v>488</v>
      </c>
      <c r="G337" s="421">
        <v>3</v>
      </c>
      <c r="H337" s="421">
        <v>300000</v>
      </c>
      <c r="I337" s="252">
        <f t="shared" si="5"/>
        <v>56250</v>
      </c>
      <c r="J337" s="219"/>
    </row>
    <row r="338" spans="2:10" s="147" customFormat="1" ht="16.5" customHeight="1">
      <c r="B338" s="251">
        <v>332</v>
      </c>
      <c r="C338" s="420" t="s">
        <v>719</v>
      </c>
      <c r="D338" s="420" t="s">
        <v>738</v>
      </c>
      <c r="E338" s="420" t="s">
        <v>683</v>
      </c>
      <c r="F338" s="420" t="s">
        <v>488</v>
      </c>
      <c r="G338" s="421">
        <v>6</v>
      </c>
      <c r="H338" s="421">
        <v>600000</v>
      </c>
      <c r="I338" s="252">
        <f t="shared" si="5"/>
        <v>112500</v>
      </c>
      <c r="J338" s="219"/>
    </row>
    <row r="339" spans="2:10" s="147" customFormat="1" ht="16.5" customHeight="1">
      <c r="B339" s="251">
        <v>333</v>
      </c>
      <c r="C339" s="420" t="s">
        <v>719</v>
      </c>
      <c r="D339" s="420" t="s">
        <v>656</v>
      </c>
      <c r="E339" s="420" t="s">
        <v>657</v>
      </c>
      <c r="F339" s="420" t="s">
        <v>569</v>
      </c>
      <c r="G339" s="421">
        <v>1</v>
      </c>
      <c r="H339" s="421">
        <v>100000</v>
      </c>
      <c r="I339" s="252">
        <f t="shared" si="5"/>
        <v>18750</v>
      </c>
      <c r="J339" s="219"/>
    </row>
    <row r="340" spans="2:10" s="147" customFormat="1" ht="16.5" customHeight="1">
      <c r="B340" s="251">
        <v>334</v>
      </c>
      <c r="C340" s="420" t="s">
        <v>719</v>
      </c>
      <c r="D340" s="420" t="s">
        <v>736</v>
      </c>
      <c r="E340" s="420" t="s">
        <v>474</v>
      </c>
      <c r="F340" s="420" t="s">
        <v>475</v>
      </c>
      <c r="G340" s="421">
        <v>2</v>
      </c>
      <c r="H340" s="421">
        <v>200000</v>
      </c>
      <c r="I340" s="252">
        <f t="shared" si="5"/>
        <v>37500</v>
      </c>
      <c r="J340" s="219"/>
    </row>
    <row r="341" spans="2:10" s="147" customFormat="1" ht="16.5" customHeight="1">
      <c r="B341" s="251">
        <v>335</v>
      </c>
      <c r="C341" s="420" t="s">
        <v>719</v>
      </c>
      <c r="D341" s="420" t="s">
        <v>737</v>
      </c>
      <c r="E341" s="420" t="s">
        <v>487</v>
      </c>
      <c r="F341" s="420" t="s">
        <v>625</v>
      </c>
      <c r="G341" s="421">
        <v>1</v>
      </c>
      <c r="H341" s="421">
        <v>300000</v>
      </c>
      <c r="I341" s="252">
        <f t="shared" si="5"/>
        <v>56250</v>
      </c>
      <c r="J341" s="219"/>
    </row>
    <row r="342" spans="2:10" s="147" customFormat="1" ht="16.5" customHeight="1">
      <c r="B342" s="251">
        <v>336</v>
      </c>
      <c r="C342" s="420" t="s">
        <v>719</v>
      </c>
      <c r="D342" s="420" t="s">
        <v>739</v>
      </c>
      <c r="E342" s="420" t="s">
        <v>485</v>
      </c>
      <c r="F342" s="420" t="s">
        <v>500</v>
      </c>
      <c r="G342" s="421">
        <v>1</v>
      </c>
      <c r="H342" s="421">
        <v>167000</v>
      </c>
      <c r="I342" s="252">
        <f t="shared" si="5"/>
        <v>31312.5</v>
      </c>
      <c r="J342" s="219"/>
    </row>
    <row r="343" spans="2:10" s="147" customFormat="1" ht="16.5" customHeight="1">
      <c r="B343" s="251">
        <v>337</v>
      </c>
      <c r="C343" s="420" t="s">
        <v>740</v>
      </c>
      <c r="D343" s="420" t="s">
        <v>672</v>
      </c>
      <c r="E343" s="420" t="s">
        <v>667</v>
      </c>
      <c r="F343" s="420" t="s">
        <v>569</v>
      </c>
      <c r="G343" s="421">
        <v>1</v>
      </c>
      <c r="H343" s="421">
        <v>100000</v>
      </c>
      <c r="I343" s="252">
        <f t="shared" si="5"/>
        <v>18750</v>
      </c>
      <c r="J343" s="219"/>
    </row>
    <row r="344" spans="2:10" s="147" customFormat="1" ht="16.5" customHeight="1">
      <c r="B344" s="251">
        <v>338</v>
      </c>
      <c r="C344" s="420" t="s">
        <v>740</v>
      </c>
      <c r="D344" s="420" t="s">
        <v>741</v>
      </c>
      <c r="E344" s="420" t="s">
        <v>497</v>
      </c>
      <c r="F344" s="420" t="s">
        <v>475</v>
      </c>
      <c r="G344" s="421">
        <v>15</v>
      </c>
      <c r="H344" s="421">
        <v>1500000</v>
      </c>
      <c r="I344" s="252">
        <f t="shared" si="5"/>
        <v>281250</v>
      </c>
      <c r="J344" s="219"/>
    </row>
    <row r="345" spans="2:10" s="147" customFormat="1" ht="16.5" customHeight="1">
      <c r="B345" s="251">
        <v>339</v>
      </c>
      <c r="C345" s="420" t="s">
        <v>740</v>
      </c>
      <c r="D345" s="420" t="s">
        <v>742</v>
      </c>
      <c r="E345" s="420" t="s">
        <v>650</v>
      </c>
      <c r="F345" s="420" t="s">
        <v>548</v>
      </c>
      <c r="G345" s="421">
        <v>1</v>
      </c>
      <c r="H345" s="421">
        <v>257000</v>
      </c>
      <c r="I345" s="252">
        <f t="shared" si="5"/>
        <v>48187.5</v>
      </c>
      <c r="J345" s="219"/>
    </row>
    <row r="346" spans="2:10" s="147" customFormat="1" ht="16.5" customHeight="1">
      <c r="B346" s="251">
        <v>340</v>
      </c>
      <c r="C346" s="420" t="s">
        <v>740</v>
      </c>
      <c r="D346" s="420" t="s">
        <v>743</v>
      </c>
      <c r="E346" s="420" t="s">
        <v>480</v>
      </c>
      <c r="F346" s="420" t="s">
        <v>475</v>
      </c>
      <c r="G346" s="421">
        <v>20</v>
      </c>
      <c r="H346" s="421">
        <v>2000000</v>
      </c>
      <c r="I346" s="252">
        <f t="shared" si="5"/>
        <v>375000</v>
      </c>
      <c r="J346" s="219"/>
    </row>
    <row r="347" spans="2:10" s="147" customFormat="1" ht="16.5" customHeight="1">
      <c r="B347" s="251">
        <v>341</v>
      </c>
      <c r="C347" s="420" t="s">
        <v>740</v>
      </c>
      <c r="D347" s="420" t="s">
        <v>744</v>
      </c>
      <c r="E347" s="420" t="s">
        <v>573</v>
      </c>
      <c r="F347" s="420" t="s">
        <v>478</v>
      </c>
      <c r="G347" s="421">
        <v>5</v>
      </c>
      <c r="H347" s="421">
        <v>500000</v>
      </c>
      <c r="I347" s="252">
        <f t="shared" si="5"/>
        <v>93750</v>
      </c>
      <c r="J347" s="219"/>
    </row>
    <row r="348" spans="2:10" s="147" customFormat="1" ht="16.5" customHeight="1">
      <c r="B348" s="251">
        <v>342</v>
      </c>
      <c r="C348" s="420" t="s">
        <v>740</v>
      </c>
      <c r="D348" s="420" t="s">
        <v>743</v>
      </c>
      <c r="E348" s="420" t="s">
        <v>480</v>
      </c>
      <c r="F348" s="420" t="s">
        <v>478</v>
      </c>
      <c r="G348" s="421">
        <v>15</v>
      </c>
      <c r="H348" s="421">
        <v>1500000</v>
      </c>
      <c r="I348" s="252">
        <f t="shared" si="5"/>
        <v>281250</v>
      </c>
      <c r="J348" s="219"/>
    </row>
    <row r="349" spans="2:10" s="147" customFormat="1" ht="16.5" customHeight="1">
      <c r="B349" s="251">
        <v>343</v>
      </c>
      <c r="C349" s="420" t="s">
        <v>740</v>
      </c>
      <c r="D349" s="420" t="s">
        <v>745</v>
      </c>
      <c r="E349" s="420" t="s">
        <v>667</v>
      </c>
      <c r="F349" s="420" t="s">
        <v>475</v>
      </c>
      <c r="G349" s="421">
        <v>1</v>
      </c>
      <c r="H349" s="421">
        <v>100000</v>
      </c>
      <c r="I349" s="252">
        <f t="shared" si="5"/>
        <v>18750</v>
      </c>
      <c r="J349" s="219"/>
    </row>
    <row r="350" spans="2:10" s="147" customFormat="1" ht="16.5" customHeight="1">
      <c r="B350" s="251">
        <v>344</v>
      </c>
      <c r="C350" s="420" t="s">
        <v>740</v>
      </c>
      <c r="D350" s="420" t="s">
        <v>746</v>
      </c>
      <c r="E350" s="420" t="s">
        <v>141</v>
      </c>
      <c r="F350" s="420" t="s">
        <v>478</v>
      </c>
      <c r="G350" s="421">
        <v>3</v>
      </c>
      <c r="H350" s="421">
        <v>300000</v>
      </c>
      <c r="I350" s="252">
        <f t="shared" si="5"/>
        <v>56250</v>
      </c>
      <c r="J350" s="219"/>
    </row>
    <row r="351" spans="2:10" s="147" customFormat="1" ht="16.5" customHeight="1">
      <c r="B351" s="251">
        <v>345</v>
      </c>
      <c r="C351" s="420" t="s">
        <v>740</v>
      </c>
      <c r="D351" s="420" t="s">
        <v>746</v>
      </c>
      <c r="E351" s="420" t="s">
        <v>141</v>
      </c>
      <c r="F351" s="420" t="s">
        <v>475</v>
      </c>
      <c r="G351" s="421">
        <v>3</v>
      </c>
      <c r="H351" s="421">
        <v>300000</v>
      </c>
      <c r="I351" s="252">
        <f t="shared" si="5"/>
        <v>56250</v>
      </c>
      <c r="J351" s="219"/>
    </row>
    <row r="352" spans="2:10" s="147" customFormat="1" ht="16.5" customHeight="1">
      <c r="B352" s="251">
        <v>346</v>
      </c>
      <c r="C352" s="420" t="s">
        <v>740</v>
      </c>
      <c r="D352" s="420" t="s">
        <v>747</v>
      </c>
      <c r="E352" s="420" t="s">
        <v>657</v>
      </c>
      <c r="F352" s="420" t="s">
        <v>475</v>
      </c>
      <c r="G352" s="421">
        <v>2</v>
      </c>
      <c r="H352" s="421">
        <v>200000</v>
      </c>
      <c r="I352" s="252">
        <f t="shared" si="5"/>
        <v>37500</v>
      </c>
      <c r="J352" s="219"/>
    </row>
    <row r="353" spans="2:10" s="147" customFormat="1" ht="16.5" customHeight="1">
      <c r="B353" s="251">
        <v>347</v>
      </c>
      <c r="C353" s="420" t="s">
        <v>740</v>
      </c>
      <c r="D353" s="420" t="s">
        <v>662</v>
      </c>
      <c r="E353" s="420" t="s">
        <v>573</v>
      </c>
      <c r="F353" s="420" t="s">
        <v>481</v>
      </c>
      <c r="G353" s="421">
        <v>1</v>
      </c>
      <c r="H353" s="421">
        <v>40300</v>
      </c>
      <c r="I353" s="252">
        <f t="shared" si="5"/>
        <v>7556.25</v>
      </c>
      <c r="J353" s="219"/>
    </row>
    <row r="354" spans="2:10" s="147" customFormat="1" ht="16.5" customHeight="1">
      <c r="B354" s="251">
        <v>348</v>
      </c>
      <c r="C354" s="420" t="s">
        <v>740</v>
      </c>
      <c r="D354" s="420" t="s">
        <v>748</v>
      </c>
      <c r="E354" s="420" t="s">
        <v>510</v>
      </c>
      <c r="F354" s="420" t="s">
        <v>475</v>
      </c>
      <c r="G354" s="421">
        <v>3</v>
      </c>
      <c r="H354" s="421">
        <v>300000</v>
      </c>
      <c r="I354" s="252">
        <f t="shared" si="5"/>
        <v>56250</v>
      </c>
      <c r="J354" s="219"/>
    </row>
    <row r="355" spans="2:10" s="147" customFormat="1" ht="16.5" customHeight="1">
      <c r="B355" s="251">
        <v>349</v>
      </c>
      <c r="C355" s="420" t="s">
        <v>740</v>
      </c>
      <c r="D355" s="420" t="s">
        <v>745</v>
      </c>
      <c r="E355" s="420" t="s">
        <v>667</v>
      </c>
      <c r="F355" s="420" t="s">
        <v>540</v>
      </c>
      <c r="G355" s="421">
        <v>1</v>
      </c>
      <c r="H355" s="421">
        <v>600000</v>
      </c>
      <c r="I355" s="252">
        <f t="shared" si="5"/>
        <v>112500</v>
      </c>
      <c r="J355" s="219"/>
    </row>
    <row r="356" spans="2:10" s="147" customFormat="1" ht="16.5" customHeight="1">
      <c r="B356" s="251">
        <v>350</v>
      </c>
      <c r="C356" s="420" t="s">
        <v>740</v>
      </c>
      <c r="D356" s="420" t="s">
        <v>744</v>
      </c>
      <c r="E356" s="420" t="s">
        <v>573</v>
      </c>
      <c r="F356" s="420" t="s">
        <v>475</v>
      </c>
      <c r="G356" s="421">
        <v>6</v>
      </c>
      <c r="H356" s="421">
        <v>600000</v>
      </c>
      <c r="I356" s="252">
        <f t="shared" si="5"/>
        <v>112500</v>
      </c>
      <c r="J356" s="219"/>
    </row>
    <row r="357" spans="2:10" s="147" customFormat="1" ht="16.5" customHeight="1">
      <c r="B357" s="251">
        <v>351</v>
      </c>
      <c r="C357" s="420" t="s">
        <v>740</v>
      </c>
      <c r="D357" s="420" t="s">
        <v>747</v>
      </c>
      <c r="E357" s="420" t="s">
        <v>657</v>
      </c>
      <c r="F357" s="420" t="s">
        <v>478</v>
      </c>
      <c r="G357" s="421">
        <v>2</v>
      </c>
      <c r="H357" s="421">
        <v>200000</v>
      </c>
      <c r="I357" s="252">
        <f t="shared" si="5"/>
        <v>37500</v>
      </c>
      <c r="J357" s="219"/>
    </row>
    <row r="358" spans="2:10" s="147" customFormat="1" ht="16.5" customHeight="1">
      <c r="B358" s="251">
        <v>352</v>
      </c>
      <c r="C358" s="420" t="s">
        <v>740</v>
      </c>
      <c r="D358" s="420" t="s">
        <v>749</v>
      </c>
      <c r="E358" s="420" t="s">
        <v>631</v>
      </c>
      <c r="F358" s="420" t="s">
        <v>478</v>
      </c>
      <c r="G358" s="421">
        <v>1</v>
      </c>
      <c r="H358" s="421">
        <v>100000</v>
      </c>
      <c r="I358" s="252">
        <f t="shared" si="5"/>
        <v>18750</v>
      </c>
      <c r="J358" s="219"/>
    </row>
    <row r="359" spans="2:10" s="147" customFormat="1" ht="16.5" customHeight="1">
      <c r="B359" s="251">
        <v>353</v>
      </c>
      <c r="C359" s="420" t="s">
        <v>740</v>
      </c>
      <c r="D359" s="420" t="s">
        <v>741</v>
      </c>
      <c r="E359" s="420" t="s">
        <v>497</v>
      </c>
      <c r="F359" s="420" t="s">
        <v>625</v>
      </c>
      <c r="G359" s="421">
        <v>1</v>
      </c>
      <c r="H359" s="421">
        <v>300000</v>
      </c>
      <c r="I359" s="252">
        <f t="shared" si="5"/>
        <v>56250</v>
      </c>
      <c r="J359" s="219"/>
    </row>
    <row r="360" spans="2:10" s="147" customFormat="1" ht="16.5" customHeight="1">
      <c r="B360" s="251">
        <v>354</v>
      </c>
      <c r="C360" s="420" t="s">
        <v>740</v>
      </c>
      <c r="D360" s="420" t="s">
        <v>750</v>
      </c>
      <c r="E360" s="420" t="s">
        <v>146</v>
      </c>
      <c r="F360" s="420" t="s">
        <v>579</v>
      </c>
      <c r="G360" s="421">
        <v>1</v>
      </c>
      <c r="H360" s="421">
        <v>101800</v>
      </c>
      <c r="I360" s="252">
        <f t="shared" si="5"/>
        <v>19087.5</v>
      </c>
      <c r="J360" s="219"/>
    </row>
    <row r="361" spans="2:10" s="147" customFormat="1" ht="16.5" customHeight="1">
      <c r="B361" s="251">
        <v>355</v>
      </c>
      <c r="C361" s="420" t="s">
        <v>740</v>
      </c>
      <c r="D361" s="420" t="s">
        <v>750</v>
      </c>
      <c r="E361" s="420" t="s">
        <v>146</v>
      </c>
      <c r="F361" s="420" t="s">
        <v>478</v>
      </c>
      <c r="G361" s="421">
        <v>9</v>
      </c>
      <c r="H361" s="421">
        <v>900000</v>
      </c>
      <c r="I361" s="252">
        <f t="shared" si="5"/>
        <v>168750</v>
      </c>
      <c r="J361" s="219"/>
    </row>
    <row r="362" spans="2:10" s="147" customFormat="1" ht="16.5" customHeight="1">
      <c r="B362" s="251">
        <v>356</v>
      </c>
      <c r="C362" s="420" t="s">
        <v>740</v>
      </c>
      <c r="D362" s="420" t="s">
        <v>748</v>
      </c>
      <c r="E362" s="420" t="s">
        <v>510</v>
      </c>
      <c r="F362" s="420" t="s">
        <v>478</v>
      </c>
      <c r="G362" s="421">
        <v>6</v>
      </c>
      <c r="H362" s="421">
        <v>600000</v>
      </c>
      <c r="I362" s="252">
        <f t="shared" si="5"/>
        <v>112500</v>
      </c>
      <c r="J362" s="219"/>
    </row>
    <row r="363" spans="2:10" s="147" customFormat="1" ht="16.5" customHeight="1">
      <c r="B363" s="251">
        <v>357</v>
      </c>
      <c r="C363" s="420" t="s">
        <v>740</v>
      </c>
      <c r="D363" s="420" t="s">
        <v>751</v>
      </c>
      <c r="E363" s="420" t="s">
        <v>565</v>
      </c>
      <c r="F363" s="420" t="s">
        <v>475</v>
      </c>
      <c r="G363" s="421">
        <v>5</v>
      </c>
      <c r="H363" s="421">
        <v>500000</v>
      </c>
      <c r="I363" s="252">
        <f t="shared" si="5"/>
        <v>93750</v>
      </c>
      <c r="J363" s="219"/>
    </row>
    <row r="364" spans="2:10" s="147" customFormat="1" ht="16.5" customHeight="1">
      <c r="B364" s="251">
        <v>358</v>
      </c>
      <c r="C364" s="420" t="s">
        <v>740</v>
      </c>
      <c r="D364" s="420" t="s">
        <v>751</v>
      </c>
      <c r="E364" s="420" t="s">
        <v>565</v>
      </c>
      <c r="F364" s="420" t="s">
        <v>478</v>
      </c>
      <c r="G364" s="421">
        <v>3</v>
      </c>
      <c r="H364" s="421">
        <v>300000</v>
      </c>
      <c r="I364" s="252">
        <f t="shared" si="5"/>
        <v>56250</v>
      </c>
      <c r="J364" s="219"/>
    </row>
    <row r="365" spans="2:10" s="147" customFormat="1" ht="16.5" customHeight="1">
      <c r="B365" s="251">
        <v>359</v>
      </c>
      <c r="C365" s="420" t="s">
        <v>740</v>
      </c>
      <c r="D365" s="420" t="s">
        <v>750</v>
      </c>
      <c r="E365" s="420" t="s">
        <v>146</v>
      </c>
      <c r="F365" s="420" t="s">
        <v>475</v>
      </c>
      <c r="G365" s="421">
        <v>20</v>
      </c>
      <c r="H365" s="421">
        <v>2000000</v>
      </c>
      <c r="I365" s="252">
        <f t="shared" si="5"/>
        <v>375000</v>
      </c>
      <c r="J365" s="219"/>
    </row>
    <row r="366" spans="2:10" s="147" customFormat="1" ht="16.5" customHeight="1">
      <c r="B366" s="251">
        <v>360</v>
      </c>
      <c r="C366" s="420" t="s">
        <v>740</v>
      </c>
      <c r="D366" s="420" t="s">
        <v>749</v>
      </c>
      <c r="E366" s="420" t="s">
        <v>631</v>
      </c>
      <c r="F366" s="420" t="s">
        <v>475</v>
      </c>
      <c r="G366" s="421">
        <v>1</v>
      </c>
      <c r="H366" s="421">
        <v>100000</v>
      </c>
      <c r="I366" s="252">
        <f t="shared" si="5"/>
        <v>18750</v>
      </c>
      <c r="J366" s="219"/>
    </row>
    <row r="367" spans="2:10" s="147" customFormat="1" ht="16.5" customHeight="1">
      <c r="B367" s="251">
        <v>361</v>
      </c>
      <c r="C367" s="420" t="s">
        <v>740</v>
      </c>
      <c r="D367" s="420" t="s">
        <v>741</v>
      </c>
      <c r="E367" s="420" t="s">
        <v>497</v>
      </c>
      <c r="F367" s="420" t="s">
        <v>488</v>
      </c>
      <c r="G367" s="421">
        <v>13</v>
      </c>
      <c r="H367" s="421">
        <v>1300000</v>
      </c>
      <c r="I367" s="252">
        <f t="shared" si="5"/>
        <v>243750</v>
      </c>
      <c r="J367" s="219"/>
    </row>
    <row r="368" spans="2:10" s="147" customFormat="1" ht="16.5" customHeight="1">
      <c r="B368" s="251">
        <v>362</v>
      </c>
      <c r="C368" s="420" t="s">
        <v>740</v>
      </c>
      <c r="D368" s="420" t="s">
        <v>741</v>
      </c>
      <c r="E368" s="420" t="s">
        <v>497</v>
      </c>
      <c r="F368" s="420" t="s">
        <v>495</v>
      </c>
      <c r="G368" s="421">
        <v>1</v>
      </c>
      <c r="H368" s="421">
        <v>200000</v>
      </c>
      <c r="I368" s="252">
        <f t="shared" si="5"/>
        <v>37500</v>
      </c>
      <c r="J368" s="219"/>
    </row>
    <row r="369" spans="2:10" s="147" customFormat="1" ht="16.5" customHeight="1">
      <c r="B369" s="251">
        <v>363</v>
      </c>
      <c r="C369" s="420" t="s">
        <v>740</v>
      </c>
      <c r="D369" s="420" t="s">
        <v>752</v>
      </c>
      <c r="E369" s="420" t="s">
        <v>609</v>
      </c>
      <c r="F369" s="420" t="s">
        <v>726</v>
      </c>
      <c r="G369" s="421">
        <v>1</v>
      </c>
      <c r="H369" s="421">
        <v>257000</v>
      </c>
      <c r="I369" s="252">
        <f t="shared" si="5"/>
        <v>48187.5</v>
      </c>
      <c r="J369" s="219"/>
    </row>
    <row r="370" spans="2:10" s="147" customFormat="1" ht="16.5" customHeight="1">
      <c r="B370" s="251">
        <v>364</v>
      </c>
      <c r="C370" s="420" t="s">
        <v>740</v>
      </c>
      <c r="D370" s="420" t="s">
        <v>753</v>
      </c>
      <c r="E370" s="420" t="s">
        <v>499</v>
      </c>
      <c r="F370" s="420" t="s">
        <v>754</v>
      </c>
      <c r="G370" s="421">
        <v>1</v>
      </c>
      <c r="H370" s="421">
        <v>600000</v>
      </c>
      <c r="I370" s="252">
        <f t="shared" si="5"/>
        <v>112500</v>
      </c>
      <c r="J370" s="219"/>
    </row>
    <row r="371" spans="2:10" s="147" customFormat="1" ht="16.5" customHeight="1">
      <c r="B371" s="251">
        <v>365</v>
      </c>
      <c r="C371" s="420" t="s">
        <v>755</v>
      </c>
      <c r="D371" s="420" t="s">
        <v>635</v>
      </c>
      <c r="E371" s="420" t="s">
        <v>474</v>
      </c>
      <c r="F371" s="420" t="s">
        <v>586</v>
      </c>
      <c r="G371" s="421">
        <v>1</v>
      </c>
      <c r="H371" s="421">
        <v>200000</v>
      </c>
      <c r="I371" s="252">
        <f t="shared" si="5"/>
        <v>37500</v>
      </c>
      <c r="J371" s="219"/>
    </row>
    <row r="372" spans="2:10" s="147" customFormat="1" ht="16.5" customHeight="1">
      <c r="B372" s="251">
        <v>366</v>
      </c>
      <c r="C372" s="420" t="s">
        <v>755</v>
      </c>
      <c r="D372" s="420" t="s">
        <v>756</v>
      </c>
      <c r="E372" s="420" t="s">
        <v>533</v>
      </c>
      <c r="F372" s="420" t="s">
        <v>478</v>
      </c>
      <c r="G372" s="421">
        <v>5</v>
      </c>
      <c r="H372" s="421">
        <v>500000</v>
      </c>
      <c r="I372" s="252">
        <f t="shared" si="5"/>
        <v>93750</v>
      </c>
      <c r="J372" s="219"/>
    </row>
    <row r="373" spans="2:10" s="147" customFormat="1" ht="16.5" customHeight="1">
      <c r="B373" s="251">
        <v>367</v>
      </c>
      <c r="C373" s="420" t="s">
        <v>755</v>
      </c>
      <c r="D373" s="420" t="s">
        <v>654</v>
      </c>
      <c r="E373" s="420" t="s">
        <v>522</v>
      </c>
      <c r="F373" s="420" t="s">
        <v>478</v>
      </c>
      <c r="G373" s="421">
        <v>1</v>
      </c>
      <c r="H373" s="421">
        <v>100000</v>
      </c>
      <c r="I373" s="252">
        <f t="shared" si="5"/>
        <v>18750</v>
      </c>
      <c r="J373" s="219"/>
    </row>
    <row r="374" spans="2:10" s="147" customFormat="1" ht="16.5" customHeight="1">
      <c r="B374" s="251">
        <v>368</v>
      </c>
      <c r="C374" s="420" t="s">
        <v>755</v>
      </c>
      <c r="D374" s="420" t="s">
        <v>757</v>
      </c>
      <c r="E374" s="420" t="s">
        <v>537</v>
      </c>
      <c r="F374" s="420" t="s">
        <v>475</v>
      </c>
      <c r="G374" s="421">
        <v>7</v>
      </c>
      <c r="H374" s="421">
        <v>700000</v>
      </c>
      <c r="I374" s="252">
        <f t="shared" si="5"/>
        <v>131250</v>
      </c>
      <c r="J374" s="219"/>
    </row>
    <row r="375" spans="2:10" s="147" customFormat="1" ht="16.5" customHeight="1">
      <c r="B375" s="251">
        <v>369</v>
      </c>
      <c r="C375" s="420" t="s">
        <v>755</v>
      </c>
      <c r="D375" s="420" t="s">
        <v>758</v>
      </c>
      <c r="E375" s="420" t="s">
        <v>667</v>
      </c>
      <c r="F375" s="420" t="s">
        <v>475</v>
      </c>
      <c r="G375" s="421">
        <v>1</v>
      </c>
      <c r="H375" s="421">
        <v>100000</v>
      </c>
      <c r="I375" s="252">
        <f t="shared" si="5"/>
        <v>18750</v>
      </c>
      <c r="J375" s="219"/>
    </row>
    <row r="376" spans="2:10" s="147" customFormat="1" ht="16.5" customHeight="1">
      <c r="B376" s="251">
        <v>370</v>
      </c>
      <c r="C376" s="420" t="s">
        <v>755</v>
      </c>
      <c r="D376" s="420" t="s">
        <v>759</v>
      </c>
      <c r="E376" s="420" t="s">
        <v>499</v>
      </c>
      <c r="F376" s="420" t="s">
        <v>481</v>
      </c>
      <c r="G376" s="421">
        <v>1</v>
      </c>
      <c r="H376" s="421">
        <v>100000</v>
      </c>
      <c r="I376" s="252">
        <f t="shared" si="5"/>
        <v>18750</v>
      </c>
      <c r="J376" s="219"/>
    </row>
    <row r="377" spans="2:10" s="147" customFormat="1" ht="16.5" customHeight="1">
      <c r="B377" s="251">
        <v>371</v>
      </c>
      <c r="C377" s="420" t="s">
        <v>755</v>
      </c>
      <c r="D377" s="420" t="s">
        <v>760</v>
      </c>
      <c r="E377" s="420" t="s">
        <v>174</v>
      </c>
      <c r="F377" s="420" t="s">
        <v>481</v>
      </c>
      <c r="G377" s="421">
        <v>1</v>
      </c>
      <c r="H377" s="421">
        <v>100000</v>
      </c>
      <c r="I377" s="252">
        <f t="shared" si="5"/>
        <v>18750</v>
      </c>
      <c r="J377" s="219"/>
    </row>
    <row r="378" spans="2:10" s="147" customFormat="1" ht="16.5" customHeight="1">
      <c r="B378" s="251">
        <v>372</v>
      </c>
      <c r="C378" s="420" t="s">
        <v>755</v>
      </c>
      <c r="D378" s="420" t="s">
        <v>757</v>
      </c>
      <c r="E378" s="420" t="s">
        <v>537</v>
      </c>
      <c r="F378" s="420" t="s">
        <v>478</v>
      </c>
      <c r="G378" s="421">
        <v>5</v>
      </c>
      <c r="H378" s="421">
        <v>500000</v>
      </c>
      <c r="I378" s="252">
        <f t="shared" si="5"/>
        <v>93750</v>
      </c>
      <c r="J378" s="219"/>
    </row>
    <row r="379" spans="2:10" s="147" customFormat="1" ht="16.5" customHeight="1">
      <c r="B379" s="251">
        <v>373</v>
      </c>
      <c r="C379" s="420" t="s">
        <v>755</v>
      </c>
      <c r="D379" s="420" t="s">
        <v>761</v>
      </c>
      <c r="E379" s="420" t="s">
        <v>477</v>
      </c>
      <c r="F379" s="420" t="s">
        <v>475</v>
      </c>
      <c r="G379" s="421">
        <v>12</v>
      </c>
      <c r="H379" s="421">
        <v>1200000</v>
      </c>
      <c r="I379" s="252">
        <f t="shared" si="5"/>
        <v>225000</v>
      </c>
      <c r="J379" s="219"/>
    </row>
    <row r="380" spans="2:10" s="147" customFormat="1" ht="16.5" customHeight="1">
      <c r="B380" s="251">
        <v>374</v>
      </c>
      <c r="C380" s="420" t="s">
        <v>755</v>
      </c>
      <c r="D380" s="420" t="s">
        <v>756</v>
      </c>
      <c r="E380" s="420" t="s">
        <v>533</v>
      </c>
      <c r="F380" s="420" t="s">
        <v>475</v>
      </c>
      <c r="G380" s="421">
        <v>4</v>
      </c>
      <c r="H380" s="421">
        <v>400000</v>
      </c>
      <c r="I380" s="252">
        <f t="shared" si="5"/>
        <v>75000</v>
      </c>
      <c r="J380" s="219"/>
    </row>
    <row r="381" spans="2:10" s="147" customFormat="1" ht="16.5" customHeight="1">
      <c r="B381" s="251">
        <v>375</v>
      </c>
      <c r="C381" s="420" t="s">
        <v>755</v>
      </c>
      <c r="D381" s="420" t="s">
        <v>761</v>
      </c>
      <c r="E381" s="420" t="s">
        <v>477</v>
      </c>
      <c r="F381" s="420" t="s">
        <v>478</v>
      </c>
      <c r="G381" s="421">
        <v>6</v>
      </c>
      <c r="H381" s="421">
        <v>600000</v>
      </c>
      <c r="I381" s="252">
        <f t="shared" si="5"/>
        <v>112500</v>
      </c>
      <c r="J381" s="219"/>
    </row>
    <row r="382" spans="2:10" s="147" customFormat="1" ht="16.5" customHeight="1">
      <c r="B382" s="251">
        <v>376</v>
      </c>
      <c r="C382" s="420" t="s">
        <v>755</v>
      </c>
      <c r="D382" s="420" t="s">
        <v>758</v>
      </c>
      <c r="E382" s="420" t="s">
        <v>667</v>
      </c>
      <c r="F382" s="420" t="s">
        <v>478</v>
      </c>
      <c r="G382" s="421">
        <v>1</v>
      </c>
      <c r="H382" s="421">
        <v>100000</v>
      </c>
      <c r="I382" s="252">
        <f t="shared" si="5"/>
        <v>18750</v>
      </c>
      <c r="J382" s="219"/>
    </row>
    <row r="383" spans="2:10" s="147" customFormat="1" ht="16.5" customHeight="1">
      <c r="B383" s="251">
        <v>377</v>
      </c>
      <c r="C383" s="420" t="s">
        <v>755</v>
      </c>
      <c r="D383" s="420" t="s">
        <v>762</v>
      </c>
      <c r="E383" s="420" t="s">
        <v>599</v>
      </c>
      <c r="F383" s="420" t="s">
        <v>583</v>
      </c>
      <c r="G383" s="421">
        <v>1</v>
      </c>
      <c r="H383" s="421">
        <v>372700</v>
      </c>
      <c r="I383" s="252">
        <f t="shared" si="5"/>
        <v>69881.25</v>
      </c>
      <c r="J383" s="219"/>
    </row>
    <row r="384" spans="2:10" s="147" customFormat="1" ht="16.5" customHeight="1">
      <c r="B384" s="251">
        <v>378</v>
      </c>
      <c r="C384" s="420" t="s">
        <v>755</v>
      </c>
      <c r="D384" s="420" t="s">
        <v>763</v>
      </c>
      <c r="E384" s="420" t="s">
        <v>575</v>
      </c>
      <c r="F384" s="420" t="s">
        <v>726</v>
      </c>
      <c r="G384" s="421">
        <v>1</v>
      </c>
      <c r="H384" s="421">
        <v>257000</v>
      </c>
      <c r="I384" s="252">
        <f t="shared" si="5"/>
        <v>48187.5</v>
      </c>
      <c r="J384" s="219"/>
    </row>
    <row r="385" spans="2:10" s="147" customFormat="1" ht="16.5" customHeight="1">
      <c r="B385" s="251">
        <v>379</v>
      </c>
      <c r="C385" s="420" t="s">
        <v>755</v>
      </c>
      <c r="D385" s="420" t="s">
        <v>762</v>
      </c>
      <c r="E385" s="420" t="s">
        <v>599</v>
      </c>
      <c r="F385" s="420" t="s">
        <v>548</v>
      </c>
      <c r="G385" s="421">
        <v>1</v>
      </c>
      <c r="H385" s="421">
        <v>257000</v>
      </c>
      <c r="I385" s="252">
        <f t="shared" si="5"/>
        <v>48187.5</v>
      </c>
      <c r="J385" s="219"/>
    </row>
    <row r="386" spans="2:10" s="147" customFormat="1" ht="16.5" customHeight="1">
      <c r="B386" s="251">
        <v>380</v>
      </c>
      <c r="C386" s="420" t="s">
        <v>755</v>
      </c>
      <c r="D386" s="420" t="s">
        <v>764</v>
      </c>
      <c r="E386" s="420" t="s">
        <v>507</v>
      </c>
      <c r="F386" s="420" t="s">
        <v>583</v>
      </c>
      <c r="G386" s="421">
        <v>1</v>
      </c>
      <c r="H386" s="421">
        <v>500000</v>
      </c>
      <c r="I386" s="252">
        <f t="shared" si="5"/>
        <v>93750</v>
      </c>
      <c r="J386" s="219"/>
    </row>
    <row r="387" spans="2:10" s="147" customFormat="1" ht="16.5" customHeight="1">
      <c r="B387" s="251">
        <v>381</v>
      </c>
      <c r="C387" s="420" t="s">
        <v>755</v>
      </c>
      <c r="D387" s="420" t="s">
        <v>765</v>
      </c>
      <c r="E387" s="420" t="s">
        <v>174</v>
      </c>
      <c r="F387" s="420" t="s">
        <v>726</v>
      </c>
      <c r="G387" s="421">
        <v>1</v>
      </c>
      <c r="H387" s="421">
        <v>257000</v>
      </c>
      <c r="I387" s="252">
        <f t="shared" si="5"/>
        <v>48187.5</v>
      </c>
      <c r="J387" s="219"/>
    </row>
    <row r="388" spans="2:10" s="147" customFormat="1" ht="16.5" customHeight="1">
      <c r="B388" s="251">
        <v>382</v>
      </c>
      <c r="C388" s="420" t="s">
        <v>766</v>
      </c>
      <c r="D388" s="420" t="s">
        <v>668</v>
      </c>
      <c r="E388" s="420" t="s">
        <v>136</v>
      </c>
      <c r="F388" s="420" t="s">
        <v>481</v>
      </c>
      <c r="G388" s="421">
        <v>1</v>
      </c>
      <c r="H388" s="421">
        <v>40300</v>
      </c>
      <c r="I388" s="252">
        <f t="shared" si="5"/>
        <v>7556.25</v>
      </c>
      <c r="J388" s="219"/>
    </row>
    <row r="389" spans="2:10" s="147" customFormat="1" ht="16.5" customHeight="1">
      <c r="B389" s="251">
        <v>383</v>
      </c>
      <c r="C389" s="420" t="s">
        <v>766</v>
      </c>
      <c r="D389" s="420" t="s">
        <v>370</v>
      </c>
      <c r="E389" s="420" t="s">
        <v>537</v>
      </c>
      <c r="F389" s="420" t="s">
        <v>475</v>
      </c>
      <c r="G389" s="421">
        <v>3</v>
      </c>
      <c r="H389" s="421">
        <v>300000</v>
      </c>
      <c r="I389" s="252">
        <f t="shared" si="5"/>
        <v>56250</v>
      </c>
      <c r="J389" s="219"/>
    </row>
    <row r="390" spans="2:10" s="147" customFormat="1" ht="16.5" customHeight="1">
      <c r="B390" s="251">
        <v>384</v>
      </c>
      <c r="C390" s="420" t="s">
        <v>766</v>
      </c>
      <c r="D390" s="420" t="s">
        <v>532</v>
      </c>
      <c r="E390" s="420" t="s">
        <v>533</v>
      </c>
      <c r="F390" s="420" t="s">
        <v>579</v>
      </c>
      <c r="G390" s="421">
        <v>1</v>
      </c>
      <c r="H390" s="421">
        <v>101800</v>
      </c>
      <c r="I390" s="252">
        <f t="shared" si="5"/>
        <v>19087.5</v>
      </c>
      <c r="J390" s="219"/>
    </row>
    <row r="391" spans="2:10" s="147" customFormat="1" ht="16.5" customHeight="1">
      <c r="B391" s="251">
        <v>385</v>
      </c>
      <c r="C391" s="420" t="s">
        <v>766</v>
      </c>
      <c r="D391" s="420" t="s">
        <v>699</v>
      </c>
      <c r="E391" s="420" t="s">
        <v>657</v>
      </c>
      <c r="F391" s="420" t="s">
        <v>481</v>
      </c>
      <c r="G391" s="421">
        <v>1</v>
      </c>
      <c r="H391" s="421">
        <v>40300</v>
      </c>
      <c r="I391" s="252">
        <f t="shared" si="5"/>
        <v>7556.25</v>
      </c>
      <c r="J391" s="219"/>
    </row>
    <row r="392" spans="2:10" s="147" customFormat="1" ht="16.5" customHeight="1">
      <c r="B392" s="251">
        <v>386</v>
      </c>
      <c r="C392" s="420" t="s">
        <v>766</v>
      </c>
      <c r="D392" s="420" t="s">
        <v>767</v>
      </c>
      <c r="E392" s="420" t="s">
        <v>510</v>
      </c>
      <c r="F392" s="420" t="s">
        <v>488</v>
      </c>
      <c r="G392" s="421">
        <v>9</v>
      </c>
      <c r="H392" s="421">
        <v>900000</v>
      </c>
      <c r="I392" s="252">
        <f t="shared" ref="I392:I455" si="6">H392*25%*75%</f>
        <v>168750</v>
      </c>
      <c r="J392" s="219"/>
    </row>
    <row r="393" spans="2:10" s="147" customFormat="1" ht="16.5" customHeight="1">
      <c r="B393" s="251">
        <v>387</v>
      </c>
      <c r="C393" s="420" t="s">
        <v>766</v>
      </c>
      <c r="D393" s="420" t="s">
        <v>768</v>
      </c>
      <c r="E393" s="420" t="s">
        <v>577</v>
      </c>
      <c r="F393" s="420" t="s">
        <v>488</v>
      </c>
      <c r="G393" s="421">
        <v>3</v>
      </c>
      <c r="H393" s="421">
        <v>300000</v>
      </c>
      <c r="I393" s="252">
        <f t="shared" si="6"/>
        <v>56250</v>
      </c>
      <c r="J393" s="219"/>
    </row>
    <row r="394" spans="2:10" s="147" customFormat="1" ht="16.5" customHeight="1">
      <c r="B394" s="251">
        <v>388</v>
      </c>
      <c r="C394" s="420" t="s">
        <v>766</v>
      </c>
      <c r="D394" s="420" t="s">
        <v>684</v>
      </c>
      <c r="E394" s="420" t="s">
        <v>480</v>
      </c>
      <c r="F394" s="420" t="s">
        <v>481</v>
      </c>
      <c r="G394" s="421">
        <v>1</v>
      </c>
      <c r="H394" s="421">
        <v>100000</v>
      </c>
      <c r="I394" s="252">
        <f t="shared" si="6"/>
        <v>18750</v>
      </c>
      <c r="J394" s="219"/>
    </row>
    <row r="395" spans="2:10" s="147" customFormat="1" ht="16.5" customHeight="1">
      <c r="B395" s="251">
        <v>389</v>
      </c>
      <c r="C395" s="420" t="s">
        <v>766</v>
      </c>
      <c r="D395" s="420" t="s">
        <v>532</v>
      </c>
      <c r="E395" s="420" t="s">
        <v>533</v>
      </c>
      <c r="F395" s="420" t="s">
        <v>475</v>
      </c>
      <c r="G395" s="421">
        <v>2</v>
      </c>
      <c r="H395" s="421">
        <v>200000</v>
      </c>
      <c r="I395" s="252">
        <f t="shared" si="6"/>
        <v>37500</v>
      </c>
      <c r="J395" s="219"/>
    </row>
    <row r="396" spans="2:10" s="147" customFormat="1" ht="16.5" customHeight="1">
      <c r="B396" s="251">
        <v>390</v>
      </c>
      <c r="C396" s="420" t="s">
        <v>766</v>
      </c>
      <c r="D396" s="420" t="s">
        <v>769</v>
      </c>
      <c r="E396" s="420" t="s">
        <v>770</v>
      </c>
      <c r="F396" s="420" t="s">
        <v>481</v>
      </c>
      <c r="G396" s="421">
        <v>1</v>
      </c>
      <c r="H396" s="421">
        <v>100000</v>
      </c>
      <c r="I396" s="252">
        <f t="shared" si="6"/>
        <v>18750</v>
      </c>
      <c r="J396" s="219"/>
    </row>
    <row r="397" spans="2:10" s="147" customFormat="1" ht="16.5" customHeight="1">
      <c r="B397" s="251">
        <v>391</v>
      </c>
      <c r="C397" s="420" t="s">
        <v>766</v>
      </c>
      <c r="D397" s="420" t="s">
        <v>768</v>
      </c>
      <c r="E397" s="420" t="s">
        <v>577</v>
      </c>
      <c r="F397" s="420" t="s">
        <v>475</v>
      </c>
      <c r="G397" s="421">
        <v>6</v>
      </c>
      <c r="H397" s="421">
        <v>600000</v>
      </c>
      <c r="I397" s="252">
        <f t="shared" si="6"/>
        <v>112500</v>
      </c>
      <c r="J397" s="219"/>
    </row>
    <row r="398" spans="2:10" s="147" customFormat="1" ht="16.5" customHeight="1">
      <c r="B398" s="251">
        <v>392</v>
      </c>
      <c r="C398" s="420" t="s">
        <v>766</v>
      </c>
      <c r="D398" s="420" t="s">
        <v>771</v>
      </c>
      <c r="E398" s="420" t="s">
        <v>575</v>
      </c>
      <c r="F398" s="420" t="s">
        <v>478</v>
      </c>
      <c r="G398" s="421">
        <v>5</v>
      </c>
      <c r="H398" s="421">
        <v>500000</v>
      </c>
      <c r="I398" s="252">
        <f t="shared" si="6"/>
        <v>93750</v>
      </c>
      <c r="J398" s="219"/>
    </row>
    <row r="399" spans="2:10" s="355" customFormat="1" ht="16.5" customHeight="1">
      <c r="B399" s="251">
        <v>393</v>
      </c>
      <c r="C399" s="420" t="s">
        <v>766</v>
      </c>
      <c r="D399" s="420" t="s">
        <v>767</v>
      </c>
      <c r="E399" s="420" t="s">
        <v>510</v>
      </c>
      <c r="F399" s="420" t="s">
        <v>475</v>
      </c>
      <c r="G399" s="421">
        <v>8</v>
      </c>
      <c r="H399" s="421">
        <v>800000</v>
      </c>
      <c r="I399" s="252">
        <f t="shared" si="6"/>
        <v>150000</v>
      </c>
      <c r="J399" s="354"/>
    </row>
    <row r="400" spans="2:10" s="355" customFormat="1" ht="16.5" customHeight="1">
      <c r="B400" s="251">
        <v>394</v>
      </c>
      <c r="C400" s="420" t="s">
        <v>766</v>
      </c>
      <c r="D400" s="420" t="s">
        <v>772</v>
      </c>
      <c r="E400" s="420" t="s">
        <v>504</v>
      </c>
      <c r="F400" s="420" t="s">
        <v>475</v>
      </c>
      <c r="G400" s="421">
        <v>2</v>
      </c>
      <c r="H400" s="421">
        <v>200000</v>
      </c>
      <c r="I400" s="252">
        <f t="shared" si="6"/>
        <v>37500</v>
      </c>
      <c r="J400" s="354"/>
    </row>
    <row r="401" spans="2:10" s="355" customFormat="1" ht="16.5" customHeight="1">
      <c r="B401" s="251">
        <v>395</v>
      </c>
      <c r="C401" s="420" t="s">
        <v>766</v>
      </c>
      <c r="D401" s="420" t="s">
        <v>771</v>
      </c>
      <c r="E401" s="420" t="s">
        <v>575</v>
      </c>
      <c r="F401" s="420" t="s">
        <v>475</v>
      </c>
      <c r="G401" s="421">
        <v>5</v>
      </c>
      <c r="H401" s="421">
        <v>500000</v>
      </c>
      <c r="I401" s="252">
        <f t="shared" si="6"/>
        <v>93750</v>
      </c>
      <c r="J401" s="354"/>
    </row>
    <row r="402" spans="2:10" s="355" customFormat="1" ht="16.5" customHeight="1">
      <c r="B402" s="251">
        <v>396</v>
      </c>
      <c r="C402" s="420" t="s">
        <v>766</v>
      </c>
      <c r="D402" s="420" t="s">
        <v>772</v>
      </c>
      <c r="E402" s="420" t="s">
        <v>504</v>
      </c>
      <c r="F402" s="420" t="s">
        <v>488</v>
      </c>
      <c r="G402" s="421">
        <v>2</v>
      </c>
      <c r="H402" s="421">
        <v>200000</v>
      </c>
      <c r="I402" s="252">
        <f t="shared" si="6"/>
        <v>37500</v>
      </c>
      <c r="J402" s="354"/>
    </row>
    <row r="403" spans="2:10" s="355" customFormat="1" ht="16.5" customHeight="1">
      <c r="B403" s="251">
        <v>397</v>
      </c>
      <c r="C403" s="420" t="s">
        <v>766</v>
      </c>
      <c r="D403" s="420" t="s">
        <v>532</v>
      </c>
      <c r="E403" s="420" t="s">
        <v>533</v>
      </c>
      <c r="F403" s="420" t="s">
        <v>488</v>
      </c>
      <c r="G403" s="421">
        <v>3</v>
      </c>
      <c r="H403" s="421">
        <v>300000</v>
      </c>
      <c r="I403" s="252">
        <f t="shared" si="6"/>
        <v>56250</v>
      </c>
      <c r="J403" s="354"/>
    </row>
    <row r="404" spans="2:10" s="355" customFormat="1" ht="16.5" customHeight="1">
      <c r="B404" s="251">
        <v>398</v>
      </c>
      <c r="C404" s="420" t="s">
        <v>766</v>
      </c>
      <c r="D404" s="420" t="s">
        <v>370</v>
      </c>
      <c r="E404" s="420" t="s">
        <v>537</v>
      </c>
      <c r="F404" s="420" t="s">
        <v>488</v>
      </c>
      <c r="G404" s="421">
        <v>3</v>
      </c>
      <c r="H404" s="421">
        <v>300000</v>
      </c>
      <c r="I404" s="252">
        <f t="shared" si="6"/>
        <v>56250</v>
      </c>
      <c r="J404" s="354"/>
    </row>
    <row r="405" spans="2:10" s="355" customFormat="1" ht="16.5" customHeight="1">
      <c r="B405" s="251">
        <v>399</v>
      </c>
      <c r="C405" s="420" t="s">
        <v>773</v>
      </c>
      <c r="D405" s="420" t="s">
        <v>774</v>
      </c>
      <c r="E405" s="420" t="s">
        <v>497</v>
      </c>
      <c r="F405" s="420" t="s">
        <v>475</v>
      </c>
      <c r="G405" s="421">
        <v>5</v>
      </c>
      <c r="H405" s="421">
        <v>500000</v>
      </c>
      <c r="I405" s="252">
        <f t="shared" si="6"/>
        <v>93750</v>
      </c>
      <c r="J405" s="354"/>
    </row>
    <row r="406" spans="2:10" s="259" customFormat="1" ht="16.5" customHeight="1">
      <c r="B406" s="251">
        <v>400</v>
      </c>
      <c r="C406" s="420" t="s">
        <v>773</v>
      </c>
      <c r="D406" s="420" t="s">
        <v>775</v>
      </c>
      <c r="E406" s="420" t="s">
        <v>555</v>
      </c>
      <c r="F406" s="420" t="s">
        <v>478</v>
      </c>
      <c r="G406" s="421">
        <v>6</v>
      </c>
      <c r="H406" s="421">
        <v>600000</v>
      </c>
      <c r="I406" s="252">
        <f t="shared" si="6"/>
        <v>112500</v>
      </c>
      <c r="J406" s="284"/>
    </row>
    <row r="407" spans="2:10" s="259" customFormat="1" ht="16.5" customHeight="1">
      <c r="B407" s="251">
        <v>401</v>
      </c>
      <c r="C407" s="420" t="s">
        <v>773</v>
      </c>
      <c r="D407" s="420" t="s">
        <v>774</v>
      </c>
      <c r="E407" s="420" t="s">
        <v>497</v>
      </c>
      <c r="F407" s="420" t="s">
        <v>478</v>
      </c>
      <c r="G407" s="421">
        <v>8</v>
      </c>
      <c r="H407" s="421">
        <v>800000</v>
      </c>
      <c r="I407" s="252">
        <f t="shared" si="6"/>
        <v>150000</v>
      </c>
      <c r="J407" s="284"/>
    </row>
    <row r="408" spans="2:10" s="259" customFormat="1" ht="16.5" customHeight="1">
      <c r="B408" s="251">
        <v>402</v>
      </c>
      <c r="C408" s="420" t="s">
        <v>773</v>
      </c>
      <c r="D408" s="420" t="s">
        <v>776</v>
      </c>
      <c r="E408" s="420" t="s">
        <v>145</v>
      </c>
      <c r="F408" s="420" t="s">
        <v>475</v>
      </c>
      <c r="G408" s="421">
        <v>1</v>
      </c>
      <c r="H408" s="421">
        <v>100000</v>
      </c>
      <c r="I408" s="252">
        <f t="shared" si="6"/>
        <v>18750</v>
      </c>
      <c r="J408" s="284"/>
    </row>
    <row r="409" spans="2:10" s="259" customFormat="1" ht="16.5" customHeight="1">
      <c r="B409" s="251">
        <v>403</v>
      </c>
      <c r="C409" s="420" t="s">
        <v>773</v>
      </c>
      <c r="D409" s="420" t="s">
        <v>777</v>
      </c>
      <c r="E409" s="420" t="s">
        <v>174</v>
      </c>
      <c r="F409" s="420" t="s">
        <v>475</v>
      </c>
      <c r="G409" s="421">
        <v>2</v>
      </c>
      <c r="H409" s="421">
        <v>200000</v>
      </c>
      <c r="I409" s="252">
        <f t="shared" si="6"/>
        <v>37500</v>
      </c>
      <c r="J409" s="284"/>
    </row>
    <row r="410" spans="2:10" s="259" customFormat="1" ht="16.5" customHeight="1">
      <c r="B410" s="251">
        <v>404</v>
      </c>
      <c r="C410" s="420" t="s">
        <v>773</v>
      </c>
      <c r="D410" s="420" t="s">
        <v>778</v>
      </c>
      <c r="E410" s="420" t="s">
        <v>485</v>
      </c>
      <c r="F410" s="420" t="s">
        <v>779</v>
      </c>
      <c r="G410" s="421">
        <v>1</v>
      </c>
      <c r="H410" s="421">
        <v>101800</v>
      </c>
      <c r="I410" s="252">
        <f t="shared" si="6"/>
        <v>19087.5</v>
      </c>
      <c r="J410" s="284"/>
    </row>
    <row r="411" spans="2:10" s="259" customFormat="1" ht="16.5" customHeight="1">
      <c r="B411" s="251">
        <v>405</v>
      </c>
      <c r="C411" s="420" t="s">
        <v>773</v>
      </c>
      <c r="D411" s="420" t="s">
        <v>778</v>
      </c>
      <c r="E411" s="420" t="s">
        <v>485</v>
      </c>
      <c r="F411" s="420" t="s">
        <v>475</v>
      </c>
      <c r="G411" s="421">
        <v>7</v>
      </c>
      <c r="H411" s="421">
        <v>700000</v>
      </c>
      <c r="I411" s="252">
        <f t="shared" si="6"/>
        <v>131250</v>
      </c>
      <c r="J411" s="284"/>
    </row>
    <row r="412" spans="2:10" s="259" customFormat="1" ht="16.5" customHeight="1">
      <c r="B412" s="251">
        <v>406</v>
      </c>
      <c r="C412" s="420" t="s">
        <v>773</v>
      </c>
      <c r="D412" s="420" t="s">
        <v>780</v>
      </c>
      <c r="E412" s="420" t="s">
        <v>491</v>
      </c>
      <c r="F412" s="420" t="s">
        <v>475</v>
      </c>
      <c r="G412" s="421">
        <v>1</v>
      </c>
      <c r="H412" s="421">
        <v>100000</v>
      </c>
      <c r="I412" s="252">
        <f t="shared" si="6"/>
        <v>18750</v>
      </c>
      <c r="J412" s="284"/>
    </row>
    <row r="413" spans="2:10" s="259" customFormat="1" ht="16.5" customHeight="1">
      <c r="B413" s="251">
        <v>407</v>
      </c>
      <c r="C413" s="420" t="s">
        <v>773</v>
      </c>
      <c r="D413" s="420" t="s">
        <v>781</v>
      </c>
      <c r="E413" s="420" t="s">
        <v>645</v>
      </c>
      <c r="F413" s="420" t="s">
        <v>475</v>
      </c>
      <c r="G413" s="421">
        <v>4</v>
      </c>
      <c r="H413" s="421">
        <v>400000</v>
      </c>
      <c r="I413" s="252">
        <f t="shared" si="6"/>
        <v>75000</v>
      </c>
      <c r="J413" s="284"/>
    </row>
    <row r="414" spans="2:10" s="259" customFormat="1" ht="16.5" customHeight="1">
      <c r="B414" s="251">
        <v>408</v>
      </c>
      <c r="C414" s="420" t="s">
        <v>773</v>
      </c>
      <c r="D414" s="420" t="s">
        <v>776</v>
      </c>
      <c r="E414" s="420" t="s">
        <v>145</v>
      </c>
      <c r="F414" s="420" t="s">
        <v>478</v>
      </c>
      <c r="G414" s="421">
        <v>6</v>
      </c>
      <c r="H414" s="421">
        <v>600000</v>
      </c>
      <c r="I414" s="252">
        <f t="shared" si="6"/>
        <v>112500</v>
      </c>
      <c r="J414" s="284"/>
    </row>
    <row r="415" spans="2:10" s="259" customFormat="1" ht="16.5" customHeight="1">
      <c r="B415" s="251">
        <v>409</v>
      </c>
      <c r="C415" s="420" t="s">
        <v>773</v>
      </c>
      <c r="D415" s="420" t="s">
        <v>782</v>
      </c>
      <c r="E415" s="420" t="s">
        <v>599</v>
      </c>
      <c r="F415" s="420" t="s">
        <v>475</v>
      </c>
      <c r="G415" s="421">
        <v>2</v>
      </c>
      <c r="H415" s="421">
        <v>200000</v>
      </c>
      <c r="I415" s="252">
        <f t="shared" si="6"/>
        <v>37500</v>
      </c>
      <c r="J415" s="284"/>
    </row>
    <row r="416" spans="2:10" s="259" customFormat="1" ht="16.5" customHeight="1">
      <c r="B416" s="251">
        <v>410</v>
      </c>
      <c r="C416" s="420" t="s">
        <v>773</v>
      </c>
      <c r="D416" s="420" t="s">
        <v>783</v>
      </c>
      <c r="E416" s="420" t="s">
        <v>563</v>
      </c>
      <c r="F416" s="420" t="s">
        <v>475</v>
      </c>
      <c r="G416" s="421">
        <v>1</v>
      </c>
      <c r="H416" s="421">
        <v>100000</v>
      </c>
      <c r="I416" s="252">
        <f t="shared" si="6"/>
        <v>18750</v>
      </c>
      <c r="J416" s="284"/>
    </row>
    <row r="417" spans="2:10" s="259" customFormat="1" ht="16.5" customHeight="1">
      <c r="B417" s="251">
        <v>411</v>
      </c>
      <c r="C417" s="420" t="s">
        <v>773</v>
      </c>
      <c r="D417" s="420" t="s">
        <v>784</v>
      </c>
      <c r="E417" s="420" t="s">
        <v>533</v>
      </c>
      <c r="F417" s="420" t="s">
        <v>475</v>
      </c>
      <c r="G417" s="421">
        <v>3</v>
      </c>
      <c r="H417" s="421">
        <v>300000</v>
      </c>
      <c r="I417" s="252">
        <f t="shared" si="6"/>
        <v>56250</v>
      </c>
      <c r="J417" s="284"/>
    </row>
    <row r="418" spans="2:10" s="259" customFormat="1" ht="16.5" customHeight="1">
      <c r="B418" s="251">
        <v>412</v>
      </c>
      <c r="C418" s="420" t="s">
        <v>773</v>
      </c>
      <c r="D418" s="420" t="s">
        <v>785</v>
      </c>
      <c r="E418" s="420" t="s">
        <v>565</v>
      </c>
      <c r="F418" s="420" t="s">
        <v>475</v>
      </c>
      <c r="G418" s="421">
        <v>5</v>
      </c>
      <c r="H418" s="421">
        <v>500000</v>
      </c>
      <c r="I418" s="252">
        <f t="shared" si="6"/>
        <v>93750</v>
      </c>
      <c r="J418" s="284"/>
    </row>
    <row r="419" spans="2:10" s="259" customFormat="1" ht="16.5" customHeight="1">
      <c r="B419" s="251">
        <v>413</v>
      </c>
      <c r="C419" s="420" t="s">
        <v>773</v>
      </c>
      <c r="D419" s="420" t="s">
        <v>782</v>
      </c>
      <c r="E419" s="420" t="s">
        <v>599</v>
      </c>
      <c r="F419" s="420" t="s">
        <v>478</v>
      </c>
      <c r="G419" s="421">
        <v>3</v>
      </c>
      <c r="H419" s="421">
        <v>300000</v>
      </c>
      <c r="I419" s="252">
        <f t="shared" si="6"/>
        <v>56250</v>
      </c>
      <c r="J419" s="284"/>
    </row>
    <row r="420" spans="2:10" s="259" customFormat="1" ht="16.5" customHeight="1">
      <c r="B420" s="251">
        <v>414</v>
      </c>
      <c r="C420" s="420" t="s">
        <v>773</v>
      </c>
      <c r="D420" s="420" t="s">
        <v>774</v>
      </c>
      <c r="E420" s="420" t="s">
        <v>497</v>
      </c>
      <c r="F420" s="420" t="s">
        <v>495</v>
      </c>
      <c r="G420" s="421">
        <v>1</v>
      </c>
      <c r="H420" s="421">
        <v>200000</v>
      </c>
      <c r="I420" s="252">
        <f t="shared" si="6"/>
        <v>37500</v>
      </c>
      <c r="J420" s="284"/>
    </row>
    <row r="421" spans="2:10" s="259" customFormat="1" ht="16.5" customHeight="1">
      <c r="B421" s="251">
        <v>415</v>
      </c>
      <c r="C421" s="420" t="s">
        <v>773</v>
      </c>
      <c r="D421" s="420" t="s">
        <v>780</v>
      </c>
      <c r="E421" s="420" t="s">
        <v>491</v>
      </c>
      <c r="F421" s="420" t="s">
        <v>478</v>
      </c>
      <c r="G421" s="421">
        <v>1</v>
      </c>
      <c r="H421" s="421">
        <v>100000</v>
      </c>
      <c r="I421" s="252">
        <f t="shared" si="6"/>
        <v>18750</v>
      </c>
      <c r="J421" s="284"/>
    </row>
    <row r="422" spans="2:10" s="259" customFormat="1" ht="16.5" customHeight="1">
      <c r="B422" s="251">
        <v>416</v>
      </c>
      <c r="C422" s="420" t="s">
        <v>773</v>
      </c>
      <c r="D422" s="420" t="s">
        <v>697</v>
      </c>
      <c r="E422" s="420" t="s">
        <v>657</v>
      </c>
      <c r="F422" s="420" t="s">
        <v>481</v>
      </c>
      <c r="G422" s="421">
        <v>1</v>
      </c>
      <c r="H422" s="421">
        <v>100000</v>
      </c>
      <c r="I422" s="252">
        <f t="shared" si="6"/>
        <v>18750</v>
      </c>
      <c r="J422" s="284"/>
    </row>
    <row r="423" spans="2:10" s="259" customFormat="1" ht="16.5" customHeight="1">
      <c r="B423" s="251">
        <v>417</v>
      </c>
      <c r="C423" s="420" t="s">
        <v>773</v>
      </c>
      <c r="D423" s="420" t="s">
        <v>785</v>
      </c>
      <c r="E423" s="420" t="s">
        <v>565</v>
      </c>
      <c r="F423" s="420" t="s">
        <v>488</v>
      </c>
      <c r="G423" s="421">
        <v>5</v>
      </c>
      <c r="H423" s="421">
        <v>500000</v>
      </c>
      <c r="I423" s="252">
        <f t="shared" si="6"/>
        <v>93750</v>
      </c>
      <c r="J423" s="284"/>
    </row>
    <row r="424" spans="2:10" s="259" customFormat="1" ht="16.5" customHeight="1">
      <c r="B424" s="251">
        <v>418</v>
      </c>
      <c r="C424" s="420" t="s">
        <v>773</v>
      </c>
      <c r="D424" s="420" t="s">
        <v>783</v>
      </c>
      <c r="E424" s="420" t="s">
        <v>563</v>
      </c>
      <c r="F424" s="420" t="s">
        <v>478</v>
      </c>
      <c r="G424" s="421">
        <v>1</v>
      </c>
      <c r="H424" s="421">
        <v>100000</v>
      </c>
      <c r="I424" s="252">
        <f t="shared" si="6"/>
        <v>18750</v>
      </c>
      <c r="J424" s="284"/>
    </row>
    <row r="425" spans="2:10" s="259" customFormat="1" ht="16.5" customHeight="1">
      <c r="B425" s="251">
        <v>419</v>
      </c>
      <c r="C425" s="420" t="s">
        <v>773</v>
      </c>
      <c r="D425" s="420" t="s">
        <v>786</v>
      </c>
      <c r="E425" s="420" t="s">
        <v>787</v>
      </c>
      <c r="F425" s="420" t="s">
        <v>475</v>
      </c>
      <c r="G425" s="421">
        <v>4</v>
      </c>
      <c r="H425" s="421">
        <v>400000</v>
      </c>
      <c r="I425" s="252">
        <f t="shared" si="6"/>
        <v>75000</v>
      </c>
      <c r="J425" s="284"/>
    </row>
    <row r="426" spans="2:10" s="259" customFormat="1" ht="16.5" customHeight="1">
      <c r="B426" s="251">
        <v>420</v>
      </c>
      <c r="C426" s="420" t="s">
        <v>773</v>
      </c>
      <c r="D426" s="420" t="s">
        <v>781</v>
      </c>
      <c r="E426" s="420" t="s">
        <v>645</v>
      </c>
      <c r="F426" s="420" t="s">
        <v>488</v>
      </c>
      <c r="G426" s="421">
        <v>3</v>
      </c>
      <c r="H426" s="421">
        <v>300000</v>
      </c>
      <c r="I426" s="252">
        <f t="shared" si="6"/>
        <v>56250</v>
      </c>
      <c r="J426" s="284"/>
    </row>
    <row r="427" spans="2:10" s="259" customFormat="1" ht="16.5" customHeight="1">
      <c r="B427" s="251">
        <v>421</v>
      </c>
      <c r="C427" s="420" t="s">
        <v>773</v>
      </c>
      <c r="D427" s="420" t="s">
        <v>635</v>
      </c>
      <c r="E427" s="420" t="s">
        <v>512</v>
      </c>
      <c r="F427" s="420" t="s">
        <v>481</v>
      </c>
      <c r="G427" s="421">
        <v>1</v>
      </c>
      <c r="H427" s="421">
        <v>100000</v>
      </c>
      <c r="I427" s="252">
        <f t="shared" si="6"/>
        <v>18750</v>
      </c>
      <c r="J427" s="284"/>
    </row>
    <row r="428" spans="2:10" s="259" customFormat="1" ht="16.5" customHeight="1">
      <c r="B428" s="251">
        <v>422</v>
      </c>
      <c r="C428" s="420" t="s">
        <v>773</v>
      </c>
      <c r="D428" s="420" t="s">
        <v>775</v>
      </c>
      <c r="E428" s="420" t="s">
        <v>555</v>
      </c>
      <c r="F428" s="420" t="s">
        <v>475</v>
      </c>
      <c r="G428" s="421">
        <v>6</v>
      </c>
      <c r="H428" s="421">
        <v>600000</v>
      </c>
      <c r="I428" s="252">
        <f t="shared" si="6"/>
        <v>112500</v>
      </c>
      <c r="J428" s="284"/>
    </row>
    <row r="429" spans="2:10" s="259" customFormat="1" ht="16.5" customHeight="1">
      <c r="B429" s="251">
        <v>423</v>
      </c>
      <c r="C429" s="420" t="s">
        <v>773</v>
      </c>
      <c r="D429" s="420" t="s">
        <v>781</v>
      </c>
      <c r="E429" s="420" t="s">
        <v>645</v>
      </c>
      <c r="F429" s="420" t="s">
        <v>579</v>
      </c>
      <c r="G429" s="421">
        <v>1</v>
      </c>
      <c r="H429" s="421">
        <v>101800</v>
      </c>
      <c r="I429" s="252">
        <f t="shared" si="6"/>
        <v>19087.5</v>
      </c>
      <c r="J429" s="284"/>
    </row>
    <row r="430" spans="2:10" s="259" customFormat="1" ht="16.5" customHeight="1">
      <c r="B430" s="251">
        <v>424</v>
      </c>
      <c r="C430" s="420" t="s">
        <v>773</v>
      </c>
      <c r="D430" s="420" t="s">
        <v>778</v>
      </c>
      <c r="E430" s="420" t="s">
        <v>485</v>
      </c>
      <c r="F430" s="420" t="s">
        <v>478</v>
      </c>
      <c r="G430" s="421">
        <v>7</v>
      </c>
      <c r="H430" s="421">
        <v>700000</v>
      </c>
      <c r="I430" s="252">
        <f t="shared" si="6"/>
        <v>131250</v>
      </c>
      <c r="J430" s="284"/>
    </row>
    <row r="431" spans="2:10" s="259" customFormat="1" ht="16.5" customHeight="1">
      <c r="B431" s="251">
        <v>425</v>
      </c>
      <c r="C431" s="420" t="s">
        <v>773</v>
      </c>
      <c r="D431" s="420" t="s">
        <v>784</v>
      </c>
      <c r="E431" s="420" t="s">
        <v>533</v>
      </c>
      <c r="F431" s="420" t="s">
        <v>478</v>
      </c>
      <c r="G431" s="421">
        <v>3</v>
      </c>
      <c r="H431" s="421">
        <v>300000</v>
      </c>
      <c r="I431" s="252">
        <f t="shared" si="6"/>
        <v>56250</v>
      </c>
      <c r="J431" s="284"/>
    </row>
    <row r="432" spans="2:10" s="259" customFormat="1" ht="16.5" customHeight="1">
      <c r="B432" s="251">
        <v>426</v>
      </c>
      <c r="C432" s="420" t="s">
        <v>773</v>
      </c>
      <c r="D432" s="420" t="s">
        <v>786</v>
      </c>
      <c r="E432" s="420" t="s">
        <v>787</v>
      </c>
      <c r="F432" s="420" t="s">
        <v>478</v>
      </c>
      <c r="G432" s="421">
        <v>6</v>
      </c>
      <c r="H432" s="421">
        <v>600000</v>
      </c>
      <c r="I432" s="252">
        <f t="shared" si="6"/>
        <v>112500</v>
      </c>
      <c r="J432" s="284"/>
    </row>
    <row r="433" spans="2:10" s="259" customFormat="1" ht="16.5" customHeight="1">
      <c r="B433" s="251">
        <v>427</v>
      </c>
      <c r="C433" s="420" t="s">
        <v>773</v>
      </c>
      <c r="D433" s="420" t="s">
        <v>778</v>
      </c>
      <c r="E433" s="420" t="s">
        <v>485</v>
      </c>
      <c r="F433" s="420" t="s">
        <v>495</v>
      </c>
      <c r="G433" s="421">
        <v>1</v>
      </c>
      <c r="H433" s="421">
        <v>200000</v>
      </c>
      <c r="I433" s="252">
        <f t="shared" si="6"/>
        <v>37500</v>
      </c>
      <c r="J433" s="284"/>
    </row>
    <row r="434" spans="2:10" s="259" customFormat="1" ht="16.5" customHeight="1">
      <c r="B434" s="251">
        <v>428</v>
      </c>
      <c r="C434" s="420" t="s">
        <v>773</v>
      </c>
      <c r="D434" s="420" t="s">
        <v>774</v>
      </c>
      <c r="E434" s="420" t="s">
        <v>497</v>
      </c>
      <c r="F434" s="420" t="s">
        <v>625</v>
      </c>
      <c r="G434" s="421">
        <v>1</v>
      </c>
      <c r="H434" s="421">
        <v>300000</v>
      </c>
      <c r="I434" s="252">
        <f t="shared" si="6"/>
        <v>56250</v>
      </c>
      <c r="J434" s="284"/>
    </row>
    <row r="435" spans="2:10" s="259" customFormat="1" ht="16.5" customHeight="1">
      <c r="B435" s="251">
        <v>429</v>
      </c>
      <c r="C435" s="420" t="s">
        <v>773</v>
      </c>
      <c r="D435" s="420" t="s">
        <v>788</v>
      </c>
      <c r="E435" s="420" t="s">
        <v>139</v>
      </c>
      <c r="F435" s="420" t="s">
        <v>495</v>
      </c>
      <c r="G435" s="421">
        <v>1</v>
      </c>
      <c r="H435" s="421">
        <v>200000</v>
      </c>
      <c r="I435" s="252">
        <f t="shared" si="6"/>
        <v>37500</v>
      </c>
      <c r="J435" s="284"/>
    </row>
    <row r="436" spans="2:10" s="259" customFormat="1" ht="16.5" customHeight="1">
      <c r="B436" s="251">
        <v>430</v>
      </c>
      <c r="C436" s="420" t="s">
        <v>773</v>
      </c>
      <c r="D436" s="420" t="s">
        <v>782</v>
      </c>
      <c r="E436" s="420" t="s">
        <v>599</v>
      </c>
      <c r="F436" s="420" t="s">
        <v>495</v>
      </c>
      <c r="G436" s="421">
        <v>1</v>
      </c>
      <c r="H436" s="421">
        <v>200000</v>
      </c>
      <c r="I436" s="252">
        <f t="shared" si="6"/>
        <v>37500</v>
      </c>
      <c r="J436" s="284"/>
    </row>
    <row r="437" spans="2:10" s="259" customFormat="1" ht="16.5" customHeight="1">
      <c r="B437" s="251">
        <v>431</v>
      </c>
      <c r="C437" s="420" t="s">
        <v>789</v>
      </c>
      <c r="D437" s="420" t="s">
        <v>790</v>
      </c>
      <c r="E437" s="420" t="s">
        <v>599</v>
      </c>
      <c r="F437" s="420" t="s">
        <v>583</v>
      </c>
      <c r="G437" s="421">
        <v>1</v>
      </c>
      <c r="H437" s="421">
        <v>372700</v>
      </c>
      <c r="I437" s="252">
        <f t="shared" si="6"/>
        <v>69881.25</v>
      </c>
      <c r="J437" s="284"/>
    </row>
    <row r="438" spans="2:10" s="259" customFormat="1" ht="16.5" customHeight="1">
      <c r="B438" s="251">
        <v>432</v>
      </c>
      <c r="C438" s="420" t="s">
        <v>789</v>
      </c>
      <c r="D438" s="420" t="s">
        <v>791</v>
      </c>
      <c r="E438" s="420" t="s">
        <v>722</v>
      </c>
      <c r="F438" s="420" t="s">
        <v>726</v>
      </c>
      <c r="G438" s="421">
        <v>1</v>
      </c>
      <c r="H438" s="421">
        <v>257000</v>
      </c>
      <c r="I438" s="252">
        <f t="shared" si="6"/>
        <v>48187.5</v>
      </c>
      <c r="J438" s="284"/>
    </row>
    <row r="439" spans="2:10" s="259" customFormat="1" ht="16.5" customHeight="1">
      <c r="B439" s="251">
        <v>433</v>
      </c>
      <c r="C439" s="420" t="s">
        <v>789</v>
      </c>
      <c r="D439" s="420" t="s">
        <v>790</v>
      </c>
      <c r="E439" s="420" t="s">
        <v>599</v>
      </c>
      <c r="F439" s="420" t="s">
        <v>792</v>
      </c>
      <c r="G439" s="421">
        <v>1</v>
      </c>
      <c r="H439" s="421">
        <v>400000</v>
      </c>
      <c r="I439" s="252">
        <f t="shared" si="6"/>
        <v>75000</v>
      </c>
      <c r="J439" s="284"/>
    </row>
    <row r="440" spans="2:10" s="259" customFormat="1" ht="16.5" customHeight="1">
      <c r="B440" s="251">
        <v>434</v>
      </c>
      <c r="C440" s="420" t="s">
        <v>789</v>
      </c>
      <c r="D440" s="420" t="s">
        <v>793</v>
      </c>
      <c r="E440" s="420" t="s">
        <v>525</v>
      </c>
      <c r="F440" s="420" t="s">
        <v>726</v>
      </c>
      <c r="G440" s="421">
        <v>1</v>
      </c>
      <c r="H440" s="421">
        <v>257000</v>
      </c>
      <c r="I440" s="252">
        <f t="shared" si="6"/>
        <v>48187.5</v>
      </c>
      <c r="J440" s="284"/>
    </row>
    <row r="441" spans="2:10" s="259" customFormat="1" ht="16.5" customHeight="1">
      <c r="B441" s="251">
        <v>435</v>
      </c>
      <c r="C441" s="420" t="s">
        <v>794</v>
      </c>
      <c r="D441" s="420" t="s">
        <v>795</v>
      </c>
      <c r="E441" s="420" t="s">
        <v>142</v>
      </c>
      <c r="F441" s="420" t="s">
        <v>625</v>
      </c>
      <c r="G441" s="421">
        <v>1</v>
      </c>
      <c r="H441" s="421">
        <v>300000</v>
      </c>
      <c r="I441" s="252">
        <f t="shared" si="6"/>
        <v>56250</v>
      </c>
      <c r="J441" s="284"/>
    </row>
    <row r="442" spans="2:10" s="259" customFormat="1" ht="16.5" customHeight="1">
      <c r="B442" s="251">
        <v>436</v>
      </c>
      <c r="C442" s="420" t="s">
        <v>796</v>
      </c>
      <c r="D442" s="420" t="s">
        <v>797</v>
      </c>
      <c r="E442" s="420" t="s">
        <v>722</v>
      </c>
      <c r="F442" s="420" t="s">
        <v>488</v>
      </c>
      <c r="G442" s="421">
        <v>3</v>
      </c>
      <c r="H442" s="421">
        <v>300000</v>
      </c>
      <c r="I442" s="252">
        <f t="shared" si="6"/>
        <v>56250</v>
      </c>
      <c r="J442" s="284"/>
    </row>
    <row r="443" spans="2:10" s="259" customFormat="1" ht="16.5" customHeight="1">
      <c r="B443" s="251">
        <v>437</v>
      </c>
      <c r="C443" s="420" t="s">
        <v>796</v>
      </c>
      <c r="D443" s="420" t="s">
        <v>798</v>
      </c>
      <c r="E443" s="420" t="s">
        <v>139</v>
      </c>
      <c r="F443" s="420" t="s">
        <v>475</v>
      </c>
      <c r="G443" s="421">
        <v>13</v>
      </c>
      <c r="H443" s="421">
        <v>1300000</v>
      </c>
      <c r="I443" s="252">
        <f t="shared" si="6"/>
        <v>243750</v>
      </c>
      <c r="J443" s="284"/>
    </row>
    <row r="444" spans="2:10" s="259" customFormat="1" ht="16.5" customHeight="1">
      <c r="B444" s="251">
        <v>438</v>
      </c>
      <c r="C444" s="420" t="s">
        <v>796</v>
      </c>
      <c r="D444" s="420" t="s">
        <v>799</v>
      </c>
      <c r="E444" s="420" t="s">
        <v>530</v>
      </c>
      <c r="F444" s="420" t="s">
        <v>488</v>
      </c>
      <c r="G444" s="421">
        <v>2</v>
      </c>
      <c r="H444" s="421">
        <v>200000</v>
      </c>
      <c r="I444" s="252">
        <f t="shared" si="6"/>
        <v>37500</v>
      </c>
      <c r="J444" s="284"/>
    </row>
    <row r="445" spans="2:10" s="259" customFormat="1" ht="16.5" customHeight="1">
      <c r="B445" s="251">
        <v>439</v>
      </c>
      <c r="C445" s="420" t="s">
        <v>796</v>
      </c>
      <c r="D445" s="420" t="s">
        <v>800</v>
      </c>
      <c r="E445" s="420" t="s">
        <v>573</v>
      </c>
      <c r="F445" s="420" t="s">
        <v>488</v>
      </c>
      <c r="G445" s="421">
        <v>3</v>
      </c>
      <c r="H445" s="421">
        <v>300000</v>
      </c>
      <c r="I445" s="252">
        <f t="shared" si="6"/>
        <v>56250</v>
      </c>
      <c r="J445" s="284"/>
    </row>
    <row r="446" spans="2:10" s="259" customFormat="1" ht="16.5" customHeight="1">
      <c r="B446" s="251">
        <v>440</v>
      </c>
      <c r="C446" s="420" t="s">
        <v>796</v>
      </c>
      <c r="D446" s="420" t="s">
        <v>727</v>
      </c>
      <c r="E446" s="420" t="s">
        <v>667</v>
      </c>
      <c r="F446" s="420" t="s">
        <v>481</v>
      </c>
      <c r="G446" s="421">
        <v>1</v>
      </c>
      <c r="H446" s="421">
        <v>100000</v>
      </c>
      <c r="I446" s="252">
        <f t="shared" si="6"/>
        <v>18750</v>
      </c>
      <c r="J446" s="284"/>
    </row>
    <row r="447" spans="2:10" s="259" customFormat="1" ht="16.5" customHeight="1">
      <c r="B447" s="251">
        <v>441</v>
      </c>
      <c r="C447" s="420" t="s">
        <v>796</v>
      </c>
      <c r="D447" s="420" t="s">
        <v>797</v>
      </c>
      <c r="E447" s="420" t="s">
        <v>722</v>
      </c>
      <c r="F447" s="420" t="s">
        <v>475</v>
      </c>
      <c r="G447" s="421">
        <v>3</v>
      </c>
      <c r="H447" s="421">
        <v>300000</v>
      </c>
      <c r="I447" s="252">
        <f t="shared" si="6"/>
        <v>56250</v>
      </c>
      <c r="J447" s="284"/>
    </row>
    <row r="448" spans="2:10" s="259" customFormat="1" ht="16.5" customHeight="1">
      <c r="B448" s="251">
        <v>442</v>
      </c>
      <c r="C448" s="420" t="s">
        <v>796</v>
      </c>
      <c r="D448" s="420" t="s">
        <v>801</v>
      </c>
      <c r="E448" s="420" t="s">
        <v>687</v>
      </c>
      <c r="F448" s="420" t="s">
        <v>488</v>
      </c>
      <c r="G448" s="421">
        <v>2</v>
      </c>
      <c r="H448" s="421">
        <v>200000</v>
      </c>
      <c r="I448" s="252">
        <f t="shared" si="6"/>
        <v>37500</v>
      </c>
      <c r="J448" s="284"/>
    </row>
    <row r="449" spans="2:10" s="259" customFormat="1" ht="16.5" customHeight="1">
      <c r="B449" s="251">
        <v>443</v>
      </c>
      <c r="C449" s="420" t="s">
        <v>796</v>
      </c>
      <c r="D449" s="420" t="s">
        <v>802</v>
      </c>
      <c r="E449" s="420" t="s">
        <v>143</v>
      </c>
      <c r="F449" s="420" t="s">
        <v>478</v>
      </c>
      <c r="G449" s="421">
        <v>2</v>
      </c>
      <c r="H449" s="421">
        <v>200000</v>
      </c>
      <c r="I449" s="252">
        <f t="shared" si="6"/>
        <v>37500</v>
      </c>
      <c r="J449" s="284"/>
    </row>
    <row r="450" spans="2:10" s="259" customFormat="1" ht="16.5" customHeight="1">
      <c r="B450" s="251">
        <v>444</v>
      </c>
      <c r="C450" s="420" t="s">
        <v>796</v>
      </c>
      <c r="D450" s="420" t="s">
        <v>801</v>
      </c>
      <c r="E450" s="420" t="s">
        <v>687</v>
      </c>
      <c r="F450" s="420" t="s">
        <v>475</v>
      </c>
      <c r="G450" s="421">
        <v>12</v>
      </c>
      <c r="H450" s="421">
        <v>1200000</v>
      </c>
      <c r="I450" s="252">
        <f t="shared" si="6"/>
        <v>225000</v>
      </c>
      <c r="J450" s="284"/>
    </row>
    <row r="451" spans="2:10" s="259" customFormat="1" ht="16.5" customHeight="1">
      <c r="B451" s="251">
        <v>445</v>
      </c>
      <c r="C451" s="420" t="s">
        <v>796</v>
      </c>
      <c r="D451" s="420" t="s">
        <v>798</v>
      </c>
      <c r="E451" s="420" t="s">
        <v>139</v>
      </c>
      <c r="F451" s="420" t="s">
        <v>478</v>
      </c>
      <c r="G451" s="421">
        <v>10</v>
      </c>
      <c r="H451" s="421">
        <v>1000000</v>
      </c>
      <c r="I451" s="252">
        <f t="shared" si="6"/>
        <v>187500</v>
      </c>
      <c r="J451" s="284"/>
    </row>
    <row r="452" spans="2:10" s="259" customFormat="1" ht="16.5" customHeight="1">
      <c r="B452" s="251">
        <v>446</v>
      </c>
      <c r="C452" s="420" t="s">
        <v>796</v>
      </c>
      <c r="D452" s="420" t="s">
        <v>799</v>
      </c>
      <c r="E452" s="420" t="s">
        <v>530</v>
      </c>
      <c r="F452" s="420" t="s">
        <v>475</v>
      </c>
      <c r="G452" s="421">
        <v>2</v>
      </c>
      <c r="H452" s="421">
        <v>200000</v>
      </c>
      <c r="I452" s="252">
        <f t="shared" si="6"/>
        <v>37500</v>
      </c>
      <c r="J452" s="284"/>
    </row>
    <row r="453" spans="2:10" s="259" customFormat="1" ht="16.5" customHeight="1">
      <c r="B453" s="251">
        <v>447</v>
      </c>
      <c r="C453" s="420" t="s">
        <v>796</v>
      </c>
      <c r="D453" s="420" t="s">
        <v>681</v>
      </c>
      <c r="E453" s="420" t="s">
        <v>474</v>
      </c>
      <c r="F453" s="420" t="s">
        <v>586</v>
      </c>
      <c r="G453" s="421">
        <v>1</v>
      </c>
      <c r="H453" s="421">
        <v>200000</v>
      </c>
      <c r="I453" s="252">
        <f t="shared" si="6"/>
        <v>37500</v>
      </c>
      <c r="J453" s="284"/>
    </row>
    <row r="454" spans="2:10" s="259" customFormat="1" ht="16.5" customHeight="1">
      <c r="B454" s="251">
        <v>448</v>
      </c>
      <c r="C454" s="420" t="s">
        <v>796</v>
      </c>
      <c r="D454" s="420" t="s">
        <v>802</v>
      </c>
      <c r="E454" s="420" t="s">
        <v>143</v>
      </c>
      <c r="F454" s="420" t="s">
        <v>475</v>
      </c>
      <c r="G454" s="421">
        <v>7</v>
      </c>
      <c r="H454" s="421">
        <v>700000</v>
      </c>
      <c r="I454" s="252">
        <f t="shared" si="6"/>
        <v>131250</v>
      </c>
      <c r="J454" s="284"/>
    </row>
    <row r="455" spans="2:10" s="259" customFormat="1" ht="16.5" customHeight="1">
      <c r="B455" s="251">
        <v>449</v>
      </c>
      <c r="C455" s="420" t="s">
        <v>796</v>
      </c>
      <c r="D455" s="420" t="s">
        <v>800</v>
      </c>
      <c r="E455" s="420" t="s">
        <v>573</v>
      </c>
      <c r="F455" s="420" t="s">
        <v>475</v>
      </c>
      <c r="G455" s="421">
        <v>3</v>
      </c>
      <c r="H455" s="421">
        <v>300000</v>
      </c>
      <c r="I455" s="252">
        <f t="shared" si="6"/>
        <v>56250</v>
      </c>
      <c r="J455" s="284"/>
    </row>
    <row r="456" spans="2:10" s="259" customFormat="1" ht="16.5" customHeight="1">
      <c r="B456" s="251">
        <v>450</v>
      </c>
      <c r="C456" s="420" t="s">
        <v>796</v>
      </c>
      <c r="D456" s="420" t="s">
        <v>803</v>
      </c>
      <c r="E456" s="420" t="s">
        <v>507</v>
      </c>
      <c r="F456" s="420" t="s">
        <v>475</v>
      </c>
      <c r="G456" s="421">
        <v>3</v>
      </c>
      <c r="H456" s="421">
        <v>300000</v>
      </c>
      <c r="I456" s="252">
        <f t="shared" ref="I456:I519" si="7">H456*25%*75%</f>
        <v>56250</v>
      </c>
      <c r="J456" s="284"/>
    </row>
    <row r="457" spans="2:10" s="259" customFormat="1" ht="16.5" customHeight="1">
      <c r="B457" s="251">
        <v>451</v>
      </c>
      <c r="C457" s="420" t="s">
        <v>796</v>
      </c>
      <c r="D457" s="420" t="s">
        <v>799</v>
      </c>
      <c r="E457" s="420" t="s">
        <v>530</v>
      </c>
      <c r="F457" s="420" t="s">
        <v>495</v>
      </c>
      <c r="G457" s="421">
        <v>1</v>
      </c>
      <c r="H457" s="421">
        <v>200000</v>
      </c>
      <c r="I457" s="252">
        <f t="shared" si="7"/>
        <v>37500</v>
      </c>
      <c r="J457" s="284"/>
    </row>
    <row r="458" spans="2:10" s="259" customFormat="1" ht="16.5" customHeight="1">
      <c r="B458" s="251">
        <v>452</v>
      </c>
      <c r="C458" s="420" t="s">
        <v>796</v>
      </c>
      <c r="D458" s="420" t="s">
        <v>747</v>
      </c>
      <c r="E458" s="420" t="s">
        <v>657</v>
      </c>
      <c r="F458" s="420" t="s">
        <v>481</v>
      </c>
      <c r="G458" s="421">
        <v>1</v>
      </c>
      <c r="H458" s="421">
        <v>40300</v>
      </c>
      <c r="I458" s="252">
        <f t="shared" si="7"/>
        <v>7556.25</v>
      </c>
      <c r="J458" s="284"/>
    </row>
    <row r="459" spans="2:10" s="259" customFormat="1" ht="16.5" customHeight="1">
      <c r="B459" s="251">
        <v>453</v>
      </c>
      <c r="C459" s="420" t="s">
        <v>796</v>
      </c>
      <c r="D459" s="420" t="s">
        <v>803</v>
      </c>
      <c r="E459" s="420" t="s">
        <v>507</v>
      </c>
      <c r="F459" s="420" t="s">
        <v>478</v>
      </c>
      <c r="G459" s="421">
        <v>3</v>
      </c>
      <c r="H459" s="421">
        <v>300000</v>
      </c>
      <c r="I459" s="252">
        <f t="shared" si="7"/>
        <v>56250</v>
      </c>
      <c r="J459" s="284"/>
    </row>
    <row r="460" spans="2:10" s="259" customFormat="1" ht="16.5" customHeight="1">
      <c r="B460" s="251">
        <v>454</v>
      </c>
      <c r="C460" s="420" t="s">
        <v>796</v>
      </c>
      <c r="D460" s="420" t="s">
        <v>804</v>
      </c>
      <c r="E460" s="420" t="s">
        <v>542</v>
      </c>
      <c r="F460" s="420" t="s">
        <v>475</v>
      </c>
      <c r="G460" s="421">
        <v>3</v>
      </c>
      <c r="H460" s="421">
        <v>300000</v>
      </c>
      <c r="I460" s="252">
        <f t="shared" si="7"/>
        <v>56250</v>
      </c>
      <c r="J460" s="284"/>
    </row>
    <row r="461" spans="2:10" s="259" customFormat="1" ht="16.5" customHeight="1">
      <c r="B461" s="251">
        <v>455</v>
      </c>
      <c r="C461" s="420" t="s">
        <v>796</v>
      </c>
      <c r="D461" s="420" t="s">
        <v>801</v>
      </c>
      <c r="E461" s="420" t="s">
        <v>687</v>
      </c>
      <c r="F461" s="420" t="s">
        <v>579</v>
      </c>
      <c r="G461" s="421">
        <v>1</v>
      </c>
      <c r="H461" s="421">
        <v>101800</v>
      </c>
      <c r="I461" s="252">
        <f t="shared" si="7"/>
        <v>19087.5</v>
      </c>
      <c r="J461" s="284"/>
    </row>
    <row r="462" spans="2:10" s="259" customFormat="1" ht="16.5" customHeight="1">
      <c r="B462" s="251">
        <v>456</v>
      </c>
      <c r="C462" s="420" t="s">
        <v>796</v>
      </c>
      <c r="D462" s="420" t="s">
        <v>805</v>
      </c>
      <c r="E462" s="420" t="s">
        <v>141</v>
      </c>
      <c r="F462" s="420" t="s">
        <v>475</v>
      </c>
      <c r="G462" s="421">
        <v>3</v>
      </c>
      <c r="H462" s="421">
        <v>300000</v>
      </c>
      <c r="I462" s="252">
        <f t="shared" si="7"/>
        <v>56250</v>
      </c>
      <c r="J462" s="284"/>
    </row>
    <row r="463" spans="2:10" s="259" customFormat="1" ht="16.5" customHeight="1">
      <c r="B463" s="251">
        <v>457</v>
      </c>
      <c r="C463" s="420" t="s">
        <v>796</v>
      </c>
      <c r="D463" s="420" t="s">
        <v>806</v>
      </c>
      <c r="E463" s="420" t="s">
        <v>533</v>
      </c>
      <c r="F463" s="420" t="s">
        <v>488</v>
      </c>
      <c r="G463" s="421">
        <v>4</v>
      </c>
      <c r="H463" s="421">
        <v>400000</v>
      </c>
      <c r="I463" s="252">
        <f t="shared" si="7"/>
        <v>75000</v>
      </c>
      <c r="J463" s="284"/>
    </row>
    <row r="464" spans="2:10" s="259" customFormat="1" ht="16.5" customHeight="1">
      <c r="B464" s="251">
        <v>458</v>
      </c>
      <c r="C464" s="420" t="s">
        <v>796</v>
      </c>
      <c r="D464" s="420" t="s">
        <v>807</v>
      </c>
      <c r="E464" s="420" t="s">
        <v>146</v>
      </c>
      <c r="F464" s="420" t="s">
        <v>475</v>
      </c>
      <c r="G464" s="421">
        <v>7</v>
      </c>
      <c r="H464" s="421">
        <v>700000</v>
      </c>
      <c r="I464" s="252">
        <f t="shared" si="7"/>
        <v>131250</v>
      </c>
      <c r="J464" s="284"/>
    </row>
    <row r="465" spans="2:10" s="259" customFormat="1" ht="16.5" customHeight="1">
      <c r="B465" s="251">
        <v>459</v>
      </c>
      <c r="C465" s="420" t="s">
        <v>796</v>
      </c>
      <c r="D465" s="420" t="s">
        <v>484</v>
      </c>
      <c r="E465" s="420" t="s">
        <v>485</v>
      </c>
      <c r="F465" s="420" t="s">
        <v>569</v>
      </c>
      <c r="G465" s="421">
        <v>1</v>
      </c>
      <c r="H465" s="421">
        <v>100000</v>
      </c>
      <c r="I465" s="252">
        <f t="shared" si="7"/>
        <v>18750</v>
      </c>
      <c r="J465" s="284"/>
    </row>
    <row r="466" spans="2:10" s="259" customFormat="1" ht="16.5" customHeight="1">
      <c r="B466" s="251">
        <v>460</v>
      </c>
      <c r="C466" s="420" t="s">
        <v>796</v>
      </c>
      <c r="D466" s="420" t="s">
        <v>803</v>
      </c>
      <c r="E466" s="420" t="s">
        <v>507</v>
      </c>
      <c r="F466" s="420" t="s">
        <v>579</v>
      </c>
      <c r="G466" s="421">
        <v>1</v>
      </c>
      <c r="H466" s="421">
        <v>101800</v>
      </c>
      <c r="I466" s="252">
        <f t="shared" si="7"/>
        <v>19087.5</v>
      </c>
      <c r="J466" s="284"/>
    </row>
    <row r="467" spans="2:10" s="259" customFormat="1" ht="16.5" customHeight="1">
      <c r="B467" s="251">
        <v>461</v>
      </c>
      <c r="C467" s="420" t="s">
        <v>796</v>
      </c>
      <c r="D467" s="420" t="s">
        <v>800</v>
      </c>
      <c r="E467" s="420" t="s">
        <v>573</v>
      </c>
      <c r="F467" s="420" t="s">
        <v>675</v>
      </c>
      <c r="G467" s="421">
        <v>1</v>
      </c>
      <c r="H467" s="421">
        <v>400000</v>
      </c>
      <c r="I467" s="252">
        <f t="shared" si="7"/>
        <v>75000</v>
      </c>
      <c r="J467" s="284"/>
    </row>
    <row r="468" spans="2:10" s="259" customFormat="1" ht="16.5" customHeight="1">
      <c r="B468" s="251">
        <v>462</v>
      </c>
      <c r="C468" s="420" t="s">
        <v>796</v>
      </c>
      <c r="D468" s="420" t="s">
        <v>642</v>
      </c>
      <c r="E468" s="420" t="s">
        <v>480</v>
      </c>
      <c r="F468" s="420" t="s">
        <v>488</v>
      </c>
      <c r="G468" s="421">
        <v>4</v>
      </c>
      <c r="H468" s="421">
        <v>400000</v>
      </c>
      <c r="I468" s="252">
        <f t="shared" si="7"/>
        <v>75000</v>
      </c>
      <c r="J468" s="284"/>
    </row>
    <row r="469" spans="2:10" s="259" customFormat="1" ht="16.5" customHeight="1">
      <c r="B469" s="251">
        <v>463</v>
      </c>
      <c r="C469" s="420" t="s">
        <v>796</v>
      </c>
      <c r="D469" s="420" t="s">
        <v>808</v>
      </c>
      <c r="E469" s="420" t="s">
        <v>510</v>
      </c>
      <c r="F469" s="420" t="s">
        <v>579</v>
      </c>
      <c r="G469" s="421">
        <v>1</v>
      </c>
      <c r="H469" s="421">
        <v>101800</v>
      </c>
      <c r="I469" s="252">
        <f t="shared" si="7"/>
        <v>19087.5</v>
      </c>
      <c r="J469" s="284"/>
    </row>
    <row r="470" spans="2:10" s="259" customFormat="1" ht="16.5" customHeight="1">
      <c r="B470" s="251">
        <v>464</v>
      </c>
      <c r="C470" s="420" t="s">
        <v>796</v>
      </c>
      <c r="D470" s="420" t="s">
        <v>808</v>
      </c>
      <c r="E470" s="420" t="s">
        <v>510</v>
      </c>
      <c r="F470" s="420" t="s">
        <v>475</v>
      </c>
      <c r="G470" s="421">
        <v>8</v>
      </c>
      <c r="H470" s="421">
        <v>800000</v>
      </c>
      <c r="I470" s="252">
        <f t="shared" si="7"/>
        <v>150000</v>
      </c>
      <c r="J470" s="284"/>
    </row>
    <row r="471" spans="2:10" s="259" customFormat="1" ht="16.5" customHeight="1">
      <c r="B471" s="251">
        <v>465</v>
      </c>
      <c r="C471" s="420" t="s">
        <v>796</v>
      </c>
      <c r="D471" s="420" t="s">
        <v>797</v>
      </c>
      <c r="E471" s="420" t="s">
        <v>722</v>
      </c>
      <c r="F471" s="420" t="s">
        <v>675</v>
      </c>
      <c r="G471" s="421">
        <v>1</v>
      </c>
      <c r="H471" s="421">
        <v>400000</v>
      </c>
      <c r="I471" s="252">
        <f t="shared" si="7"/>
        <v>75000</v>
      </c>
      <c r="J471" s="284"/>
    </row>
    <row r="472" spans="2:10" s="259" customFormat="1" ht="16.5" customHeight="1">
      <c r="B472" s="251">
        <v>466</v>
      </c>
      <c r="C472" s="420" t="s">
        <v>796</v>
      </c>
      <c r="D472" s="420" t="s">
        <v>806</v>
      </c>
      <c r="E472" s="420" t="s">
        <v>533</v>
      </c>
      <c r="F472" s="420" t="s">
        <v>475</v>
      </c>
      <c r="G472" s="421">
        <v>6</v>
      </c>
      <c r="H472" s="421">
        <v>600000</v>
      </c>
      <c r="I472" s="252">
        <f t="shared" si="7"/>
        <v>112500</v>
      </c>
      <c r="J472" s="284"/>
    </row>
    <row r="473" spans="2:10" s="259" customFormat="1" ht="16.5" customHeight="1">
      <c r="B473" s="251">
        <v>467</v>
      </c>
      <c r="C473" s="420" t="s">
        <v>796</v>
      </c>
      <c r="D473" s="420" t="s">
        <v>805</v>
      </c>
      <c r="E473" s="420" t="s">
        <v>141</v>
      </c>
      <c r="F473" s="420" t="s">
        <v>488</v>
      </c>
      <c r="G473" s="421">
        <v>3</v>
      </c>
      <c r="H473" s="421">
        <v>300000</v>
      </c>
      <c r="I473" s="252">
        <f t="shared" si="7"/>
        <v>56250</v>
      </c>
      <c r="J473" s="284"/>
    </row>
    <row r="474" spans="2:10" s="259" customFormat="1" ht="16.5" customHeight="1">
      <c r="B474" s="251">
        <v>468</v>
      </c>
      <c r="C474" s="420" t="s">
        <v>796</v>
      </c>
      <c r="D474" s="420" t="s">
        <v>804</v>
      </c>
      <c r="E474" s="420" t="s">
        <v>542</v>
      </c>
      <c r="F474" s="420" t="s">
        <v>488</v>
      </c>
      <c r="G474" s="421">
        <v>2</v>
      </c>
      <c r="H474" s="421">
        <v>200000</v>
      </c>
      <c r="I474" s="252">
        <f t="shared" si="7"/>
        <v>37500</v>
      </c>
      <c r="J474" s="284"/>
    </row>
    <row r="475" spans="2:10" s="259" customFormat="1" ht="16.5" customHeight="1">
      <c r="B475" s="251">
        <v>469</v>
      </c>
      <c r="C475" s="420" t="s">
        <v>809</v>
      </c>
      <c r="D475" s="420" t="s">
        <v>810</v>
      </c>
      <c r="E475" s="420" t="s">
        <v>533</v>
      </c>
      <c r="F475" s="420" t="s">
        <v>475</v>
      </c>
      <c r="G475" s="421">
        <v>6</v>
      </c>
      <c r="H475" s="421">
        <v>600000</v>
      </c>
      <c r="I475" s="252">
        <f t="shared" si="7"/>
        <v>112500</v>
      </c>
      <c r="J475" s="284"/>
    </row>
    <row r="476" spans="2:10" s="259" customFormat="1" ht="16.5" customHeight="1">
      <c r="B476" s="251">
        <v>470</v>
      </c>
      <c r="C476" s="420" t="s">
        <v>809</v>
      </c>
      <c r="D476" s="420" t="s">
        <v>720</v>
      </c>
      <c r="E476" s="420" t="s">
        <v>577</v>
      </c>
      <c r="F476" s="420" t="s">
        <v>481</v>
      </c>
      <c r="G476" s="421">
        <v>1</v>
      </c>
      <c r="H476" s="421">
        <v>40300</v>
      </c>
      <c r="I476" s="252">
        <f t="shared" si="7"/>
        <v>7556.25</v>
      </c>
      <c r="J476" s="284"/>
    </row>
    <row r="477" spans="2:10" s="259" customFormat="1" ht="16.5" customHeight="1">
      <c r="B477" s="251">
        <v>471</v>
      </c>
      <c r="C477" s="420" t="s">
        <v>809</v>
      </c>
      <c r="D477" s="420" t="s">
        <v>811</v>
      </c>
      <c r="E477" s="420" t="s">
        <v>812</v>
      </c>
      <c r="F477" s="420" t="s">
        <v>478</v>
      </c>
      <c r="G477" s="421">
        <v>5</v>
      </c>
      <c r="H477" s="421">
        <v>500000</v>
      </c>
      <c r="I477" s="252">
        <f t="shared" si="7"/>
        <v>93750</v>
      </c>
      <c r="J477" s="284"/>
    </row>
    <row r="478" spans="2:10" s="259" customFormat="1" ht="16.5" customHeight="1">
      <c r="B478" s="251">
        <v>472</v>
      </c>
      <c r="C478" s="420" t="s">
        <v>809</v>
      </c>
      <c r="D478" s="420" t="s">
        <v>813</v>
      </c>
      <c r="E478" s="420" t="s">
        <v>599</v>
      </c>
      <c r="F478" s="420" t="s">
        <v>478</v>
      </c>
      <c r="G478" s="421">
        <v>3</v>
      </c>
      <c r="H478" s="421">
        <v>300000</v>
      </c>
      <c r="I478" s="252">
        <f t="shared" si="7"/>
        <v>56250</v>
      </c>
      <c r="J478" s="284"/>
    </row>
    <row r="479" spans="2:10" s="259" customFormat="1" ht="16.5" customHeight="1">
      <c r="B479" s="251">
        <v>473</v>
      </c>
      <c r="C479" s="420" t="s">
        <v>809</v>
      </c>
      <c r="D479" s="420" t="s">
        <v>729</v>
      </c>
      <c r="E479" s="420" t="s">
        <v>138</v>
      </c>
      <c r="F479" s="420" t="s">
        <v>481</v>
      </c>
      <c r="G479" s="421">
        <v>1</v>
      </c>
      <c r="H479" s="421">
        <v>100000</v>
      </c>
      <c r="I479" s="252">
        <f t="shared" si="7"/>
        <v>18750</v>
      </c>
      <c r="J479" s="284"/>
    </row>
    <row r="480" spans="2:10" s="259" customFormat="1" ht="16.5" customHeight="1">
      <c r="B480" s="251">
        <v>474</v>
      </c>
      <c r="C480" s="420" t="s">
        <v>809</v>
      </c>
      <c r="D480" s="420" t="s">
        <v>814</v>
      </c>
      <c r="E480" s="420" t="s">
        <v>510</v>
      </c>
      <c r="F480" s="420" t="s">
        <v>478</v>
      </c>
      <c r="G480" s="421">
        <v>3</v>
      </c>
      <c r="H480" s="421">
        <v>300000</v>
      </c>
      <c r="I480" s="252">
        <f t="shared" si="7"/>
        <v>56250</v>
      </c>
      <c r="J480" s="284"/>
    </row>
    <row r="481" spans="2:10" s="259" customFormat="1" ht="16.5" customHeight="1">
      <c r="B481" s="251">
        <v>475</v>
      </c>
      <c r="C481" s="420" t="s">
        <v>809</v>
      </c>
      <c r="D481" s="420" t="s">
        <v>810</v>
      </c>
      <c r="E481" s="420" t="s">
        <v>533</v>
      </c>
      <c r="F481" s="420" t="s">
        <v>488</v>
      </c>
      <c r="G481" s="421">
        <v>5</v>
      </c>
      <c r="H481" s="421">
        <v>500000</v>
      </c>
      <c r="I481" s="252">
        <f t="shared" si="7"/>
        <v>93750</v>
      </c>
      <c r="J481" s="284"/>
    </row>
    <row r="482" spans="2:10" s="259" customFormat="1" ht="16.5" customHeight="1">
      <c r="B482" s="251">
        <v>476</v>
      </c>
      <c r="C482" s="420" t="s">
        <v>809</v>
      </c>
      <c r="D482" s="420" t="s">
        <v>728</v>
      </c>
      <c r="E482" s="420" t="s">
        <v>485</v>
      </c>
      <c r="F482" s="420" t="s">
        <v>481</v>
      </c>
      <c r="G482" s="421">
        <v>1</v>
      </c>
      <c r="H482" s="421">
        <v>100000</v>
      </c>
      <c r="I482" s="252">
        <f t="shared" si="7"/>
        <v>18750</v>
      </c>
      <c r="J482" s="284"/>
    </row>
    <row r="483" spans="2:10" s="259" customFormat="1" ht="16.5" customHeight="1">
      <c r="B483" s="251">
        <v>477</v>
      </c>
      <c r="C483" s="420" t="s">
        <v>809</v>
      </c>
      <c r="D483" s="420" t="s">
        <v>815</v>
      </c>
      <c r="E483" s="420" t="s">
        <v>816</v>
      </c>
      <c r="F483" s="420" t="s">
        <v>478</v>
      </c>
      <c r="G483" s="421">
        <v>1</v>
      </c>
      <c r="H483" s="421">
        <v>100000</v>
      </c>
      <c r="I483" s="252">
        <f t="shared" si="7"/>
        <v>18750</v>
      </c>
      <c r="J483" s="284"/>
    </row>
    <row r="484" spans="2:10" s="259" customFormat="1" ht="16.5" customHeight="1">
      <c r="B484" s="251">
        <v>478</v>
      </c>
      <c r="C484" s="420" t="s">
        <v>809</v>
      </c>
      <c r="D484" s="420" t="s">
        <v>813</v>
      </c>
      <c r="E484" s="420" t="s">
        <v>599</v>
      </c>
      <c r="F484" s="420" t="s">
        <v>475</v>
      </c>
      <c r="G484" s="421">
        <v>3</v>
      </c>
      <c r="H484" s="421">
        <v>300000</v>
      </c>
      <c r="I484" s="252">
        <f t="shared" si="7"/>
        <v>56250</v>
      </c>
      <c r="J484" s="284"/>
    </row>
    <row r="485" spans="2:10" s="259" customFormat="1" ht="16.5" customHeight="1">
      <c r="B485" s="251">
        <v>479</v>
      </c>
      <c r="C485" s="420" t="s">
        <v>809</v>
      </c>
      <c r="D485" s="420" t="s">
        <v>552</v>
      </c>
      <c r="E485" s="420" t="s">
        <v>533</v>
      </c>
      <c r="F485" s="420" t="s">
        <v>569</v>
      </c>
      <c r="G485" s="421">
        <v>1</v>
      </c>
      <c r="H485" s="421">
        <v>100000</v>
      </c>
      <c r="I485" s="252">
        <f t="shared" si="7"/>
        <v>18750</v>
      </c>
      <c r="J485" s="284"/>
    </row>
    <row r="486" spans="2:10" s="259" customFormat="1" ht="16.5" customHeight="1">
      <c r="B486" s="251">
        <v>480</v>
      </c>
      <c r="C486" s="420" t="s">
        <v>809</v>
      </c>
      <c r="D486" s="420" t="s">
        <v>723</v>
      </c>
      <c r="E486" s="420" t="s">
        <v>144</v>
      </c>
      <c r="F486" s="420" t="s">
        <v>481</v>
      </c>
      <c r="G486" s="421">
        <v>1</v>
      </c>
      <c r="H486" s="421">
        <v>40300</v>
      </c>
      <c r="I486" s="252">
        <f t="shared" si="7"/>
        <v>7556.25</v>
      </c>
      <c r="J486" s="284"/>
    </row>
    <row r="487" spans="2:10" s="259" customFormat="1" ht="16.5" customHeight="1">
      <c r="B487" s="251">
        <v>481</v>
      </c>
      <c r="C487" s="420" t="s">
        <v>809</v>
      </c>
      <c r="D487" s="420" t="s">
        <v>814</v>
      </c>
      <c r="E487" s="420" t="s">
        <v>510</v>
      </c>
      <c r="F487" s="420" t="s">
        <v>475</v>
      </c>
      <c r="G487" s="421">
        <v>5</v>
      </c>
      <c r="H487" s="421">
        <v>500000</v>
      </c>
      <c r="I487" s="252">
        <f t="shared" si="7"/>
        <v>93750</v>
      </c>
      <c r="J487" s="284"/>
    </row>
    <row r="488" spans="2:10" s="259" customFormat="1" ht="16.5" customHeight="1">
      <c r="B488" s="251">
        <v>482</v>
      </c>
      <c r="C488" s="420" t="s">
        <v>809</v>
      </c>
      <c r="D488" s="420" t="s">
        <v>377</v>
      </c>
      <c r="E488" s="420" t="s">
        <v>650</v>
      </c>
      <c r="F488" s="420" t="s">
        <v>475</v>
      </c>
      <c r="G488" s="421">
        <v>6</v>
      </c>
      <c r="H488" s="421">
        <v>600000</v>
      </c>
      <c r="I488" s="252">
        <f t="shared" si="7"/>
        <v>112500</v>
      </c>
      <c r="J488" s="284"/>
    </row>
    <row r="489" spans="2:10" s="259" customFormat="1" ht="16.5" customHeight="1">
      <c r="B489" s="251">
        <v>483</v>
      </c>
      <c r="C489" s="420" t="s">
        <v>809</v>
      </c>
      <c r="D489" s="420" t="s">
        <v>817</v>
      </c>
      <c r="E489" s="420" t="s">
        <v>683</v>
      </c>
      <c r="F489" s="420" t="s">
        <v>569</v>
      </c>
      <c r="G489" s="421">
        <v>1</v>
      </c>
      <c r="H489" s="421">
        <v>100000</v>
      </c>
      <c r="I489" s="252">
        <f t="shared" si="7"/>
        <v>18750</v>
      </c>
      <c r="J489" s="284"/>
    </row>
    <row r="490" spans="2:10" s="259" customFormat="1" ht="16.5" customHeight="1">
      <c r="B490" s="251">
        <v>484</v>
      </c>
      <c r="C490" s="420" t="s">
        <v>809</v>
      </c>
      <c r="D490" s="420" t="s">
        <v>377</v>
      </c>
      <c r="E490" s="420" t="s">
        <v>650</v>
      </c>
      <c r="F490" s="420" t="s">
        <v>478</v>
      </c>
      <c r="G490" s="421">
        <v>4</v>
      </c>
      <c r="H490" s="421">
        <v>400000</v>
      </c>
      <c r="I490" s="252">
        <f t="shared" si="7"/>
        <v>75000</v>
      </c>
      <c r="J490" s="284"/>
    </row>
    <row r="491" spans="2:10" s="259" customFormat="1" ht="16.5" customHeight="1">
      <c r="B491" s="251">
        <v>485</v>
      </c>
      <c r="C491" s="420" t="s">
        <v>809</v>
      </c>
      <c r="D491" s="420" t="s">
        <v>815</v>
      </c>
      <c r="E491" s="420" t="s">
        <v>816</v>
      </c>
      <c r="F491" s="420" t="s">
        <v>475</v>
      </c>
      <c r="G491" s="421">
        <v>1</v>
      </c>
      <c r="H491" s="421">
        <v>100000</v>
      </c>
      <c r="I491" s="252">
        <f t="shared" si="7"/>
        <v>18750</v>
      </c>
      <c r="J491" s="284"/>
    </row>
    <row r="492" spans="2:10" s="259" customFormat="1" ht="16.5" customHeight="1">
      <c r="B492" s="251">
        <v>486</v>
      </c>
      <c r="C492" s="420" t="s">
        <v>818</v>
      </c>
      <c r="D492" s="420" t="s">
        <v>819</v>
      </c>
      <c r="E492" s="420" t="s">
        <v>812</v>
      </c>
      <c r="F492" s="420" t="s">
        <v>820</v>
      </c>
      <c r="G492" s="421">
        <v>1</v>
      </c>
      <c r="H492" s="421">
        <v>434600</v>
      </c>
      <c r="I492" s="252">
        <f t="shared" si="7"/>
        <v>81487.5</v>
      </c>
      <c r="J492" s="284"/>
    </row>
    <row r="493" spans="2:10" s="259" customFormat="1" ht="16.5" customHeight="1">
      <c r="B493" s="251">
        <v>487</v>
      </c>
      <c r="C493" s="420" t="s">
        <v>818</v>
      </c>
      <c r="D493" s="420" t="s">
        <v>821</v>
      </c>
      <c r="E493" s="420" t="s">
        <v>505</v>
      </c>
      <c r="F493" s="420" t="s">
        <v>488</v>
      </c>
      <c r="G493" s="421">
        <v>1</v>
      </c>
      <c r="H493" s="421">
        <v>100000</v>
      </c>
      <c r="I493" s="252">
        <f t="shared" si="7"/>
        <v>18750</v>
      </c>
      <c r="J493" s="284"/>
    </row>
    <row r="494" spans="2:10" s="259" customFormat="1" ht="16.5" customHeight="1">
      <c r="B494" s="251">
        <v>488</v>
      </c>
      <c r="C494" s="420" t="s">
        <v>818</v>
      </c>
      <c r="D494" s="420" t="s">
        <v>781</v>
      </c>
      <c r="E494" s="420" t="s">
        <v>645</v>
      </c>
      <c r="F494" s="420" t="s">
        <v>481</v>
      </c>
      <c r="G494" s="421">
        <v>1</v>
      </c>
      <c r="H494" s="421">
        <v>100000</v>
      </c>
      <c r="I494" s="252">
        <f t="shared" si="7"/>
        <v>18750</v>
      </c>
      <c r="J494" s="284"/>
    </row>
    <row r="495" spans="2:10" s="259" customFormat="1" ht="16.5" customHeight="1">
      <c r="B495" s="251">
        <v>489</v>
      </c>
      <c r="C495" s="420" t="s">
        <v>818</v>
      </c>
      <c r="D495" s="420" t="s">
        <v>822</v>
      </c>
      <c r="E495" s="420" t="s">
        <v>657</v>
      </c>
      <c r="F495" s="420" t="s">
        <v>488</v>
      </c>
      <c r="G495" s="421">
        <v>1</v>
      </c>
      <c r="H495" s="421">
        <v>100000</v>
      </c>
      <c r="I495" s="252">
        <f t="shared" si="7"/>
        <v>18750</v>
      </c>
      <c r="J495" s="284"/>
    </row>
    <row r="496" spans="2:10" s="259" customFormat="1" ht="16.5" customHeight="1">
      <c r="B496" s="251">
        <v>490</v>
      </c>
      <c r="C496" s="420" t="s">
        <v>818</v>
      </c>
      <c r="D496" s="420" t="s">
        <v>744</v>
      </c>
      <c r="E496" s="420" t="s">
        <v>573</v>
      </c>
      <c r="F496" s="420" t="s">
        <v>481</v>
      </c>
      <c r="G496" s="421">
        <v>1</v>
      </c>
      <c r="H496" s="421">
        <v>100000</v>
      </c>
      <c r="I496" s="252">
        <f t="shared" si="7"/>
        <v>18750</v>
      </c>
      <c r="J496" s="284"/>
    </row>
    <row r="497" spans="2:10" s="259" customFormat="1" ht="16.5" customHeight="1">
      <c r="B497" s="251">
        <v>491</v>
      </c>
      <c r="C497" s="420" t="s">
        <v>818</v>
      </c>
      <c r="D497" s="420" t="s">
        <v>822</v>
      </c>
      <c r="E497" s="420" t="s">
        <v>657</v>
      </c>
      <c r="F497" s="420" t="s">
        <v>475</v>
      </c>
      <c r="G497" s="421">
        <v>2</v>
      </c>
      <c r="H497" s="421">
        <v>200000</v>
      </c>
      <c r="I497" s="252">
        <f t="shared" si="7"/>
        <v>37500</v>
      </c>
      <c r="J497" s="284"/>
    </row>
    <row r="498" spans="2:10" s="259" customFormat="1" ht="16.5" customHeight="1">
      <c r="B498" s="251">
        <v>492</v>
      </c>
      <c r="C498" s="420" t="s">
        <v>818</v>
      </c>
      <c r="D498" s="420" t="s">
        <v>823</v>
      </c>
      <c r="E498" s="420" t="s">
        <v>812</v>
      </c>
      <c r="F498" s="420" t="s">
        <v>475</v>
      </c>
      <c r="G498" s="421">
        <v>5</v>
      </c>
      <c r="H498" s="421">
        <v>500000</v>
      </c>
      <c r="I498" s="252">
        <f t="shared" si="7"/>
        <v>93750</v>
      </c>
      <c r="J498" s="284"/>
    </row>
    <row r="499" spans="2:10" s="259" customFormat="1" ht="16.5" customHeight="1">
      <c r="B499" s="251">
        <v>493</v>
      </c>
      <c r="C499" s="420" t="s">
        <v>818</v>
      </c>
      <c r="D499" s="420" t="s">
        <v>750</v>
      </c>
      <c r="E499" s="420" t="s">
        <v>146</v>
      </c>
      <c r="F499" s="420" t="s">
        <v>481</v>
      </c>
      <c r="G499" s="421">
        <v>1</v>
      </c>
      <c r="H499" s="421">
        <v>100000</v>
      </c>
      <c r="I499" s="252">
        <f t="shared" si="7"/>
        <v>18750</v>
      </c>
      <c r="J499" s="284"/>
    </row>
    <row r="500" spans="2:10" s="259" customFormat="1" ht="16.5" customHeight="1">
      <c r="B500" s="251">
        <v>494</v>
      </c>
      <c r="C500" s="420" t="s">
        <v>818</v>
      </c>
      <c r="D500" s="420" t="s">
        <v>824</v>
      </c>
      <c r="E500" s="420" t="s">
        <v>812</v>
      </c>
      <c r="F500" s="420" t="s">
        <v>475</v>
      </c>
      <c r="G500" s="421">
        <v>5</v>
      </c>
      <c r="H500" s="421">
        <v>500000</v>
      </c>
      <c r="I500" s="252">
        <f t="shared" si="7"/>
        <v>93750</v>
      </c>
      <c r="J500" s="284"/>
    </row>
    <row r="501" spans="2:10" s="259" customFormat="1" ht="16.5" customHeight="1">
      <c r="B501" s="251">
        <v>495</v>
      </c>
      <c r="C501" s="420" t="s">
        <v>818</v>
      </c>
      <c r="D501" s="420" t="s">
        <v>823</v>
      </c>
      <c r="E501" s="420" t="s">
        <v>812</v>
      </c>
      <c r="F501" s="420" t="s">
        <v>488</v>
      </c>
      <c r="G501" s="421">
        <v>2</v>
      </c>
      <c r="H501" s="421">
        <v>200000</v>
      </c>
      <c r="I501" s="252">
        <f t="shared" si="7"/>
        <v>37500</v>
      </c>
      <c r="J501" s="284"/>
    </row>
    <row r="502" spans="2:10" s="259" customFormat="1" ht="16.5" customHeight="1">
      <c r="B502" s="251">
        <v>496</v>
      </c>
      <c r="C502" s="420" t="s">
        <v>818</v>
      </c>
      <c r="D502" s="420" t="s">
        <v>423</v>
      </c>
      <c r="E502" s="420" t="s">
        <v>477</v>
      </c>
      <c r="F502" s="420" t="s">
        <v>475</v>
      </c>
      <c r="G502" s="421">
        <v>2</v>
      </c>
      <c r="H502" s="421">
        <v>200000</v>
      </c>
      <c r="I502" s="252">
        <f t="shared" si="7"/>
        <v>37500</v>
      </c>
      <c r="J502" s="284"/>
    </row>
    <row r="503" spans="2:10" s="259" customFormat="1" ht="16.5" customHeight="1">
      <c r="B503" s="251">
        <v>497</v>
      </c>
      <c r="C503" s="420" t="s">
        <v>818</v>
      </c>
      <c r="D503" s="420" t="s">
        <v>825</v>
      </c>
      <c r="E503" s="420" t="s">
        <v>722</v>
      </c>
      <c r="F503" s="420" t="s">
        <v>488</v>
      </c>
      <c r="G503" s="421">
        <v>1</v>
      </c>
      <c r="H503" s="421">
        <v>100000</v>
      </c>
      <c r="I503" s="252">
        <f t="shared" si="7"/>
        <v>18750</v>
      </c>
      <c r="J503" s="284"/>
    </row>
    <row r="504" spans="2:10" s="259" customFormat="1" ht="16.5" customHeight="1">
      <c r="B504" s="251">
        <v>498</v>
      </c>
      <c r="C504" s="420" t="s">
        <v>818</v>
      </c>
      <c r="D504" s="420" t="s">
        <v>821</v>
      </c>
      <c r="E504" s="420" t="s">
        <v>505</v>
      </c>
      <c r="F504" s="420" t="s">
        <v>475</v>
      </c>
      <c r="G504" s="421">
        <v>1</v>
      </c>
      <c r="H504" s="421">
        <v>100000</v>
      </c>
      <c r="I504" s="252">
        <f t="shared" si="7"/>
        <v>18750</v>
      </c>
      <c r="J504" s="284"/>
    </row>
    <row r="505" spans="2:10" s="259" customFormat="1" ht="16.5" customHeight="1">
      <c r="B505" s="251">
        <v>499</v>
      </c>
      <c r="C505" s="420" t="s">
        <v>818</v>
      </c>
      <c r="D505" s="420" t="s">
        <v>826</v>
      </c>
      <c r="E505" s="420" t="s">
        <v>631</v>
      </c>
      <c r="F505" s="420" t="s">
        <v>488</v>
      </c>
      <c r="G505" s="421">
        <v>4</v>
      </c>
      <c r="H505" s="421">
        <v>400000</v>
      </c>
      <c r="I505" s="252">
        <f t="shared" si="7"/>
        <v>75000</v>
      </c>
      <c r="J505" s="284"/>
    </row>
    <row r="506" spans="2:10" s="259" customFormat="1" ht="16.5" customHeight="1">
      <c r="B506" s="251">
        <v>500</v>
      </c>
      <c r="C506" s="420" t="s">
        <v>818</v>
      </c>
      <c r="D506" s="420" t="s">
        <v>826</v>
      </c>
      <c r="E506" s="420" t="s">
        <v>631</v>
      </c>
      <c r="F506" s="420" t="s">
        <v>475</v>
      </c>
      <c r="G506" s="421">
        <v>9</v>
      </c>
      <c r="H506" s="421">
        <v>900000</v>
      </c>
      <c r="I506" s="252">
        <f t="shared" si="7"/>
        <v>168750</v>
      </c>
      <c r="J506" s="284"/>
    </row>
    <row r="507" spans="2:10" s="259" customFormat="1" ht="16.5" customHeight="1">
      <c r="B507" s="251">
        <v>501</v>
      </c>
      <c r="C507" s="420" t="s">
        <v>818</v>
      </c>
      <c r="D507" s="420" t="s">
        <v>825</v>
      </c>
      <c r="E507" s="420" t="s">
        <v>722</v>
      </c>
      <c r="F507" s="420" t="s">
        <v>475</v>
      </c>
      <c r="G507" s="421">
        <v>1</v>
      </c>
      <c r="H507" s="421">
        <v>100000</v>
      </c>
      <c r="I507" s="252">
        <f t="shared" si="7"/>
        <v>18750</v>
      </c>
      <c r="J507" s="284"/>
    </row>
    <row r="508" spans="2:10" s="259" customFormat="1" ht="16.5" customHeight="1">
      <c r="B508" s="251">
        <v>502</v>
      </c>
      <c r="C508" s="420" t="s">
        <v>818</v>
      </c>
      <c r="D508" s="420" t="s">
        <v>824</v>
      </c>
      <c r="E508" s="420" t="s">
        <v>812</v>
      </c>
      <c r="F508" s="420" t="s">
        <v>488</v>
      </c>
      <c r="G508" s="421">
        <v>3</v>
      </c>
      <c r="H508" s="421">
        <v>300000</v>
      </c>
      <c r="I508" s="252">
        <f t="shared" si="7"/>
        <v>56250</v>
      </c>
      <c r="J508" s="284"/>
    </row>
    <row r="509" spans="2:10" s="259" customFormat="1" ht="16.5" customHeight="1">
      <c r="B509" s="251">
        <v>503</v>
      </c>
      <c r="C509" s="420" t="s">
        <v>818</v>
      </c>
      <c r="D509" s="420" t="s">
        <v>423</v>
      </c>
      <c r="E509" s="420" t="s">
        <v>477</v>
      </c>
      <c r="F509" s="420" t="s">
        <v>488</v>
      </c>
      <c r="G509" s="421">
        <v>1</v>
      </c>
      <c r="H509" s="421">
        <v>100000</v>
      </c>
      <c r="I509" s="252">
        <f t="shared" si="7"/>
        <v>18750</v>
      </c>
      <c r="J509" s="284"/>
    </row>
    <row r="510" spans="2:10" s="259" customFormat="1" ht="16.5" customHeight="1">
      <c r="B510" s="251">
        <v>504</v>
      </c>
      <c r="C510" s="420" t="s">
        <v>818</v>
      </c>
      <c r="D510" s="420" t="s">
        <v>416</v>
      </c>
      <c r="E510" s="420" t="s">
        <v>631</v>
      </c>
      <c r="F510" s="420" t="s">
        <v>475</v>
      </c>
      <c r="G510" s="421">
        <v>2</v>
      </c>
      <c r="H510" s="421">
        <v>200000</v>
      </c>
      <c r="I510" s="252">
        <f t="shared" si="7"/>
        <v>37500</v>
      </c>
      <c r="J510" s="284"/>
    </row>
    <row r="511" spans="2:10" s="259" customFormat="1" ht="16.5" customHeight="1">
      <c r="B511" s="251">
        <v>505</v>
      </c>
      <c r="C511" s="420" t="s">
        <v>818</v>
      </c>
      <c r="D511" s="420" t="s">
        <v>416</v>
      </c>
      <c r="E511" s="420" t="s">
        <v>631</v>
      </c>
      <c r="F511" s="420" t="s">
        <v>488</v>
      </c>
      <c r="G511" s="421">
        <v>2</v>
      </c>
      <c r="H511" s="421">
        <v>200000</v>
      </c>
      <c r="I511" s="252">
        <f t="shared" si="7"/>
        <v>37500</v>
      </c>
      <c r="J511" s="284"/>
    </row>
    <row r="512" spans="2:10" s="259" customFormat="1" ht="16.5" customHeight="1">
      <c r="B512" s="409">
        <v>506</v>
      </c>
      <c r="C512" s="420" t="s">
        <v>818</v>
      </c>
      <c r="D512" s="420" t="s">
        <v>695</v>
      </c>
      <c r="E512" s="420" t="s">
        <v>485</v>
      </c>
      <c r="F512" s="420" t="s">
        <v>637</v>
      </c>
      <c r="G512" s="421">
        <v>1</v>
      </c>
      <c r="H512" s="421">
        <v>120000</v>
      </c>
      <c r="I512" s="252">
        <f t="shared" si="7"/>
        <v>22500</v>
      </c>
      <c r="J512" s="284"/>
    </row>
    <row r="513" spans="2:10" s="259" customFormat="1" ht="16.5" customHeight="1">
      <c r="B513" s="409">
        <v>507</v>
      </c>
      <c r="C513" s="420" t="s">
        <v>818</v>
      </c>
      <c r="D513" s="420" t="s">
        <v>827</v>
      </c>
      <c r="E513" s="420" t="s">
        <v>555</v>
      </c>
      <c r="F513" s="420" t="s">
        <v>495</v>
      </c>
      <c r="G513" s="421">
        <v>1</v>
      </c>
      <c r="H513" s="421">
        <v>200000</v>
      </c>
      <c r="I513" s="252">
        <f t="shared" si="7"/>
        <v>37500</v>
      </c>
      <c r="J513" s="284"/>
    </row>
    <row r="514" spans="2:10" s="259" customFormat="1" ht="16.5" customHeight="1">
      <c r="B514" s="409">
        <v>508</v>
      </c>
      <c r="C514" s="420" t="s">
        <v>828</v>
      </c>
      <c r="D514" s="420" t="s">
        <v>757</v>
      </c>
      <c r="E514" s="420" t="s">
        <v>537</v>
      </c>
      <c r="F514" s="420" t="s">
        <v>481</v>
      </c>
      <c r="G514" s="421">
        <v>1</v>
      </c>
      <c r="H514" s="421">
        <v>100000</v>
      </c>
      <c r="I514" s="252">
        <f t="shared" si="7"/>
        <v>18750</v>
      </c>
      <c r="J514" s="284"/>
    </row>
    <row r="515" spans="2:10" s="259" customFormat="1" ht="16.5" customHeight="1">
      <c r="B515" s="409">
        <v>509</v>
      </c>
      <c r="C515" s="420" t="s">
        <v>828</v>
      </c>
      <c r="D515" s="420" t="s">
        <v>730</v>
      </c>
      <c r="E515" s="420" t="s">
        <v>537</v>
      </c>
      <c r="F515" s="420" t="s">
        <v>481</v>
      </c>
      <c r="G515" s="421">
        <v>1</v>
      </c>
      <c r="H515" s="421">
        <v>100000</v>
      </c>
      <c r="I515" s="252">
        <f t="shared" si="7"/>
        <v>18750</v>
      </c>
      <c r="J515" s="284"/>
    </row>
    <row r="516" spans="2:10" s="259" customFormat="1" ht="16.5" customHeight="1">
      <c r="B516" s="409">
        <v>510</v>
      </c>
      <c r="C516" s="420" t="s">
        <v>828</v>
      </c>
      <c r="D516" s="420" t="s">
        <v>829</v>
      </c>
      <c r="E516" s="420" t="s">
        <v>174</v>
      </c>
      <c r="F516" s="420" t="s">
        <v>488</v>
      </c>
      <c r="G516" s="421">
        <v>2</v>
      </c>
      <c r="H516" s="421">
        <v>200000</v>
      </c>
      <c r="I516" s="252">
        <f t="shared" si="7"/>
        <v>37500</v>
      </c>
      <c r="J516" s="284"/>
    </row>
    <row r="517" spans="2:10" s="259" customFormat="1" ht="16.5" customHeight="1">
      <c r="B517" s="409">
        <v>511</v>
      </c>
      <c r="C517" s="420" t="s">
        <v>828</v>
      </c>
      <c r="D517" s="420" t="s">
        <v>830</v>
      </c>
      <c r="E517" s="420" t="s">
        <v>683</v>
      </c>
      <c r="F517" s="420" t="s">
        <v>478</v>
      </c>
      <c r="G517" s="421">
        <v>1</v>
      </c>
      <c r="H517" s="421">
        <v>100000</v>
      </c>
      <c r="I517" s="252">
        <f t="shared" si="7"/>
        <v>18750</v>
      </c>
      <c r="J517" s="284"/>
    </row>
    <row r="518" spans="2:10" s="259" customFormat="1" ht="16.5" customHeight="1">
      <c r="B518" s="409">
        <v>512</v>
      </c>
      <c r="C518" s="420" t="s">
        <v>828</v>
      </c>
      <c r="D518" s="420" t="s">
        <v>831</v>
      </c>
      <c r="E518" s="420" t="s">
        <v>512</v>
      </c>
      <c r="F518" s="420" t="s">
        <v>475</v>
      </c>
      <c r="G518" s="421">
        <v>1</v>
      </c>
      <c r="H518" s="421">
        <v>100000</v>
      </c>
      <c r="I518" s="252">
        <f t="shared" si="7"/>
        <v>18750</v>
      </c>
      <c r="J518" s="284"/>
    </row>
    <row r="519" spans="2:10" s="259" customFormat="1" ht="16.5" customHeight="1">
      <c r="B519" s="409">
        <v>513</v>
      </c>
      <c r="C519" s="420" t="s">
        <v>828</v>
      </c>
      <c r="D519" s="420" t="s">
        <v>733</v>
      </c>
      <c r="E519" s="420" t="s">
        <v>665</v>
      </c>
      <c r="F519" s="420" t="s">
        <v>625</v>
      </c>
      <c r="G519" s="421">
        <v>1</v>
      </c>
      <c r="H519" s="421">
        <v>300000</v>
      </c>
      <c r="I519" s="252">
        <f t="shared" si="7"/>
        <v>56250</v>
      </c>
      <c r="J519" s="284"/>
    </row>
    <row r="520" spans="2:10" s="259" customFormat="1" ht="16.5" customHeight="1">
      <c r="B520" s="409">
        <v>514</v>
      </c>
      <c r="C520" s="420" t="s">
        <v>828</v>
      </c>
      <c r="D520" s="420" t="s">
        <v>832</v>
      </c>
      <c r="E520" s="420" t="s">
        <v>510</v>
      </c>
      <c r="F520" s="420" t="s">
        <v>546</v>
      </c>
      <c r="G520" s="421">
        <v>1</v>
      </c>
      <c r="H520" s="421">
        <v>400000</v>
      </c>
      <c r="I520" s="252">
        <f t="shared" ref="I520:I536" si="8">H520*25%*75%</f>
        <v>75000</v>
      </c>
      <c r="J520" s="284"/>
    </row>
    <row r="521" spans="2:10" s="259" customFormat="1" ht="16.5" customHeight="1">
      <c r="B521" s="409">
        <v>515</v>
      </c>
      <c r="C521" s="420" t="s">
        <v>828</v>
      </c>
      <c r="D521" s="420" t="s">
        <v>758</v>
      </c>
      <c r="E521" s="420" t="s">
        <v>667</v>
      </c>
      <c r="F521" s="420" t="s">
        <v>481</v>
      </c>
      <c r="G521" s="421">
        <v>1</v>
      </c>
      <c r="H521" s="421">
        <v>100000</v>
      </c>
      <c r="I521" s="252">
        <f t="shared" si="8"/>
        <v>18750</v>
      </c>
      <c r="J521" s="284"/>
    </row>
    <row r="522" spans="2:10" s="259" customFormat="1" ht="16.5" customHeight="1">
      <c r="B522" s="409">
        <v>516</v>
      </c>
      <c r="C522" s="420" t="s">
        <v>828</v>
      </c>
      <c r="D522" s="420" t="s">
        <v>832</v>
      </c>
      <c r="E522" s="420" t="s">
        <v>510</v>
      </c>
      <c r="F522" s="420" t="s">
        <v>475</v>
      </c>
      <c r="G522" s="421">
        <v>4</v>
      </c>
      <c r="H522" s="421">
        <v>400000</v>
      </c>
      <c r="I522" s="252">
        <f t="shared" si="8"/>
        <v>75000</v>
      </c>
      <c r="J522" s="284"/>
    </row>
    <row r="523" spans="2:10" s="259" customFormat="1" ht="16.5" customHeight="1">
      <c r="B523" s="409">
        <v>517</v>
      </c>
      <c r="C523" s="420" t="s">
        <v>828</v>
      </c>
      <c r="D523" s="420" t="s">
        <v>833</v>
      </c>
      <c r="E523" s="420" t="s">
        <v>577</v>
      </c>
      <c r="F523" s="420" t="s">
        <v>475</v>
      </c>
      <c r="G523" s="421">
        <v>8</v>
      </c>
      <c r="H523" s="421">
        <v>800000</v>
      </c>
      <c r="I523" s="252">
        <f t="shared" si="8"/>
        <v>150000</v>
      </c>
      <c r="J523" s="284"/>
    </row>
    <row r="524" spans="2:10" s="259" customFormat="1" ht="16.5" customHeight="1">
      <c r="B524" s="409">
        <v>518</v>
      </c>
      <c r="C524" s="420" t="s">
        <v>828</v>
      </c>
      <c r="D524" s="420" t="s">
        <v>761</v>
      </c>
      <c r="E524" s="420" t="s">
        <v>477</v>
      </c>
      <c r="F524" s="420" t="s">
        <v>481</v>
      </c>
      <c r="G524" s="421">
        <v>1</v>
      </c>
      <c r="H524" s="421">
        <v>40300</v>
      </c>
      <c r="I524" s="252">
        <f t="shared" si="8"/>
        <v>7556.25</v>
      </c>
      <c r="J524" s="284"/>
    </row>
    <row r="525" spans="2:10" s="259" customFormat="1" ht="16.5" customHeight="1">
      <c r="B525" s="409">
        <v>519</v>
      </c>
      <c r="C525" s="420" t="s">
        <v>828</v>
      </c>
      <c r="D525" s="420" t="s">
        <v>830</v>
      </c>
      <c r="E525" s="420" t="s">
        <v>683</v>
      </c>
      <c r="F525" s="420" t="s">
        <v>475</v>
      </c>
      <c r="G525" s="421">
        <v>1</v>
      </c>
      <c r="H525" s="421">
        <v>100000</v>
      </c>
      <c r="I525" s="252">
        <f t="shared" si="8"/>
        <v>18750</v>
      </c>
      <c r="J525" s="284"/>
    </row>
    <row r="526" spans="2:10" s="259" customFormat="1" ht="16.5" customHeight="1">
      <c r="B526" s="409">
        <v>520</v>
      </c>
      <c r="C526" s="420" t="s">
        <v>828</v>
      </c>
      <c r="D526" s="420" t="s">
        <v>833</v>
      </c>
      <c r="E526" s="420" t="s">
        <v>577</v>
      </c>
      <c r="F526" s="420" t="s">
        <v>478</v>
      </c>
      <c r="G526" s="421">
        <v>5</v>
      </c>
      <c r="H526" s="421">
        <v>500000</v>
      </c>
      <c r="I526" s="252">
        <f t="shared" si="8"/>
        <v>93750</v>
      </c>
      <c r="J526" s="284"/>
    </row>
    <row r="527" spans="2:10" s="259" customFormat="1" ht="16.5" customHeight="1">
      <c r="B527" s="409">
        <v>521</v>
      </c>
      <c r="C527" s="420" t="s">
        <v>828</v>
      </c>
      <c r="D527" s="420" t="s">
        <v>736</v>
      </c>
      <c r="E527" s="420" t="s">
        <v>474</v>
      </c>
      <c r="F527" s="420" t="s">
        <v>481</v>
      </c>
      <c r="G527" s="421">
        <v>1</v>
      </c>
      <c r="H527" s="421">
        <v>40300</v>
      </c>
      <c r="I527" s="252">
        <f t="shared" si="8"/>
        <v>7556.25</v>
      </c>
      <c r="J527" s="284"/>
    </row>
    <row r="528" spans="2:10" s="259" customFormat="1" ht="16.5" customHeight="1">
      <c r="B528" s="409">
        <v>522</v>
      </c>
      <c r="C528" s="420" t="s">
        <v>828</v>
      </c>
      <c r="D528" s="420" t="s">
        <v>834</v>
      </c>
      <c r="E528" s="420" t="s">
        <v>474</v>
      </c>
      <c r="F528" s="420" t="s">
        <v>478</v>
      </c>
      <c r="G528" s="421">
        <v>5</v>
      </c>
      <c r="H528" s="421">
        <v>500000</v>
      </c>
      <c r="I528" s="252">
        <f t="shared" si="8"/>
        <v>93750</v>
      </c>
      <c r="J528" s="284"/>
    </row>
    <row r="529" spans="2:10" s="259" customFormat="1" ht="16.5" customHeight="1">
      <c r="B529" s="409">
        <v>523</v>
      </c>
      <c r="C529" s="420" t="s">
        <v>828</v>
      </c>
      <c r="D529" s="420" t="s">
        <v>733</v>
      </c>
      <c r="E529" s="420" t="s">
        <v>665</v>
      </c>
      <c r="F529" s="420" t="s">
        <v>481</v>
      </c>
      <c r="G529" s="421">
        <v>1</v>
      </c>
      <c r="H529" s="421">
        <v>40300</v>
      </c>
      <c r="I529" s="252">
        <f t="shared" si="8"/>
        <v>7556.25</v>
      </c>
      <c r="J529" s="284"/>
    </row>
    <row r="530" spans="2:10" s="259" customFormat="1" ht="16.5" customHeight="1">
      <c r="B530" s="409">
        <v>524</v>
      </c>
      <c r="C530" s="420" t="s">
        <v>828</v>
      </c>
      <c r="D530" s="420" t="s">
        <v>834</v>
      </c>
      <c r="E530" s="420" t="s">
        <v>474</v>
      </c>
      <c r="F530" s="420" t="s">
        <v>475</v>
      </c>
      <c r="G530" s="421">
        <v>4</v>
      </c>
      <c r="H530" s="421">
        <v>400000</v>
      </c>
      <c r="I530" s="252">
        <f t="shared" si="8"/>
        <v>75000</v>
      </c>
      <c r="J530" s="284"/>
    </row>
    <row r="531" spans="2:10" s="259" customFormat="1" ht="16.5" customHeight="1">
      <c r="B531" s="409">
        <v>525</v>
      </c>
      <c r="C531" s="420" t="s">
        <v>828</v>
      </c>
      <c r="D531" s="420" t="s">
        <v>778</v>
      </c>
      <c r="E531" s="420" t="s">
        <v>485</v>
      </c>
      <c r="F531" s="420" t="s">
        <v>481</v>
      </c>
      <c r="G531" s="421">
        <v>1</v>
      </c>
      <c r="H531" s="421">
        <v>40300</v>
      </c>
      <c r="I531" s="252">
        <f t="shared" si="8"/>
        <v>7556.25</v>
      </c>
      <c r="J531" s="284"/>
    </row>
    <row r="532" spans="2:10" s="259" customFormat="1" ht="16.5" customHeight="1">
      <c r="B532" s="409">
        <v>526</v>
      </c>
      <c r="C532" s="420" t="s">
        <v>828</v>
      </c>
      <c r="D532" s="420" t="s">
        <v>831</v>
      </c>
      <c r="E532" s="420" t="s">
        <v>512</v>
      </c>
      <c r="F532" s="420" t="s">
        <v>478</v>
      </c>
      <c r="G532" s="421">
        <v>1</v>
      </c>
      <c r="H532" s="421">
        <v>100000</v>
      </c>
      <c r="I532" s="252">
        <f t="shared" si="8"/>
        <v>18750</v>
      </c>
      <c r="J532" s="284"/>
    </row>
    <row r="533" spans="2:10" s="259" customFormat="1" ht="16.5" customHeight="1">
      <c r="B533" s="409">
        <v>527</v>
      </c>
      <c r="C533" s="420" t="s">
        <v>828</v>
      </c>
      <c r="D533" s="420" t="s">
        <v>772</v>
      </c>
      <c r="E533" s="420" t="s">
        <v>504</v>
      </c>
      <c r="F533" s="420" t="s">
        <v>481</v>
      </c>
      <c r="G533" s="421">
        <v>1</v>
      </c>
      <c r="H533" s="421">
        <v>100000</v>
      </c>
      <c r="I533" s="252">
        <f t="shared" si="8"/>
        <v>18750</v>
      </c>
      <c r="J533" s="284"/>
    </row>
    <row r="534" spans="2:10" s="259" customFormat="1" ht="16.5" customHeight="1">
      <c r="B534" s="409">
        <v>528</v>
      </c>
      <c r="C534" s="420" t="s">
        <v>828</v>
      </c>
      <c r="D534" s="420" t="s">
        <v>784</v>
      </c>
      <c r="E534" s="420" t="s">
        <v>533</v>
      </c>
      <c r="F534" s="420" t="s">
        <v>637</v>
      </c>
      <c r="G534" s="421">
        <v>1</v>
      </c>
      <c r="H534" s="421">
        <v>120000</v>
      </c>
      <c r="I534" s="252">
        <f t="shared" si="8"/>
        <v>22500</v>
      </c>
      <c r="J534" s="284"/>
    </row>
    <row r="535" spans="2:10" s="259" customFormat="1" ht="16.5" customHeight="1">
      <c r="B535" s="409">
        <v>529</v>
      </c>
      <c r="C535" s="420" t="s">
        <v>828</v>
      </c>
      <c r="D535" s="420" t="s">
        <v>829</v>
      </c>
      <c r="E535" s="420" t="s">
        <v>174</v>
      </c>
      <c r="F535" s="420" t="s">
        <v>475</v>
      </c>
      <c r="G535" s="421">
        <v>2</v>
      </c>
      <c r="H535" s="421">
        <v>200000</v>
      </c>
      <c r="I535" s="252">
        <f t="shared" si="8"/>
        <v>37500</v>
      </c>
      <c r="J535" s="284"/>
    </row>
    <row r="536" spans="2:10" s="259" customFormat="1" ht="16.5" customHeight="1">
      <c r="B536" s="409">
        <v>530</v>
      </c>
      <c r="C536" s="420" t="s">
        <v>828</v>
      </c>
      <c r="D536" s="420" t="s">
        <v>486</v>
      </c>
      <c r="E536" s="420" t="s">
        <v>573</v>
      </c>
      <c r="F536" s="420" t="s">
        <v>589</v>
      </c>
      <c r="G536" s="421">
        <v>1</v>
      </c>
      <c r="H536" s="421">
        <v>372700</v>
      </c>
      <c r="I536" s="252">
        <f t="shared" si="8"/>
        <v>69881.25</v>
      </c>
      <c r="J536" s="284"/>
    </row>
    <row r="537" spans="2:10" s="259" customFormat="1" ht="16.5" customHeight="1">
      <c r="B537" s="409">
        <v>531</v>
      </c>
      <c r="C537" s="422" t="s">
        <v>250</v>
      </c>
      <c r="D537" s="422" t="s">
        <v>509</v>
      </c>
      <c r="E537" s="422" t="s">
        <v>510</v>
      </c>
      <c r="F537" s="422" t="s">
        <v>835</v>
      </c>
      <c r="G537" s="423">
        <v>3</v>
      </c>
      <c r="H537" s="424">
        <v>105000</v>
      </c>
      <c r="I537" s="283">
        <f t="shared" ref="I537:I695" si="9">H537*21.25%</f>
        <v>22312.5</v>
      </c>
      <c r="J537" s="284"/>
    </row>
    <row r="538" spans="2:10" s="259" customFormat="1" ht="16.5" customHeight="1">
      <c r="B538" s="409">
        <v>532</v>
      </c>
      <c r="C538" s="422" t="s">
        <v>250</v>
      </c>
      <c r="D538" s="422" t="s">
        <v>509</v>
      </c>
      <c r="E538" s="422" t="s">
        <v>510</v>
      </c>
      <c r="F538" s="422" t="s">
        <v>835</v>
      </c>
      <c r="G538" s="423">
        <v>1</v>
      </c>
      <c r="H538" s="424">
        <v>35000</v>
      </c>
      <c r="I538" s="283">
        <f t="shared" si="9"/>
        <v>7437.5</v>
      </c>
      <c r="J538" s="284"/>
    </row>
    <row r="539" spans="2:10" s="259" customFormat="1" ht="16.5" customHeight="1">
      <c r="B539" s="409">
        <v>533</v>
      </c>
      <c r="C539" s="422" t="s">
        <v>250</v>
      </c>
      <c r="D539" s="422" t="s">
        <v>509</v>
      </c>
      <c r="E539" s="422" t="s">
        <v>510</v>
      </c>
      <c r="F539" s="422" t="s">
        <v>835</v>
      </c>
      <c r="G539" s="423">
        <v>1</v>
      </c>
      <c r="H539" s="424">
        <v>35000</v>
      </c>
      <c r="I539" s="283">
        <f t="shared" si="9"/>
        <v>7437.5</v>
      </c>
      <c r="J539" s="284"/>
    </row>
    <row r="540" spans="2:10" s="259" customFormat="1" ht="16.5" customHeight="1">
      <c r="B540" s="409">
        <v>534</v>
      </c>
      <c r="C540" s="422" t="s">
        <v>260</v>
      </c>
      <c r="D540" s="422" t="s">
        <v>836</v>
      </c>
      <c r="E540" s="422" t="s">
        <v>571</v>
      </c>
      <c r="F540" s="422" t="s">
        <v>835</v>
      </c>
      <c r="G540" s="423">
        <v>1</v>
      </c>
      <c r="H540" s="424">
        <v>16000</v>
      </c>
      <c r="I540" s="283">
        <f t="shared" si="9"/>
        <v>3400</v>
      </c>
      <c r="J540" s="284"/>
    </row>
    <row r="541" spans="2:10" s="259" customFormat="1" ht="16.5" customHeight="1">
      <c r="B541" s="409">
        <v>535</v>
      </c>
      <c r="C541" s="422" t="s">
        <v>260</v>
      </c>
      <c r="D541" s="422" t="s">
        <v>528</v>
      </c>
      <c r="E541" s="422" t="s">
        <v>499</v>
      </c>
      <c r="F541" s="422" t="s">
        <v>835</v>
      </c>
      <c r="G541" s="423">
        <v>1</v>
      </c>
      <c r="H541" s="424">
        <v>16000</v>
      </c>
      <c r="I541" s="283">
        <f t="shared" si="9"/>
        <v>3400</v>
      </c>
      <c r="J541" s="284"/>
    </row>
    <row r="542" spans="2:10" s="259" customFormat="1" ht="16.5" customHeight="1">
      <c r="B542" s="409">
        <v>536</v>
      </c>
      <c r="C542" s="422" t="s">
        <v>260</v>
      </c>
      <c r="D542" s="422" t="s">
        <v>836</v>
      </c>
      <c r="E542" s="422" t="s">
        <v>571</v>
      </c>
      <c r="F542" s="422" t="s">
        <v>835</v>
      </c>
      <c r="G542" s="423">
        <v>1</v>
      </c>
      <c r="H542" s="424">
        <v>16000</v>
      </c>
      <c r="I542" s="283">
        <f t="shared" si="9"/>
        <v>3400</v>
      </c>
      <c r="J542" s="284"/>
    </row>
    <row r="543" spans="2:10" s="259" customFormat="1" ht="16.5" customHeight="1">
      <c r="B543" s="409">
        <v>537</v>
      </c>
      <c r="C543" s="422" t="s">
        <v>260</v>
      </c>
      <c r="D543" s="422" t="s">
        <v>526</v>
      </c>
      <c r="E543" s="422" t="s">
        <v>499</v>
      </c>
      <c r="F543" s="422" t="s">
        <v>835</v>
      </c>
      <c r="G543" s="423">
        <v>1</v>
      </c>
      <c r="H543" s="424">
        <v>16000</v>
      </c>
      <c r="I543" s="283">
        <f t="shared" si="9"/>
        <v>3400</v>
      </c>
      <c r="J543" s="284"/>
    </row>
    <row r="544" spans="2:10" s="259" customFormat="1" ht="16.5" customHeight="1">
      <c r="B544" s="409">
        <v>538</v>
      </c>
      <c r="C544" s="422" t="s">
        <v>260</v>
      </c>
      <c r="D544" s="422" t="s">
        <v>526</v>
      </c>
      <c r="E544" s="422" t="s">
        <v>499</v>
      </c>
      <c r="F544" s="422" t="s">
        <v>835</v>
      </c>
      <c r="G544" s="423">
        <v>2</v>
      </c>
      <c r="H544" s="424">
        <v>32000</v>
      </c>
      <c r="I544" s="283">
        <f t="shared" si="9"/>
        <v>6800</v>
      </c>
      <c r="J544" s="284"/>
    </row>
    <row r="545" spans="2:10" s="259" customFormat="1" ht="16.5" customHeight="1">
      <c r="B545" s="409">
        <v>539</v>
      </c>
      <c r="C545" s="422" t="s">
        <v>260</v>
      </c>
      <c r="D545" s="422" t="s">
        <v>526</v>
      </c>
      <c r="E545" s="422" t="s">
        <v>499</v>
      </c>
      <c r="F545" s="422" t="s">
        <v>835</v>
      </c>
      <c r="G545" s="423">
        <v>3</v>
      </c>
      <c r="H545" s="424">
        <v>48000</v>
      </c>
      <c r="I545" s="283">
        <f t="shared" si="9"/>
        <v>10200</v>
      </c>
      <c r="J545" s="284"/>
    </row>
    <row r="546" spans="2:10" s="259" customFormat="1" ht="16.5" customHeight="1">
      <c r="B546" s="409">
        <v>540</v>
      </c>
      <c r="C546" s="422" t="s">
        <v>260</v>
      </c>
      <c r="D546" s="422" t="s">
        <v>526</v>
      </c>
      <c r="E546" s="422" t="s">
        <v>499</v>
      </c>
      <c r="F546" s="422" t="s">
        <v>835</v>
      </c>
      <c r="G546" s="423">
        <v>2</v>
      </c>
      <c r="H546" s="424">
        <v>32000</v>
      </c>
      <c r="I546" s="283">
        <f t="shared" si="9"/>
        <v>6800</v>
      </c>
      <c r="J546" s="284"/>
    </row>
    <row r="547" spans="2:10" s="259" customFormat="1" ht="16.5" customHeight="1">
      <c r="B547" s="409">
        <v>541</v>
      </c>
      <c r="C547" s="422" t="s">
        <v>260</v>
      </c>
      <c r="D547" s="422" t="s">
        <v>836</v>
      </c>
      <c r="E547" s="422" t="s">
        <v>571</v>
      </c>
      <c r="F547" s="422" t="s">
        <v>835</v>
      </c>
      <c r="G547" s="423">
        <v>1</v>
      </c>
      <c r="H547" s="424">
        <v>16000</v>
      </c>
      <c r="I547" s="283">
        <f t="shared" si="9"/>
        <v>3400</v>
      </c>
      <c r="J547" s="284"/>
    </row>
    <row r="548" spans="2:10" s="259" customFormat="1" ht="16.5" customHeight="1">
      <c r="B548" s="409">
        <v>542</v>
      </c>
      <c r="C548" s="422" t="s">
        <v>260</v>
      </c>
      <c r="D548" s="422" t="s">
        <v>526</v>
      </c>
      <c r="E548" s="422" t="s">
        <v>499</v>
      </c>
      <c r="F548" s="422" t="s">
        <v>835</v>
      </c>
      <c r="G548" s="423">
        <v>2</v>
      </c>
      <c r="H548" s="424">
        <v>32000</v>
      </c>
      <c r="I548" s="283">
        <f t="shared" si="9"/>
        <v>6800</v>
      </c>
      <c r="J548" s="284"/>
    </row>
    <row r="549" spans="2:10" s="259" customFormat="1" ht="16.5" customHeight="1">
      <c r="B549" s="409">
        <v>543</v>
      </c>
      <c r="C549" s="422" t="s">
        <v>260</v>
      </c>
      <c r="D549" s="422" t="s">
        <v>836</v>
      </c>
      <c r="E549" s="422" t="s">
        <v>571</v>
      </c>
      <c r="F549" s="422" t="s">
        <v>835</v>
      </c>
      <c r="G549" s="423">
        <v>1</v>
      </c>
      <c r="H549" s="424">
        <v>16000</v>
      </c>
      <c r="I549" s="283">
        <f t="shared" si="9"/>
        <v>3400</v>
      </c>
      <c r="J549" s="284"/>
    </row>
    <row r="550" spans="2:10" s="259" customFormat="1" ht="16.5" customHeight="1">
      <c r="B550" s="409">
        <v>544</v>
      </c>
      <c r="C550" s="422" t="s">
        <v>260</v>
      </c>
      <c r="D550" s="422" t="s">
        <v>836</v>
      </c>
      <c r="E550" s="422" t="s">
        <v>571</v>
      </c>
      <c r="F550" s="422" t="s">
        <v>835</v>
      </c>
      <c r="G550" s="423">
        <v>2</v>
      </c>
      <c r="H550" s="424">
        <v>32000</v>
      </c>
      <c r="I550" s="283">
        <f t="shared" si="9"/>
        <v>6800</v>
      </c>
      <c r="J550" s="284"/>
    </row>
    <row r="551" spans="2:10" s="259" customFormat="1" ht="16.5" customHeight="1">
      <c r="B551" s="409">
        <v>545</v>
      </c>
      <c r="C551" s="422" t="s">
        <v>549</v>
      </c>
      <c r="D551" s="422" t="s">
        <v>550</v>
      </c>
      <c r="E551" s="422" t="s">
        <v>480</v>
      </c>
      <c r="F551" s="422" t="s">
        <v>835</v>
      </c>
      <c r="G551" s="423">
        <v>2</v>
      </c>
      <c r="H551" s="424">
        <v>70000</v>
      </c>
      <c r="I551" s="283">
        <f t="shared" si="9"/>
        <v>14875</v>
      </c>
      <c r="J551" s="284"/>
    </row>
    <row r="552" spans="2:10" s="259" customFormat="1" ht="16.5" customHeight="1">
      <c r="B552" s="409">
        <v>546</v>
      </c>
      <c r="C552" s="422" t="s">
        <v>549</v>
      </c>
      <c r="D552" s="422" t="s">
        <v>550</v>
      </c>
      <c r="E552" s="422" t="s">
        <v>480</v>
      </c>
      <c r="F552" s="422" t="s">
        <v>835</v>
      </c>
      <c r="G552" s="423">
        <v>2</v>
      </c>
      <c r="H552" s="424">
        <v>70000</v>
      </c>
      <c r="I552" s="283">
        <f t="shared" si="9"/>
        <v>14875</v>
      </c>
      <c r="J552" s="284"/>
    </row>
    <row r="553" spans="2:10" s="259" customFormat="1" ht="16.5" customHeight="1">
      <c r="B553" s="409">
        <v>547</v>
      </c>
      <c r="C553" s="422" t="s">
        <v>584</v>
      </c>
      <c r="D553" s="422" t="s">
        <v>587</v>
      </c>
      <c r="E553" s="422" t="s">
        <v>588</v>
      </c>
      <c r="F553" s="422" t="s">
        <v>835</v>
      </c>
      <c r="G553" s="423">
        <v>4</v>
      </c>
      <c r="H553" s="424">
        <v>140000</v>
      </c>
      <c r="I553" s="283">
        <f t="shared" si="9"/>
        <v>29750</v>
      </c>
      <c r="J553" s="284"/>
    </row>
    <row r="554" spans="2:10" s="259" customFormat="1" ht="16.5" customHeight="1">
      <c r="B554" s="409">
        <v>548</v>
      </c>
      <c r="C554" s="422" t="s">
        <v>584</v>
      </c>
      <c r="D554" s="422" t="s">
        <v>370</v>
      </c>
      <c r="E554" s="422" t="s">
        <v>537</v>
      </c>
      <c r="F554" s="422" t="s">
        <v>835</v>
      </c>
      <c r="G554" s="423">
        <v>1</v>
      </c>
      <c r="H554" s="424">
        <v>16000</v>
      </c>
      <c r="I554" s="283">
        <f t="shared" si="9"/>
        <v>3400</v>
      </c>
      <c r="J554" s="284"/>
    </row>
    <row r="555" spans="2:10" s="259" customFormat="1" ht="16.5" customHeight="1">
      <c r="B555" s="409">
        <v>549</v>
      </c>
      <c r="C555" s="422" t="s">
        <v>584</v>
      </c>
      <c r="D555" s="422" t="s">
        <v>370</v>
      </c>
      <c r="E555" s="422" t="s">
        <v>537</v>
      </c>
      <c r="F555" s="422" t="s">
        <v>835</v>
      </c>
      <c r="G555" s="423">
        <v>2</v>
      </c>
      <c r="H555" s="424">
        <v>32000</v>
      </c>
      <c r="I555" s="283">
        <f t="shared" si="9"/>
        <v>6800</v>
      </c>
      <c r="J555" s="284"/>
    </row>
    <row r="556" spans="2:10" s="259" customFormat="1" ht="16.5" customHeight="1">
      <c r="B556" s="409">
        <v>550</v>
      </c>
      <c r="C556" s="422" t="s">
        <v>584</v>
      </c>
      <c r="D556" s="422" t="s">
        <v>587</v>
      </c>
      <c r="E556" s="422" t="s">
        <v>588</v>
      </c>
      <c r="F556" s="422" t="s">
        <v>835</v>
      </c>
      <c r="G556" s="423">
        <v>8</v>
      </c>
      <c r="H556" s="424">
        <v>280000</v>
      </c>
      <c r="I556" s="283">
        <f t="shared" si="9"/>
        <v>59500</v>
      </c>
      <c r="J556" s="284"/>
    </row>
    <row r="557" spans="2:10" s="259" customFormat="1" ht="16.5" customHeight="1">
      <c r="B557" s="409">
        <v>551</v>
      </c>
      <c r="C557" s="422" t="s">
        <v>584</v>
      </c>
      <c r="D557" s="422" t="s">
        <v>587</v>
      </c>
      <c r="E557" s="422" t="s">
        <v>588</v>
      </c>
      <c r="F557" s="422" t="s">
        <v>835</v>
      </c>
      <c r="G557" s="423">
        <v>1</v>
      </c>
      <c r="H557" s="424">
        <v>35000</v>
      </c>
      <c r="I557" s="283">
        <f t="shared" si="9"/>
        <v>7437.5</v>
      </c>
      <c r="J557" s="284"/>
    </row>
    <row r="558" spans="2:10" s="259" customFormat="1" ht="16.5" customHeight="1">
      <c r="B558" s="409">
        <v>552</v>
      </c>
      <c r="C558" s="422" t="s">
        <v>584</v>
      </c>
      <c r="D558" s="422" t="s">
        <v>587</v>
      </c>
      <c r="E558" s="422" t="s">
        <v>588</v>
      </c>
      <c r="F558" s="422" t="s">
        <v>835</v>
      </c>
      <c r="G558" s="423">
        <v>5</v>
      </c>
      <c r="H558" s="424">
        <v>175000</v>
      </c>
      <c r="I558" s="283">
        <f t="shared" si="9"/>
        <v>37187.5</v>
      </c>
      <c r="J558" s="284"/>
    </row>
    <row r="559" spans="2:10" s="259" customFormat="1" ht="16.5" customHeight="1">
      <c r="B559" s="409">
        <v>553</v>
      </c>
      <c r="C559" s="422" t="s">
        <v>584</v>
      </c>
      <c r="D559" s="422" t="s">
        <v>370</v>
      </c>
      <c r="E559" s="422" t="s">
        <v>537</v>
      </c>
      <c r="F559" s="422" t="s">
        <v>835</v>
      </c>
      <c r="G559" s="423">
        <v>6</v>
      </c>
      <c r="H559" s="424">
        <v>96000</v>
      </c>
      <c r="I559" s="283">
        <f t="shared" si="9"/>
        <v>20400</v>
      </c>
      <c r="J559" s="284"/>
    </row>
    <row r="560" spans="2:10" s="259" customFormat="1" ht="16.5" customHeight="1">
      <c r="B560" s="409">
        <v>554</v>
      </c>
      <c r="C560" s="422" t="s">
        <v>584</v>
      </c>
      <c r="D560" s="422" t="s">
        <v>370</v>
      </c>
      <c r="E560" s="422" t="s">
        <v>537</v>
      </c>
      <c r="F560" s="422" t="s">
        <v>835</v>
      </c>
      <c r="G560" s="423">
        <v>4</v>
      </c>
      <c r="H560" s="424">
        <v>64000</v>
      </c>
      <c r="I560" s="283">
        <f t="shared" si="9"/>
        <v>13600</v>
      </c>
      <c r="J560" s="284"/>
    </row>
    <row r="561" spans="2:10" s="259" customFormat="1" ht="16.5" customHeight="1">
      <c r="B561" s="409">
        <v>555</v>
      </c>
      <c r="C561" s="422" t="s">
        <v>584</v>
      </c>
      <c r="D561" s="422" t="s">
        <v>587</v>
      </c>
      <c r="E561" s="422" t="s">
        <v>588</v>
      </c>
      <c r="F561" s="422" t="s">
        <v>835</v>
      </c>
      <c r="G561" s="423">
        <v>7</v>
      </c>
      <c r="H561" s="424">
        <v>245000</v>
      </c>
      <c r="I561" s="283">
        <f t="shared" si="9"/>
        <v>52062.5</v>
      </c>
      <c r="J561" s="284"/>
    </row>
    <row r="562" spans="2:10" s="259" customFormat="1" ht="16.5" customHeight="1">
      <c r="B562" s="409">
        <v>556</v>
      </c>
      <c r="C562" s="422" t="s">
        <v>584</v>
      </c>
      <c r="D562" s="422" t="s">
        <v>587</v>
      </c>
      <c r="E562" s="422" t="s">
        <v>588</v>
      </c>
      <c r="F562" s="422" t="s">
        <v>835</v>
      </c>
      <c r="G562" s="423">
        <v>8</v>
      </c>
      <c r="H562" s="424">
        <v>280000</v>
      </c>
      <c r="I562" s="283">
        <f t="shared" si="9"/>
        <v>59500</v>
      </c>
      <c r="J562" s="284"/>
    </row>
    <row r="563" spans="2:10" s="259" customFormat="1" ht="16.5" customHeight="1">
      <c r="B563" s="409">
        <v>557</v>
      </c>
      <c r="C563" s="422" t="s">
        <v>584</v>
      </c>
      <c r="D563" s="422" t="s">
        <v>370</v>
      </c>
      <c r="E563" s="422" t="s">
        <v>537</v>
      </c>
      <c r="F563" s="422" t="s">
        <v>835</v>
      </c>
      <c r="G563" s="423">
        <v>7</v>
      </c>
      <c r="H563" s="424">
        <v>112000</v>
      </c>
      <c r="I563" s="283">
        <f t="shared" si="9"/>
        <v>23800</v>
      </c>
      <c r="J563" s="284"/>
    </row>
    <row r="564" spans="2:10" s="259" customFormat="1" ht="16.5" customHeight="1">
      <c r="B564" s="409">
        <v>558</v>
      </c>
      <c r="C564" s="422" t="s">
        <v>584</v>
      </c>
      <c r="D564" s="422" t="s">
        <v>370</v>
      </c>
      <c r="E564" s="422" t="s">
        <v>537</v>
      </c>
      <c r="F564" s="422" t="s">
        <v>835</v>
      </c>
      <c r="G564" s="423">
        <v>5</v>
      </c>
      <c r="H564" s="424">
        <v>80000</v>
      </c>
      <c r="I564" s="283">
        <f t="shared" si="9"/>
        <v>17000</v>
      </c>
      <c r="J564" s="284"/>
    </row>
    <row r="565" spans="2:10" s="259" customFormat="1" ht="16.5" customHeight="1">
      <c r="B565" s="409">
        <v>559</v>
      </c>
      <c r="C565" s="422" t="s">
        <v>584</v>
      </c>
      <c r="D565" s="422" t="s">
        <v>587</v>
      </c>
      <c r="E565" s="422" t="s">
        <v>588</v>
      </c>
      <c r="F565" s="422" t="s">
        <v>835</v>
      </c>
      <c r="G565" s="423">
        <v>1</v>
      </c>
      <c r="H565" s="424">
        <v>35000</v>
      </c>
      <c r="I565" s="283">
        <f t="shared" si="9"/>
        <v>7437.5</v>
      </c>
      <c r="J565" s="284"/>
    </row>
    <row r="566" spans="2:10" s="259" customFormat="1" ht="16.5" customHeight="1">
      <c r="B566" s="409">
        <v>560</v>
      </c>
      <c r="C566" s="422" t="s">
        <v>597</v>
      </c>
      <c r="D566" s="422" t="s">
        <v>600</v>
      </c>
      <c r="E566" s="422" t="s">
        <v>601</v>
      </c>
      <c r="F566" s="422" t="s">
        <v>835</v>
      </c>
      <c r="G566" s="423">
        <v>5</v>
      </c>
      <c r="H566" s="424">
        <v>80000</v>
      </c>
      <c r="I566" s="283">
        <f t="shared" si="9"/>
        <v>17000</v>
      </c>
      <c r="J566" s="284"/>
    </row>
    <row r="567" spans="2:10" s="259" customFormat="1" ht="16.5" customHeight="1">
      <c r="B567" s="409">
        <v>561</v>
      </c>
      <c r="C567" s="422" t="s">
        <v>597</v>
      </c>
      <c r="D567" s="422" t="s">
        <v>600</v>
      </c>
      <c r="E567" s="422" t="s">
        <v>601</v>
      </c>
      <c r="F567" s="422" t="s">
        <v>835</v>
      </c>
      <c r="G567" s="423">
        <v>3</v>
      </c>
      <c r="H567" s="424">
        <v>48000</v>
      </c>
      <c r="I567" s="283">
        <f t="shared" si="9"/>
        <v>10200</v>
      </c>
      <c r="J567" s="284"/>
    </row>
    <row r="568" spans="2:10" s="259" customFormat="1" ht="16.5" customHeight="1">
      <c r="B568" s="409">
        <v>562</v>
      </c>
      <c r="C568" s="422" t="s">
        <v>597</v>
      </c>
      <c r="D568" s="422" t="s">
        <v>600</v>
      </c>
      <c r="E568" s="422" t="s">
        <v>601</v>
      </c>
      <c r="F568" s="422" t="s">
        <v>835</v>
      </c>
      <c r="G568" s="423">
        <v>4</v>
      </c>
      <c r="H568" s="424">
        <v>64000</v>
      </c>
      <c r="I568" s="283">
        <f t="shared" si="9"/>
        <v>13600</v>
      </c>
      <c r="J568" s="284"/>
    </row>
    <row r="569" spans="2:10" s="259" customFormat="1" ht="16.5" customHeight="1">
      <c r="B569" s="409">
        <v>563</v>
      </c>
      <c r="C569" s="422" t="s">
        <v>597</v>
      </c>
      <c r="D569" s="422" t="s">
        <v>600</v>
      </c>
      <c r="E569" s="422" t="s">
        <v>601</v>
      </c>
      <c r="F569" s="422" t="s">
        <v>835</v>
      </c>
      <c r="G569" s="423">
        <v>1</v>
      </c>
      <c r="H569" s="424">
        <v>16000</v>
      </c>
      <c r="I569" s="283">
        <f t="shared" si="9"/>
        <v>3400</v>
      </c>
      <c r="J569" s="284"/>
    </row>
    <row r="570" spans="2:10" s="259" customFormat="1" ht="16.5" customHeight="1">
      <c r="B570" s="409">
        <v>564</v>
      </c>
      <c r="C570" s="422" t="s">
        <v>597</v>
      </c>
      <c r="D570" s="422" t="s">
        <v>600</v>
      </c>
      <c r="E570" s="422" t="s">
        <v>601</v>
      </c>
      <c r="F570" s="422" t="s">
        <v>835</v>
      </c>
      <c r="G570" s="423">
        <v>4</v>
      </c>
      <c r="H570" s="424">
        <v>64000</v>
      </c>
      <c r="I570" s="283">
        <f t="shared" si="9"/>
        <v>13600</v>
      </c>
      <c r="J570" s="284"/>
    </row>
    <row r="571" spans="2:10" s="259" customFormat="1" ht="16.5" customHeight="1">
      <c r="B571" s="409">
        <v>565</v>
      </c>
      <c r="C571" s="422" t="s">
        <v>615</v>
      </c>
      <c r="D571" s="422" t="s">
        <v>618</v>
      </c>
      <c r="E571" s="422" t="s">
        <v>537</v>
      </c>
      <c r="F571" s="422" t="s">
        <v>835</v>
      </c>
      <c r="G571" s="423">
        <v>2</v>
      </c>
      <c r="H571" s="424">
        <v>32000</v>
      </c>
      <c r="I571" s="283">
        <f t="shared" si="9"/>
        <v>6800</v>
      </c>
      <c r="J571" s="284"/>
    </row>
    <row r="572" spans="2:10" s="259" customFormat="1" ht="16.5" customHeight="1">
      <c r="B572" s="409">
        <v>566</v>
      </c>
      <c r="C572" s="422" t="s">
        <v>615</v>
      </c>
      <c r="D572" s="422" t="s">
        <v>618</v>
      </c>
      <c r="E572" s="422" t="s">
        <v>537</v>
      </c>
      <c r="F572" s="422" t="s">
        <v>835</v>
      </c>
      <c r="G572" s="423">
        <v>6</v>
      </c>
      <c r="H572" s="424">
        <v>96000</v>
      </c>
      <c r="I572" s="283">
        <f t="shared" si="9"/>
        <v>20400</v>
      </c>
      <c r="J572" s="284"/>
    </row>
    <row r="573" spans="2:10" s="259" customFormat="1" ht="16.5" customHeight="1">
      <c r="B573" s="409">
        <v>567</v>
      </c>
      <c r="C573" s="422" t="s">
        <v>615</v>
      </c>
      <c r="D573" s="422" t="s">
        <v>618</v>
      </c>
      <c r="E573" s="422" t="s">
        <v>537</v>
      </c>
      <c r="F573" s="422" t="s">
        <v>835</v>
      </c>
      <c r="G573" s="423">
        <v>3</v>
      </c>
      <c r="H573" s="424">
        <v>48000</v>
      </c>
      <c r="I573" s="283">
        <f t="shared" si="9"/>
        <v>10200</v>
      </c>
      <c r="J573" s="284"/>
    </row>
    <row r="574" spans="2:10" s="259" customFormat="1" ht="16.5" customHeight="1">
      <c r="B574" s="409">
        <v>568</v>
      </c>
      <c r="C574" s="422" t="s">
        <v>615</v>
      </c>
      <c r="D574" s="422" t="s">
        <v>618</v>
      </c>
      <c r="E574" s="422" t="s">
        <v>537</v>
      </c>
      <c r="F574" s="422" t="s">
        <v>835</v>
      </c>
      <c r="G574" s="423">
        <v>4</v>
      </c>
      <c r="H574" s="424">
        <v>64000</v>
      </c>
      <c r="I574" s="283">
        <f t="shared" si="9"/>
        <v>13600</v>
      </c>
      <c r="J574" s="284"/>
    </row>
    <row r="575" spans="2:10" s="259" customFormat="1" ht="16.5" customHeight="1">
      <c r="B575" s="409">
        <v>569</v>
      </c>
      <c r="C575" s="422" t="s">
        <v>632</v>
      </c>
      <c r="D575" s="422" t="s">
        <v>639</v>
      </c>
      <c r="E575" s="422" t="s">
        <v>565</v>
      </c>
      <c r="F575" s="422" t="s">
        <v>835</v>
      </c>
      <c r="G575" s="423">
        <v>1</v>
      </c>
      <c r="H575" s="424">
        <v>16000</v>
      </c>
      <c r="I575" s="283">
        <f t="shared" si="9"/>
        <v>3400</v>
      </c>
      <c r="J575" s="284"/>
    </row>
    <row r="576" spans="2:10" s="259" customFormat="1" ht="16.5" customHeight="1">
      <c r="B576" s="409">
        <v>570</v>
      </c>
      <c r="C576" s="422" t="s">
        <v>632</v>
      </c>
      <c r="D576" s="422" t="s">
        <v>639</v>
      </c>
      <c r="E576" s="422" t="s">
        <v>565</v>
      </c>
      <c r="F576" s="422" t="s">
        <v>835</v>
      </c>
      <c r="G576" s="423">
        <v>1</v>
      </c>
      <c r="H576" s="424">
        <v>16000</v>
      </c>
      <c r="I576" s="283">
        <f t="shared" si="9"/>
        <v>3400</v>
      </c>
      <c r="J576" s="284"/>
    </row>
    <row r="577" spans="2:10" s="259" customFormat="1" ht="16.5" customHeight="1">
      <c r="B577" s="409">
        <v>571</v>
      </c>
      <c r="C577" s="422" t="s">
        <v>632</v>
      </c>
      <c r="D577" s="422" t="s">
        <v>639</v>
      </c>
      <c r="E577" s="422" t="s">
        <v>565</v>
      </c>
      <c r="F577" s="422" t="s">
        <v>835</v>
      </c>
      <c r="G577" s="423">
        <v>2</v>
      </c>
      <c r="H577" s="424">
        <v>32000</v>
      </c>
      <c r="I577" s="283">
        <f t="shared" si="9"/>
        <v>6800</v>
      </c>
      <c r="J577" s="284"/>
    </row>
    <row r="578" spans="2:10" s="259" customFormat="1" ht="16.5" customHeight="1">
      <c r="B578" s="409">
        <v>572</v>
      </c>
      <c r="C578" s="422" t="s">
        <v>632</v>
      </c>
      <c r="D578" s="422" t="s">
        <v>639</v>
      </c>
      <c r="E578" s="422" t="s">
        <v>565</v>
      </c>
      <c r="F578" s="422" t="s">
        <v>835</v>
      </c>
      <c r="G578" s="423">
        <v>1</v>
      </c>
      <c r="H578" s="424">
        <v>16000</v>
      </c>
      <c r="I578" s="283">
        <f t="shared" si="9"/>
        <v>3400</v>
      </c>
      <c r="J578" s="284"/>
    </row>
    <row r="579" spans="2:10" s="259" customFormat="1" ht="16.5" customHeight="1">
      <c r="B579" s="409">
        <v>573</v>
      </c>
      <c r="C579" s="422" t="s">
        <v>632</v>
      </c>
      <c r="D579" s="422" t="s">
        <v>641</v>
      </c>
      <c r="E579" s="422" t="s">
        <v>491</v>
      </c>
      <c r="F579" s="422" t="s">
        <v>835</v>
      </c>
      <c r="G579" s="423">
        <v>2</v>
      </c>
      <c r="H579" s="424">
        <v>32000</v>
      </c>
      <c r="I579" s="283">
        <f t="shared" si="9"/>
        <v>6800</v>
      </c>
      <c r="J579" s="284"/>
    </row>
    <row r="580" spans="2:10" s="259" customFormat="1" ht="16.5" customHeight="1">
      <c r="B580" s="409">
        <v>574</v>
      </c>
      <c r="C580" s="422" t="s">
        <v>632</v>
      </c>
      <c r="D580" s="422" t="s">
        <v>642</v>
      </c>
      <c r="E580" s="422" t="s">
        <v>480</v>
      </c>
      <c r="F580" s="422" t="s">
        <v>835</v>
      </c>
      <c r="G580" s="423">
        <v>2</v>
      </c>
      <c r="H580" s="424">
        <v>32000</v>
      </c>
      <c r="I580" s="283">
        <f t="shared" si="9"/>
        <v>6800</v>
      </c>
      <c r="J580" s="284"/>
    </row>
    <row r="581" spans="2:10" s="259" customFormat="1" ht="16.5" customHeight="1">
      <c r="B581" s="409">
        <v>575</v>
      </c>
      <c r="C581" s="422" t="s">
        <v>632</v>
      </c>
      <c r="D581" s="422" t="s">
        <v>641</v>
      </c>
      <c r="E581" s="422" t="s">
        <v>491</v>
      </c>
      <c r="F581" s="422" t="s">
        <v>835</v>
      </c>
      <c r="G581" s="423">
        <v>4</v>
      </c>
      <c r="H581" s="424">
        <v>64000</v>
      </c>
      <c r="I581" s="283">
        <f t="shared" si="9"/>
        <v>13600</v>
      </c>
      <c r="J581" s="284"/>
    </row>
    <row r="582" spans="2:10" s="259" customFormat="1" ht="16.5" customHeight="1">
      <c r="B582" s="409">
        <v>576</v>
      </c>
      <c r="C582" s="422" t="s">
        <v>632</v>
      </c>
      <c r="D582" s="422" t="s">
        <v>647</v>
      </c>
      <c r="E582" s="422" t="s">
        <v>143</v>
      </c>
      <c r="F582" s="422" t="s">
        <v>835</v>
      </c>
      <c r="G582" s="423">
        <v>2</v>
      </c>
      <c r="H582" s="424">
        <v>32000</v>
      </c>
      <c r="I582" s="283">
        <f t="shared" si="9"/>
        <v>6800</v>
      </c>
      <c r="J582" s="284"/>
    </row>
    <row r="583" spans="2:10" s="259" customFormat="1" ht="16.5" customHeight="1">
      <c r="B583" s="409">
        <v>577</v>
      </c>
      <c r="C583" s="422" t="s">
        <v>632</v>
      </c>
      <c r="D583" s="422" t="s">
        <v>647</v>
      </c>
      <c r="E583" s="422" t="s">
        <v>143</v>
      </c>
      <c r="F583" s="422" t="s">
        <v>835</v>
      </c>
      <c r="G583" s="423">
        <v>3</v>
      </c>
      <c r="H583" s="424">
        <v>48000</v>
      </c>
      <c r="I583" s="283">
        <f t="shared" si="9"/>
        <v>10200</v>
      </c>
      <c r="J583" s="284"/>
    </row>
    <row r="584" spans="2:10" s="259" customFormat="1" ht="16.5" customHeight="1">
      <c r="B584" s="409">
        <v>578</v>
      </c>
      <c r="C584" s="422" t="s">
        <v>632</v>
      </c>
      <c r="D584" s="422" t="s">
        <v>647</v>
      </c>
      <c r="E584" s="422" t="s">
        <v>143</v>
      </c>
      <c r="F584" s="422" t="s">
        <v>835</v>
      </c>
      <c r="G584" s="423">
        <v>3</v>
      </c>
      <c r="H584" s="424">
        <v>48000</v>
      </c>
      <c r="I584" s="283">
        <f t="shared" si="9"/>
        <v>10200</v>
      </c>
      <c r="J584" s="284"/>
    </row>
    <row r="585" spans="2:10" s="259" customFormat="1" ht="16.5" customHeight="1">
      <c r="B585" s="409">
        <v>579</v>
      </c>
      <c r="C585" s="422" t="s">
        <v>632</v>
      </c>
      <c r="D585" s="422" t="s">
        <v>641</v>
      </c>
      <c r="E585" s="422" t="s">
        <v>491</v>
      </c>
      <c r="F585" s="422" t="s">
        <v>835</v>
      </c>
      <c r="G585" s="423">
        <v>1</v>
      </c>
      <c r="H585" s="424">
        <v>16000</v>
      </c>
      <c r="I585" s="283">
        <f t="shared" si="9"/>
        <v>3400</v>
      </c>
      <c r="J585" s="284"/>
    </row>
    <row r="586" spans="2:10" s="259" customFormat="1" ht="16.5" customHeight="1">
      <c r="B586" s="409">
        <v>580</v>
      </c>
      <c r="C586" s="422" t="s">
        <v>632</v>
      </c>
      <c r="D586" s="422" t="s">
        <v>641</v>
      </c>
      <c r="E586" s="422" t="s">
        <v>491</v>
      </c>
      <c r="F586" s="422" t="s">
        <v>835</v>
      </c>
      <c r="G586" s="423">
        <v>3</v>
      </c>
      <c r="H586" s="424">
        <v>48000</v>
      </c>
      <c r="I586" s="283">
        <f t="shared" si="9"/>
        <v>10200</v>
      </c>
      <c r="J586" s="284"/>
    </row>
    <row r="587" spans="2:10" s="259" customFormat="1" ht="16.5" customHeight="1">
      <c r="B587" s="409">
        <v>581</v>
      </c>
      <c r="C587" s="422" t="s">
        <v>632</v>
      </c>
      <c r="D587" s="422" t="s">
        <v>642</v>
      </c>
      <c r="E587" s="422" t="s">
        <v>480</v>
      </c>
      <c r="F587" s="422" t="s">
        <v>835</v>
      </c>
      <c r="G587" s="423">
        <v>2</v>
      </c>
      <c r="H587" s="424">
        <v>32000</v>
      </c>
      <c r="I587" s="283">
        <f t="shared" si="9"/>
        <v>6800</v>
      </c>
      <c r="J587" s="284"/>
    </row>
    <row r="588" spans="2:10" s="259" customFormat="1" ht="16.5" customHeight="1">
      <c r="B588" s="409">
        <v>582</v>
      </c>
      <c r="C588" s="422" t="s">
        <v>632</v>
      </c>
      <c r="D588" s="422" t="s">
        <v>635</v>
      </c>
      <c r="E588" s="422" t="s">
        <v>512</v>
      </c>
      <c r="F588" s="422" t="s">
        <v>835</v>
      </c>
      <c r="G588" s="423">
        <v>3</v>
      </c>
      <c r="H588" s="424">
        <v>105000</v>
      </c>
      <c r="I588" s="283">
        <f t="shared" si="9"/>
        <v>22312.5</v>
      </c>
      <c r="J588" s="284"/>
    </row>
    <row r="589" spans="2:10" s="259" customFormat="1" ht="16.5" customHeight="1">
      <c r="B589" s="409">
        <v>583</v>
      </c>
      <c r="C589" s="422" t="s">
        <v>632</v>
      </c>
      <c r="D589" s="422" t="s">
        <v>635</v>
      </c>
      <c r="E589" s="422" t="s">
        <v>512</v>
      </c>
      <c r="F589" s="422" t="s">
        <v>835</v>
      </c>
      <c r="G589" s="423">
        <v>4</v>
      </c>
      <c r="H589" s="424">
        <v>140000</v>
      </c>
      <c r="I589" s="283">
        <f t="shared" si="9"/>
        <v>29750</v>
      </c>
      <c r="J589" s="284"/>
    </row>
    <row r="590" spans="2:10" s="259" customFormat="1" ht="16.5" customHeight="1">
      <c r="B590" s="409">
        <v>584</v>
      </c>
      <c r="C590" s="422" t="s">
        <v>632</v>
      </c>
      <c r="D590" s="422" t="s">
        <v>641</v>
      </c>
      <c r="E590" s="422" t="s">
        <v>491</v>
      </c>
      <c r="F590" s="422" t="s">
        <v>835</v>
      </c>
      <c r="G590" s="423">
        <v>4</v>
      </c>
      <c r="H590" s="424">
        <v>64000</v>
      </c>
      <c r="I590" s="283">
        <f t="shared" si="9"/>
        <v>13600</v>
      </c>
      <c r="J590" s="284"/>
    </row>
    <row r="591" spans="2:10" s="259" customFormat="1" ht="16.5" customHeight="1">
      <c r="B591" s="409">
        <v>585</v>
      </c>
      <c r="C591" s="422" t="s">
        <v>632</v>
      </c>
      <c r="D591" s="422" t="s">
        <v>647</v>
      </c>
      <c r="E591" s="422" t="s">
        <v>143</v>
      </c>
      <c r="F591" s="422" t="s">
        <v>835</v>
      </c>
      <c r="G591" s="423">
        <v>2</v>
      </c>
      <c r="H591" s="424">
        <v>32000</v>
      </c>
      <c r="I591" s="283">
        <f t="shared" si="9"/>
        <v>6800</v>
      </c>
      <c r="J591" s="284"/>
    </row>
    <row r="592" spans="2:10" s="259" customFormat="1" ht="16.5" customHeight="1">
      <c r="B592" s="409">
        <v>586</v>
      </c>
      <c r="C592" s="422" t="s">
        <v>632</v>
      </c>
      <c r="D592" s="422" t="s">
        <v>642</v>
      </c>
      <c r="E592" s="422" t="s">
        <v>480</v>
      </c>
      <c r="F592" s="422" t="s">
        <v>835</v>
      </c>
      <c r="G592" s="423">
        <v>2</v>
      </c>
      <c r="H592" s="424">
        <v>32000</v>
      </c>
      <c r="I592" s="283">
        <f t="shared" si="9"/>
        <v>6800</v>
      </c>
      <c r="J592" s="284"/>
    </row>
    <row r="593" spans="2:10" s="259" customFormat="1" ht="16.5" customHeight="1">
      <c r="B593" s="409">
        <v>587</v>
      </c>
      <c r="C593" s="422" t="s">
        <v>632</v>
      </c>
      <c r="D593" s="422" t="s">
        <v>635</v>
      </c>
      <c r="E593" s="422" t="s">
        <v>512</v>
      </c>
      <c r="F593" s="422" t="s">
        <v>835</v>
      </c>
      <c r="G593" s="423">
        <v>7</v>
      </c>
      <c r="H593" s="424">
        <v>245000</v>
      </c>
      <c r="I593" s="283">
        <f t="shared" si="9"/>
        <v>52062.5</v>
      </c>
      <c r="J593" s="284"/>
    </row>
    <row r="594" spans="2:10" s="259" customFormat="1" ht="16.5" customHeight="1">
      <c r="B594" s="409">
        <v>588</v>
      </c>
      <c r="C594" s="422" t="s">
        <v>632</v>
      </c>
      <c r="D594" s="422" t="s">
        <v>635</v>
      </c>
      <c r="E594" s="422" t="s">
        <v>512</v>
      </c>
      <c r="F594" s="422" t="s">
        <v>835</v>
      </c>
      <c r="G594" s="423">
        <v>3</v>
      </c>
      <c r="H594" s="424">
        <v>105000</v>
      </c>
      <c r="I594" s="283">
        <f t="shared" si="9"/>
        <v>22312.5</v>
      </c>
      <c r="J594" s="284"/>
    </row>
    <row r="595" spans="2:10" s="259" customFormat="1" ht="16.5" customHeight="1">
      <c r="B595" s="409">
        <v>589</v>
      </c>
      <c r="C595" s="422" t="s">
        <v>661</v>
      </c>
      <c r="D595" s="422" t="s">
        <v>673</v>
      </c>
      <c r="E595" s="422" t="s">
        <v>499</v>
      </c>
      <c r="F595" s="422" t="s">
        <v>835</v>
      </c>
      <c r="G595" s="423">
        <v>3</v>
      </c>
      <c r="H595" s="424">
        <v>48000</v>
      </c>
      <c r="I595" s="283">
        <f t="shared" si="9"/>
        <v>10200</v>
      </c>
      <c r="J595" s="284"/>
    </row>
    <row r="596" spans="2:10" s="259" customFormat="1" ht="16.5" customHeight="1">
      <c r="B596" s="409">
        <v>590</v>
      </c>
      <c r="C596" s="422" t="s">
        <v>661</v>
      </c>
      <c r="D596" s="422" t="s">
        <v>673</v>
      </c>
      <c r="E596" s="422" t="s">
        <v>499</v>
      </c>
      <c r="F596" s="422" t="s">
        <v>835</v>
      </c>
      <c r="G596" s="423">
        <v>5</v>
      </c>
      <c r="H596" s="424">
        <v>80000</v>
      </c>
      <c r="I596" s="283">
        <f t="shared" si="9"/>
        <v>17000</v>
      </c>
      <c r="J596" s="284"/>
    </row>
    <row r="597" spans="2:10" s="259" customFormat="1" ht="16.5" customHeight="1">
      <c r="B597" s="409">
        <v>591</v>
      </c>
      <c r="C597" s="422" t="s">
        <v>661</v>
      </c>
      <c r="D597" s="422" t="s">
        <v>673</v>
      </c>
      <c r="E597" s="422" t="s">
        <v>499</v>
      </c>
      <c r="F597" s="422" t="s">
        <v>835</v>
      </c>
      <c r="G597" s="423">
        <v>3</v>
      </c>
      <c r="H597" s="424">
        <v>48000</v>
      </c>
      <c r="I597" s="283">
        <f t="shared" si="9"/>
        <v>10200</v>
      </c>
      <c r="J597" s="284"/>
    </row>
    <row r="598" spans="2:10" s="259" customFormat="1" ht="16.5" customHeight="1">
      <c r="B598" s="409">
        <v>592</v>
      </c>
      <c r="C598" s="422" t="s">
        <v>678</v>
      </c>
      <c r="D598" s="422" t="s">
        <v>680</v>
      </c>
      <c r="E598" s="422" t="s">
        <v>522</v>
      </c>
      <c r="F598" s="422" t="s">
        <v>835</v>
      </c>
      <c r="G598" s="423">
        <v>1</v>
      </c>
      <c r="H598" s="424">
        <v>16000</v>
      </c>
      <c r="I598" s="283">
        <f t="shared" si="9"/>
        <v>3400</v>
      </c>
      <c r="J598" s="284"/>
    </row>
    <row r="599" spans="2:10" s="259" customFormat="1" ht="16.5" customHeight="1">
      <c r="B599" s="409">
        <v>593</v>
      </c>
      <c r="C599" s="422" t="s">
        <v>702</v>
      </c>
      <c r="D599" s="422" t="s">
        <v>709</v>
      </c>
      <c r="E599" s="422" t="s">
        <v>555</v>
      </c>
      <c r="F599" s="422" t="s">
        <v>835</v>
      </c>
      <c r="G599" s="423">
        <v>3</v>
      </c>
      <c r="H599" s="424">
        <v>105000</v>
      </c>
      <c r="I599" s="283">
        <f t="shared" si="9"/>
        <v>22312.5</v>
      </c>
      <c r="J599" s="284"/>
    </row>
    <row r="600" spans="2:10" s="259" customFormat="1" ht="16.5" customHeight="1">
      <c r="B600" s="409">
        <v>594</v>
      </c>
      <c r="C600" s="422" t="s">
        <v>702</v>
      </c>
      <c r="D600" s="422" t="s">
        <v>709</v>
      </c>
      <c r="E600" s="422" t="s">
        <v>555</v>
      </c>
      <c r="F600" s="422" t="s">
        <v>835</v>
      </c>
      <c r="G600" s="423">
        <v>3</v>
      </c>
      <c r="H600" s="424">
        <v>105000</v>
      </c>
      <c r="I600" s="283">
        <f t="shared" si="9"/>
        <v>22312.5</v>
      </c>
      <c r="J600" s="284"/>
    </row>
    <row r="601" spans="2:10" s="259" customFormat="1" ht="16.5" customHeight="1">
      <c r="B601" s="409">
        <v>595</v>
      </c>
      <c r="C601" s="422" t="s">
        <v>702</v>
      </c>
      <c r="D601" s="422" t="s">
        <v>709</v>
      </c>
      <c r="E601" s="422" t="s">
        <v>555</v>
      </c>
      <c r="F601" s="422" t="s">
        <v>835</v>
      </c>
      <c r="G601" s="423">
        <v>3</v>
      </c>
      <c r="H601" s="424">
        <v>105000</v>
      </c>
      <c r="I601" s="283">
        <f t="shared" si="9"/>
        <v>22312.5</v>
      </c>
      <c r="J601" s="284"/>
    </row>
    <row r="602" spans="2:10" s="259" customFormat="1" ht="16.5" customHeight="1">
      <c r="B602" s="409">
        <v>596</v>
      </c>
      <c r="C602" s="422" t="s">
        <v>719</v>
      </c>
      <c r="D602" s="422" t="s">
        <v>737</v>
      </c>
      <c r="E602" s="422" t="s">
        <v>487</v>
      </c>
      <c r="F602" s="422" t="s">
        <v>835</v>
      </c>
      <c r="G602" s="423">
        <v>1</v>
      </c>
      <c r="H602" s="424">
        <v>16000</v>
      </c>
      <c r="I602" s="283">
        <f t="shared" si="9"/>
        <v>3400</v>
      </c>
      <c r="J602" s="284"/>
    </row>
    <row r="603" spans="2:10" s="259" customFormat="1" ht="16.5" customHeight="1">
      <c r="B603" s="409">
        <v>597</v>
      </c>
      <c r="C603" s="422" t="s">
        <v>719</v>
      </c>
      <c r="D603" s="422" t="s">
        <v>737</v>
      </c>
      <c r="E603" s="422" t="s">
        <v>487</v>
      </c>
      <c r="F603" s="422" t="s">
        <v>835</v>
      </c>
      <c r="G603" s="423">
        <v>1</v>
      </c>
      <c r="H603" s="424">
        <v>16000</v>
      </c>
      <c r="I603" s="283">
        <f t="shared" si="9"/>
        <v>3400</v>
      </c>
      <c r="J603" s="284"/>
    </row>
    <row r="604" spans="2:10" s="259" customFormat="1" ht="16.5" customHeight="1">
      <c r="B604" s="409">
        <v>598</v>
      </c>
      <c r="C604" s="422" t="s">
        <v>719</v>
      </c>
      <c r="D604" s="422" t="s">
        <v>735</v>
      </c>
      <c r="E604" s="422" t="s">
        <v>575</v>
      </c>
      <c r="F604" s="422" t="s">
        <v>835</v>
      </c>
      <c r="G604" s="423">
        <v>2</v>
      </c>
      <c r="H604" s="424">
        <v>70000</v>
      </c>
      <c r="I604" s="283">
        <f t="shared" si="9"/>
        <v>14875</v>
      </c>
      <c r="J604" s="284"/>
    </row>
    <row r="605" spans="2:10" s="259" customFormat="1" ht="16.5" customHeight="1">
      <c r="B605" s="409">
        <v>599</v>
      </c>
      <c r="C605" s="422" t="s">
        <v>719</v>
      </c>
      <c r="D605" s="422" t="s">
        <v>734</v>
      </c>
      <c r="E605" s="422" t="s">
        <v>480</v>
      </c>
      <c r="F605" s="422" t="s">
        <v>835</v>
      </c>
      <c r="G605" s="423">
        <v>2</v>
      </c>
      <c r="H605" s="424">
        <v>70000</v>
      </c>
      <c r="I605" s="283">
        <f t="shared" si="9"/>
        <v>14875</v>
      </c>
      <c r="J605" s="284"/>
    </row>
    <row r="606" spans="2:10" s="259" customFormat="1" ht="16.5" customHeight="1">
      <c r="B606" s="409">
        <v>600</v>
      </c>
      <c r="C606" s="422" t="s">
        <v>719</v>
      </c>
      <c r="D606" s="422" t="s">
        <v>731</v>
      </c>
      <c r="E606" s="422" t="s">
        <v>732</v>
      </c>
      <c r="F606" s="422" t="s">
        <v>835</v>
      </c>
      <c r="G606" s="423">
        <v>5</v>
      </c>
      <c r="H606" s="424">
        <v>80000</v>
      </c>
      <c r="I606" s="283">
        <f t="shared" ref="I606" si="10">H606*21.25%</f>
        <v>17000</v>
      </c>
      <c r="J606" s="284"/>
    </row>
    <row r="607" spans="2:10" s="259" customFormat="1" ht="16.5" customHeight="1">
      <c r="B607" s="409">
        <v>601</v>
      </c>
      <c r="C607" s="422" t="s">
        <v>719</v>
      </c>
      <c r="D607" s="422" t="s">
        <v>738</v>
      </c>
      <c r="E607" s="422" t="s">
        <v>683</v>
      </c>
      <c r="F607" s="422" t="s">
        <v>835</v>
      </c>
      <c r="G607" s="423">
        <v>5</v>
      </c>
      <c r="H607" s="424">
        <v>175000</v>
      </c>
      <c r="I607" s="283">
        <f t="shared" si="9"/>
        <v>37187.5</v>
      </c>
      <c r="J607" s="284"/>
    </row>
    <row r="608" spans="2:10" s="259" customFormat="1" ht="16.5" customHeight="1">
      <c r="B608" s="409">
        <v>602</v>
      </c>
      <c r="C608" s="422" t="s">
        <v>719</v>
      </c>
      <c r="D608" s="422" t="s">
        <v>738</v>
      </c>
      <c r="E608" s="422" t="s">
        <v>683</v>
      </c>
      <c r="F608" s="422" t="s">
        <v>835</v>
      </c>
      <c r="G608" s="423">
        <v>1</v>
      </c>
      <c r="H608" s="424">
        <v>35000</v>
      </c>
      <c r="I608" s="283">
        <f t="shared" si="9"/>
        <v>7437.5</v>
      </c>
      <c r="J608" s="284"/>
    </row>
    <row r="609" spans="2:10" s="259" customFormat="1" ht="16.5" customHeight="1">
      <c r="B609" s="409">
        <v>603</v>
      </c>
      <c r="C609" s="422" t="s">
        <v>719</v>
      </c>
      <c r="D609" s="422" t="s">
        <v>734</v>
      </c>
      <c r="E609" s="422" t="s">
        <v>480</v>
      </c>
      <c r="F609" s="422" t="s">
        <v>835</v>
      </c>
      <c r="G609" s="423">
        <v>2</v>
      </c>
      <c r="H609" s="424">
        <v>70000</v>
      </c>
      <c r="I609" s="283">
        <f t="shared" si="9"/>
        <v>14875</v>
      </c>
      <c r="J609" s="284"/>
    </row>
    <row r="610" spans="2:10" s="259" customFormat="1" ht="16.5" customHeight="1">
      <c r="B610" s="409">
        <v>604</v>
      </c>
      <c r="C610" s="422" t="s">
        <v>719</v>
      </c>
      <c r="D610" s="422" t="s">
        <v>738</v>
      </c>
      <c r="E610" s="422" t="s">
        <v>683</v>
      </c>
      <c r="F610" s="422" t="s">
        <v>835</v>
      </c>
      <c r="G610" s="423">
        <v>1</v>
      </c>
      <c r="H610" s="424">
        <v>35000</v>
      </c>
      <c r="I610" s="283">
        <f t="shared" si="9"/>
        <v>7437.5</v>
      </c>
      <c r="J610" s="284"/>
    </row>
    <row r="611" spans="2:10" s="259" customFormat="1" ht="16.5" customHeight="1">
      <c r="B611" s="409">
        <v>605</v>
      </c>
      <c r="C611" s="422" t="s">
        <v>719</v>
      </c>
      <c r="D611" s="422" t="s">
        <v>735</v>
      </c>
      <c r="E611" s="422" t="s">
        <v>575</v>
      </c>
      <c r="F611" s="422" t="s">
        <v>835</v>
      </c>
      <c r="G611" s="423">
        <v>3</v>
      </c>
      <c r="H611" s="424">
        <v>105000</v>
      </c>
      <c r="I611" s="283">
        <f t="shared" si="9"/>
        <v>22312.5</v>
      </c>
      <c r="J611" s="284"/>
    </row>
    <row r="612" spans="2:10" s="259" customFormat="1" ht="16.5" customHeight="1">
      <c r="B612" s="409">
        <v>606</v>
      </c>
      <c r="C612" s="422" t="s">
        <v>719</v>
      </c>
      <c r="D612" s="422" t="s">
        <v>738</v>
      </c>
      <c r="E612" s="422" t="s">
        <v>683</v>
      </c>
      <c r="F612" s="422" t="s">
        <v>835</v>
      </c>
      <c r="G612" s="423">
        <v>2</v>
      </c>
      <c r="H612" s="424">
        <v>70000</v>
      </c>
      <c r="I612" s="283">
        <f t="shared" si="9"/>
        <v>14875</v>
      </c>
      <c r="J612" s="284"/>
    </row>
    <row r="613" spans="2:10" s="259" customFormat="1" ht="16.5" customHeight="1">
      <c r="B613" s="409">
        <v>607</v>
      </c>
      <c r="C613" s="422" t="s">
        <v>719</v>
      </c>
      <c r="D613" s="422" t="s">
        <v>731</v>
      </c>
      <c r="E613" s="422" t="s">
        <v>732</v>
      </c>
      <c r="F613" s="422" t="s">
        <v>835</v>
      </c>
      <c r="G613" s="423">
        <v>1</v>
      </c>
      <c r="H613" s="424">
        <v>16000</v>
      </c>
      <c r="I613" s="283">
        <f t="shared" si="9"/>
        <v>3400</v>
      </c>
      <c r="J613" s="284"/>
    </row>
    <row r="614" spans="2:10" s="259" customFormat="1" ht="16.5" customHeight="1">
      <c r="B614" s="409">
        <v>608</v>
      </c>
      <c r="C614" s="422" t="s">
        <v>719</v>
      </c>
      <c r="D614" s="422" t="s">
        <v>735</v>
      </c>
      <c r="E614" s="422" t="s">
        <v>575</v>
      </c>
      <c r="F614" s="422" t="s">
        <v>835</v>
      </c>
      <c r="G614" s="423">
        <v>1</v>
      </c>
      <c r="H614" s="424">
        <v>35000</v>
      </c>
      <c r="I614" s="283">
        <f t="shared" si="9"/>
        <v>7437.5</v>
      </c>
      <c r="J614" s="284"/>
    </row>
    <row r="615" spans="2:10" s="259" customFormat="1" ht="16.5" customHeight="1">
      <c r="B615" s="409">
        <v>609</v>
      </c>
      <c r="C615" s="422" t="s">
        <v>719</v>
      </c>
      <c r="D615" s="422" t="s">
        <v>735</v>
      </c>
      <c r="E615" s="422" t="s">
        <v>575</v>
      </c>
      <c r="F615" s="422" t="s">
        <v>835</v>
      </c>
      <c r="G615" s="423">
        <v>3</v>
      </c>
      <c r="H615" s="424">
        <v>105000</v>
      </c>
      <c r="I615" s="283">
        <f t="shared" si="9"/>
        <v>22312.5</v>
      </c>
      <c r="J615" s="284"/>
    </row>
    <row r="616" spans="2:10" s="259" customFormat="1" ht="16.5" customHeight="1">
      <c r="B616" s="409">
        <v>610</v>
      </c>
      <c r="C616" s="422" t="s">
        <v>719</v>
      </c>
      <c r="D616" s="422" t="s">
        <v>731</v>
      </c>
      <c r="E616" s="422" t="s">
        <v>732</v>
      </c>
      <c r="F616" s="422" t="s">
        <v>835</v>
      </c>
      <c r="G616" s="423">
        <v>2</v>
      </c>
      <c r="H616" s="424">
        <v>32000</v>
      </c>
      <c r="I616" s="283">
        <f t="shared" si="9"/>
        <v>6800</v>
      </c>
      <c r="J616" s="284"/>
    </row>
    <row r="617" spans="2:10" s="259" customFormat="1" ht="16.5" customHeight="1">
      <c r="B617" s="409">
        <v>611</v>
      </c>
      <c r="C617" s="422" t="s">
        <v>719</v>
      </c>
      <c r="D617" s="422" t="s">
        <v>731</v>
      </c>
      <c r="E617" s="422" t="s">
        <v>732</v>
      </c>
      <c r="F617" s="422" t="s">
        <v>835</v>
      </c>
      <c r="G617" s="423">
        <v>6</v>
      </c>
      <c r="H617" s="424">
        <v>96000</v>
      </c>
      <c r="I617" s="283">
        <f t="shared" si="9"/>
        <v>20400</v>
      </c>
      <c r="J617" s="284"/>
    </row>
    <row r="618" spans="2:10" s="259" customFormat="1" ht="16.5" customHeight="1">
      <c r="B618" s="409">
        <v>612</v>
      </c>
      <c r="C618" s="422" t="s">
        <v>719</v>
      </c>
      <c r="D618" s="422" t="s">
        <v>734</v>
      </c>
      <c r="E618" s="422" t="s">
        <v>480</v>
      </c>
      <c r="F618" s="422" t="s">
        <v>835</v>
      </c>
      <c r="G618" s="423">
        <v>1</v>
      </c>
      <c r="H618" s="424">
        <v>35000</v>
      </c>
      <c r="I618" s="283">
        <f t="shared" si="9"/>
        <v>7437.5</v>
      </c>
      <c r="J618" s="284"/>
    </row>
    <row r="619" spans="2:10" s="259" customFormat="1" ht="16.5" customHeight="1">
      <c r="B619" s="409">
        <v>613</v>
      </c>
      <c r="C619" s="422" t="s">
        <v>719</v>
      </c>
      <c r="D619" s="422" t="s">
        <v>738</v>
      </c>
      <c r="E619" s="422" t="s">
        <v>683</v>
      </c>
      <c r="F619" s="422" t="s">
        <v>835</v>
      </c>
      <c r="G619" s="423">
        <v>1</v>
      </c>
      <c r="H619" s="424">
        <v>35000</v>
      </c>
      <c r="I619" s="283">
        <f t="shared" si="9"/>
        <v>7437.5</v>
      </c>
      <c r="J619" s="284"/>
    </row>
    <row r="620" spans="2:10" s="259" customFormat="1" ht="16.5" customHeight="1">
      <c r="B620" s="409">
        <v>614</v>
      </c>
      <c r="C620" s="422" t="s">
        <v>719</v>
      </c>
      <c r="D620" s="422" t="s">
        <v>734</v>
      </c>
      <c r="E620" s="422" t="s">
        <v>480</v>
      </c>
      <c r="F620" s="422" t="s">
        <v>835</v>
      </c>
      <c r="G620" s="423">
        <v>3</v>
      </c>
      <c r="H620" s="424">
        <v>105000</v>
      </c>
      <c r="I620" s="283">
        <f t="shared" si="9"/>
        <v>22312.5</v>
      </c>
      <c r="J620" s="284"/>
    </row>
    <row r="621" spans="2:10" s="259" customFormat="1" ht="16.5" customHeight="1">
      <c r="B621" s="409">
        <v>615</v>
      </c>
      <c r="C621" s="422" t="s">
        <v>719</v>
      </c>
      <c r="D621" s="422" t="s">
        <v>734</v>
      </c>
      <c r="E621" s="422" t="s">
        <v>480</v>
      </c>
      <c r="F621" s="422" t="s">
        <v>835</v>
      </c>
      <c r="G621" s="423">
        <v>2</v>
      </c>
      <c r="H621" s="424">
        <v>70000</v>
      </c>
      <c r="I621" s="283">
        <f t="shared" si="9"/>
        <v>14875</v>
      </c>
      <c r="J621" s="284"/>
    </row>
    <row r="622" spans="2:10" s="259" customFormat="1" ht="16.5" customHeight="1">
      <c r="B622" s="409">
        <v>616</v>
      </c>
      <c r="C622" s="422" t="s">
        <v>719</v>
      </c>
      <c r="D622" s="422" t="s">
        <v>735</v>
      </c>
      <c r="E622" s="422" t="s">
        <v>575</v>
      </c>
      <c r="F622" s="422" t="s">
        <v>835</v>
      </c>
      <c r="G622" s="423">
        <v>2</v>
      </c>
      <c r="H622" s="424">
        <v>70000</v>
      </c>
      <c r="I622" s="283">
        <f t="shared" si="9"/>
        <v>14875</v>
      </c>
      <c r="J622" s="284"/>
    </row>
    <row r="623" spans="2:10" s="259" customFormat="1" ht="16.5" customHeight="1">
      <c r="B623" s="409">
        <v>617</v>
      </c>
      <c r="C623" s="422" t="s">
        <v>719</v>
      </c>
      <c r="D623" s="422" t="s">
        <v>731</v>
      </c>
      <c r="E623" s="422" t="s">
        <v>732</v>
      </c>
      <c r="F623" s="422" t="s">
        <v>835</v>
      </c>
      <c r="G623" s="423">
        <v>4</v>
      </c>
      <c r="H623" s="424">
        <v>64000</v>
      </c>
      <c r="I623" s="283">
        <f t="shared" si="9"/>
        <v>13600</v>
      </c>
      <c r="J623" s="284"/>
    </row>
    <row r="624" spans="2:10" s="259" customFormat="1" ht="16.5" customHeight="1">
      <c r="B624" s="409">
        <v>618</v>
      </c>
      <c r="C624" s="422" t="s">
        <v>719</v>
      </c>
      <c r="D624" s="422" t="s">
        <v>735</v>
      </c>
      <c r="E624" s="422" t="s">
        <v>575</v>
      </c>
      <c r="F624" s="422" t="s">
        <v>835</v>
      </c>
      <c r="G624" s="423">
        <v>2</v>
      </c>
      <c r="H624" s="424">
        <v>70000</v>
      </c>
      <c r="I624" s="283">
        <f t="shared" si="9"/>
        <v>14875</v>
      </c>
      <c r="J624" s="284"/>
    </row>
    <row r="625" spans="2:10" s="259" customFormat="1" ht="16.5" customHeight="1">
      <c r="B625" s="409">
        <v>619</v>
      </c>
      <c r="C625" s="422" t="s">
        <v>719</v>
      </c>
      <c r="D625" s="422" t="s">
        <v>731</v>
      </c>
      <c r="E625" s="422" t="s">
        <v>732</v>
      </c>
      <c r="F625" s="422" t="s">
        <v>835</v>
      </c>
      <c r="G625" s="423">
        <v>3</v>
      </c>
      <c r="H625" s="424">
        <v>48000</v>
      </c>
      <c r="I625" s="283">
        <f t="shared" si="9"/>
        <v>10200</v>
      </c>
      <c r="J625" s="284"/>
    </row>
    <row r="626" spans="2:10" s="259" customFormat="1" ht="16.5" customHeight="1">
      <c r="B626" s="409">
        <v>620</v>
      </c>
      <c r="C626" s="422" t="s">
        <v>719</v>
      </c>
      <c r="D626" s="422" t="s">
        <v>734</v>
      </c>
      <c r="E626" s="422" t="s">
        <v>480</v>
      </c>
      <c r="F626" s="422" t="s">
        <v>835</v>
      </c>
      <c r="G626" s="423">
        <v>3</v>
      </c>
      <c r="H626" s="424">
        <v>105000</v>
      </c>
      <c r="I626" s="283">
        <f t="shared" si="9"/>
        <v>22312.5</v>
      </c>
      <c r="J626" s="284"/>
    </row>
    <row r="627" spans="2:10" s="259" customFormat="1" ht="16.5" customHeight="1">
      <c r="B627" s="409">
        <v>621</v>
      </c>
      <c r="C627" s="422" t="s">
        <v>719</v>
      </c>
      <c r="D627" s="422" t="s">
        <v>738</v>
      </c>
      <c r="E627" s="422" t="s">
        <v>683</v>
      </c>
      <c r="F627" s="422" t="s">
        <v>835</v>
      </c>
      <c r="G627" s="423">
        <v>9</v>
      </c>
      <c r="H627" s="424">
        <v>315000</v>
      </c>
      <c r="I627" s="283">
        <f t="shared" si="9"/>
        <v>66937.5</v>
      </c>
      <c r="J627" s="284"/>
    </row>
    <row r="628" spans="2:10" s="259" customFormat="1" ht="16.5" customHeight="1">
      <c r="B628" s="409">
        <v>622</v>
      </c>
      <c r="C628" s="422" t="s">
        <v>740</v>
      </c>
      <c r="D628" s="422" t="s">
        <v>743</v>
      </c>
      <c r="E628" s="422" t="s">
        <v>480</v>
      </c>
      <c r="F628" s="422" t="s">
        <v>835</v>
      </c>
      <c r="G628" s="423">
        <v>3</v>
      </c>
      <c r="H628" s="424">
        <v>105000</v>
      </c>
      <c r="I628" s="283">
        <f t="shared" si="9"/>
        <v>22312.5</v>
      </c>
      <c r="J628" s="284"/>
    </row>
    <row r="629" spans="2:10" s="259" customFormat="1" ht="16.5" customHeight="1">
      <c r="B629" s="409">
        <v>623</v>
      </c>
      <c r="C629" s="422" t="s">
        <v>740</v>
      </c>
      <c r="D629" s="422" t="s">
        <v>743</v>
      </c>
      <c r="E629" s="422" t="s">
        <v>480</v>
      </c>
      <c r="F629" s="422" t="s">
        <v>835</v>
      </c>
      <c r="G629" s="423">
        <v>6</v>
      </c>
      <c r="H629" s="424">
        <v>210000</v>
      </c>
      <c r="I629" s="283">
        <f t="shared" si="9"/>
        <v>44625</v>
      </c>
      <c r="J629" s="284"/>
    </row>
    <row r="630" spans="2:10" s="259" customFormat="1" ht="16.5" customHeight="1">
      <c r="B630" s="409">
        <v>624</v>
      </c>
      <c r="C630" s="422" t="s">
        <v>740</v>
      </c>
      <c r="D630" s="422" t="s">
        <v>751</v>
      </c>
      <c r="E630" s="422" t="s">
        <v>565</v>
      </c>
      <c r="F630" s="422" t="s">
        <v>835</v>
      </c>
      <c r="G630" s="423">
        <v>3</v>
      </c>
      <c r="H630" s="424">
        <v>105000</v>
      </c>
      <c r="I630" s="283">
        <f t="shared" si="9"/>
        <v>22312.5</v>
      </c>
      <c r="J630" s="284"/>
    </row>
    <row r="631" spans="2:10" s="259" customFormat="1" ht="16.5" customHeight="1">
      <c r="B631" s="409">
        <v>625</v>
      </c>
      <c r="C631" s="422" t="s">
        <v>740</v>
      </c>
      <c r="D631" s="422" t="s">
        <v>744</v>
      </c>
      <c r="E631" s="422" t="s">
        <v>573</v>
      </c>
      <c r="F631" s="422" t="s">
        <v>835</v>
      </c>
      <c r="G631" s="423">
        <v>1</v>
      </c>
      <c r="H631" s="424">
        <v>16000</v>
      </c>
      <c r="I631" s="283">
        <f t="shared" si="9"/>
        <v>3400</v>
      </c>
      <c r="J631" s="284"/>
    </row>
    <row r="632" spans="2:10" s="259" customFormat="1" ht="16.5" customHeight="1">
      <c r="B632" s="409">
        <v>626</v>
      </c>
      <c r="C632" s="422" t="s">
        <v>740</v>
      </c>
      <c r="D632" s="422" t="s">
        <v>743</v>
      </c>
      <c r="E632" s="422" t="s">
        <v>480</v>
      </c>
      <c r="F632" s="422" t="s">
        <v>835</v>
      </c>
      <c r="G632" s="423">
        <v>8</v>
      </c>
      <c r="H632" s="424">
        <v>280000</v>
      </c>
      <c r="I632" s="283">
        <f t="shared" si="9"/>
        <v>59500</v>
      </c>
      <c r="J632" s="284"/>
    </row>
    <row r="633" spans="2:10" s="259" customFormat="1" ht="16.5" customHeight="1">
      <c r="B633" s="409">
        <v>627</v>
      </c>
      <c r="C633" s="422" t="s">
        <v>740</v>
      </c>
      <c r="D633" s="422" t="s">
        <v>745</v>
      </c>
      <c r="E633" s="422" t="s">
        <v>667</v>
      </c>
      <c r="F633" s="422" t="s">
        <v>835</v>
      </c>
      <c r="G633" s="423">
        <v>1</v>
      </c>
      <c r="H633" s="424">
        <v>16000</v>
      </c>
      <c r="I633" s="283">
        <f t="shared" si="9"/>
        <v>3400</v>
      </c>
      <c r="J633" s="284"/>
    </row>
    <row r="634" spans="2:10" s="259" customFormat="1" ht="16.5" customHeight="1">
      <c r="B634" s="409">
        <v>628</v>
      </c>
      <c r="C634" s="422" t="s">
        <v>740</v>
      </c>
      <c r="D634" s="422" t="s">
        <v>743</v>
      </c>
      <c r="E634" s="422" t="s">
        <v>480</v>
      </c>
      <c r="F634" s="422" t="s">
        <v>835</v>
      </c>
      <c r="G634" s="423">
        <v>15</v>
      </c>
      <c r="H634" s="424">
        <v>525000</v>
      </c>
      <c r="I634" s="283">
        <f t="shared" si="9"/>
        <v>111562.5</v>
      </c>
      <c r="J634" s="284"/>
    </row>
    <row r="635" spans="2:10" s="259" customFormat="1" ht="16.5" customHeight="1">
      <c r="B635" s="409">
        <v>629</v>
      </c>
      <c r="C635" s="422" t="s">
        <v>740</v>
      </c>
      <c r="D635" s="422" t="s">
        <v>837</v>
      </c>
      <c r="E635" s="422" t="s">
        <v>537</v>
      </c>
      <c r="F635" s="422" t="s">
        <v>835</v>
      </c>
      <c r="G635" s="423">
        <v>2</v>
      </c>
      <c r="H635" s="424">
        <v>70000</v>
      </c>
      <c r="I635" s="283">
        <f t="shared" si="9"/>
        <v>14875</v>
      </c>
      <c r="J635" s="284"/>
    </row>
    <row r="636" spans="2:10" s="259" customFormat="1" ht="16.5" customHeight="1">
      <c r="B636" s="409">
        <v>630</v>
      </c>
      <c r="C636" s="422" t="s">
        <v>740</v>
      </c>
      <c r="D636" s="422" t="s">
        <v>751</v>
      </c>
      <c r="E636" s="422" t="s">
        <v>565</v>
      </c>
      <c r="F636" s="422" t="s">
        <v>835</v>
      </c>
      <c r="G636" s="423">
        <v>2</v>
      </c>
      <c r="H636" s="424">
        <v>70000</v>
      </c>
      <c r="I636" s="283">
        <f t="shared" si="9"/>
        <v>14875</v>
      </c>
      <c r="J636" s="284"/>
    </row>
    <row r="637" spans="2:10" s="259" customFormat="1" ht="16.5" customHeight="1">
      <c r="B637" s="409">
        <v>631</v>
      </c>
      <c r="C637" s="422" t="s">
        <v>740</v>
      </c>
      <c r="D637" s="422" t="s">
        <v>837</v>
      </c>
      <c r="E637" s="422" t="s">
        <v>537</v>
      </c>
      <c r="F637" s="422" t="s">
        <v>835</v>
      </c>
      <c r="G637" s="423">
        <v>3</v>
      </c>
      <c r="H637" s="424">
        <v>105000</v>
      </c>
      <c r="I637" s="283">
        <f t="shared" si="9"/>
        <v>22312.5</v>
      </c>
      <c r="J637" s="284"/>
    </row>
    <row r="638" spans="2:10" s="259" customFormat="1" ht="16.5" customHeight="1">
      <c r="B638" s="409">
        <v>632</v>
      </c>
      <c r="C638" s="422" t="s">
        <v>740</v>
      </c>
      <c r="D638" s="422" t="s">
        <v>744</v>
      </c>
      <c r="E638" s="422" t="s">
        <v>573</v>
      </c>
      <c r="F638" s="422" t="s">
        <v>835</v>
      </c>
      <c r="G638" s="423">
        <v>2</v>
      </c>
      <c r="H638" s="424">
        <v>32000</v>
      </c>
      <c r="I638" s="283">
        <f t="shared" si="9"/>
        <v>6800</v>
      </c>
      <c r="J638" s="284"/>
    </row>
    <row r="639" spans="2:10" s="259" customFormat="1" ht="16.5" customHeight="1">
      <c r="B639" s="409">
        <v>633</v>
      </c>
      <c r="C639" s="422" t="s">
        <v>740</v>
      </c>
      <c r="D639" s="422" t="s">
        <v>751</v>
      </c>
      <c r="E639" s="422" t="s">
        <v>565</v>
      </c>
      <c r="F639" s="422" t="s">
        <v>835</v>
      </c>
      <c r="G639" s="423">
        <v>2</v>
      </c>
      <c r="H639" s="424">
        <v>70000</v>
      </c>
      <c r="I639" s="283">
        <f t="shared" si="9"/>
        <v>14875</v>
      </c>
      <c r="J639" s="284"/>
    </row>
    <row r="640" spans="2:10" s="259" customFormat="1" ht="16.5" customHeight="1">
      <c r="B640" s="409">
        <v>634</v>
      </c>
      <c r="C640" s="422" t="s">
        <v>740</v>
      </c>
      <c r="D640" s="422" t="s">
        <v>743</v>
      </c>
      <c r="E640" s="422" t="s">
        <v>480</v>
      </c>
      <c r="F640" s="422" t="s">
        <v>835</v>
      </c>
      <c r="G640" s="423">
        <v>5</v>
      </c>
      <c r="H640" s="424">
        <v>175000</v>
      </c>
      <c r="I640" s="283">
        <f t="shared" si="9"/>
        <v>37187.5</v>
      </c>
      <c r="J640" s="284"/>
    </row>
    <row r="641" spans="2:10" s="259" customFormat="1" ht="16.5" customHeight="1">
      <c r="B641" s="409">
        <v>635</v>
      </c>
      <c r="C641" s="422" t="s">
        <v>740</v>
      </c>
      <c r="D641" s="422" t="s">
        <v>751</v>
      </c>
      <c r="E641" s="422" t="s">
        <v>565</v>
      </c>
      <c r="F641" s="422" t="s">
        <v>835</v>
      </c>
      <c r="G641" s="423">
        <v>3</v>
      </c>
      <c r="H641" s="424">
        <v>105000</v>
      </c>
      <c r="I641" s="283">
        <f t="shared" si="9"/>
        <v>22312.5</v>
      </c>
      <c r="J641" s="284"/>
    </row>
    <row r="642" spans="2:10" s="259" customFormat="1" ht="16.5" customHeight="1">
      <c r="B642" s="409">
        <v>636</v>
      </c>
      <c r="C642" s="422" t="s">
        <v>740</v>
      </c>
      <c r="D642" s="422" t="s">
        <v>837</v>
      </c>
      <c r="E642" s="422" t="s">
        <v>537</v>
      </c>
      <c r="F642" s="422" t="s">
        <v>835</v>
      </c>
      <c r="G642" s="423">
        <v>1</v>
      </c>
      <c r="H642" s="424">
        <v>35000</v>
      </c>
      <c r="I642" s="283">
        <f t="shared" si="9"/>
        <v>7437.5</v>
      </c>
      <c r="J642" s="284"/>
    </row>
    <row r="643" spans="2:10" s="259" customFormat="1" ht="16.5" customHeight="1">
      <c r="B643" s="409">
        <v>637</v>
      </c>
      <c r="C643" s="422" t="s">
        <v>740</v>
      </c>
      <c r="D643" s="422" t="s">
        <v>751</v>
      </c>
      <c r="E643" s="422" t="s">
        <v>565</v>
      </c>
      <c r="F643" s="422" t="s">
        <v>835</v>
      </c>
      <c r="G643" s="423">
        <v>4</v>
      </c>
      <c r="H643" s="424">
        <v>140000</v>
      </c>
      <c r="I643" s="283">
        <f t="shared" si="9"/>
        <v>29750</v>
      </c>
      <c r="J643" s="284"/>
    </row>
    <row r="644" spans="2:10" s="259" customFormat="1" ht="16.5" customHeight="1">
      <c r="B644" s="409">
        <v>638</v>
      </c>
      <c r="C644" s="422" t="s">
        <v>740</v>
      </c>
      <c r="D644" s="422" t="s">
        <v>743</v>
      </c>
      <c r="E644" s="422" t="s">
        <v>480</v>
      </c>
      <c r="F644" s="422" t="s">
        <v>835</v>
      </c>
      <c r="G644" s="423">
        <v>1</v>
      </c>
      <c r="H644" s="424">
        <v>35000</v>
      </c>
      <c r="I644" s="283">
        <f t="shared" si="9"/>
        <v>7437.5</v>
      </c>
      <c r="J644" s="284"/>
    </row>
    <row r="645" spans="2:10" s="259" customFormat="1" ht="16.5" customHeight="1">
      <c r="B645" s="409">
        <v>639</v>
      </c>
      <c r="C645" s="422" t="s">
        <v>766</v>
      </c>
      <c r="D645" s="422" t="s">
        <v>767</v>
      </c>
      <c r="E645" s="422" t="s">
        <v>510</v>
      </c>
      <c r="F645" s="422" t="s">
        <v>835</v>
      </c>
      <c r="G645" s="423">
        <v>2</v>
      </c>
      <c r="H645" s="424">
        <v>32000</v>
      </c>
      <c r="I645" s="283">
        <f t="shared" si="9"/>
        <v>6800</v>
      </c>
      <c r="J645" s="284"/>
    </row>
    <row r="646" spans="2:10" s="259" customFormat="1" ht="16.5" customHeight="1">
      <c r="B646" s="409">
        <v>640</v>
      </c>
      <c r="C646" s="422" t="s">
        <v>766</v>
      </c>
      <c r="D646" s="422" t="s">
        <v>370</v>
      </c>
      <c r="E646" s="422" t="s">
        <v>537</v>
      </c>
      <c r="F646" s="422" t="s">
        <v>835</v>
      </c>
      <c r="G646" s="423">
        <v>1</v>
      </c>
      <c r="H646" s="424">
        <v>16000</v>
      </c>
      <c r="I646" s="283">
        <f t="shared" si="9"/>
        <v>3400</v>
      </c>
      <c r="J646" s="284"/>
    </row>
    <row r="647" spans="2:10" s="259" customFormat="1" ht="16.5" customHeight="1">
      <c r="B647" s="409">
        <v>641</v>
      </c>
      <c r="C647" s="422" t="s">
        <v>766</v>
      </c>
      <c r="D647" s="422" t="s">
        <v>370</v>
      </c>
      <c r="E647" s="422" t="s">
        <v>537</v>
      </c>
      <c r="F647" s="422" t="s">
        <v>835</v>
      </c>
      <c r="G647" s="423">
        <v>2</v>
      </c>
      <c r="H647" s="424">
        <v>32000</v>
      </c>
      <c r="I647" s="283">
        <f t="shared" si="9"/>
        <v>6800</v>
      </c>
      <c r="J647" s="284"/>
    </row>
    <row r="648" spans="2:10" s="259" customFormat="1" ht="16.5" customHeight="1">
      <c r="B648" s="409">
        <v>642</v>
      </c>
      <c r="C648" s="422" t="s">
        <v>766</v>
      </c>
      <c r="D648" s="422" t="s">
        <v>767</v>
      </c>
      <c r="E648" s="422" t="s">
        <v>510</v>
      </c>
      <c r="F648" s="422" t="s">
        <v>835</v>
      </c>
      <c r="G648" s="423">
        <v>3</v>
      </c>
      <c r="H648" s="424">
        <v>48000</v>
      </c>
      <c r="I648" s="283">
        <f t="shared" si="9"/>
        <v>10200</v>
      </c>
      <c r="J648" s="284"/>
    </row>
    <row r="649" spans="2:10" s="259" customFormat="1" ht="16.5" customHeight="1">
      <c r="B649" s="409">
        <v>643</v>
      </c>
      <c r="C649" s="422" t="s">
        <v>766</v>
      </c>
      <c r="D649" s="422" t="s">
        <v>767</v>
      </c>
      <c r="E649" s="422" t="s">
        <v>510</v>
      </c>
      <c r="F649" s="422" t="s">
        <v>835</v>
      </c>
      <c r="G649" s="423">
        <v>1</v>
      </c>
      <c r="H649" s="424">
        <v>16000</v>
      </c>
      <c r="I649" s="283">
        <f t="shared" si="9"/>
        <v>3400</v>
      </c>
      <c r="J649" s="284"/>
    </row>
    <row r="650" spans="2:10" s="259" customFormat="1" ht="16.5" customHeight="1">
      <c r="B650" s="409">
        <v>644</v>
      </c>
      <c r="C650" s="422" t="s">
        <v>766</v>
      </c>
      <c r="D650" s="422" t="s">
        <v>370</v>
      </c>
      <c r="E650" s="422" t="s">
        <v>537</v>
      </c>
      <c r="F650" s="422" t="s">
        <v>835</v>
      </c>
      <c r="G650" s="423">
        <v>2</v>
      </c>
      <c r="H650" s="424">
        <v>32000</v>
      </c>
      <c r="I650" s="283">
        <f t="shared" si="9"/>
        <v>6800</v>
      </c>
      <c r="J650" s="284"/>
    </row>
    <row r="651" spans="2:10" s="259" customFormat="1" ht="16.5" customHeight="1">
      <c r="B651" s="409">
        <v>645</v>
      </c>
      <c r="C651" s="422" t="s">
        <v>766</v>
      </c>
      <c r="D651" s="422" t="s">
        <v>767</v>
      </c>
      <c r="E651" s="422" t="s">
        <v>510</v>
      </c>
      <c r="F651" s="422" t="s">
        <v>835</v>
      </c>
      <c r="G651" s="423">
        <v>2</v>
      </c>
      <c r="H651" s="424">
        <v>32000</v>
      </c>
      <c r="I651" s="283">
        <f t="shared" si="9"/>
        <v>6800</v>
      </c>
      <c r="J651" s="284"/>
    </row>
    <row r="652" spans="2:10" s="259" customFormat="1" ht="16.5" customHeight="1">
      <c r="B652" s="409">
        <v>646</v>
      </c>
      <c r="C652" s="422" t="s">
        <v>766</v>
      </c>
      <c r="D652" s="422" t="s">
        <v>370</v>
      </c>
      <c r="E652" s="422" t="s">
        <v>537</v>
      </c>
      <c r="F652" s="422" t="s">
        <v>835</v>
      </c>
      <c r="G652" s="423">
        <v>2</v>
      </c>
      <c r="H652" s="424">
        <v>32000</v>
      </c>
      <c r="I652" s="283">
        <f t="shared" si="9"/>
        <v>6800</v>
      </c>
      <c r="J652" s="284"/>
    </row>
    <row r="653" spans="2:10" s="259" customFormat="1" ht="16.5" customHeight="1">
      <c r="B653" s="409">
        <v>647</v>
      </c>
      <c r="C653" s="422" t="s">
        <v>773</v>
      </c>
      <c r="D653" s="422" t="s">
        <v>838</v>
      </c>
      <c r="E653" s="422" t="s">
        <v>573</v>
      </c>
      <c r="F653" s="422" t="s">
        <v>835</v>
      </c>
      <c r="G653" s="423">
        <v>1</v>
      </c>
      <c r="H653" s="424">
        <v>35000</v>
      </c>
      <c r="I653" s="283">
        <f t="shared" si="9"/>
        <v>7437.5</v>
      </c>
      <c r="J653" s="284"/>
    </row>
    <row r="654" spans="2:10" s="259" customFormat="1" ht="16.5" customHeight="1">
      <c r="B654" s="409">
        <v>648</v>
      </c>
      <c r="C654" s="422" t="s">
        <v>773</v>
      </c>
      <c r="D654" s="422" t="s">
        <v>775</v>
      </c>
      <c r="E654" s="422" t="s">
        <v>555</v>
      </c>
      <c r="F654" s="422" t="s">
        <v>835</v>
      </c>
      <c r="G654" s="423">
        <v>1</v>
      </c>
      <c r="H654" s="424">
        <v>35000</v>
      </c>
      <c r="I654" s="283">
        <f t="shared" si="9"/>
        <v>7437.5</v>
      </c>
      <c r="J654" s="284"/>
    </row>
    <row r="655" spans="2:10" s="259" customFormat="1" ht="16.5" customHeight="1">
      <c r="B655" s="409">
        <v>649</v>
      </c>
      <c r="C655" s="422" t="s">
        <v>773</v>
      </c>
      <c r="D655" s="422" t="s">
        <v>775</v>
      </c>
      <c r="E655" s="422" t="s">
        <v>555</v>
      </c>
      <c r="F655" s="422" t="s">
        <v>835</v>
      </c>
      <c r="G655" s="423">
        <v>3</v>
      </c>
      <c r="H655" s="424">
        <v>105000</v>
      </c>
      <c r="I655" s="283">
        <f t="shared" si="9"/>
        <v>22312.5</v>
      </c>
      <c r="J655" s="284"/>
    </row>
    <row r="656" spans="2:10" s="259" customFormat="1" ht="16.5" customHeight="1">
      <c r="B656" s="409">
        <v>650</v>
      </c>
      <c r="C656" s="422" t="s">
        <v>773</v>
      </c>
      <c r="D656" s="422" t="s">
        <v>838</v>
      </c>
      <c r="E656" s="422" t="s">
        <v>573</v>
      </c>
      <c r="F656" s="422" t="s">
        <v>835</v>
      </c>
      <c r="G656" s="423">
        <v>1</v>
      </c>
      <c r="H656" s="424">
        <v>35000</v>
      </c>
      <c r="I656" s="283">
        <f t="shared" si="9"/>
        <v>7437.5</v>
      </c>
      <c r="J656" s="284"/>
    </row>
    <row r="657" spans="2:10" s="259" customFormat="1" ht="16.5" customHeight="1">
      <c r="B657" s="409">
        <v>651</v>
      </c>
      <c r="C657" s="422" t="s">
        <v>773</v>
      </c>
      <c r="D657" s="422" t="s">
        <v>775</v>
      </c>
      <c r="E657" s="422" t="s">
        <v>555</v>
      </c>
      <c r="F657" s="422" t="s">
        <v>835</v>
      </c>
      <c r="G657" s="423">
        <v>2</v>
      </c>
      <c r="H657" s="424">
        <v>70000</v>
      </c>
      <c r="I657" s="283">
        <f t="shared" si="9"/>
        <v>14875</v>
      </c>
      <c r="J657" s="284"/>
    </row>
    <row r="658" spans="2:10" s="259" customFormat="1" ht="16.5" customHeight="1">
      <c r="B658" s="409">
        <v>652</v>
      </c>
      <c r="C658" s="422" t="s">
        <v>773</v>
      </c>
      <c r="D658" s="422" t="s">
        <v>778</v>
      </c>
      <c r="E658" s="422" t="s">
        <v>485</v>
      </c>
      <c r="F658" s="422" t="s">
        <v>835</v>
      </c>
      <c r="G658" s="423">
        <v>1</v>
      </c>
      <c r="H658" s="424">
        <v>16000</v>
      </c>
      <c r="I658" s="283">
        <f t="shared" si="9"/>
        <v>3400</v>
      </c>
      <c r="J658" s="284"/>
    </row>
    <row r="659" spans="2:10" s="259" customFormat="1" ht="16.5" customHeight="1">
      <c r="B659" s="409">
        <v>653</v>
      </c>
      <c r="C659" s="422" t="s">
        <v>796</v>
      </c>
      <c r="D659" s="422" t="s">
        <v>642</v>
      </c>
      <c r="E659" s="422" t="s">
        <v>480</v>
      </c>
      <c r="F659" s="422" t="s">
        <v>835</v>
      </c>
      <c r="G659" s="423">
        <v>2</v>
      </c>
      <c r="H659" s="424">
        <v>32000</v>
      </c>
      <c r="I659" s="283">
        <f t="shared" si="9"/>
        <v>6800</v>
      </c>
      <c r="J659" s="284"/>
    </row>
    <row r="660" spans="2:10" s="259" customFormat="1" ht="16.5" customHeight="1">
      <c r="B660" s="409">
        <v>654</v>
      </c>
      <c r="C660" s="422" t="s">
        <v>796</v>
      </c>
      <c r="D660" s="422" t="s">
        <v>807</v>
      </c>
      <c r="E660" s="422" t="s">
        <v>146</v>
      </c>
      <c r="F660" s="422" t="s">
        <v>835</v>
      </c>
      <c r="G660" s="423">
        <v>2</v>
      </c>
      <c r="H660" s="424">
        <v>70000</v>
      </c>
      <c r="I660" s="283">
        <f t="shared" si="9"/>
        <v>14875</v>
      </c>
      <c r="J660" s="284"/>
    </row>
    <row r="661" spans="2:10" s="259" customFormat="1" ht="16.5" customHeight="1">
      <c r="B661" s="409">
        <v>655</v>
      </c>
      <c r="C661" s="422" t="s">
        <v>796</v>
      </c>
      <c r="D661" s="422" t="s">
        <v>798</v>
      </c>
      <c r="E661" s="422" t="s">
        <v>139</v>
      </c>
      <c r="F661" s="422" t="s">
        <v>835</v>
      </c>
      <c r="G661" s="423">
        <v>5</v>
      </c>
      <c r="H661" s="424">
        <v>175000</v>
      </c>
      <c r="I661" s="283">
        <f t="shared" si="9"/>
        <v>37187.5</v>
      </c>
      <c r="J661" s="284"/>
    </row>
    <row r="662" spans="2:10" s="259" customFormat="1" ht="16.5" customHeight="1">
      <c r="B662" s="409">
        <v>656</v>
      </c>
      <c r="C662" s="422" t="s">
        <v>796</v>
      </c>
      <c r="D662" s="422" t="s">
        <v>798</v>
      </c>
      <c r="E662" s="422" t="s">
        <v>139</v>
      </c>
      <c r="F662" s="422" t="s">
        <v>835</v>
      </c>
      <c r="G662" s="423">
        <v>1</v>
      </c>
      <c r="H662" s="424">
        <v>35000</v>
      </c>
      <c r="I662" s="283">
        <f t="shared" si="9"/>
        <v>7437.5</v>
      </c>
      <c r="J662" s="284"/>
    </row>
    <row r="663" spans="2:10" s="259" customFormat="1" ht="16.5" customHeight="1">
      <c r="B663" s="409">
        <v>657</v>
      </c>
      <c r="C663" s="422" t="s">
        <v>796</v>
      </c>
      <c r="D663" s="422" t="s">
        <v>808</v>
      </c>
      <c r="E663" s="422" t="s">
        <v>510</v>
      </c>
      <c r="F663" s="422" t="s">
        <v>835</v>
      </c>
      <c r="G663" s="423">
        <v>1</v>
      </c>
      <c r="H663" s="424">
        <v>16000</v>
      </c>
      <c r="I663" s="283">
        <f t="shared" si="9"/>
        <v>3400</v>
      </c>
      <c r="J663" s="284"/>
    </row>
    <row r="664" spans="2:10" s="259" customFormat="1" ht="16.5" customHeight="1">
      <c r="B664" s="409">
        <v>658</v>
      </c>
      <c r="C664" s="422" t="s">
        <v>796</v>
      </c>
      <c r="D664" s="422" t="s">
        <v>807</v>
      </c>
      <c r="E664" s="422" t="s">
        <v>146</v>
      </c>
      <c r="F664" s="422" t="s">
        <v>835</v>
      </c>
      <c r="G664" s="423">
        <v>2</v>
      </c>
      <c r="H664" s="424">
        <v>70000</v>
      </c>
      <c r="I664" s="283">
        <f t="shared" si="9"/>
        <v>14875</v>
      </c>
      <c r="J664" s="284"/>
    </row>
    <row r="665" spans="2:10" s="259" customFormat="1" ht="16.5" customHeight="1">
      <c r="B665" s="409">
        <v>659</v>
      </c>
      <c r="C665" s="422" t="s">
        <v>796</v>
      </c>
      <c r="D665" s="422" t="s">
        <v>642</v>
      </c>
      <c r="E665" s="422" t="s">
        <v>480</v>
      </c>
      <c r="F665" s="422" t="s">
        <v>835</v>
      </c>
      <c r="G665" s="423">
        <v>2</v>
      </c>
      <c r="H665" s="424">
        <v>32000</v>
      </c>
      <c r="I665" s="283">
        <f t="shared" si="9"/>
        <v>6800</v>
      </c>
      <c r="J665" s="284"/>
    </row>
    <row r="666" spans="2:10" s="259" customFormat="1" ht="16.5" customHeight="1">
      <c r="B666" s="409">
        <v>660</v>
      </c>
      <c r="C666" s="422" t="s">
        <v>796</v>
      </c>
      <c r="D666" s="422" t="s">
        <v>642</v>
      </c>
      <c r="E666" s="422" t="s">
        <v>480</v>
      </c>
      <c r="F666" s="422" t="s">
        <v>835</v>
      </c>
      <c r="G666" s="423">
        <v>1</v>
      </c>
      <c r="H666" s="424">
        <v>16000</v>
      </c>
      <c r="I666" s="283">
        <f t="shared" si="9"/>
        <v>3400</v>
      </c>
      <c r="J666" s="284"/>
    </row>
    <row r="667" spans="2:10" s="259" customFormat="1" ht="16.5" customHeight="1">
      <c r="B667" s="409">
        <v>661</v>
      </c>
      <c r="C667" s="422" t="s">
        <v>796</v>
      </c>
      <c r="D667" s="422" t="s">
        <v>807</v>
      </c>
      <c r="E667" s="422" t="s">
        <v>146</v>
      </c>
      <c r="F667" s="422" t="s">
        <v>835</v>
      </c>
      <c r="G667" s="423">
        <v>4</v>
      </c>
      <c r="H667" s="424">
        <v>140000</v>
      </c>
      <c r="I667" s="283">
        <f t="shared" si="9"/>
        <v>29750</v>
      </c>
      <c r="J667" s="284"/>
    </row>
    <row r="668" spans="2:10" s="259" customFormat="1" ht="16.5" customHeight="1">
      <c r="B668" s="409">
        <v>662</v>
      </c>
      <c r="C668" s="422" t="s">
        <v>796</v>
      </c>
      <c r="D668" s="422" t="s">
        <v>798</v>
      </c>
      <c r="E668" s="422" t="s">
        <v>139</v>
      </c>
      <c r="F668" s="422" t="s">
        <v>835</v>
      </c>
      <c r="G668" s="423">
        <v>12</v>
      </c>
      <c r="H668" s="424">
        <v>420000</v>
      </c>
      <c r="I668" s="283">
        <f t="shared" si="9"/>
        <v>89250</v>
      </c>
      <c r="J668" s="284"/>
    </row>
    <row r="669" spans="2:10" s="259" customFormat="1" ht="16.5" customHeight="1">
      <c r="B669" s="409">
        <v>663</v>
      </c>
      <c r="C669" s="422" t="s">
        <v>796</v>
      </c>
      <c r="D669" s="422" t="s">
        <v>802</v>
      </c>
      <c r="E669" s="422" t="s">
        <v>143</v>
      </c>
      <c r="F669" s="422" t="s">
        <v>835</v>
      </c>
      <c r="G669" s="423">
        <v>4</v>
      </c>
      <c r="H669" s="424">
        <v>64000</v>
      </c>
      <c r="I669" s="283">
        <f t="shared" si="9"/>
        <v>13600</v>
      </c>
      <c r="J669" s="284"/>
    </row>
    <row r="670" spans="2:10" s="259" customFormat="1" ht="16.5" customHeight="1">
      <c r="B670" s="409">
        <v>664</v>
      </c>
      <c r="C670" s="422" t="s">
        <v>796</v>
      </c>
      <c r="D670" s="422" t="s">
        <v>798</v>
      </c>
      <c r="E670" s="422" t="s">
        <v>139</v>
      </c>
      <c r="F670" s="422" t="s">
        <v>835</v>
      </c>
      <c r="G670" s="423">
        <v>8</v>
      </c>
      <c r="H670" s="424">
        <v>280000</v>
      </c>
      <c r="I670" s="283">
        <f t="shared" si="9"/>
        <v>59500</v>
      </c>
      <c r="J670" s="284"/>
    </row>
    <row r="671" spans="2:10" s="259" customFormat="1" ht="16.5" customHeight="1">
      <c r="B671" s="409">
        <v>665</v>
      </c>
      <c r="C671" s="422" t="s">
        <v>796</v>
      </c>
      <c r="D671" s="422" t="s">
        <v>798</v>
      </c>
      <c r="E671" s="422" t="s">
        <v>139</v>
      </c>
      <c r="F671" s="422" t="s">
        <v>835</v>
      </c>
      <c r="G671" s="423">
        <v>6</v>
      </c>
      <c r="H671" s="424">
        <v>210000</v>
      </c>
      <c r="I671" s="283">
        <f t="shared" si="9"/>
        <v>44625</v>
      </c>
      <c r="J671" s="284"/>
    </row>
    <row r="672" spans="2:10" s="259" customFormat="1" ht="16.5" customHeight="1">
      <c r="B672" s="409">
        <v>666</v>
      </c>
      <c r="C672" s="422" t="s">
        <v>796</v>
      </c>
      <c r="D672" s="422" t="s">
        <v>807</v>
      </c>
      <c r="E672" s="422" t="s">
        <v>146</v>
      </c>
      <c r="F672" s="422" t="s">
        <v>835</v>
      </c>
      <c r="G672" s="423">
        <v>1</v>
      </c>
      <c r="H672" s="424">
        <v>35000</v>
      </c>
      <c r="I672" s="283">
        <f t="shared" si="9"/>
        <v>7437.5</v>
      </c>
      <c r="J672" s="284"/>
    </row>
    <row r="673" spans="2:10" s="259" customFormat="1" ht="16.5" customHeight="1">
      <c r="B673" s="409">
        <v>667</v>
      </c>
      <c r="C673" s="422" t="s">
        <v>796</v>
      </c>
      <c r="D673" s="422" t="s">
        <v>802</v>
      </c>
      <c r="E673" s="422" t="s">
        <v>143</v>
      </c>
      <c r="F673" s="422" t="s">
        <v>835</v>
      </c>
      <c r="G673" s="423">
        <v>2</v>
      </c>
      <c r="H673" s="424">
        <v>32000</v>
      </c>
      <c r="I673" s="283">
        <f t="shared" si="9"/>
        <v>6800</v>
      </c>
      <c r="J673" s="284"/>
    </row>
    <row r="674" spans="2:10" s="259" customFormat="1" ht="16.5" customHeight="1">
      <c r="B674" s="409">
        <v>668</v>
      </c>
      <c r="C674" s="422" t="s">
        <v>796</v>
      </c>
      <c r="D674" s="422" t="s">
        <v>798</v>
      </c>
      <c r="E674" s="422" t="s">
        <v>139</v>
      </c>
      <c r="F674" s="422" t="s">
        <v>835</v>
      </c>
      <c r="G674" s="423">
        <v>6</v>
      </c>
      <c r="H674" s="424">
        <v>210000</v>
      </c>
      <c r="I674" s="283">
        <f t="shared" si="9"/>
        <v>44625</v>
      </c>
      <c r="J674" s="284"/>
    </row>
    <row r="675" spans="2:10" s="259" customFormat="1" ht="16.5" customHeight="1">
      <c r="B675" s="409">
        <v>669</v>
      </c>
      <c r="C675" s="422" t="s">
        <v>796</v>
      </c>
      <c r="D675" s="422" t="s">
        <v>802</v>
      </c>
      <c r="E675" s="422" t="s">
        <v>143</v>
      </c>
      <c r="F675" s="422" t="s">
        <v>835</v>
      </c>
      <c r="G675" s="423">
        <v>2</v>
      </c>
      <c r="H675" s="424">
        <v>32000</v>
      </c>
      <c r="I675" s="283">
        <f t="shared" si="9"/>
        <v>6800</v>
      </c>
      <c r="J675" s="284"/>
    </row>
    <row r="676" spans="2:10" s="259" customFormat="1" ht="16.5" customHeight="1">
      <c r="B676" s="409">
        <v>670</v>
      </c>
      <c r="C676" s="422" t="s">
        <v>796</v>
      </c>
      <c r="D676" s="422" t="s">
        <v>642</v>
      </c>
      <c r="E676" s="422" t="s">
        <v>480</v>
      </c>
      <c r="F676" s="422" t="s">
        <v>835</v>
      </c>
      <c r="G676" s="423">
        <v>2</v>
      </c>
      <c r="H676" s="424">
        <v>32000</v>
      </c>
      <c r="I676" s="283">
        <f t="shared" si="9"/>
        <v>6800</v>
      </c>
      <c r="J676" s="284"/>
    </row>
    <row r="677" spans="2:10" s="259" customFormat="1" ht="16.5" customHeight="1">
      <c r="B677" s="409">
        <v>671</v>
      </c>
      <c r="C677" s="422" t="s">
        <v>796</v>
      </c>
      <c r="D677" s="422" t="s">
        <v>808</v>
      </c>
      <c r="E677" s="422" t="s">
        <v>510</v>
      </c>
      <c r="F677" s="422" t="s">
        <v>835</v>
      </c>
      <c r="G677" s="423">
        <v>2</v>
      </c>
      <c r="H677" s="424">
        <v>32000</v>
      </c>
      <c r="I677" s="283">
        <f t="shared" si="9"/>
        <v>6800</v>
      </c>
      <c r="J677" s="284"/>
    </row>
    <row r="678" spans="2:10" s="259" customFormat="1" ht="16.5" customHeight="1">
      <c r="B678" s="409">
        <v>672</v>
      </c>
      <c r="C678" s="422" t="s">
        <v>796</v>
      </c>
      <c r="D678" s="422" t="s">
        <v>802</v>
      </c>
      <c r="E678" s="422" t="s">
        <v>143</v>
      </c>
      <c r="F678" s="422" t="s">
        <v>835</v>
      </c>
      <c r="G678" s="423">
        <v>2</v>
      </c>
      <c r="H678" s="424">
        <v>32000</v>
      </c>
      <c r="I678" s="283">
        <f t="shared" si="9"/>
        <v>6800</v>
      </c>
      <c r="J678" s="284"/>
    </row>
    <row r="679" spans="2:10" s="259" customFormat="1" ht="16.5" customHeight="1">
      <c r="B679" s="409">
        <v>673</v>
      </c>
      <c r="C679" s="422" t="s">
        <v>796</v>
      </c>
      <c r="D679" s="422" t="s">
        <v>807</v>
      </c>
      <c r="E679" s="422" t="s">
        <v>146</v>
      </c>
      <c r="F679" s="422" t="s">
        <v>835</v>
      </c>
      <c r="G679" s="423">
        <v>2</v>
      </c>
      <c r="H679" s="424">
        <v>70000</v>
      </c>
      <c r="I679" s="283">
        <f t="shared" si="9"/>
        <v>14875</v>
      </c>
      <c r="J679" s="284"/>
    </row>
    <row r="680" spans="2:10" s="259" customFormat="1" ht="16.5" customHeight="1">
      <c r="B680" s="409">
        <v>674</v>
      </c>
      <c r="C680" s="422" t="s">
        <v>809</v>
      </c>
      <c r="D680" s="422" t="s">
        <v>839</v>
      </c>
      <c r="E680" s="422" t="s">
        <v>491</v>
      </c>
      <c r="F680" s="422" t="s">
        <v>835</v>
      </c>
      <c r="G680" s="423">
        <v>1</v>
      </c>
      <c r="H680" s="424">
        <v>16000</v>
      </c>
      <c r="I680" s="283">
        <f t="shared" si="9"/>
        <v>3400</v>
      </c>
      <c r="J680" s="284"/>
    </row>
    <row r="681" spans="2:10" s="259" customFormat="1" ht="16.5" customHeight="1">
      <c r="B681" s="409">
        <v>675</v>
      </c>
      <c r="C681" s="422" t="s">
        <v>809</v>
      </c>
      <c r="D681" s="422" t="s">
        <v>377</v>
      </c>
      <c r="E681" s="422" t="s">
        <v>650</v>
      </c>
      <c r="F681" s="422" t="s">
        <v>835</v>
      </c>
      <c r="G681" s="423">
        <v>2</v>
      </c>
      <c r="H681" s="424">
        <v>32000</v>
      </c>
      <c r="I681" s="283">
        <f t="shared" si="9"/>
        <v>6800</v>
      </c>
      <c r="J681" s="284"/>
    </row>
    <row r="682" spans="2:10" s="259" customFormat="1" ht="16.5" customHeight="1">
      <c r="B682" s="409">
        <v>676</v>
      </c>
      <c r="C682" s="422" t="s">
        <v>809</v>
      </c>
      <c r="D682" s="422" t="s">
        <v>377</v>
      </c>
      <c r="E682" s="422" t="s">
        <v>650</v>
      </c>
      <c r="F682" s="422" t="s">
        <v>835</v>
      </c>
      <c r="G682" s="423">
        <v>2</v>
      </c>
      <c r="H682" s="424">
        <v>32000</v>
      </c>
      <c r="I682" s="283">
        <f t="shared" si="9"/>
        <v>6800</v>
      </c>
      <c r="J682" s="284"/>
    </row>
    <row r="683" spans="2:10" s="259" customFormat="1" ht="16.5" customHeight="1">
      <c r="B683" s="409">
        <v>677</v>
      </c>
      <c r="C683" s="422" t="s">
        <v>809</v>
      </c>
      <c r="D683" s="422" t="s">
        <v>377</v>
      </c>
      <c r="E683" s="422" t="s">
        <v>650</v>
      </c>
      <c r="F683" s="422" t="s">
        <v>835</v>
      </c>
      <c r="G683" s="423">
        <v>1</v>
      </c>
      <c r="H683" s="424">
        <v>16000</v>
      </c>
      <c r="I683" s="283">
        <f t="shared" si="9"/>
        <v>3400</v>
      </c>
      <c r="J683" s="284"/>
    </row>
    <row r="684" spans="2:10" s="259" customFormat="1" ht="16.5" customHeight="1">
      <c r="B684" s="409">
        <v>678</v>
      </c>
      <c r="C684" s="422" t="s">
        <v>818</v>
      </c>
      <c r="D684" s="422" t="s">
        <v>823</v>
      </c>
      <c r="E684" s="422" t="s">
        <v>812</v>
      </c>
      <c r="F684" s="422" t="s">
        <v>835</v>
      </c>
      <c r="G684" s="423">
        <v>3</v>
      </c>
      <c r="H684" s="424">
        <v>48000</v>
      </c>
      <c r="I684" s="283">
        <f t="shared" si="9"/>
        <v>10200</v>
      </c>
      <c r="J684" s="284"/>
    </row>
    <row r="685" spans="2:10" s="259" customFormat="1" ht="16.5" customHeight="1">
      <c r="B685" s="409">
        <v>679</v>
      </c>
      <c r="C685" s="422" t="s">
        <v>818</v>
      </c>
      <c r="D685" s="422" t="s">
        <v>824</v>
      </c>
      <c r="E685" s="422" t="s">
        <v>812</v>
      </c>
      <c r="F685" s="422" t="s">
        <v>835</v>
      </c>
      <c r="G685" s="423">
        <v>1</v>
      </c>
      <c r="H685" s="424">
        <v>16000</v>
      </c>
      <c r="I685" s="283">
        <f t="shared" si="9"/>
        <v>3400</v>
      </c>
      <c r="J685" s="284"/>
    </row>
    <row r="686" spans="2:10" s="259" customFormat="1" ht="16.5" customHeight="1">
      <c r="B686" s="409">
        <v>680</v>
      </c>
      <c r="C686" s="422" t="s">
        <v>818</v>
      </c>
      <c r="D686" s="422" t="s">
        <v>824</v>
      </c>
      <c r="E686" s="422" t="s">
        <v>812</v>
      </c>
      <c r="F686" s="422" t="s">
        <v>835</v>
      </c>
      <c r="G686" s="423">
        <v>1</v>
      </c>
      <c r="H686" s="424">
        <v>16000</v>
      </c>
      <c r="I686" s="283">
        <f t="shared" si="9"/>
        <v>3400</v>
      </c>
      <c r="J686" s="284"/>
    </row>
    <row r="687" spans="2:10" s="259" customFormat="1" ht="16.5" customHeight="1">
      <c r="B687" s="409">
        <v>681</v>
      </c>
      <c r="C687" s="422" t="s">
        <v>818</v>
      </c>
      <c r="D687" s="422" t="s">
        <v>824</v>
      </c>
      <c r="E687" s="422" t="s">
        <v>812</v>
      </c>
      <c r="F687" s="422" t="s">
        <v>835</v>
      </c>
      <c r="G687" s="423">
        <v>1</v>
      </c>
      <c r="H687" s="424">
        <v>16000</v>
      </c>
      <c r="I687" s="283">
        <f t="shared" si="9"/>
        <v>3400</v>
      </c>
      <c r="J687" s="284"/>
    </row>
    <row r="688" spans="2:10" s="259" customFormat="1" ht="16.5" customHeight="1">
      <c r="B688" s="409">
        <v>682</v>
      </c>
      <c r="C688" s="422" t="s">
        <v>818</v>
      </c>
      <c r="D688" s="422" t="s">
        <v>823</v>
      </c>
      <c r="E688" s="422" t="s">
        <v>812</v>
      </c>
      <c r="F688" s="422" t="s">
        <v>835</v>
      </c>
      <c r="G688" s="423">
        <v>2</v>
      </c>
      <c r="H688" s="424">
        <v>32000</v>
      </c>
      <c r="I688" s="283">
        <f t="shared" si="9"/>
        <v>6800</v>
      </c>
      <c r="J688" s="284"/>
    </row>
    <row r="689" spans="2:15" s="259" customFormat="1" ht="16.5" customHeight="1">
      <c r="B689" s="409">
        <v>683</v>
      </c>
      <c r="C689" s="422" t="s">
        <v>818</v>
      </c>
      <c r="D689" s="422" t="s">
        <v>824</v>
      </c>
      <c r="E689" s="422" t="s">
        <v>812</v>
      </c>
      <c r="F689" s="422" t="s">
        <v>835</v>
      </c>
      <c r="G689" s="423">
        <v>2</v>
      </c>
      <c r="H689" s="424">
        <v>32000</v>
      </c>
      <c r="I689" s="283">
        <f t="shared" si="9"/>
        <v>6800</v>
      </c>
      <c r="J689" s="284"/>
    </row>
    <row r="690" spans="2:15" s="259" customFormat="1" ht="16.5" customHeight="1">
      <c r="B690" s="409">
        <v>684</v>
      </c>
      <c r="C690" s="422" t="s">
        <v>818</v>
      </c>
      <c r="D690" s="422" t="s">
        <v>823</v>
      </c>
      <c r="E690" s="422" t="s">
        <v>812</v>
      </c>
      <c r="F690" s="422" t="s">
        <v>835</v>
      </c>
      <c r="G690" s="423">
        <v>2</v>
      </c>
      <c r="H690" s="424">
        <v>32000</v>
      </c>
      <c r="I690" s="283">
        <f t="shared" si="9"/>
        <v>6800</v>
      </c>
      <c r="J690" s="284"/>
      <c r="O690" s="454"/>
    </row>
    <row r="691" spans="2:15" s="259" customFormat="1" ht="16.5" customHeight="1">
      <c r="B691" s="409">
        <v>685</v>
      </c>
      <c r="C691" s="422" t="s">
        <v>818</v>
      </c>
      <c r="D691" s="422" t="s">
        <v>823</v>
      </c>
      <c r="E691" s="422" t="s">
        <v>812</v>
      </c>
      <c r="F691" s="422" t="s">
        <v>835</v>
      </c>
      <c r="G691" s="423">
        <v>1</v>
      </c>
      <c r="H691" s="424">
        <v>16000</v>
      </c>
      <c r="I691" s="283">
        <f t="shared" si="9"/>
        <v>3400</v>
      </c>
      <c r="J691" s="284"/>
    </row>
    <row r="692" spans="2:15" s="259" customFormat="1" ht="16.5" customHeight="1">
      <c r="B692" s="409">
        <v>686</v>
      </c>
      <c r="C692" s="422" t="s">
        <v>828</v>
      </c>
      <c r="D692" s="422" t="s">
        <v>833</v>
      </c>
      <c r="E692" s="422" t="s">
        <v>577</v>
      </c>
      <c r="F692" s="422" t="s">
        <v>835</v>
      </c>
      <c r="G692" s="423">
        <v>2</v>
      </c>
      <c r="H692" s="424">
        <v>32000</v>
      </c>
      <c r="I692" s="283">
        <f t="shared" si="9"/>
        <v>6800</v>
      </c>
      <c r="J692" s="284"/>
    </row>
    <row r="693" spans="2:15" s="259" customFormat="1" ht="16.5" customHeight="1">
      <c r="B693" s="409">
        <v>687</v>
      </c>
      <c r="C693" s="422" t="s">
        <v>828</v>
      </c>
      <c r="D693" s="422" t="s">
        <v>833</v>
      </c>
      <c r="E693" s="422" t="s">
        <v>577</v>
      </c>
      <c r="F693" s="422" t="s">
        <v>835</v>
      </c>
      <c r="G693" s="423">
        <v>4</v>
      </c>
      <c r="H693" s="424">
        <v>64000</v>
      </c>
      <c r="I693" s="283">
        <f t="shared" si="9"/>
        <v>13600</v>
      </c>
      <c r="J693" s="284"/>
    </row>
    <row r="694" spans="2:15" s="259" customFormat="1" ht="16.5" customHeight="1">
      <c r="B694" s="409">
        <v>688</v>
      </c>
      <c r="C694" s="422" t="s">
        <v>828</v>
      </c>
      <c r="D694" s="422" t="s">
        <v>833</v>
      </c>
      <c r="E694" s="422" t="s">
        <v>577</v>
      </c>
      <c r="F694" s="422" t="s">
        <v>835</v>
      </c>
      <c r="G694" s="423">
        <v>4</v>
      </c>
      <c r="H694" s="424">
        <v>64000</v>
      </c>
      <c r="I694" s="283">
        <f t="shared" si="9"/>
        <v>13600</v>
      </c>
      <c r="J694" s="284"/>
    </row>
    <row r="695" spans="2:15" s="259" customFormat="1" ht="16.5" customHeight="1">
      <c r="B695" s="409">
        <v>689</v>
      </c>
      <c r="C695" s="422" t="s">
        <v>828</v>
      </c>
      <c r="D695" s="422" t="s">
        <v>833</v>
      </c>
      <c r="E695" s="422" t="s">
        <v>577</v>
      </c>
      <c r="F695" s="422" t="s">
        <v>835</v>
      </c>
      <c r="G695" s="423">
        <v>2</v>
      </c>
      <c r="H695" s="424">
        <v>32000</v>
      </c>
      <c r="I695" s="283">
        <f t="shared" si="9"/>
        <v>6800</v>
      </c>
      <c r="J695" s="284"/>
    </row>
    <row r="696" spans="2:15" s="259" customFormat="1" ht="16.5" customHeight="1">
      <c r="B696" s="409">
        <v>690</v>
      </c>
      <c r="C696" s="422" t="s">
        <v>828</v>
      </c>
      <c r="D696" s="422" t="s">
        <v>833</v>
      </c>
      <c r="E696" s="422" t="s">
        <v>577</v>
      </c>
      <c r="F696" s="422" t="s">
        <v>835</v>
      </c>
      <c r="G696" s="423">
        <v>1</v>
      </c>
      <c r="H696" s="424">
        <v>16000</v>
      </c>
      <c r="I696" s="283">
        <f>H696*21.25%</f>
        <v>3400</v>
      </c>
      <c r="J696" s="284"/>
    </row>
    <row r="697" spans="2:15" s="147" customFormat="1" ht="16.5" customHeight="1">
      <c r="B697" s="253"/>
      <c r="C697" s="297"/>
      <c r="D697" s="255" t="s">
        <v>83</v>
      </c>
      <c r="E697" s="297"/>
      <c r="F697" s="255"/>
      <c r="G697" s="254">
        <f>SUBTOTAL(9,G7:G696)</f>
        <v>2029</v>
      </c>
      <c r="H697" s="254">
        <f>SUBTOTAL(9,H7:H696)</f>
        <v>185746200</v>
      </c>
      <c r="I697" s="254">
        <f>SUBTOTAL(9,I7:I696)</f>
        <v>35114187.5</v>
      </c>
    </row>
    <row r="698" spans="2:15" ht="18.75" customHeight="1">
      <c r="B698" s="269"/>
      <c r="C698" s="315"/>
      <c r="D698" s="270"/>
      <c r="E698" s="310"/>
      <c r="F698" s="509" t="s">
        <v>989</v>
      </c>
      <c r="G698" s="509"/>
      <c r="H698" s="509"/>
      <c r="I698" s="509"/>
      <c r="J698" s="153"/>
    </row>
    <row r="699" spans="2:15" ht="15.75">
      <c r="B699" s="511" t="s">
        <v>35</v>
      </c>
      <c r="C699" s="511"/>
      <c r="D699" s="511"/>
      <c r="E699" s="311"/>
      <c r="F699" s="490" t="s">
        <v>113</v>
      </c>
      <c r="G699" s="490"/>
      <c r="H699" s="490"/>
      <c r="I699" s="490"/>
      <c r="J699" s="119"/>
    </row>
    <row r="700" spans="2:15" ht="18.75">
      <c r="B700" s="271"/>
      <c r="C700" s="271"/>
      <c r="D700" s="271"/>
      <c r="E700" s="311"/>
      <c r="F700" s="272"/>
      <c r="G700" s="406"/>
      <c r="H700" s="514"/>
      <c r="I700" s="514"/>
      <c r="J700" s="126"/>
    </row>
    <row r="701" spans="2:15" ht="18.75">
      <c r="B701" s="271"/>
      <c r="C701" s="271"/>
      <c r="D701" s="271"/>
      <c r="E701" s="311"/>
      <c r="F701" s="277"/>
      <c r="G701" s="406"/>
      <c r="H701" s="513"/>
      <c r="I701" s="513"/>
      <c r="J701" s="126"/>
    </row>
    <row r="702" spans="2:15" ht="18.75">
      <c r="B702" s="269"/>
      <c r="C702" s="315"/>
      <c r="D702" s="273"/>
      <c r="E702" s="312"/>
      <c r="F702" s="274"/>
      <c r="G702" s="411"/>
      <c r="H702" s="245"/>
      <c r="I702" s="245"/>
      <c r="J702" s="126"/>
    </row>
    <row r="703" spans="2:15" ht="15.75">
      <c r="B703" s="512" t="s">
        <v>96</v>
      </c>
      <c r="C703" s="512"/>
      <c r="D703" s="512"/>
      <c r="E703" s="312"/>
      <c r="F703" s="510" t="s">
        <v>160</v>
      </c>
      <c r="G703" s="510"/>
      <c r="H703" s="510"/>
      <c r="I703" s="510"/>
      <c r="J703" s="154"/>
      <c r="K703" s="147"/>
    </row>
    <row r="704" spans="2:15" ht="15.75">
      <c r="B704" s="269"/>
      <c r="C704" s="315"/>
      <c r="D704" s="273"/>
      <c r="E704" s="312"/>
      <c r="F704" s="217"/>
      <c r="G704" s="271"/>
      <c r="H704" s="275"/>
      <c r="I704" s="273"/>
    </row>
    <row r="705" spans="5:9">
      <c r="E705" s="156"/>
      <c r="F705" s="156"/>
      <c r="G705" s="229"/>
      <c r="H705" s="99"/>
      <c r="I705" s="176"/>
    </row>
    <row r="706" spans="5:9">
      <c r="E706" s="156"/>
      <c r="F706" s="156"/>
      <c r="G706" s="229"/>
      <c r="H706" s="99"/>
    </row>
    <row r="707" spans="5:9">
      <c r="E707" s="156"/>
      <c r="F707" s="156"/>
      <c r="G707" s="229"/>
      <c r="H707" s="99"/>
    </row>
    <row r="708" spans="5:9">
      <c r="E708" s="156"/>
      <c r="F708" s="156"/>
      <c r="G708" s="229"/>
      <c r="H708" s="99"/>
    </row>
    <row r="709" spans="5:9">
      <c r="E709" s="156"/>
      <c r="F709" s="156"/>
      <c r="G709" s="229"/>
      <c r="H709" s="99"/>
    </row>
    <row r="710" spans="5:9">
      <c r="E710" s="156"/>
      <c r="F710" s="156"/>
      <c r="G710" s="229"/>
      <c r="H710" s="99"/>
    </row>
    <row r="711" spans="5:9">
      <c r="E711" s="156"/>
      <c r="F711" s="156"/>
      <c r="G711" s="229"/>
      <c r="H711" s="99"/>
    </row>
    <row r="712" spans="5:9">
      <c r="E712" s="156"/>
      <c r="F712" s="156"/>
      <c r="G712" s="229"/>
      <c r="H712" s="99"/>
    </row>
    <row r="713" spans="5:9">
      <c r="E713" s="156"/>
      <c r="F713" s="156"/>
      <c r="G713" s="229"/>
      <c r="H713" s="99"/>
    </row>
    <row r="714" spans="5:9">
      <c r="E714" s="156"/>
      <c r="F714" s="156"/>
      <c r="G714" s="229"/>
      <c r="H714" s="99"/>
    </row>
    <row r="715" spans="5:9">
      <c r="E715" s="156"/>
      <c r="F715" s="156"/>
      <c r="G715" s="229"/>
      <c r="H715" s="99"/>
    </row>
    <row r="716" spans="5:9">
      <c r="E716" s="156"/>
      <c r="F716" s="156"/>
      <c r="G716" s="229"/>
      <c r="H716" s="99"/>
    </row>
    <row r="717" spans="5:9">
      <c r="E717" s="156"/>
      <c r="F717" s="156"/>
      <c r="G717" s="229"/>
      <c r="H717" s="99"/>
    </row>
    <row r="718" spans="5:9">
      <c r="E718" s="156"/>
      <c r="F718" s="156"/>
      <c r="G718" s="229"/>
      <c r="H718" s="99"/>
    </row>
    <row r="719" spans="5:9">
      <c r="E719" s="156"/>
      <c r="F719" s="156"/>
      <c r="G719" s="229"/>
      <c r="H719" s="99"/>
    </row>
    <row r="720" spans="5:9">
      <c r="E720" s="156"/>
      <c r="F720" s="156"/>
      <c r="G720" s="229"/>
      <c r="H720" s="99"/>
    </row>
    <row r="721" spans="5:8">
      <c r="E721" s="156"/>
      <c r="F721" s="156"/>
      <c r="G721" s="229"/>
      <c r="H721" s="99"/>
    </row>
    <row r="722" spans="5:8">
      <c r="E722" s="156"/>
      <c r="F722" s="156"/>
      <c r="G722" s="229"/>
      <c r="H722" s="99"/>
    </row>
    <row r="723" spans="5:8">
      <c r="E723" s="156"/>
      <c r="F723" s="156"/>
      <c r="G723" s="229"/>
      <c r="H723" s="99"/>
    </row>
    <row r="724" spans="5:8">
      <c r="E724" s="156"/>
      <c r="F724" s="156"/>
      <c r="G724" s="229"/>
      <c r="H724" s="99"/>
    </row>
    <row r="725" spans="5:8">
      <c r="E725" s="156"/>
      <c r="F725" s="156"/>
      <c r="G725" s="229"/>
      <c r="H725" s="99"/>
    </row>
    <row r="726" spans="5:8">
      <c r="E726" s="156"/>
      <c r="F726" s="156"/>
      <c r="G726" s="229"/>
      <c r="H726" s="99"/>
    </row>
    <row r="727" spans="5:8">
      <c r="E727" s="156"/>
      <c r="F727" s="156"/>
      <c r="G727" s="229"/>
      <c r="H727" s="99"/>
    </row>
    <row r="728" spans="5:8">
      <c r="E728" s="156"/>
      <c r="F728" s="156"/>
      <c r="G728" s="229"/>
      <c r="H728" s="99"/>
    </row>
    <row r="729" spans="5:8">
      <c r="E729" s="156"/>
      <c r="F729" s="156"/>
      <c r="G729" s="229"/>
      <c r="H729" s="99"/>
    </row>
    <row r="730" spans="5:8">
      <c r="E730" s="156"/>
      <c r="F730" s="156"/>
      <c r="G730" s="229"/>
      <c r="H730" s="99"/>
    </row>
    <row r="731" spans="5:8">
      <c r="E731" s="156"/>
      <c r="F731" s="156"/>
      <c r="G731" s="229"/>
      <c r="H731" s="99"/>
    </row>
    <row r="732" spans="5:8">
      <c r="E732" s="156"/>
      <c r="F732" s="156"/>
      <c r="G732" s="229"/>
      <c r="H732" s="99"/>
    </row>
    <row r="733" spans="5:8">
      <c r="E733" s="156"/>
      <c r="F733" s="156"/>
      <c r="G733" s="229"/>
      <c r="H733" s="99"/>
    </row>
    <row r="734" spans="5:8">
      <c r="E734" s="156"/>
      <c r="F734" s="156"/>
      <c r="G734" s="229"/>
      <c r="H734" s="99"/>
    </row>
    <row r="735" spans="5:8">
      <c r="E735" s="156"/>
      <c r="F735" s="156"/>
      <c r="G735" s="229"/>
      <c r="H735" s="99"/>
    </row>
    <row r="736" spans="5:8">
      <c r="E736" s="156"/>
      <c r="F736" s="156"/>
      <c r="G736" s="229"/>
      <c r="H736" s="99"/>
    </row>
    <row r="737" spans="5:8">
      <c r="E737" s="156"/>
      <c r="F737" s="156"/>
      <c r="G737" s="229"/>
      <c r="H737" s="99"/>
    </row>
    <row r="738" spans="5:8">
      <c r="E738" s="156"/>
      <c r="F738" s="156"/>
      <c r="G738" s="229"/>
      <c r="H738" s="99"/>
    </row>
    <row r="739" spans="5:8">
      <c r="E739" s="156"/>
      <c r="F739" s="156"/>
      <c r="G739" s="229"/>
      <c r="H739" s="99"/>
    </row>
    <row r="740" spans="5:8">
      <c r="E740" s="156"/>
      <c r="F740" s="156"/>
      <c r="G740" s="229"/>
      <c r="H740" s="99"/>
    </row>
    <row r="741" spans="5:8">
      <c r="E741" s="156"/>
      <c r="F741" s="156"/>
      <c r="G741" s="229"/>
      <c r="H741" s="99"/>
    </row>
    <row r="742" spans="5:8">
      <c r="E742" s="156"/>
      <c r="F742" s="156"/>
      <c r="G742" s="229"/>
      <c r="H742" s="99"/>
    </row>
    <row r="743" spans="5:8">
      <c r="E743" s="156"/>
      <c r="F743" s="156"/>
      <c r="G743" s="229"/>
      <c r="H743" s="99"/>
    </row>
    <row r="744" spans="5:8">
      <c r="E744" s="156"/>
      <c r="F744" s="156"/>
      <c r="G744" s="229"/>
      <c r="H744" s="99"/>
    </row>
    <row r="745" spans="5:8">
      <c r="E745" s="156"/>
      <c r="F745" s="156"/>
      <c r="G745" s="229"/>
      <c r="H745" s="99"/>
    </row>
    <row r="746" spans="5:8">
      <c r="E746" s="156"/>
      <c r="F746" s="156"/>
      <c r="G746" s="229"/>
      <c r="H746" s="99"/>
    </row>
    <row r="747" spans="5:8">
      <c r="E747" s="156"/>
      <c r="F747" s="156"/>
      <c r="G747" s="229"/>
      <c r="H747" s="99"/>
    </row>
    <row r="748" spans="5:8">
      <c r="E748" s="156"/>
      <c r="F748" s="156"/>
      <c r="G748" s="229"/>
      <c r="H748" s="99"/>
    </row>
    <row r="749" spans="5:8">
      <c r="E749" s="156"/>
      <c r="F749" s="156"/>
      <c r="G749" s="229"/>
      <c r="H749" s="99"/>
    </row>
    <row r="750" spans="5:8">
      <c r="E750" s="156"/>
      <c r="F750" s="156"/>
      <c r="G750" s="229"/>
      <c r="H750" s="99"/>
    </row>
    <row r="751" spans="5:8">
      <c r="E751" s="156"/>
      <c r="F751" s="156"/>
      <c r="G751" s="229"/>
      <c r="H751" s="99"/>
    </row>
    <row r="752" spans="5:8">
      <c r="E752" s="156"/>
      <c r="F752" s="156"/>
      <c r="G752" s="229"/>
      <c r="H752" s="99"/>
    </row>
    <row r="753" spans="5:8">
      <c r="E753" s="156"/>
      <c r="F753" s="156"/>
      <c r="G753" s="229"/>
      <c r="H753" s="99"/>
    </row>
    <row r="754" spans="5:8">
      <c r="E754" s="156"/>
      <c r="F754" s="156"/>
      <c r="G754" s="229"/>
      <c r="H754" s="99"/>
    </row>
    <row r="755" spans="5:8">
      <c r="E755" s="156"/>
      <c r="F755" s="156"/>
      <c r="G755" s="229"/>
      <c r="H755" s="99"/>
    </row>
    <row r="756" spans="5:8">
      <c r="E756" s="156"/>
      <c r="F756" s="156"/>
      <c r="G756" s="229"/>
      <c r="H756" s="99"/>
    </row>
    <row r="757" spans="5:8">
      <c r="E757" s="156"/>
      <c r="F757" s="156"/>
      <c r="G757" s="229"/>
      <c r="H757" s="99"/>
    </row>
    <row r="758" spans="5:8">
      <c r="E758" s="156"/>
      <c r="F758" s="156"/>
      <c r="G758" s="229"/>
      <c r="H758" s="99"/>
    </row>
    <row r="759" spans="5:8">
      <c r="E759" s="156"/>
      <c r="F759" s="156"/>
      <c r="G759" s="229"/>
      <c r="H759" s="99"/>
    </row>
    <row r="760" spans="5:8">
      <c r="E760" s="156"/>
      <c r="F760" s="156"/>
      <c r="G760" s="229"/>
      <c r="H760" s="99"/>
    </row>
    <row r="761" spans="5:8">
      <c r="E761" s="156"/>
      <c r="F761" s="156"/>
      <c r="G761" s="229"/>
      <c r="H761" s="99"/>
    </row>
    <row r="762" spans="5:8">
      <c r="E762" s="156"/>
      <c r="F762" s="156"/>
      <c r="G762" s="229"/>
      <c r="H762" s="99"/>
    </row>
    <row r="763" spans="5:8">
      <c r="E763" s="156"/>
      <c r="F763" s="156"/>
      <c r="G763" s="229"/>
      <c r="H763" s="99"/>
    </row>
    <row r="764" spans="5:8">
      <c r="E764" s="156"/>
      <c r="F764" s="156"/>
      <c r="G764" s="229"/>
      <c r="H764" s="99"/>
    </row>
    <row r="765" spans="5:8">
      <c r="E765" s="156"/>
      <c r="F765" s="156"/>
      <c r="G765" s="229"/>
      <c r="H765" s="99"/>
    </row>
    <row r="766" spans="5:8">
      <c r="E766" s="156"/>
      <c r="F766" s="156"/>
      <c r="G766" s="229"/>
      <c r="H766" s="99"/>
    </row>
    <row r="767" spans="5:8">
      <c r="E767" s="156"/>
      <c r="F767" s="156"/>
      <c r="G767" s="229"/>
      <c r="H767" s="99"/>
    </row>
    <row r="768" spans="5:8">
      <c r="E768" s="156"/>
      <c r="F768" s="156"/>
      <c r="G768" s="229"/>
      <c r="H768" s="99"/>
    </row>
    <row r="769" spans="5:8">
      <c r="E769" s="156"/>
      <c r="F769" s="156"/>
      <c r="G769" s="229"/>
      <c r="H769" s="99"/>
    </row>
    <row r="770" spans="5:8">
      <c r="E770" s="156"/>
      <c r="F770" s="156"/>
      <c r="G770" s="229"/>
      <c r="H770" s="99"/>
    </row>
    <row r="771" spans="5:8">
      <c r="E771" s="156"/>
      <c r="F771" s="156"/>
      <c r="G771" s="229"/>
      <c r="H771" s="99"/>
    </row>
    <row r="772" spans="5:8">
      <c r="E772" s="156"/>
      <c r="F772" s="156"/>
      <c r="G772" s="229"/>
      <c r="H772" s="99"/>
    </row>
    <row r="773" spans="5:8">
      <c r="E773" s="156"/>
      <c r="F773" s="156"/>
      <c r="G773" s="229"/>
      <c r="H773" s="99"/>
    </row>
    <row r="774" spans="5:8">
      <c r="E774" s="156"/>
      <c r="F774" s="156"/>
      <c r="G774" s="229"/>
      <c r="H774" s="99"/>
    </row>
    <row r="775" spans="5:8">
      <c r="E775" s="156"/>
      <c r="F775" s="156"/>
      <c r="G775" s="229"/>
      <c r="H775" s="99"/>
    </row>
    <row r="776" spans="5:8">
      <c r="E776" s="156"/>
      <c r="F776" s="156"/>
      <c r="G776" s="229"/>
      <c r="H776" s="99"/>
    </row>
    <row r="777" spans="5:8">
      <c r="E777" s="156"/>
      <c r="F777" s="156"/>
      <c r="G777" s="229"/>
      <c r="H777" s="99"/>
    </row>
    <row r="778" spans="5:8">
      <c r="E778" s="156"/>
      <c r="F778" s="156"/>
      <c r="G778" s="229"/>
      <c r="H778" s="99"/>
    </row>
    <row r="779" spans="5:8">
      <c r="E779" s="156"/>
      <c r="F779" s="156"/>
      <c r="G779" s="229"/>
      <c r="H779" s="99"/>
    </row>
    <row r="780" spans="5:8">
      <c r="E780" s="156"/>
      <c r="F780" s="156"/>
      <c r="G780" s="229"/>
      <c r="H780" s="99"/>
    </row>
    <row r="781" spans="5:8">
      <c r="E781" s="156"/>
      <c r="F781" s="156"/>
      <c r="G781" s="229"/>
      <c r="H781" s="99"/>
    </row>
    <row r="782" spans="5:8">
      <c r="E782" s="156"/>
      <c r="F782" s="156"/>
      <c r="G782" s="229"/>
      <c r="H782" s="99"/>
    </row>
    <row r="783" spans="5:8">
      <c r="E783" s="156"/>
      <c r="F783" s="156"/>
      <c r="G783" s="229"/>
      <c r="H783" s="99"/>
    </row>
    <row r="784" spans="5:8">
      <c r="E784" s="156"/>
      <c r="F784" s="156"/>
      <c r="G784" s="229"/>
      <c r="H784" s="99"/>
    </row>
    <row r="785" spans="5:8">
      <c r="E785" s="156"/>
      <c r="F785" s="156"/>
      <c r="G785" s="229"/>
      <c r="H785" s="99"/>
    </row>
    <row r="786" spans="5:8">
      <c r="E786" s="156"/>
      <c r="F786" s="156"/>
      <c r="G786" s="229"/>
      <c r="H786" s="99"/>
    </row>
    <row r="787" spans="5:8">
      <c r="E787" s="156"/>
      <c r="F787" s="156"/>
      <c r="G787" s="229"/>
      <c r="H787" s="99"/>
    </row>
    <row r="788" spans="5:8">
      <c r="E788" s="156"/>
      <c r="F788" s="156"/>
      <c r="G788" s="229"/>
      <c r="H788" s="99"/>
    </row>
    <row r="789" spans="5:8">
      <c r="E789" s="156"/>
      <c r="F789" s="156"/>
      <c r="G789" s="229"/>
      <c r="H789" s="99"/>
    </row>
    <row r="790" spans="5:8">
      <c r="E790" s="156"/>
      <c r="F790" s="156"/>
      <c r="G790" s="229"/>
      <c r="H790" s="99"/>
    </row>
    <row r="791" spans="5:8">
      <c r="E791" s="156"/>
      <c r="F791" s="156"/>
      <c r="G791" s="229"/>
      <c r="H791" s="99"/>
    </row>
    <row r="792" spans="5:8">
      <c r="E792" s="156"/>
      <c r="F792" s="156"/>
      <c r="G792" s="229"/>
      <c r="H792" s="99"/>
    </row>
    <row r="793" spans="5:8">
      <c r="E793" s="156"/>
      <c r="F793" s="156"/>
      <c r="G793" s="229"/>
      <c r="H793" s="99"/>
    </row>
    <row r="794" spans="5:8">
      <c r="E794" s="156"/>
      <c r="F794" s="156"/>
      <c r="G794" s="229"/>
      <c r="H794" s="99"/>
    </row>
    <row r="795" spans="5:8">
      <c r="E795" s="156"/>
      <c r="F795" s="156"/>
      <c r="G795" s="229"/>
      <c r="H795" s="99"/>
    </row>
    <row r="796" spans="5:8">
      <c r="E796" s="156"/>
      <c r="F796" s="156"/>
      <c r="G796" s="229"/>
      <c r="H796" s="99"/>
    </row>
    <row r="797" spans="5:8">
      <c r="E797" s="156"/>
      <c r="F797" s="156"/>
      <c r="G797" s="229"/>
      <c r="H797" s="99"/>
    </row>
    <row r="798" spans="5:8">
      <c r="E798" s="156"/>
      <c r="F798" s="156"/>
      <c r="G798" s="229"/>
      <c r="H798" s="99"/>
    </row>
    <row r="799" spans="5:8">
      <c r="E799" s="156"/>
      <c r="F799" s="156"/>
      <c r="G799" s="229"/>
      <c r="H799" s="99"/>
    </row>
    <row r="800" spans="5:8">
      <c r="E800" s="156"/>
      <c r="F800" s="156"/>
      <c r="G800" s="229"/>
      <c r="H800" s="99"/>
    </row>
    <row r="801" spans="5:8">
      <c r="E801" s="156"/>
      <c r="F801" s="156"/>
      <c r="G801" s="229"/>
      <c r="H801" s="99"/>
    </row>
    <row r="802" spans="5:8">
      <c r="E802" s="156"/>
      <c r="F802" s="156"/>
      <c r="G802" s="229"/>
      <c r="H802" s="99"/>
    </row>
    <row r="803" spans="5:8">
      <c r="E803" s="156"/>
      <c r="F803" s="156"/>
      <c r="G803" s="229"/>
      <c r="H803" s="99"/>
    </row>
    <row r="804" spans="5:8">
      <c r="E804" s="156"/>
      <c r="F804" s="156"/>
      <c r="G804" s="229"/>
      <c r="H804" s="99"/>
    </row>
    <row r="805" spans="5:8">
      <c r="E805" s="156"/>
      <c r="F805" s="156"/>
      <c r="G805" s="229"/>
      <c r="H805" s="99"/>
    </row>
    <row r="806" spans="5:8">
      <c r="E806" s="156"/>
      <c r="F806" s="156"/>
      <c r="G806" s="229"/>
      <c r="H806" s="99"/>
    </row>
    <row r="807" spans="5:8">
      <c r="E807" s="156"/>
      <c r="F807" s="156"/>
      <c r="G807" s="229"/>
      <c r="H807" s="99"/>
    </row>
    <row r="808" spans="5:8">
      <c r="E808" s="156"/>
      <c r="F808" s="156"/>
      <c r="G808" s="229"/>
      <c r="H808" s="99"/>
    </row>
    <row r="809" spans="5:8">
      <c r="E809" s="156"/>
      <c r="F809" s="156"/>
      <c r="G809" s="229"/>
      <c r="H809" s="99"/>
    </row>
    <row r="810" spans="5:8">
      <c r="E810" s="156"/>
      <c r="F810" s="156"/>
      <c r="G810" s="229"/>
      <c r="H810" s="99"/>
    </row>
    <row r="811" spans="5:8">
      <c r="E811" s="156"/>
      <c r="F811" s="156"/>
      <c r="G811" s="229"/>
      <c r="H811" s="99"/>
    </row>
    <row r="812" spans="5:8">
      <c r="E812" s="156"/>
      <c r="F812" s="156"/>
      <c r="G812" s="229"/>
      <c r="H812" s="99"/>
    </row>
    <row r="813" spans="5:8">
      <c r="E813" s="156"/>
      <c r="F813" s="156"/>
      <c r="G813" s="229"/>
      <c r="H813" s="99"/>
    </row>
    <row r="814" spans="5:8">
      <c r="E814" s="156"/>
      <c r="F814" s="156"/>
      <c r="G814" s="229"/>
      <c r="H814" s="99"/>
    </row>
    <row r="815" spans="5:8">
      <c r="E815" s="156"/>
      <c r="F815" s="156"/>
      <c r="G815" s="229"/>
      <c r="H815" s="99"/>
    </row>
    <row r="816" spans="5:8">
      <c r="E816" s="156"/>
      <c r="F816" s="156"/>
      <c r="G816" s="229"/>
      <c r="H816" s="99"/>
    </row>
    <row r="817" spans="5:8">
      <c r="E817" s="156"/>
      <c r="F817" s="156"/>
      <c r="G817" s="229"/>
      <c r="H817" s="99"/>
    </row>
    <row r="818" spans="5:8">
      <c r="E818" s="156"/>
      <c r="F818" s="156"/>
      <c r="G818" s="229"/>
      <c r="H818" s="99"/>
    </row>
    <row r="819" spans="5:8">
      <c r="E819" s="156"/>
      <c r="F819" s="156"/>
      <c r="G819" s="229"/>
      <c r="H819" s="99"/>
    </row>
    <row r="820" spans="5:8">
      <c r="E820" s="156"/>
      <c r="F820" s="156"/>
      <c r="G820" s="229"/>
      <c r="H820" s="99"/>
    </row>
    <row r="821" spans="5:8">
      <c r="E821" s="156"/>
      <c r="F821" s="156"/>
      <c r="G821" s="229"/>
      <c r="H821" s="99"/>
    </row>
    <row r="822" spans="5:8">
      <c r="E822" s="156"/>
      <c r="F822" s="156"/>
      <c r="G822" s="229"/>
      <c r="H822" s="99"/>
    </row>
    <row r="823" spans="5:8">
      <c r="E823" s="156"/>
      <c r="F823" s="156"/>
      <c r="G823" s="229"/>
      <c r="H823" s="99"/>
    </row>
    <row r="824" spans="5:8">
      <c r="E824" s="156"/>
      <c r="F824" s="156"/>
      <c r="G824" s="229"/>
      <c r="H824" s="99"/>
    </row>
    <row r="825" spans="5:8">
      <c r="E825" s="156"/>
      <c r="F825" s="156"/>
      <c r="G825" s="229"/>
      <c r="H825" s="99"/>
    </row>
    <row r="826" spans="5:8">
      <c r="E826" s="156"/>
      <c r="F826" s="156"/>
      <c r="G826" s="229"/>
      <c r="H826" s="99"/>
    </row>
    <row r="827" spans="5:8">
      <c r="E827" s="156"/>
      <c r="F827" s="156"/>
      <c r="G827" s="229"/>
      <c r="H827" s="99"/>
    </row>
    <row r="828" spans="5:8">
      <c r="E828" s="156"/>
      <c r="F828" s="156"/>
      <c r="G828" s="229"/>
      <c r="H828" s="99"/>
    </row>
    <row r="829" spans="5:8">
      <c r="E829" s="156"/>
      <c r="F829" s="156"/>
      <c r="G829" s="229"/>
      <c r="H829" s="99"/>
    </row>
    <row r="830" spans="5:8">
      <c r="E830" s="156"/>
      <c r="F830" s="156"/>
      <c r="G830" s="229"/>
      <c r="H830" s="99"/>
    </row>
    <row r="831" spans="5:8">
      <c r="E831" s="156"/>
      <c r="F831" s="156"/>
      <c r="G831" s="229"/>
      <c r="H831" s="99"/>
    </row>
    <row r="832" spans="5:8">
      <c r="E832" s="156"/>
      <c r="F832" s="156"/>
      <c r="G832" s="229"/>
      <c r="H832" s="99"/>
    </row>
    <row r="833" spans="5:8">
      <c r="E833" s="156"/>
      <c r="F833" s="156"/>
      <c r="G833" s="229"/>
      <c r="H833" s="99"/>
    </row>
    <row r="834" spans="5:8">
      <c r="E834" s="156"/>
      <c r="F834" s="156"/>
      <c r="G834" s="229"/>
      <c r="H834" s="99"/>
    </row>
    <row r="835" spans="5:8">
      <c r="E835" s="156"/>
      <c r="F835" s="156"/>
      <c r="G835" s="229"/>
      <c r="H835" s="99"/>
    </row>
    <row r="836" spans="5:8">
      <c r="E836" s="156"/>
      <c r="F836" s="156"/>
      <c r="G836" s="229"/>
      <c r="H836" s="99"/>
    </row>
    <row r="837" spans="5:8">
      <c r="E837" s="156"/>
      <c r="F837" s="156"/>
      <c r="G837" s="229"/>
      <c r="H837" s="99"/>
    </row>
    <row r="838" spans="5:8">
      <c r="E838" s="156"/>
      <c r="F838" s="156"/>
      <c r="G838" s="229"/>
      <c r="H838" s="99"/>
    </row>
    <row r="839" spans="5:8">
      <c r="E839" s="156"/>
      <c r="F839" s="156"/>
      <c r="G839" s="229"/>
      <c r="H839" s="99"/>
    </row>
    <row r="840" spans="5:8">
      <c r="E840" s="156"/>
      <c r="F840" s="156"/>
      <c r="G840" s="229"/>
      <c r="H840" s="99"/>
    </row>
    <row r="841" spans="5:8">
      <c r="E841" s="156"/>
      <c r="F841" s="156"/>
      <c r="G841" s="229"/>
      <c r="H841" s="99"/>
    </row>
    <row r="842" spans="5:8">
      <c r="E842" s="156"/>
      <c r="F842" s="156"/>
      <c r="G842" s="229"/>
      <c r="H842" s="99"/>
    </row>
    <row r="843" spans="5:8">
      <c r="E843" s="156"/>
      <c r="F843" s="156"/>
      <c r="G843" s="229"/>
      <c r="H843" s="99"/>
    </row>
    <row r="844" spans="5:8">
      <c r="E844" s="156"/>
      <c r="F844" s="156"/>
      <c r="G844" s="229"/>
      <c r="H844" s="99"/>
    </row>
    <row r="845" spans="5:8">
      <c r="E845" s="156"/>
      <c r="F845" s="156"/>
      <c r="G845" s="229"/>
      <c r="H845" s="99"/>
    </row>
    <row r="846" spans="5:8">
      <c r="E846" s="156"/>
      <c r="F846" s="156"/>
      <c r="G846" s="229"/>
      <c r="H846" s="99"/>
    </row>
    <row r="847" spans="5:8">
      <c r="E847" s="156"/>
      <c r="F847" s="156"/>
      <c r="G847" s="229"/>
      <c r="H847" s="99"/>
    </row>
    <row r="848" spans="5:8">
      <c r="E848" s="156"/>
      <c r="F848" s="156"/>
      <c r="G848" s="229"/>
      <c r="H848" s="99"/>
    </row>
    <row r="849" spans="5:8">
      <c r="E849" s="156"/>
      <c r="F849" s="156"/>
      <c r="G849" s="229"/>
      <c r="H849" s="99"/>
    </row>
    <row r="850" spans="5:8">
      <c r="E850" s="156"/>
      <c r="F850" s="156"/>
      <c r="G850" s="229"/>
      <c r="H850" s="99"/>
    </row>
    <row r="851" spans="5:8">
      <c r="E851" s="156"/>
      <c r="F851" s="156"/>
      <c r="G851" s="229"/>
      <c r="H851" s="99"/>
    </row>
    <row r="852" spans="5:8">
      <c r="E852" s="156"/>
      <c r="F852" s="156"/>
      <c r="G852" s="229"/>
      <c r="H852" s="99"/>
    </row>
    <row r="853" spans="5:8">
      <c r="E853" s="156"/>
      <c r="F853" s="156"/>
      <c r="G853" s="229"/>
      <c r="H853" s="99"/>
    </row>
    <row r="854" spans="5:8">
      <c r="E854" s="156"/>
      <c r="F854" s="156"/>
      <c r="G854" s="229"/>
      <c r="H854" s="99"/>
    </row>
    <row r="855" spans="5:8">
      <c r="E855" s="156"/>
      <c r="F855" s="156"/>
      <c r="G855" s="229"/>
      <c r="H855" s="99"/>
    </row>
    <row r="856" spans="5:8">
      <c r="E856" s="156"/>
      <c r="F856" s="156"/>
      <c r="G856" s="229"/>
      <c r="H856" s="99"/>
    </row>
    <row r="857" spans="5:8">
      <c r="E857" s="156"/>
      <c r="F857" s="156"/>
      <c r="G857" s="229"/>
      <c r="H857" s="99"/>
    </row>
    <row r="858" spans="5:8">
      <c r="E858" s="156"/>
      <c r="F858" s="156"/>
      <c r="G858" s="229"/>
      <c r="H858" s="99"/>
    </row>
    <row r="859" spans="5:8">
      <c r="E859" s="156"/>
      <c r="F859" s="156"/>
      <c r="G859" s="229"/>
      <c r="H859" s="99"/>
    </row>
    <row r="860" spans="5:8">
      <c r="E860" s="156"/>
      <c r="F860" s="156"/>
      <c r="G860" s="229"/>
      <c r="H860" s="99"/>
    </row>
    <row r="861" spans="5:8">
      <c r="E861" s="156"/>
      <c r="F861" s="156"/>
      <c r="G861" s="229"/>
      <c r="H861" s="99"/>
    </row>
    <row r="862" spans="5:8">
      <c r="E862" s="156"/>
      <c r="F862" s="156"/>
      <c r="G862" s="229"/>
      <c r="H862" s="99"/>
    </row>
    <row r="863" spans="5:8">
      <c r="E863" s="156"/>
      <c r="F863" s="156"/>
      <c r="G863" s="229"/>
      <c r="H863" s="99"/>
    </row>
    <row r="864" spans="5:8">
      <c r="E864" s="156"/>
      <c r="F864" s="156"/>
      <c r="G864" s="229"/>
      <c r="H864" s="99"/>
    </row>
    <row r="865" spans="5:8">
      <c r="E865" s="156"/>
      <c r="F865" s="156"/>
      <c r="G865" s="229"/>
      <c r="H865" s="99"/>
    </row>
    <row r="866" spans="5:8">
      <c r="E866" s="156"/>
      <c r="F866" s="156"/>
      <c r="G866" s="229"/>
      <c r="H866" s="99"/>
    </row>
    <row r="867" spans="5:8">
      <c r="E867" s="156"/>
      <c r="F867" s="156"/>
      <c r="G867" s="229"/>
      <c r="H867" s="99"/>
    </row>
    <row r="868" spans="5:8">
      <c r="E868" s="156"/>
      <c r="F868" s="156"/>
      <c r="G868" s="229"/>
      <c r="H868" s="99"/>
    </row>
    <row r="869" spans="5:8">
      <c r="E869" s="156"/>
      <c r="F869" s="156"/>
      <c r="G869" s="229"/>
      <c r="H869" s="99"/>
    </row>
    <row r="870" spans="5:8">
      <c r="E870" s="156"/>
      <c r="F870" s="156"/>
      <c r="G870" s="229"/>
      <c r="H870" s="99"/>
    </row>
    <row r="871" spans="5:8">
      <c r="E871" s="156"/>
      <c r="F871" s="156"/>
      <c r="G871" s="229"/>
      <c r="H871" s="99"/>
    </row>
    <row r="872" spans="5:8">
      <c r="E872" s="156"/>
      <c r="F872" s="156"/>
      <c r="G872" s="229"/>
      <c r="H872" s="99"/>
    </row>
    <row r="873" spans="5:8">
      <c r="E873" s="156"/>
      <c r="F873" s="156"/>
      <c r="G873" s="229"/>
      <c r="H873" s="99"/>
    </row>
    <row r="874" spans="5:8">
      <c r="E874" s="156"/>
      <c r="F874" s="156"/>
      <c r="G874" s="229"/>
      <c r="H874" s="99"/>
    </row>
    <row r="875" spans="5:8">
      <c r="E875" s="156"/>
      <c r="F875" s="156"/>
      <c r="G875" s="229"/>
      <c r="H875" s="99"/>
    </row>
    <row r="876" spans="5:8">
      <c r="E876" s="156"/>
      <c r="F876" s="156"/>
      <c r="G876" s="229"/>
      <c r="H876" s="99"/>
    </row>
    <row r="877" spans="5:8">
      <c r="E877" s="156"/>
      <c r="F877" s="156"/>
      <c r="G877" s="229"/>
      <c r="H877" s="99"/>
    </row>
    <row r="878" spans="5:8">
      <c r="E878" s="156"/>
      <c r="F878" s="156"/>
      <c r="G878" s="229"/>
      <c r="H878" s="99"/>
    </row>
    <row r="879" spans="5:8">
      <c r="E879" s="156"/>
      <c r="F879" s="156"/>
      <c r="G879" s="229"/>
      <c r="H879" s="99"/>
    </row>
    <row r="880" spans="5:8">
      <c r="E880" s="156"/>
      <c r="F880" s="156"/>
      <c r="G880" s="229"/>
      <c r="H880" s="99"/>
    </row>
    <row r="881" spans="5:8">
      <c r="E881" s="156"/>
      <c r="F881" s="156"/>
      <c r="G881" s="229"/>
      <c r="H881" s="99"/>
    </row>
    <row r="882" spans="5:8">
      <c r="E882" s="156"/>
      <c r="F882" s="156"/>
      <c r="G882" s="229"/>
      <c r="H882" s="99"/>
    </row>
    <row r="883" spans="5:8">
      <c r="E883" s="156"/>
      <c r="F883" s="156"/>
      <c r="G883" s="229"/>
      <c r="H883" s="99"/>
    </row>
    <row r="884" spans="5:8">
      <c r="E884" s="156"/>
      <c r="F884" s="156"/>
      <c r="G884" s="229"/>
      <c r="H884" s="99"/>
    </row>
    <row r="885" spans="5:8">
      <c r="E885" s="156"/>
      <c r="F885" s="156"/>
      <c r="G885" s="229"/>
      <c r="H885" s="99"/>
    </row>
    <row r="886" spans="5:8">
      <c r="E886" s="156"/>
      <c r="F886" s="156"/>
      <c r="G886" s="229"/>
      <c r="H886" s="99"/>
    </row>
    <row r="887" spans="5:8">
      <c r="E887" s="156"/>
      <c r="F887" s="156"/>
      <c r="G887" s="229"/>
      <c r="H887" s="99"/>
    </row>
    <row r="888" spans="5:8">
      <c r="E888" s="156"/>
      <c r="F888" s="156"/>
      <c r="G888" s="229"/>
      <c r="H888" s="99"/>
    </row>
    <row r="889" spans="5:8">
      <c r="E889" s="156"/>
      <c r="F889" s="156"/>
      <c r="G889" s="229"/>
      <c r="H889" s="99"/>
    </row>
    <row r="890" spans="5:8">
      <c r="E890" s="156"/>
      <c r="F890" s="156"/>
      <c r="G890" s="229"/>
      <c r="H890" s="99"/>
    </row>
    <row r="891" spans="5:8">
      <c r="E891" s="156"/>
      <c r="F891" s="156"/>
      <c r="G891" s="229"/>
      <c r="H891" s="99"/>
    </row>
    <row r="892" spans="5:8">
      <c r="E892" s="156"/>
      <c r="F892" s="156"/>
      <c r="G892" s="229"/>
      <c r="H892" s="99"/>
    </row>
    <row r="893" spans="5:8">
      <c r="E893" s="156"/>
      <c r="F893" s="156"/>
      <c r="G893" s="229"/>
      <c r="H893" s="99"/>
    </row>
    <row r="894" spans="5:8">
      <c r="E894" s="156"/>
      <c r="F894" s="156"/>
      <c r="G894" s="229"/>
      <c r="H894" s="99"/>
    </row>
    <row r="895" spans="5:8">
      <c r="E895" s="156"/>
      <c r="F895" s="156"/>
      <c r="G895" s="229"/>
      <c r="H895" s="99"/>
    </row>
    <row r="896" spans="5:8">
      <c r="E896" s="156"/>
      <c r="F896" s="156"/>
      <c r="G896" s="229"/>
      <c r="H896" s="99"/>
    </row>
    <row r="897" spans="5:8">
      <c r="E897" s="156"/>
      <c r="F897" s="156"/>
      <c r="G897" s="229"/>
      <c r="H897" s="99"/>
    </row>
    <row r="898" spans="5:8">
      <c r="E898" s="156"/>
      <c r="F898" s="156"/>
      <c r="G898" s="229"/>
      <c r="H898" s="99"/>
    </row>
    <row r="899" spans="5:8">
      <c r="E899" s="156"/>
      <c r="F899" s="156"/>
      <c r="G899" s="229"/>
      <c r="H899" s="99"/>
    </row>
    <row r="900" spans="5:8">
      <c r="E900" s="156"/>
      <c r="F900" s="156"/>
      <c r="G900" s="229"/>
      <c r="H900" s="99"/>
    </row>
    <row r="901" spans="5:8">
      <c r="E901" s="156"/>
      <c r="F901" s="156"/>
      <c r="G901" s="229"/>
      <c r="H901" s="99"/>
    </row>
    <row r="902" spans="5:8">
      <c r="E902" s="156"/>
      <c r="F902" s="156"/>
      <c r="G902" s="229"/>
      <c r="H902" s="99"/>
    </row>
    <row r="903" spans="5:8">
      <c r="E903" s="156"/>
      <c r="F903" s="156"/>
      <c r="G903" s="229"/>
      <c r="H903" s="99"/>
    </row>
    <row r="904" spans="5:8">
      <c r="E904" s="156"/>
      <c r="F904" s="156"/>
      <c r="G904" s="229"/>
      <c r="H904" s="99"/>
    </row>
    <row r="905" spans="5:8">
      <c r="E905" s="156"/>
      <c r="F905" s="156"/>
      <c r="G905" s="229"/>
      <c r="H905" s="99"/>
    </row>
    <row r="906" spans="5:8">
      <c r="E906" s="156"/>
      <c r="F906" s="156"/>
      <c r="G906" s="229"/>
      <c r="H906" s="99"/>
    </row>
    <row r="907" spans="5:8">
      <c r="E907" s="156"/>
      <c r="F907" s="156"/>
      <c r="G907" s="229"/>
      <c r="H907" s="99"/>
    </row>
    <row r="908" spans="5:8">
      <c r="E908" s="156"/>
      <c r="F908" s="156"/>
      <c r="G908" s="229"/>
      <c r="H908" s="99"/>
    </row>
    <row r="909" spans="5:8">
      <c r="E909" s="156"/>
      <c r="F909" s="156"/>
      <c r="G909" s="229"/>
      <c r="H909" s="99"/>
    </row>
    <row r="910" spans="5:8">
      <c r="E910" s="156"/>
      <c r="F910" s="156"/>
      <c r="G910" s="229"/>
      <c r="H910" s="99"/>
    </row>
    <row r="911" spans="5:8">
      <c r="E911" s="156"/>
      <c r="F911" s="156"/>
      <c r="G911" s="229"/>
      <c r="H911" s="99"/>
    </row>
    <row r="912" spans="5:8">
      <c r="E912" s="156"/>
      <c r="F912" s="156"/>
      <c r="G912" s="229"/>
      <c r="H912" s="99"/>
    </row>
    <row r="913" spans="5:8">
      <c r="E913" s="156"/>
      <c r="F913" s="156"/>
      <c r="G913" s="229"/>
      <c r="H913" s="99"/>
    </row>
    <row r="914" spans="5:8">
      <c r="E914" s="156"/>
      <c r="F914" s="156"/>
      <c r="G914" s="229"/>
      <c r="H914" s="99"/>
    </row>
    <row r="915" spans="5:8">
      <c r="E915" s="156"/>
      <c r="F915" s="156"/>
      <c r="G915" s="229"/>
      <c r="H915" s="99"/>
    </row>
    <row r="916" spans="5:8">
      <c r="E916" s="156"/>
      <c r="F916" s="156"/>
      <c r="G916" s="229"/>
      <c r="H916" s="99"/>
    </row>
    <row r="917" spans="5:8">
      <c r="E917" s="156"/>
      <c r="F917" s="156"/>
      <c r="G917" s="229"/>
      <c r="H917" s="99"/>
    </row>
    <row r="918" spans="5:8">
      <c r="E918" s="156"/>
      <c r="F918" s="156"/>
      <c r="G918" s="229"/>
      <c r="H918" s="99"/>
    </row>
    <row r="919" spans="5:8">
      <c r="E919" s="156"/>
      <c r="F919" s="156"/>
      <c r="G919" s="229"/>
      <c r="H919" s="99"/>
    </row>
    <row r="920" spans="5:8">
      <c r="E920" s="156"/>
      <c r="F920" s="156"/>
      <c r="G920" s="229"/>
      <c r="H920" s="99"/>
    </row>
    <row r="921" spans="5:8">
      <c r="E921" s="156"/>
      <c r="F921" s="156"/>
      <c r="G921" s="229"/>
      <c r="H921" s="99"/>
    </row>
    <row r="922" spans="5:8">
      <c r="E922" s="156"/>
      <c r="F922" s="156"/>
      <c r="G922" s="229"/>
      <c r="H922" s="99"/>
    </row>
    <row r="923" spans="5:8">
      <c r="E923" s="156"/>
      <c r="F923" s="156"/>
      <c r="G923" s="229"/>
      <c r="H923" s="99"/>
    </row>
    <row r="924" spans="5:8">
      <c r="E924" s="156"/>
      <c r="F924" s="156"/>
      <c r="G924" s="229"/>
      <c r="H924" s="99"/>
    </row>
    <row r="925" spans="5:8">
      <c r="E925" s="156"/>
      <c r="F925" s="156"/>
      <c r="G925" s="229"/>
      <c r="H925" s="99"/>
    </row>
    <row r="926" spans="5:8">
      <c r="E926" s="156"/>
      <c r="F926" s="156"/>
      <c r="G926" s="229"/>
      <c r="H926" s="99"/>
    </row>
    <row r="927" spans="5:8">
      <c r="E927" s="156"/>
      <c r="F927" s="156"/>
      <c r="G927" s="229"/>
      <c r="H927" s="99"/>
    </row>
    <row r="928" spans="5:8">
      <c r="E928" s="156"/>
      <c r="F928" s="156"/>
      <c r="G928" s="229"/>
      <c r="H928" s="99"/>
    </row>
    <row r="929" spans="5:8">
      <c r="E929" s="156"/>
      <c r="F929" s="156"/>
      <c r="G929" s="229"/>
      <c r="H929" s="99"/>
    </row>
    <row r="930" spans="5:8">
      <c r="E930" s="156"/>
      <c r="F930" s="156"/>
      <c r="G930" s="229"/>
      <c r="H930" s="99"/>
    </row>
    <row r="931" spans="5:8">
      <c r="E931" s="156"/>
      <c r="F931" s="156"/>
      <c r="G931" s="229"/>
      <c r="H931" s="99"/>
    </row>
    <row r="932" spans="5:8">
      <c r="E932" s="156"/>
      <c r="F932" s="156"/>
      <c r="G932" s="229"/>
      <c r="H932" s="99"/>
    </row>
    <row r="933" spans="5:8">
      <c r="E933" s="156"/>
      <c r="F933" s="156"/>
      <c r="G933" s="229"/>
      <c r="H933" s="99"/>
    </row>
    <row r="934" spans="5:8">
      <c r="E934" s="156"/>
      <c r="F934" s="156"/>
      <c r="G934" s="229"/>
      <c r="H934" s="99"/>
    </row>
    <row r="935" spans="5:8">
      <c r="E935" s="156"/>
      <c r="F935" s="156"/>
      <c r="G935" s="229"/>
      <c r="H935" s="99"/>
    </row>
    <row r="936" spans="5:8">
      <c r="E936" s="156"/>
      <c r="F936" s="156"/>
      <c r="G936" s="229"/>
      <c r="H936" s="99"/>
    </row>
    <row r="937" spans="5:8">
      <c r="E937" s="156"/>
      <c r="F937" s="156"/>
      <c r="G937" s="229"/>
      <c r="H937" s="99"/>
    </row>
    <row r="938" spans="5:8">
      <c r="E938" s="156"/>
      <c r="F938" s="156"/>
      <c r="G938" s="229"/>
      <c r="H938" s="99"/>
    </row>
    <row r="939" spans="5:8">
      <c r="E939" s="156"/>
      <c r="F939" s="156"/>
      <c r="G939" s="229"/>
      <c r="H939" s="99"/>
    </row>
    <row r="940" spans="5:8">
      <c r="E940" s="156"/>
      <c r="F940" s="156"/>
      <c r="G940" s="229"/>
      <c r="H940" s="99"/>
    </row>
    <row r="941" spans="5:8">
      <c r="E941" s="156"/>
      <c r="F941" s="156"/>
      <c r="G941" s="229"/>
      <c r="H941" s="99"/>
    </row>
    <row r="942" spans="5:8">
      <c r="E942" s="156"/>
      <c r="F942" s="156"/>
      <c r="G942" s="229"/>
      <c r="H942" s="99"/>
    </row>
    <row r="943" spans="5:8">
      <c r="E943" s="156"/>
      <c r="F943" s="156"/>
      <c r="G943" s="229"/>
      <c r="H943" s="99"/>
    </row>
    <row r="944" spans="5:8">
      <c r="E944" s="156"/>
      <c r="F944" s="156"/>
      <c r="G944" s="229"/>
      <c r="H944" s="99"/>
    </row>
    <row r="945" spans="5:8">
      <c r="E945" s="156"/>
      <c r="F945" s="156"/>
      <c r="G945" s="229"/>
      <c r="H945" s="99"/>
    </row>
    <row r="946" spans="5:8">
      <c r="E946" s="156"/>
      <c r="F946" s="156"/>
      <c r="G946" s="229"/>
      <c r="H946" s="99"/>
    </row>
    <row r="947" spans="5:8">
      <c r="E947" s="156"/>
      <c r="F947" s="156"/>
      <c r="G947" s="229"/>
      <c r="H947" s="99"/>
    </row>
    <row r="948" spans="5:8">
      <c r="E948" s="156"/>
      <c r="F948" s="156"/>
      <c r="G948" s="229"/>
      <c r="H948" s="99"/>
    </row>
    <row r="949" spans="5:8">
      <c r="E949" s="156"/>
      <c r="F949" s="156"/>
      <c r="G949" s="229"/>
      <c r="H949" s="99"/>
    </row>
    <row r="950" spans="5:8">
      <c r="E950" s="156"/>
      <c r="F950" s="156"/>
      <c r="G950" s="229"/>
      <c r="H950" s="99"/>
    </row>
    <row r="951" spans="5:8">
      <c r="E951" s="156"/>
      <c r="F951" s="156"/>
      <c r="G951" s="229"/>
      <c r="H951" s="99"/>
    </row>
    <row r="952" spans="5:8">
      <c r="E952" s="156"/>
      <c r="F952" s="156"/>
      <c r="G952" s="229"/>
      <c r="H952" s="99"/>
    </row>
    <row r="953" spans="5:8">
      <c r="E953" s="156"/>
      <c r="F953" s="156"/>
      <c r="G953" s="229"/>
      <c r="H953" s="99"/>
    </row>
    <row r="954" spans="5:8">
      <c r="E954" s="156"/>
      <c r="F954" s="156"/>
      <c r="G954" s="229"/>
      <c r="H954" s="99"/>
    </row>
    <row r="955" spans="5:8">
      <c r="E955" s="156"/>
      <c r="F955" s="156"/>
      <c r="G955" s="229"/>
      <c r="H955" s="99"/>
    </row>
    <row r="956" spans="5:8">
      <c r="E956" s="156"/>
      <c r="F956" s="156"/>
      <c r="G956" s="229"/>
      <c r="H956" s="99"/>
    </row>
    <row r="957" spans="5:8">
      <c r="E957" s="156"/>
      <c r="F957" s="156"/>
      <c r="G957" s="229"/>
      <c r="H957" s="99"/>
    </row>
    <row r="958" spans="5:8">
      <c r="E958" s="156"/>
      <c r="F958" s="156"/>
      <c r="G958" s="229"/>
      <c r="H958" s="99"/>
    </row>
    <row r="959" spans="5:8">
      <c r="E959" s="156"/>
      <c r="F959" s="156"/>
      <c r="G959" s="229"/>
      <c r="H959" s="99"/>
    </row>
    <row r="960" spans="5:8">
      <c r="E960" s="156"/>
      <c r="F960" s="156"/>
      <c r="G960" s="229"/>
      <c r="H960" s="99"/>
    </row>
    <row r="961" spans="5:8">
      <c r="E961" s="156"/>
      <c r="F961" s="156"/>
      <c r="G961" s="229"/>
      <c r="H961" s="99"/>
    </row>
    <row r="962" spans="5:8">
      <c r="E962" s="156"/>
      <c r="F962" s="156"/>
      <c r="G962" s="229"/>
      <c r="H962" s="99"/>
    </row>
    <row r="963" spans="5:8">
      <c r="E963" s="156"/>
      <c r="F963" s="156"/>
      <c r="G963" s="229"/>
      <c r="H963" s="99"/>
    </row>
    <row r="964" spans="5:8">
      <c r="E964" s="156"/>
      <c r="F964" s="156"/>
      <c r="G964" s="229"/>
      <c r="H964" s="99"/>
    </row>
    <row r="965" spans="5:8">
      <c r="E965" s="156"/>
      <c r="F965" s="156"/>
      <c r="G965" s="229"/>
      <c r="H965" s="99"/>
    </row>
    <row r="966" spans="5:8">
      <c r="E966" s="156"/>
      <c r="F966" s="156"/>
      <c r="G966" s="229"/>
      <c r="H966" s="99"/>
    </row>
    <row r="967" spans="5:8">
      <c r="E967" s="156"/>
      <c r="F967" s="156"/>
      <c r="G967" s="229"/>
      <c r="H967" s="99"/>
    </row>
    <row r="968" spans="5:8">
      <c r="E968" s="156"/>
      <c r="F968" s="156"/>
      <c r="G968" s="229"/>
      <c r="H968" s="99"/>
    </row>
    <row r="969" spans="5:8">
      <c r="E969" s="156"/>
      <c r="F969" s="156"/>
      <c r="G969" s="229"/>
      <c r="H969" s="99"/>
    </row>
    <row r="970" spans="5:8">
      <c r="E970" s="156"/>
      <c r="F970" s="156"/>
      <c r="G970" s="229"/>
      <c r="H970" s="99"/>
    </row>
    <row r="971" spans="5:8">
      <c r="E971" s="156"/>
      <c r="F971" s="156"/>
      <c r="G971" s="229"/>
      <c r="H971" s="99"/>
    </row>
    <row r="972" spans="5:8">
      <c r="E972" s="156"/>
      <c r="F972" s="156"/>
      <c r="G972" s="229"/>
      <c r="H972" s="99"/>
    </row>
    <row r="973" spans="5:8">
      <c r="E973" s="156"/>
      <c r="F973" s="156"/>
      <c r="G973" s="229"/>
      <c r="H973" s="99"/>
    </row>
    <row r="974" spans="5:8">
      <c r="E974" s="156"/>
      <c r="F974" s="156"/>
      <c r="G974" s="229"/>
      <c r="H974" s="99"/>
    </row>
    <row r="975" spans="5:8">
      <c r="E975" s="156"/>
      <c r="F975" s="156"/>
      <c r="G975" s="229"/>
      <c r="H975" s="99"/>
    </row>
    <row r="976" spans="5:8">
      <c r="E976" s="156"/>
      <c r="F976" s="156"/>
      <c r="G976" s="229"/>
      <c r="H976" s="99"/>
    </row>
    <row r="977" spans="5:8">
      <c r="E977" s="156"/>
      <c r="F977" s="156"/>
      <c r="G977" s="229"/>
      <c r="H977" s="99"/>
    </row>
    <row r="978" spans="5:8">
      <c r="E978" s="156"/>
      <c r="F978" s="156"/>
      <c r="G978" s="229"/>
      <c r="H978" s="99"/>
    </row>
  </sheetData>
  <autoFilter ref="B5:I699" xr:uid="{00000000-0009-0000-0000-000007000000}"/>
  <sortState xmlns:xlrd2="http://schemas.microsoft.com/office/spreadsheetml/2017/richdata2" ref="B7:GE696">
    <sortCondition ref="F7:F696"/>
  </sortState>
  <mergeCells count="17">
    <mergeCell ref="F698:I698"/>
    <mergeCell ref="F699:I699"/>
    <mergeCell ref="F703:I703"/>
    <mergeCell ref="B699:D699"/>
    <mergeCell ref="B703:D703"/>
    <mergeCell ref="H701:I701"/>
    <mergeCell ref="H700:I700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7" type="noConversion"/>
  <pageMargins left="0.4375" right="0.39583333333333331" top="0.36" bottom="0.2" header="0.45" footer="0.2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D7" sqref="D7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88" t="s">
        <v>0</v>
      </c>
      <c r="B1" s="488"/>
    </row>
    <row r="2" spans="1:8" ht="16.5">
      <c r="A2" s="487" t="s">
        <v>44</v>
      </c>
      <c r="B2" s="487"/>
    </row>
    <row r="3" spans="1:8" ht="20.25">
      <c r="B3" s="515" t="s">
        <v>178</v>
      </c>
      <c r="C3" s="515"/>
      <c r="D3" s="515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thuat'!I697/9</f>
        <v>3901576.388888889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3901576.388888889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3901576.388888889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3901576.388888889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3901576.388888889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3901576.388888889</v>
      </c>
      <c r="E12" s="80"/>
      <c r="F12" s="33"/>
    </row>
    <row r="13" spans="1:8" ht="17.25" thickBot="1">
      <c r="A13" s="287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3901576.388888889</v>
      </c>
      <c r="E14" s="80"/>
      <c r="F14" s="33"/>
    </row>
    <row r="15" spans="1:8" ht="17.25" thickBot="1">
      <c r="A15" s="6">
        <v>9</v>
      </c>
      <c r="B15" s="79" t="s">
        <v>149</v>
      </c>
      <c r="C15" s="87" t="s">
        <v>27</v>
      </c>
      <c r="D15" s="11">
        <f>D14</f>
        <v>3901576.388888889</v>
      </c>
      <c r="E15" s="80"/>
      <c r="F15" s="33"/>
    </row>
    <row r="16" spans="1:8" ht="17.25" thickBot="1">
      <c r="A16" s="287">
        <v>10</v>
      </c>
      <c r="B16" s="79" t="s">
        <v>148</v>
      </c>
      <c r="C16" s="87" t="s">
        <v>27</v>
      </c>
      <c r="D16" s="11">
        <f>D15</f>
        <v>3901576.388888889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35114187.5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491" t="s">
        <v>156</v>
      </c>
      <c r="E19" s="491"/>
    </row>
    <row r="20" spans="1:7">
      <c r="A20" s="501" t="s">
        <v>20</v>
      </c>
      <c r="B20" s="501"/>
      <c r="D20" s="502" t="s">
        <v>21</v>
      </c>
      <c r="E20" s="502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24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120" sqref="G120"/>
    </sheetView>
  </sheetViews>
  <sheetFormatPr defaultColWidth="4.7109375" defaultRowHeight="12.75"/>
  <cols>
    <col min="1" max="1" width="4.7109375" style="147" customWidth="1"/>
    <col min="2" max="2" width="10.42578125" style="229" customWidth="1"/>
    <col min="3" max="3" width="26.42578125" style="146" customWidth="1"/>
    <col min="4" max="4" width="8.5703125" style="426" customWidth="1"/>
    <col min="5" max="5" width="24.5703125" style="146" customWidth="1"/>
    <col min="6" max="6" width="13.5703125" style="316" bestFit="1" customWidth="1"/>
    <col min="7" max="7" width="11.42578125" style="229" bestFit="1" customWidth="1"/>
    <col min="8" max="8" width="12.85546875" style="147" bestFit="1" customWidth="1"/>
    <col min="9" max="9" width="9.5703125" style="147" customWidth="1"/>
    <col min="10" max="10" width="8.5703125" style="147" customWidth="1"/>
    <col min="11" max="11" width="10.140625" style="147" customWidth="1"/>
    <col min="12" max="245" width="9.140625" style="37" customWidth="1"/>
    <col min="246" max="246" width="5.140625" style="37" customWidth="1"/>
    <col min="247" max="247" width="4.7109375" style="37" customWidth="1"/>
    <col min="248" max="248" width="7.42578125" style="37" customWidth="1"/>
    <col min="249" max="250" width="23.85546875" style="37" customWidth="1"/>
    <col min="251" max="251" width="10.140625" style="37" customWidth="1"/>
    <col min="252" max="252" width="5.85546875" style="37" customWidth="1"/>
    <col min="253" max="253" width="4.7109375" style="37" customWidth="1"/>
    <col min="254" max="254" width="4.85546875" style="37" customWidth="1"/>
    <col min="255" max="255" width="16.140625" style="37" customWidth="1"/>
    <col min="256" max="256" width="9.7109375" style="37" customWidth="1"/>
    <col min="257" max="257" width="14.5703125" style="37" customWidth="1"/>
    <col min="258" max="258" width="10.7109375" style="37" customWidth="1"/>
    <col min="259" max="259" width="8.85546875" style="37" customWidth="1"/>
    <col min="260" max="260" width="11" style="37" customWidth="1"/>
    <col min="261" max="261" width="5.28515625" style="37" customWidth="1"/>
    <col min="262" max="262" width="10.28515625" style="37" customWidth="1"/>
    <col min="263" max="263" width="10.140625" style="37" customWidth="1"/>
    <col min="264" max="501" width="9.140625" style="37" customWidth="1"/>
    <col min="502" max="502" width="5.140625" style="37" customWidth="1"/>
    <col min="503" max="503" width="4.7109375" style="37" customWidth="1"/>
    <col min="504" max="504" width="7.42578125" style="37" customWidth="1"/>
    <col min="505" max="506" width="23.85546875" style="37" customWidth="1"/>
    <col min="507" max="507" width="10.140625" style="37" customWidth="1"/>
    <col min="508" max="508" width="5.85546875" style="37" customWidth="1"/>
    <col min="509" max="509" width="4.7109375" style="37" customWidth="1"/>
    <col min="510" max="510" width="4.85546875" style="37" customWidth="1"/>
    <col min="511" max="511" width="16.140625" style="37" customWidth="1"/>
    <col min="512" max="512" width="9.7109375" style="37" customWidth="1"/>
    <col min="513" max="513" width="14.5703125" style="37" customWidth="1"/>
    <col min="514" max="514" width="10.7109375" style="37" customWidth="1"/>
    <col min="515" max="515" width="8.85546875" style="37" customWidth="1"/>
    <col min="516" max="516" width="11" style="37" customWidth="1"/>
    <col min="517" max="517" width="5.28515625" style="37" customWidth="1"/>
    <col min="518" max="518" width="10.28515625" style="37" customWidth="1"/>
    <col min="519" max="519" width="10.140625" style="37" customWidth="1"/>
    <col min="520" max="757" width="9.140625" style="37" customWidth="1"/>
    <col min="758" max="758" width="5.140625" style="37" customWidth="1"/>
    <col min="759" max="759" width="4.7109375" style="37" customWidth="1"/>
    <col min="760" max="760" width="7.42578125" style="37" customWidth="1"/>
    <col min="761" max="762" width="23.85546875" style="37" customWidth="1"/>
    <col min="763" max="763" width="10.140625" style="37" customWidth="1"/>
    <col min="764" max="764" width="5.85546875" style="37" customWidth="1"/>
    <col min="765" max="765" width="4.7109375" style="37" customWidth="1"/>
    <col min="766" max="766" width="4.85546875" style="37" customWidth="1"/>
    <col min="767" max="767" width="16.140625" style="37" customWidth="1"/>
    <col min="768" max="768" width="9.7109375" style="37" customWidth="1"/>
    <col min="769" max="769" width="14.5703125" style="37" customWidth="1"/>
    <col min="770" max="770" width="10.7109375" style="37" customWidth="1"/>
    <col min="771" max="771" width="8.85546875" style="37" customWidth="1"/>
    <col min="772" max="772" width="11" style="37" customWidth="1"/>
    <col min="773" max="773" width="5.28515625" style="37" customWidth="1"/>
    <col min="774" max="774" width="10.28515625" style="37" customWidth="1"/>
    <col min="775" max="775" width="10.140625" style="37" customWidth="1"/>
    <col min="776" max="1013" width="9.140625" style="37" customWidth="1"/>
    <col min="1014" max="1014" width="5.140625" style="37" customWidth="1"/>
    <col min="1015" max="1015" width="4.7109375" style="37" customWidth="1"/>
    <col min="1016" max="1016" width="7.42578125" style="37" customWidth="1"/>
    <col min="1017" max="1018" width="23.85546875" style="37" customWidth="1"/>
    <col min="1019" max="1019" width="10.140625" style="37" customWidth="1"/>
    <col min="1020" max="1020" width="5.85546875" style="37" customWidth="1"/>
    <col min="1021" max="1021" width="4.7109375" style="37" customWidth="1"/>
    <col min="1022" max="1022" width="4.85546875" style="37" customWidth="1"/>
    <col min="1023" max="1023" width="16.140625" style="37" customWidth="1"/>
    <col min="1024" max="1024" width="9.7109375" style="37" customWidth="1"/>
    <col min="1025" max="1025" width="14.5703125" style="37" customWidth="1"/>
    <col min="1026" max="1026" width="10.7109375" style="37" customWidth="1"/>
    <col min="1027" max="1027" width="8.85546875" style="37" customWidth="1"/>
    <col min="1028" max="1028" width="11" style="37" customWidth="1"/>
    <col min="1029" max="1029" width="5.28515625" style="37" customWidth="1"/>
    <col min="1030" max="1030" width="10.28515625" style="37" customWidth="1"/>
    <col min="1031" max="1031" width="10.140625" style="37" customWidth="1"/>
    <col min="1032" max="1269" width="9.140625" style="37" customWidth="1"/>
    <col min="1270" max="1270" width="5.140625" style="37" customWidth="1"/>
    <col min="1271" max="1271" width="4.7109375" style="37" customWidth="1"/>
    <col min="1272" max="1272" width="7.42578125" style="37" customWidth="1"/>
    <col min="1273" max="1274" width="23.85546875" style="37" customWidth="1"/>
    <col min="1275" max="1275" width="10.140625" style="37" customWidth="1"/>
    <col min="1276" max="1276" width="5.85546875" style="37" customWidth="1"/>
    <col min="1277" max="1277" width="4.7109375" style="37" customWidth="1"/>
    <col min="1278" max="1278" width="4.85546875" style="37" customWidth="1"/>
    <col min="1279" max="1279" width="16.140625" style="37" customWidth="1"/>
    <col min="1280" max="1280" width="9.7109375" style="37" customWidth="1"/>
    <col min="1281" max="1281" width="14.5703125" style="37" customWidth="1"/>
    <col min="1282" max="1282" width="10.7109375" style="37" customWidth="1"/>
    <col min="1283" max="1283" width="8.85546875" style="37" customWidth="1"/>
    <col min="1284" max="1284" width="11" style="37" customWidth="1"/>
    <col min="1285" max="1285" width="5.28515625" style="37" customWidth="1"/>
    <col min="1286" max="1286" width="10.28515625" style="37" customWidth="1"/>
    <col min="1287" max="1287" width="10.140625" style="37" customWidth="1"/>
    <col min="1288" max="1525" width="9.140625" style="37" customWidth="1"/>
    <col min="1526" max="1526" width="5.140625" style="37" customWidth="1"/>
    <col min="1527" max="1527" width="4.7109375" style="37" customWidth="1"/>
    <col min="1528" max="1528" width="7.42578125" style="37" customWidth="1"/>
    <col min="1529" max="1530" width="23.85546875" style="37" customWidth="1"/>
    <col min="1531" max="1531" width="10.140625" style="37" customWidth="1"/>
    <col min="1532" max="1532" width="5.85546875" style="37" customWidth="1"/>
    <col min="1533" max="1533" width="4.7109375" style="37" customWidth="1"/>
    <col min="1534" max="1534" width="4.85546875" style="37" customWidth="1"/>
    <col min="1535" max="1535" width="16.140625" style="37" customWidth="1"/>
    <col min="1536" max="1536" width="9.7109375" style="37" customWidth="1"/>
    <col min="1537" max="1537" width="14.5703125" style="37" customWidth="1"/>
    <col min="1538" max="1538" width="10.7109375" style="37" customWidth="1"/>
    <col min="1539" max="1539" width="8.85546875" style="37" customWidth="1"/>
    <col min="1540" max="1540" width="11" style="37" customWidth="1"/>
    <col min="1541" max="1541" width="5.28515625" style="37" customWidth="1"/>
    <col min="1542" max="1542" width="10.28515625" style="37" customWidth="1"/>
    <col min="1543" max="1543" width="10.140625" style="37" customWidth="1"/>
    <col min="1544" max="1781" width="9.140625" style="37" customWidth="1"/>
    <col min="1782" max="1782" width="5.140625" style="37" customWidth="1"/>
    <col min="1783" max="1783" width="4.7109375" style="37" customWidth="1"/>
    <col min="1784" max="1784" width="7.42578125" style="37" customWidth="1"/>
    <col min="1785" max="1786" width="23.85546875" style="37" customWidth="1"/>
    <col min="1787" max="1787" width="10.140625" style="37" customWidth="1"/>
    <col min="1788" max="1788" width="5.85546875" style="37" customWidth="1"/>
    <col min="1789" max="1789" width="4.7109375" style="37" customWidth="1"/>
    <col min="1790" max="1790" width="4.85546875" style="37" customWidth="1"/>
    <col min="1791" max="1791" width="16.140625" style="37" customWidth="1"/>
    <col min="1792" max="1792" width="9.7109375" style="37" customWidth="1"/>
    <col min="1793" max="1793" width="14.5703125" style="37" customWidth="1"/>
    <col min="1794" max="1794" width="10.7109375" style="37" customWidth="1"/>
    <col min="1795" max="1795" width="8.85546875" style="37" customWidth="1"/>
    <col min="1796" max="1796" width="11" style="37" customWidth="1"/>
    <col min="1797" max="1797" width="5.28515625" style="37" customWidth="1"/>
    <col min="1798" max="1798" width="10.28515625" style="37" customWidth="1"/>
    <col min="1799" max="1799" width="10.140625" style="37" customWidth="1"/>
    <col min="1800" max="2037" width="9.140625" style="37" customWidth="1"/>
    <col min="2038" max="2038" width="5.140625" style="37" customWidth="1"/>
    <col min="2039" max="2039" width="4.7109375" style="37" customWidth="1"/>
    <col min="2040" max="2040" width="7.42578125" style="37" customWidth="1"/>
    <col min="2041" max="2042" width="23.85546875" style="37" customWidth="1"/>
    <col min="2043" max="2043" width="10.140625" style="37" customWidth="1"/>
    <col min="2044" max="2044" width="5.85546875" style="37" customWidth="1"/>
    <col min="2045" max="2045" width="4.7109375" style="37" customWidth="1"/>
    <col min="2046" max="2046" width="4.85546875" style="37" customWidth="1"/>
    <col min="2047" max="2047" width="16.140625" style="37" customWidth="1"/>
    <col min="2048" max="2048" width="9.7109375" style="37" customWidth="1"/>
    <col min="2049" max="2049" width="14.5703125" style="37" customWidth="1"/>
    <col min="2050" max="2050" width="10.7109375" style="37" customWidth="1"/>
    <col min="2051" max="2051" width="8.85546875" style="37" customWidth="1"/>
    <col min="2052" max="2052" width="11" style="37" customWidth="1"/>
    <col min="2053" max="2053" width="5.28515625" style="37" customWidth="1"/>
    <col min="2054" max="2054" width="10.28515625" style="37" customWidth="1"/>
    <col min="2055" max="2055" width="10.140625" style="37" customWidth="1"/>
    <col min="2056" max="2293" width="9.140625" style="37" customWidth="1"/>
    <col min="2294" max="2294" width="5.140625" style="37" customWidth="1"/>
    <col min="2295" max="2295" width="4.7109375" style="37" customWidth="1"/>
    <col min="2296" max="2296" width="7.42578125" style="37" customWidth="1"/>
    <col min="2297" max="2298" width="23.85546875" style="37" customWidth="1"/>
    <col min="2299" max="2299" width="10.140625" style="37" customWidth="1"/>
    <col min="2300" max="2300" width="5.85546875" style="37" customWidth="1"/>
    <col min="2301" max="2301" width="4.7109375" style="37" customWidth="1"/>
    <col min="2302" max="2302" width="4.85546875" style="37" customWidth="1"/>
    <col min="2303" max="2303" width="16.140625" style="37" customWidth="1"/>
    <col min="2304" max="2304" width="9.7109375" style="37" customWidth="1"/>
    <col min="2305" max="2305" width="14.5703125" style="37" customWidth="1"/>
    <col min="2306" max="2306" width="10.7109375" style="37" customWidth="1"/>
    <col min="2307" max="2307" width="8.85546875" style="37" customWidth="1"/>
    <col min="2308" max="2308" width="11" style="37" customWidth="1"/>
    <col min="2309" max="2309" width="5.28515625" style="37" customWidth="1"/>
    <col min="2310" max="2310" width="10.28515625" style="37" customWidth="1"/>
    <col min="2311" max="2311" width="10.140625" style="37" customWidth="1"/>
    <col min="2312" max="2549" width="9.140625" style="37" customWidth="1"/>
    <col min="2550" max="2550" width="5.140625" style="37" customWidth="1"/>
    <col min="2551" max="2551" width="4.7109375" style="37" customWidth="1"/>
    <col min="2552" max="2552" width="7.42578125" style="37" customWidth="1"/>
    <col min="2553" max="2554" width="23.85546875" style="37" customWidth="1"/>
    <col min="2555" max="2555" width="10.140625" style="37" customWidth="1"/>
    <col min="2556" max="2556" width="5.85546875" style="37" customWidth="1"/>
    <col min="2557" max="2557" width="4.7109375" style="37" customWidth="1"/>
    <col min="2558" max="2558" width="4.85546875" style="37" customWidth="1"/>
    <col min="2559" max="2559" width="16.140625" style="37" customWidth="1"/>
    <col min="2560" max="2560" width="9.7109375" style="37" customWidth="1"/>
    <col min="2561" max="2561" width="14.5703125" style="37" customWidth="1"/>
    <col min="2562" max="2562" width="10.7109375" style="37" customWidth="1"/>
    <col min="2563" max="2563" width="8.85546875" style="37" customWidth="1"/>
    <col min="2564" max="2564" width="11" style="37" customWidth="1"/>
    <col min="2565" max="2565" width="5.28515625" style="37" customWidth="1"/>
    <col min="2566" max="2566" width="10.28515625" style="37" customWidth="1"/>
    <col min="2567" max="2567" width="10.140625" style="37" customWidth="1"/>
    <col min="2568" max="2805" width="9.140625" style="37" customWidth="1"/>
    <col min="2806" max="2806" width="5.140625" style="37" customWidth="1"/>
    <col min="2807" max="2807" width="4.7109375" style="37" customWidth="1"/>
    <col min="2808" max="2808" width="7.42578125" style="37" customWidth="1"/>
    <col min="2809" max="2810" width="23.85546875" style="37" customWidth="1"/>
    <col min="2811" max="2811" width="10.140625" style="37" customWidth="1"/>
    <col min="2812" max="2812" width="5.85546875" style="37" customWidth="1"/>
    <col min="2813" max="2813" width="4.7109375" style="37" customWidth="1"/>
    <col min="2814" max="2814" width="4.85546875" style="37" customWidth="1"/>
    <col min="2815" max="2815" width="16.140625" style="37" customWidth="1"/>
    <col min="2816" max="2816" width="9.7109375" style="37" customWidth="1"/>
    <col min="2817" max="2817" width="14.5703125" style="37" customWidth="1"/>
    <col min="2818" max="2818" width="10.7109375" style="37" customWidth="1"/>
    <col min="2819" max="2819" width="8.85546875" style="37" customWidth="1"/>
    <col min="2820" max="2820" width="11" style="37" customWidth="1"/>
    <col min="2821" max="2821" width="5.28515625" style="37" customWidth="1"/>
    <col min="2822" max="2822" width="10.28515625" style="37" customWidth="1"/>
    <col min="2823" max="2823" width="10.140625" style="37" customWidth="1"/>
    <col min="2824" max="3061" width="9.140625" style="37" customWidth="1"/>
    <col min="3062" max="3062" width="5.140625" style="37" customWidth="1"/>
    <col min="3063" max="3063" width="4.7109375" style="37" customWidth="1"/>
    <col min="3064" max="3064" width="7.42578125" style="37" customWidth="1"/>
    <col min="3065" max="3066" width="23.85546875" style="37" customWidth="1"/>
    <col min="3067" max="3067" width="10.140625" style="37" customWidth="1"/>
    <col min="3068" max="3068" width="5.85546875" style="37" customWidth="1"/>
    <col min="3069" max="3069" width="4.7109375" style="37" customWidth="1"/>
    <col min="3070" max="3070" width="4.85546875" style="37" customWidth="1"/>
    <col min="3071" max="3071" width="16.140625" style="37" customWidth="1"/>
    <col min="3072" max="3072" width="9.7109375" style="37" customWidth="1"/>
    <col min="3073" max="3073" width="14.5703125" style="37" customWidth="1"/>
    <col min="3074" max="3074" width="10.7109375" style="37" customWidth="1"/>
    <col min="3075" max="3075" width="8.85546875" style="37" customWidth="1"/>
    <col min="3076" max="3076" width="11" style="37" customWidth="1"/>
    <col min="3077" max="3077" width="5.28515625" style="37" customWidth="1"/>
    <col min="3078" max="3078" width="10.28515625" style="37" customWidth="1"/>
    <col min="3079" max="3079" width="10.140625" style="37" customWidth="1"/>
    <col min="3080" max="3317" width="9.140625" style="37" customWidth="1"/>
    <col min="3318" max="3318" width="5.140625" style="37" customWidth="1"/>
    <col min="3319" max="3319" width="4.7109375" style="37" customWidth="1"/>
    <col min="3320" max="3320" width="7.42578125" style="37" customWidth="1"/>
    <col min="3321" max="3322" width="23.85546875" style="37" customWidth="1"/>
    <col min="3323" max="3323" width="10.140625" style="37" customWidth="1"/>
    <col min="3324" max="3324" width="5.85546875" style="37" customWidth="1"/>
    <col min="3325" max="3325" width="4.7109375" style="37" customWidth="1"/>
    <col min="3326" max="3326" width="4.85546875" style="37" customWidth="1"/>
    <col min="3327" max="3327" width="16.140625" style="37" customWidth="1"/>
    <col min="3328" max="3328" width="9.7109375" style="37" customWidth="1"/>
    <col min="3329" max="3329" width="14.5703125" style="37" customWidth="1"/>
    <col min="3330" max="3330" width="10.7109375" style="37" customWidth="1"/>
    <col min="3331" max="3331" width="8.85546875" style="37" customWidth="1"/>
    <col min="3332" max="3332" width="11" style="37" customWidth="1"/>
    <col min="3333" max="3333" width="5.28515625" style="37" customWidth="1"/>
    <col min="3334" max="3334" width="10.28515625" style="37" customWidth="1"/>
    <col min="3335" max="3335" width="10.140625" style="37" customWidth="1"/>
    <col min="3336" max="3573" width="9.140625" style="37" customWidth="1"/>
    <col min="3574" max="3574" width="5.140625" style="37" customWidth="1"/>
    <col min="3575" max="3575" width="4.7109375" style="37" customWidth="1"/>
    <col min="3576" max="3576" width="7.42578125" style="37" customWidth="1"/>
    <col min="3577" max="3578" width="23.85546875" style="37" customWidth="1"/>
    <col min="3579" max="3579" width="10.140625" style="37" customWidth="1"/>
    <col min="3580" max="3580" width="5.85546875" style="37" customWidth="1"/>
    <col min="3581" max="3581" width="4.7109375" style="37" customWidth="1"/>
    <col min="3582" max="3582" width="4.85546875" style="37" customWidth="1"/>
    <col min="3583" max="3583" width="16.140625" style="37" customWidth="1"/>
    <col min="3584" max="3584" width="9.7109375" style="37" customWidth="1"/>
    <col min="3585" max="3585" width="14.5703125" style="37" customWidth="1"/>
    <col min="3586" max="3586" width="10.7109375" style="37" customWidth="1"/>
    <col min="3587" max="3587" width="8.85546875" style="37" customWidth="1"/>
    <col min="3588" max="3588" width="11" style="37" customWidth="1"/>
    <col min="3589" max="3589" width="5.28515625" style="37" customWidth="1"/>
    <col min="3590" max="3590" width="10.28515625" style="37" customWidth="1"/>
    <col min="3591" max="3591" width="10.140625" style="37" customWidth="1"/>
    <col min="3592" max="3829" width="9.140625" style="37" customWidth="1"/>
    <col min="3830" max="3830" width="5.140625" style="37" customWidth="1"/>
    <col min="3831" max="3831" width="4.7109375" style="37" customWidth="1"/>
    <col min="3832" max="3832" width="7.42578125" style="37" customWidth="1"/>
    <col min="3833" max="3834" width="23.85546875" style="37" customWidth="1"/>
    <col min="3835" max="3835" width="10.140625" style="37" customWidth="1"/>
    <col min="3836" max="3836" width="5.85546875" style="37" customWidth="1"/>
    <col min="3837" max="3837" width="4.7109375" style="37" customWidth="1"/>
    <col min="3838" max="3838" width="4.85546875" style="37" customWidth="1"/>
    <col min="3839" max="3839" width="16.140625" style="37" customWidth="1"/>
    <col min="3840" max="3840" width="9.7109375" style="37" customWidth="1"/>
    <col min="3841" max="3841" width="14.5703125" style="37" customWidth="1"/>
    <col min="3842" max="3842" width="10.7109375" style="37" customWidth="1"/>
    <col min="3843" max="3843" width="8.85546875" style="37" customWidth="1"/>
    <col min="3844" max="3844" width="11" style="37" customWidth="1"/>
    <col min="3845" max="3845" width="5.28515625" style="37" customWidth="1"/>
    <col min="3846" max="3846" width="10.28515625" style="37" customWidth="1"/>
    <col min="3847" max="3847" width="10.140625" style="37" customWidth="1"/>
    <col min="3848" max="4085" width="9.140625" style="37" customWidth="1"/>
    <col min="4086" max="4086" width="5.140625" style="37" customWidth="1"/>
    <col min="4087" max="4087" width="4.7109375" style="37" customWidth="1"/>
    <col min="4088" max="4088" width="7.42578125" style="37" customWidth="1"/>
    <col min="4089" max="4090" width="23.85546875" style="37" customWidth="1"/>
    <col min="4091" max="4091" width="10.140625" style="37" customWidth="1"/>
    <col min="4092" max="4092" width="5.85546875" style="37" customWidth="1"/>
    <col min="4093" max="4093" width="4.7109375" style="37" customWidth="1"/>
    <col min="4094" max="4094" width="4.85546875" style="37" customWidth="1"/>
    <col min="4095" max="4095" width="16.140625" style="37" customWidth="1"/>
    <col min="4096" max="4096" width="9.7109375" style="37" customWidth="1"/>
    <col min="4097" max="4097" width="14.5703125" style="37" customWidth="1"/>
    <col min="4098" max="4098" width="10.7109375" style="37" customWidth="1"/>
    <col min="4099" max="4099" width="8.85546875" style="37" customWidth="1"/>
    <col min="4100" max="4100" width="11" style="37" customWidth="1"/>
    <col min="4101" max="4101" width="5.28515625" style="37" customWidth="1"/>
    <col min="4102" max="4102" width="10.28515625" style="37" customWidth="1"/>
    <col min="4103" max="4103" width="10.140625" style="37" customWidth="1"/>
    <col min="4104" max="4341" width="9.140625" style="37" customWidth="1"/>
    <col min="4342" max="4342" width="5.140625" style="37" customWidth="1"/>
    <col min="4343" max="4343" width="4.7109375" style="37" customWidth="1"/>
    <col min="4344" max="4344" width="7.42578125" style="37" customWidth="1"/>
    <col min="4345" max="4346" width="23.85546875" style="37" customWidth="1"/>
    <col min="4347" max="4347" width="10.140625" style="37" customWidth="1"/>
    <col min="4348" max="4348" width="5.85546875" style="37" customWidth="1"/>
    <col min="4349" max="4349" width="4.7109375" style="37" customWidth="1"/>
    <col min="4350" max="4350" width="4.85546875" style="37" customWidth="1"/>
    <col min="4351" max="4351" width="16.140625" style="37" customWidth="1"/>
    <col min="4352" max="4352" width="9.7109375" style="37" customWidth="1"/>
    <col min="4353" max="4353" width="14.5703125" style="37" customWidth="1"/>
    <col min="4354" max="4354" width="10.7109375" style="37" customWidth="1"/>
    <col min="4355" max="4355" width="8.85546875" style="37" customWidth="1"/>
    <col min="4356" max="4356" width="11" style="37" customWidth="1"/>
    <col min="4357" max="4357" width="5.28515625" style="37" customWidth="1"/>
    <col min="4358" max="4358" width="10.28515625" style="37" customWidth="1"/>
    <col min="4359" max="4359" width="10.140625" style="37" customWidth="1"/>
    <col min="4360" max="4597" width="9.140625" style="37" customWidth="1"/>
    <col min="4598" max="4598" width="5.140625" style="37" customWidth="1"/>
    <col min="4599" max="4599" width="4.7109375" style="37" customWidth="1"/>
    <col min="4600" max="4600" width="7.42578125" style="37" customWidth="1"/>
    <col min="4601" max="4602" width="23.85546875" style="37" customWidth="1"/>
    <col min="4603" max="4603" width="10.140625" style="37" customWidth="1"/>
    <col min="4604" max="4604" width="5.85546875" style="37" customWidth="1"/>
    <col min="4605" max="4605" width="4.7109375" style="37" customWidth="1"/>
    <col min="4606" max="4606" width="4.85546875" style="37" customWidth="1"/>
    <col min="4607" max="4607" width="16.140625" style="37" customWidth="1"/>
    <col min="4608" max="4608" width="9.7109375" style="37" customWidth="1"/>
    <col min="4609" max="4609" width="14.5703125" style="37" customWidth="1"/>
    <col min="4610" max="4610" width="10.7109375" style="37" customWidth="1"/>
    <col min="4611" max="4611" width="8.85546875" style="37" customWidth="1"/>
    <col min="4612" max="4612" width="11" style="37" customWidth="1"/>
    <col min="4613" max="4613" width="5.28515625" style="37" customWidth="1"/>
    <col min="4614" max="4614" width="10.28515625" style="37" customWidth="1"/>
    <col min="4615" max="4615" width="10.140625" style="37" customWidth="1"/>
    <col min="4616" max="4853" width="9.140625" style="37" customWidth="1"/>
    <col min="4854" max="4854" width="5.140625" style="37" customWidth="1"/>
    <col min="4855" max="4855" width="4.7109375" style="37" customWidth="1"/>
    <col min="4856" max="4856" width="7.42578125" style="37" customWidth="1"/>
    <col min="4857" max="4858" width="23.85546875" style="37" customWidth="1"/>
    <col min="4859" max="4859" width="10.140625" style="37" customWidth="1"/>
    <col min="4860" max="4860" width="5.85546875" style="37" customWidth="1"/>
    <col min="4861" max="4861" width="4.7109375" style="37" customWidth="1"/>
    <col min="4862" max="4862" width="4.85546875" style="37" customWidth="1"/>
    <col min="4863" max="4863" width="16.140625" style="37" customWidth="1"/>
    <col min="4864" max="4864" width="9.7109375" style="37" customWidth="1"/>
    <col min="4865" max="4865" width="14.5703125" style="37" customWidth="1"/>
    <col min="4866" max="4866" width="10.7109375" style="37" customWidth="1"/>
    <col min="4867" max="4867" width="8.85546875" style="37" customWidth="1"/>
    <col min="4868" max="4868" width="11" style="37" customWidth="1"/>
    <col min="4869" max="4869" width="5.28515625" style="37" customWidth="1"/>
    <col min="4870" max="4870" width="10.28515625" style="37" customWidth="1"/>
    <col min="4871" max="4871" width="10.140625" style="37" customWidth="1"/>
    <col min="4872" max="5109" width="9.140625" style="37" customWidth="1"/>
    <col min="5110" max="5110" width="5.140625" style="37" customWidth="1"/>
    <col min="5111" max="5111" width="4.7109375" style="37" customWidth="1"/>
    <col min="5112" max="5112" width="7.42578125" style="37" customWidth="1"/>
    <col min="5113" max="5114" width="23.85546875" style="37" customWidth="1"/>
    <col min="5115" max="5115" width="10.140625" style="37" customWidth="1"/>
    <col min="5116" max="5116" width="5.85546875" style="37" customWidth="1"/>
    <col min="5117" max="5117" width="4.7109375" style="37" customWidth="1"/>
    <col min="5118" max="5118" width="4.85546875" style="37" customWidth="1"/>
    <col min="5119" max="5119" width="16.140625" style="37" customWidth="1"/>
    <col min="5120" max="5120" width="9.7109375" style="37" customWidth="1"/>
    <col min="5121" max="5121" width="14.5703125" style="37" customWidth="1"/>
    <col min="5122" max="5122" width="10.7109375" style="37" customWidth="1"/>
    <col min="5123" max="5123" width="8.85546875" style="37" customWidth="1"/>
    <col min="5124" max="5124" width="11" style="37" customWidth="1"/>
    <col min="5125" max="5125" width="5.28515625" style="37" customWidth="1"/>
    <col min="5126" max="5126" width="10.28515625" style="37" customWidth="1"/>
    <col min="5127" max="5127" width="10.140625" style="37" customWidth="1"/>
    <col min="5128" max="5365" width="9.140625" style="37" customWidth="1"/>
    <col min="5366" max="5366" width="5.140625" style="37" customWidth="1"/>
    <col min="5367" max="5367" width="4.7109375" style="37" customWidth="1"/>
    <col min="5368" max="5368" width="7.42578125" style="37" customWidth="1"/>
    <col min="5369" max="5370" width="23.85546875" style="37" customWidth="1"/>
    <col min="5371" max="5371" width="10.140625" style="37" customWidth="1"/>
    <col min="5372" max="5372" width="5.85546875" style="37" customWidth="1"/>
    <col min="5373" max="5373" width="4.7109375" style="37" customWidth="1"/>
    <col min="5374" max="5374" width="4.85546875" style="37" customWidth="1"/>
    <col min="5375" max="5375" width="16.140625" style="37" customWidth="1"/>
    <col min="5376" max="5376" width="9.7109375" style="37" customWidth="1"/>
    <col min="5377" max="5377" width="14.5703125" style="37" customWidth="1"/>
    <col min="5378" max="5378" width="10.7109375" style="37" customWidth="1"/>
    <col min="5379" max="5379" width="8.85546875" style="37" customWidth="1"/>
    <col min="5380" max="5380" width="11" style="37" customWidth="1"/>
    <col min="5381" max="5381" width="5.28515625" style="37" customWidth="1"/>
    <col min="5382" max="5382" width="10.28515625" style="37" customWidth="1"/>
    <col min="5383" max="5383" width="10.140625" style="37" customWidth="1"/>
    <col min="5384" max="5621" width="9.140625" style="37" customWidth="1"/>
    <col min="5622" max="5622" width="5.140625" style="37" customWidth="1"/>
    <col min="5623" max="5623" width="4.7109375" style="37" customWidth="1"/>
    <col min="5624" max="5624" width="7.42578125" style="37" customWidth="1"/>
    <col min="5625" max="5626" width="23.85546875" style="37" customWidth="1"/>
    <col min="5627" max="5627" width="10.140625" style="37" customWidth="1"/>
    <col min="5628" max="5628" width="5.85546875" style="37" customWidth="1"/>
    <col min="5629" max="5629" width="4.7109375" style="37" customWidth="1"/>
    <col min="5630" max="5630" width="4.85546875" style="37" customWidth="1"/>
    <col min="5631" max="5631" width="16.140625" style="37" customWidth="1"/>
    <col min="5632" max="5632" width="9.7109375" style="37" customWidth="1"/>
    <col min="5633" max="5633" width="14.5703125" style="37" customWidth="1"/>
    <col min="5634" max="5634" width="10.7109375" style="37" customWidth="1"/>
    <col min="5635" max="5635" width="8.85546875" style="37" customWidth="1"/>
    <col min="5636" max="5636" width="11" style="37" customWidth="1"/>
    <col min="5637" max="5637" width="5.28515625" style="37" customWidth="1"/>
    <col min="5638" max="5638" width="10.28515625" style="37" customWidth="1"/>
    <col min="5639" max="5639" width="10.140625" style="37" customWidth="1"/>
    <col min="5640" max="5877" width="9.140625" style="37" customWidth="1"/>
    <col min="5878" max="5878" width="5.140625" style="37" customWidth="1"/>
    <col min="5879" max="5879" width="4.7109375" style="37" customWidth="1"/>
    <col min="5880" max="5880" width="7.42578125" style="37" customWidth="1"/>
    <col min="5881" max="5882" width="23.85546875" style="37" customWidth="1"/>
    <col min="5883" max="5883" width="10.140625" style="37" customWidth="1"/>
    <col min="5884" max="5884" width="5.85546875" style="37" customWidth="1"/>
    <col min="5885" max="5885" width="4.7109375" style="37" customWidth="1"/>
    <col min="5886" max="5886" width="4.85546875" style="37" customWidth="1"/>
    <col min="5887" max="5887" width="16.140625" style="37" customWidth="1"/>
    <col min="5888" max="5888" width="9.7109375" style="37" customWidth="1"/>
    <col min="5889" max="5889" width="14.5703125" style="37" customWidth="1"/>
    <col min="5890" max="5890" width="10.7109375" style="37" customWidth="1"/>
    <col min="5891" max="5891" width="8.85546875" style="37" customWidth="1"/>
    <col min="5892" max="5892" width="11" style="37" customWidth="1"/>
    <col min="5893" max="5893" width="5.28515625" style="37" customWidth="1"/>
    <col min="5894" max="5894" width="10.28515625" style="37" customWidth="1"/>
    <col min="5895" max="5895" width="10.140625" style="37" customWidth="1"/>
    <col min="5896" max="6133" width="9.140625" style="37" customWidth="1"/>
    <col min="6134" max="6134" width="5.140625" style="37" customWidth="1"/>
    <col min="6135" max="6135" width="4.7109375" style="37" customWidth="1"/>
    <col min="6136" max="6136" width="7.42578125" style="37" customWidth="1"/>
    <col min="6137" max="6138" width="23.85546875" style="37" customWidth="1"/>
    <col min="6139" max="6139" width="10.140625" style="37" customWidth="1"/>
    <col min="6140" max="6140" width="5.85546875" style="37" customWidth="1"/>
    <col min="6141" max="6141" width="4.7109375" style="37" customWidth="1"/>
    <col min="6142" max="6142" width="4.85546875" style="37" customWidth="1"/>
    <col min="6143" max="6143" width="16.140625" style="37" customWidth="1"/>
    <col min="6144" max="6144" width="9.7109375" style="37" customWidth="1"/>
    <col min="6145" max="6145" width="14.5703125" style="37" customWidth="1"/>
    <col min="6146" max="6146" width="10.7109375" style="37" customWidth="1"/>
    <col min="6147" max="6147" width="8.85546875" style="37" customWidth="1"/>
    <col min="6148" max="6148" width="11" style="37" customWidth="1"/>
    <col min="6149" max="6149" width="5.28515625" style="37" customWidth="1"/>
    <col min="6150" max="6150" width="10.28515625" style="37" customWidth="1"/>
    <col min="6151" max="6151" width="10.140625" style="37" customWidth="1"/>
    <col min="6152" max="6389" width="9.140625" style="37" customWidth="1"/>
    <col min="6390" max="6390" width="5.140625" style="37" customWidth="1"/>
    <col min="6391" max="6391" width="4.7109375" style="37" customWidth="1"/>
    <col min="6392" max="6392" width="7.42578125" style="37" customWidth="1"/>
    <col min="6393" max="6394" width="23.85546875" style="37" customWidth="1"/>
    <col min="6395" max="6395" width="10.140625" style="37" customWidth="1"/>
    <col min="6396" max="6396" width="5.85546875" style="37" customWidth="1"/>
    <col min="6397" max="6397" width="4.7109375" style="37" customWidth="1"/>
    <col min="6398" max="6398" width="4.85546875" style="37" customWidth="1"/>
    <col min="6399" max="6399" width="16.140625" style="37" customWidth="1"/>
    <col min="6400" max="6400" width="9.7109375" style="37" customWidth="1"/>
    <col min="6401" max="6401" width="14.5703125" style="37" customWidth="1"/>
    <col min="6402" max="6402" width="10.7109375" style="37" customWidth="1"/>
    <col min="6403" max="6403" width="8.85546875" style="37" customWidth="1"/>
    <col min="6404" max="6404" width="11" style="37" customWidth="1"/>
    <col min="6405" max="6405" width="5.28515625" style="37" customWidth="1"/>
    <col min="6406" max="6406" width="10.28515625" style="37" customWidth="1"/>
    <col min="6407" max="6407" width="10.140625" style="37" customWidth="1"/>
    <col min="6408" max="6645" width="9.140625" style="37" customWidth="1"/>
    <col min="6646" max="6646" width="5.140625" style="37" customWidth="1"/>
    <col min="6647" max="6647" width="4.7109375" style="37" customWidth="1"/>
    <col min="6648" max="6648" width="7.42578125" style="37" customWidth="1"/>
    <col min="6649" max="6650" width="23.85546875" style="37" customWidth="1"/>
    <col min="6651" max="6651" width="10.140625" style="37" customWidth="1"/>
    <col min="6652" max="6652" width="5.85546875" style="37" customWidth="1"/>
    <col min="6653" max="6653" width="4.7109375" style="37" customWidth="1"/>
    <col min="6654" max="6654" width="4.85546875" style="37" customWidth="1"/>
    <col min="6655" max="6655" width="16.140625" style="37" customWidth="1"/>
    <col min="6656" max="6656" width="9.7109375" style="37" customWidth="1"/>
    <col min="6657" max="6657" width="14.5703125" style="37" customWidth="1"/>
    <col min="6658" max="6658" width="10.7109375" style="37" customWidth="1"/>
    <col min="6659" max="6659" width="8.85546875" style="37" customWidth="1"/>
    <col min="6660" max="6660" width="11" style="37" customWidth="1"/>
    <col min="6661" max="6661" width="5.28515625" style="37" customWidth="1"/>
    <col min="6662" max="6662" width="10.28515625" style="37" customWidth="1"/>
    <col min="6663" max="6663" width="10.140625" style="37" customWidth="1"/>
    <col min="6664" max="6901" width="9.140625" style="37" customWidth="1"/>
    <col min="6902" max="6902" width="5.140625" style="37" customWidth="1"/>
    <col min="6903" max="6903" width="4.7109375" style="37" customWidth="1"/>
    <col min="6904" max="6904" width="7.42578125" style="37" customWidth="1"/>
    <col min="6905" max="6906" width="23.85546875" style="37" customWidth="1"/>
    <col min="6907" max="6907" width="10.140625" style="37" customWidth="1"/>
    <col min="6908" max="6908" width="5.85546875" style="37" customWidth="1"/>
    <col min="6909" max="6909" width="4.7109375" style="37" customWidth="1"/>
    <col min="6910" max="6910" width="4.85546875" style="37" customWidth="1"/>
    <col min="6911" max="6911" width="16.140625" style="37" customWidth="1"/>
    <col min="6912" max="6912" width="9.7109375" style="37" customWidth="1"/>
    <col min="6913" max="6913" width="14.5703125" style="37" customWidth="1"/>
    <col min="6914" max="6914" width="10.7109375" style="37" customWidth="1"/>
    <col min="6915" max="6915" width="8.85546875" style="37" customWidth="1"/>
    <col min="6916" max="6916" width="11" style="37" customWidth="1"/>
    <col min="6917" max="6917" width="5.28515625" style="37" customWidth="1"/>
    <col min="6918" max="6918" width="10.28515625" style="37" customWidth="1"/>
    <col min="6919" max="6919" width="10.140625" style="37" customWidth="1"/>
    <col min="6920" max="7157" width="9.140625" style="37" customWidth="1"/>
    <col min="7158" max="7158" width="5.140625" style="37" customWidth="1"/>
    <col min="7159" max="7159" width="4.7109375" style="37" customWidth="1"/>
    <col min="7160" max="7160" width="7.42578125" style="37" customWidth="1"/>
    <col min="7161" max="7162" width="23.85546875" style="37" customWidth="1"/>
    <col min="7163" max="7163" width="10.140625" style="37" customWidth="1"/>
    <col min="7164" max="7164" width="5.85546875" style="37" customWidth="1"/>
    <col min="7165" max="7165" width="4.7109375" style="37" customWidth="1"/>
    <col min="7166" max="7166" width="4.85546875" style="37" customWidth="1"/>
    <col min="7167" max="7167" width="16.140625" style="37" customWidth="1"/>
    <col min="7168" max="7168" width="9.7109375" style="37" customWidth="1"/>
    <col min="7169" max="7169" width="14.5703125" style="37" customWidth="1"/>
    <col min="7170" max="7170" width="10.7109375" style="37" customWidth="1"/>
    <col min="7171" max="7171" width="8.85546875" style="37" customWidth="1"/>
    <col min="7172" max="7172" width="11" style="37" customWidth="1"/>
    <col min="7173" max="7173" width="5.28515625" style="37" customWidth="1"/>
    <col min="7174" max="7174" width="10.28515625" style="37" customWidth="1"/>
    <col min="7175" max="7175" width="10.140625" style="37" customWidth="1"/>
    <col min="7176" max="7413" width="9.140625" style="37" customWidth="1"/>
    <col min="7414" max="7414" width="5.140625" style="37" customWidth="1"/>
    <col min="7415" max="7415" width="4.7109375" style="37" customWidth="1"/>
    <col min="7416" max="7416" width="7.42578125" style="37" customWidth="1"/>
    <col min="7417" max="7418" width="23.85546875" style="37" customWidth="1"/>
    <col min="7419" max="7419" width="10.140625" style="37" customWidth="1"/>
    <col min="7420" max="7420" width="5.85546875" style="37" customWidth="1"/>
    <col min="7421" max="7421" width="4.7109375" style="37" customWidth="1"/>
    <col min="7422" max="7422" width="4.85546875" style="37" customWidth="1"/>
    <col min="7423" max="7423" width="16.140625" style="37" customWidth="1"/>
    <col min="7424" max="7424" width="9.7109375" style="37" customWidth="1"/>
    <col min="7425" max="7425" width="14.5703125" style="37" customWidth="1"/>
    <col min="7426" max="7426" width="10.7109375" style="37" customWidth="1"/>
    <col min="7427" max="7427" width="8.85546875" style="37" customWidth="1"/>
    <col min="7428" max="7428" width="11" style="37" customWidth="1"/>
    <col min="7429" max="7429" width="5.28515625" style="37" customWidth="1"/>
    <col min="7430" max="7430" width="10.28515625" style="37" customWidth="1"/>
    <col min="7431" max="7431" width="10.140625" style="37" customWidth="1"/>
    <col min="7432" max="7669" width="9.140625" style="37" customWidth="1"/>
    <col min="7670" max="7670" width="5.140625" style="37" customWidth="1"/>
    <col min="7671" max="7671" width="4.7109375" style="37" customWidth="1"/>
    <col min="7672" max="7672" width="7.42578125" style="37" customWidth="1"/>
    <col min="7673" max="7674" width="23.85546875" style="37" customWidth="1"/>
    <col min="7675" max="7675" width="10.140625" style="37" customWidth="1"/>
    <col min="7676" max="7676" width="5.85546875" style="37" customWidth="1"/>
    <col min="7677" max="7677" width="4.7109375" style="37" customWidth="1"/>
    <col min="7678" max="7678" width="4.85546875" style="37" customWidth="1"/>
    <col min="7679" max="7679" width="16.140625" style="37" customWidth="1"/>
    <col min="7680" max="7680" width="9.7109375" style="37" customWidth="1"/>
    <col min="7681" max="7681" width="14.5703125" style="37" customWidth="1"/>
    <col min="7682" max="7682" width="10.7109375" style="37" customWidth="1"/>
    <col min="7683" max="7683" width="8.85546875" style="37" customWidth="1"/>
    <col min="7684" max="7684" width="11" style="37" customWidth="1"/>
    <col min="7685" max="7685" width="5.28515625" style="37" customWidth="1"/>
    <col min="7686" max="7686" width="10.28515625" style="37" customWidth="1"/>
    <col min="7687" max="7687" width="10.140625" style="37" customWidth="1"/>
    <col min="7688" max="7925" width="9.140625" style="37" customWidth="1"/>
    <col min="7926" max="7926" width="5.140625" style="37" customWidth="1"/>
    <col min="7927" max="7927" width="4.7109375" style="37" customWidth="1"/>
    <col min="7928" max="7928" width="7.42578125" style="37" customWidth="1"/>
    <col min="7929" max="7930" width="23.85546875" style="37" customWidth="1"/>
    <col min="7931" max="7931" width="10.140625" style="37" customWidth="1"/>
    <col min="7932" max="7932" width="5.85546875" style="37" customWidth="1"/>
    <col min="7933" max="7933" width="4.7109375" style="37" customWidth="1"/>
    <col min="7934" max="7934" width="4.85546875" style="37" customWidth="1"/>
    <col min="7935" max="7935" width="16.140625" style="37" customWidth="1"/>
    <col min="7936" max="7936" width="9.7109375" style="37" customWidth="1"/>
    <col min="7937" max="7937" width="14.5703125" style="37" customWidth="1"/>
    <col min="7938" max="7938" width="10.7109375" style="37" customWidth="1"/>
    <col min="7939" max="7939" width="8.85546875" style="37" customWidth="1"/>
    <col min="7940" max="7940" width="11" style="37" customWidth="1"/>
    <col min="7941" max="7941" width="5.28515625" style="37" customWidth="1"/>
    <col min="7942" max="7942" width="10.28515625" style="37" customWidth="1"/>
    <col min="7943" max="7943" width="10.140625" style="37" customWidth="1"/>
    <col min="7944" max="8181" width="9.140625" style="37" customWidth="1"/>
    <col min="8182" max="8182" width="5.140625" style="37" customWidth="1"/>
    <col min="8183" max="8183" width="4.7109375" style="37" customWidth="1"/>
    <col min="8184" max="8184" width="7.42578125" style="37" customWidth="1"/>
    <col min="8185" max="8186" width="23.85546875" style="37" customWidth="1"/>
    <col min="8187" max="8187" width="10.140625" style="37" customWidth="1"/>
    <col min="8188" max="8188" width="5.85546875" style="37" customWidth="1"/>
    <col min="8189" max="8189" width="4.7109375" style="37" customWidth="1"/>
    <col min="8190" max="8190" width="4.85546875" style="37" customWidth="1"/>
    <col min="8191" max="8191" width="16.140625" style="37" customWidth="1"/>
    <col min="8192" max="8192" width="9.7109375" style="37" customWidth="1"/>
    <col min="8193" max="8193" width="14.5703125" style="37" customWidth="1"/>
    <col min="8194" max="8194" width="10.7109375" style="37" customWidth="1"/>
    <col min="8195" max="8195" width="8.85546875" style="37" customWidth="1"/>
    <col min="8196" max="8196" width="11" style="37" customWidth="1"/>
    <col min="8197" max="8197" width="5.28515625" style="37" customWidth="1"/>
    <col min="8198" max="8198" width="10.28515625" style="37" customWidth="1"/>
    <col min="8199" max="8199" width="10.140625" style="37" customWidth="1"/>
    <col min="8200" max="8437" width="9.140625" style="37" customWidth="1"/>
    <col min="8438" max="8438" width="5.140625" style="37" customWidth="1"/>
    <col min="8439" max="8439" width="4.7109375" style="37" customWidth="1"/>
    <col min="8440" max="8440" width="7.42578125" style="37" customWidth="1"/>
    <col min="8441" max="8442" width="23.85546875" style="37" customWidth="1"/>
    <col min="8443" max="8443" width="10.140625" style="37" customWidth="1"/>
    <col min="8444" max="8444" width="5.85546875" style="37" customWidth="1"/>
    <col min="8445" max="8445" width="4.7109375" style="37" customWidth="1"/>
    <col min="8446" max="8446" width="4.85546875" style="37" customWidth="1"/>
    <col min="8447" max="8447" width="16.140625" style="37" customWidth="1"/>
    <col min="8448" max="8448" width="9.7109375" style="37" customWidth="1"/>
    <col min="8449" max="8449" width="14.5703125" style="37" customWidth="1"/>
    <col min="8450" max="8450" width="10.7109375" style="37" customWidth="1"/>
    <col min="8451" max="8451" width="8.85546875" style="37" customWidth="1"/>
    <col min="8452" max="8452" width="11" style="37" customWidth="1"/>
    <col min="8453" max="8453" width="5.28515625" style="37" customWidth="1"/>
    <col min="8454" max="8454" width="10.28515625" style="37" customWidth="1"/>
    <col min="8455" max="8455" width="10.140625" style="37" customWidth="1"/>
    <col min="8456" max="8693" width="9.140625" style="37" customWidth="1"/>
    <col min="8694" max="8694" width="5.140625" style="37" customWidth="1"/>
    <col min="8695" max="8695" width="4.7109375" style="37" customWidth="1"/>
    <col min="8696" max="8696" width="7.42578125" style="37" customWidth="1"/>
    <col min="8697" max="8698" width="23.85546875" style="37" customWidth="1"/>
    <col min="8699" max="8699" width="10.140625" style="37" customWidth="1"/>
    <col min="8700" max="8700" width="5.85546875" style="37" customWidth="1"/>
    <col min="8701" max="8701" width="4.7109375" style="37" customWidth="1"/>
    <col min="8702" max="8702" width="4.85546875" style="37" customWidth="1"/>
    <col min="8703" max="8703" width="16.140625" style="37" customWidth="1"/>
    <col min="8704" max="8704" width="9.7109375" style="37" customWidth="1"/>
    <col min="8705" max="8705" width="14.5703125" style="37" customWidth="1"/>
    <col min="8706" max="8706" width="10.7109375" style="37" customWidth="1"/>
    <col min="8707" max="8707" width="8.85546875" style="37" customWidth="1"/>
    <col min="8708" max="8708" width="11" style="37" customWidth="1"/>
    <col min="8709" max="8709" width="5.28515625" style="37" customWidth="1"/>
    <col min="8710" max="8710" width="10.28515625" style="37" customWidth="1"/>
    <col min="8711" max="8711" width="10.140625" style="37" customWidth="1"/>
    <col min="8712" max="8949" width="9.140625" style="37" customWidth="1"/>
    <col min="8950" max="8950" width="5.140625" style="37" customWidth="1"/>
    <col min="8951" max="8951" width="4.7109375" style="37" customWidth="1"/>
    <col min="8952" max="8952" width="7.42578125" style="37" customWidth="1"/>
    <col min="8953" max="8954" width="23.85546875" style="37" customWidth="1"/>
    <col min="8955" max="8955" width="10.140625" style="37" customWidth="1"/>
    <col min="8956" max="8956" width="5.85546875" style="37" customWidth="1"/>
    <col min="8957" max="8957" width="4.7109375" style="37" customWidth="1"/>
    <col min="8958" max="8958" width="4.85546875" style="37" customWidth="1"/>
    <col min="8959" max="8959" width="16.140625" style="37" customWidth="1"/>
    <col min="8960" max="8960" width="9.7109375" style="37" customWidth="1"/>
    <col min="8961" max="8961" width="14.5703125" style="37" customWidth="1"/>
    <col min="8962" max="8962" width="10.7109375" style="37" customWidth="1"/>
    <col min="8963" max="8963" width="8.85546875" style="37" customWidth="1"/>
    <col min="8964" max="8964" width="11" style="37" customWidth="1"/>
    <col min="8965" max="8965" width="5.28515625" style="37" customWidth="1"/>
    <col min="8966" max="8966" width="10.28515625" style="37" customWidth="1"/>
    <col min="8967" max="8967" width="10.140625" style="37" customWidth="1"/>
    <col min="8968" max="9205" width="9.140625" style="37" customWidth="1"/>
    <col min="9206" max="9206" width="5.140625" style="37" customWidth="1"/>
    <col min="9207" max="9207" width="4.7109375" style="37" customWidth="1"/>
    <col min="9208" max="9208" width="7.42578125" style="37" customWidth="1"/>
    <col min="9209" max="9210" width="23.85546875" style="37" customWidth="1"/>
    <col min="9211" max="9211" width="10.140625" style="37" customWidth="1"/>
    <col min="9212" max="9212" width="5.85546875" style="37" customWidth="1"/>
    <col min="9213" max="9213" width="4.7109375" style="37" customWidth="1"/>
    <col min="9214" max="9214" width="4.85546875" style="37" customWidth="1"/>
    <col min="9215" max="9215" width="16.140625" style="37" customWidth="1"/>
    <col min="9216" max="9216" width="9.7109375" style="37" customWidth="1"/>
    <col min="9217" max="9217" width="14.5703125" style="37" customWidth="1"/>
    <col min="9218" max="9218" width="10.7109375" style="37" customWidth="1"/>
    <col min="9219" max="9219" width="8.85546875" style="37" customWidth="1"/>
    <col min="9220" max="9220" width="11" style="37" customWidth="1"/>
    <col min="9221" max="9221" width="5.28515625" style="37" customWidth="1"/>
    <col min="9222" max="9222" width="10.28515625" style="37" customWidth="1"/>
    <col min="9223" max="9223" width="10.140625" style="37" customWidth="1"/>
    <col min="9224" max="9461" width="9.140625" style="37" customWidth="1"/>
    <col min="9462" max="9462" width="5.140625" style="37" customWidth="1"/>
    <col min="9463" max="9463" width="4.7109375" style="37" customWidth="1"/>
    <col min="9464" max="9464" width="7.42578125" style="37" customWidth="1"/>
    <col min="9465" max="9466" width="23.85546875" style="37" customWidth="1"/>
    <col min="9467" max="9467" width="10.140625" style="37" customWidth="1"/>
    <col min="9468" max="9468" width="5.85546875" style="37" customWidth="1"/>
    <col min="9469" max="9469" width="4.7109375" style="37" customWidth="1"/>
    <col min="9470" max="9470" width="4.85546875" style="37" customWidth="1"/>
    <col min="9471" max="9471" width="16.140625" style="37" customWidth="1"/>
    <col min="9472" max="9472" width="9.7109375" style="37" customWidth="1"/>
    <col min="9473" max="9473" width="14.5703125" style="37" customWidth="1"/>
    <col min="9474" max="9474" width="10.7109375" style="37" customWidth="1"/>
    <col min="9475" max="9475" width="8.85546875" style="37" customWidth="1"/>
    <col min="9476" max="9476" width="11" style="37" customWidth="1"/>
    <col min="9477" max="9477" width="5.28515625" style="37" customWidth="1"/>
    <col min="9478" max="9478" width="10.28515625" style="37" customWidth="1"/>
    <col min="9479" max="9479" width="10.140625" style="37" customWidth="1"/>
    <col min="9480" max="9717" width="9.140625" style="37" customWidth="1"/>
    <col min="9718" max="9718" width="5.140625" style="37" customWidth="1"/>
    <col min="9719" max="9719" width="4.7109375" style="37" customWidth="1"/>
    <col min="9720" max="9720" width="7.42578125" style="37" customWidth="1"/>
    <col min="9721" max="9722" width="23.85546875" style="37" customWidth="1"/>
    <col min="9723" max="9723" width="10.140625" style="37" customWidth="1"/>
    <col min="9724" max="9724" width="5.85546875" style="37" customWidth="1"/>
    <col min="9725" max="9725" width="4.7109375" style="37" customWidth="1"/>
    <col min="9726" max="9726" width="4.85546875" style="37" customWidth="1"/>
    <col min="9727" max="9727" width="16.140625" style="37" customWidth="1"/>
    <col min="9728" max="9728" width="9.7109375" style="37" customWidth="1"/>
    <col min="9729" max="9729" width="14.5703125" style="37" customWidth="1"/>
    <col min="9730" max="9730" width="10.7109375" style="37" customWidth="1"/>
    <col min="9731" max="9731" width="8.85546875" style="37" customWidth="1"/>
    <col min="9732" max="9732" width="11" style="37" customWidth="1"/>
    <col min="9733" max="9733" width="5.28515625" style="37" customWidth="1"/>
    <col min="9734" max="9734" width="10.28515625" style="37" customWidth="1"/>
    <col min="9735" max="9735" width="10.140625" style="37" customWidth="1"/>
    <col min="9736" max="9973" width="9.140625" style="37" customWidth="1"/>
    <col min="9974" max="9974" width="5.140625" style="37" customWidth="1"/>
    <col min="9975" max="9975" width="4.7109375" style="37" customWidth="1"/>
    <col min="9976" max="9976" width="7.42578125" style="37" customWidth="1"/>
    <col min="9977" max="9978" width="23.85546875" style="37" customWidth="1"/>
    <col min="9979" max="9979" width="10.140625" style="37" customWidth="1"/>
    <col min="9980" max="9980" width="5.85546875" style="37" customWidth="1"/>
    <col min="9981" max="9981" width="4.7109375" style="37" customWidth="1"/>
    <col min="9982" max="9982" width="4.85546875" style="37" customWidth="1"/>
    <col min="9983" max="9983" width="16.140625" style="37" customWidth="1"/>
    <col min="9984" max="9984" width="9.7109375" style="37" customWidth="1"/>
    <col min="9985" max="9985" width="14.5703125" style="37" customWidth="1"/>
    <col min="9986" max="9986" width="10.7109375" style="37" customWidth="1"/>
    <col min="9987" max="9987" width="8.85546875" style="37" customWidth="1"/>
    <col min="9988" max="9988" width="11" style="37" customWidth="1"/>
    <col min="9989" max="9989" width="5.28515625" style="37" customWidth="1"/>
    <col min="9990" max="9990" width="10.28515625" style="37" customWidth="1"/>
    <col min="9991" max="9991" width="10.140625" style="37" customWidth="1"/>
    <col min="9992" max="10229" width="9.140625" style="37" customWidth="1"/>
    <col min="10230" max="10230" width="5.140625" style="37" customWidth="1"/>
    <col min="10231" max="10231" width="4.7109375" style="37" customWidth="1"/>
    <col min="10232" max="10232" width="7.42578125" style="37" customWidth="1"/>
    <col min="10233" max="10234" width="23.85546875" style="37" customWidth="1"/>
    <col min="10235" max="10235" width="10.140625" style="37" customWidth="1"/>
    <col min="10236" max="10236" width="5.85546875" style="37" customWidth="1"/>
    <col min="10237" max="10237" width="4.7109375" style="37" customWidth="1"/>
    <col min="10238" max="10238" width="4.85546875" style="37" customWidth="1"/>
    <col min="10239" max="10239" width="16.140625" style="37" customWidth="1"/>
    <col min="10240" max="10240" width="9.7109375" style="37" customWidth="1"/>
    <col min="10241" max="10241" width="14.5703125" style="37" customWidth="1"/>
    <col min="10242" max="10242" width="10.7109375" style="37" customWidth="1"/>
    <col min="10243" max="10243" width="8.85546875" style="37" customWidth="1"/>
    <col min="10244" max="10244" width="11" style="37" customWidth="1"/>
    <col min="10245" max="10245" width="5.28515625" style="37" customWidth="1"/>
    <col min="10246" max="10246" width="10.28515625" style="37" customWidth="1"/>
    <col min="10247" max="10247" width="10.140625" style="37" customWidth="1"/>
    <col min="10248" max="10485" width="9.140625" style="37" customWidth="1"/>
    <col min="10486" max="10486" width="5.140625" style="37" customWidth="1"/>
    <col min="10487" max="10487" width="4.7109375" style="37" customWidth="1"/>
    <col min="10488" max="10488" width="7.42578125" style="37" customWidth="1"/>
    <col min="10489" max="10490" width="23.85546875" style="37" customWidth="1"/>
    <col min="10491" max="10491" width="10.140625" style="37" customWidth="1"/>
    <col min="10492" max="10492" width="5.85546875" style="37" customWidth="1"/>
    <col min="10493" max="10493" width="4.7109375" style="37" customWidth="1"/>
    <col min="10494" max="10494" width="4.85546875" style="37" customWidth="1"/>
    <col min="10495" max="10495" width="16.140625" style="37" customWidth="1"/>
    <col min="10496" max="10496" width="9.7109375" style="37" customWidth="1"/>
    <col min="10497" max="10497" width="14.5703125" style="37" customWidth="1"/>
    <col min="10498" max="10498" width="10.7109375" style="37" customWidth="1"/>
    <col min="10499" max="10499" width="8.85546875" style="37" customWidth="1"/>
    <col min="10500" max="10500" width="11" style="37" customWidth="1"/>
    <col min="10501" max="10501" width="5.28515625" style="37" customWidth="1"/>
    <col min="10502" max="10502" width="10.28515625" style="37" customWidth="1"/>
    <col min="10503" max="10503" width="10.140625" style="37" customWidth="1"/>
    <col min="10504" max="10741" width="9.140625" style="37" customWidth="1"/>
    <col min="10742" max="10742" width="5.140625" style="37" customWidth="1"/>
    <col min="10743" max="10743" width="4.7109375" style="37" customWidth="1"/>
    <col min="10744" max="10744" width="7.42578125" style="37" customWidth="1"/>
    <col min="10745" max="10746" width="23.85546875" style="37" customWidth="1"/>
    <col min="10747" max="10747" width="10.140625" style="37" customWidth="1"/>
    <col min="10748" max="10748" width="5.85546875" style="37" customWidth="1"/>
    <col min="10749" max="10749" width="4.7109375" style="37" customWidth="1"/>
    <col min="10750" max="10750" width="4.85546875" style="37" customWidth="1"/>
    <col min="10751" max="10751" width="16.140625" style="37" customWidth="1"/>
    <col min="10752" max="10752" width="9.7109375" style="37" customWidth="1"/>
    <col min="10753" max="10753" width="14.5703125" style="37" customWidth="1"/>
    <col min="10754" max="10754" width="10.7109375" style="37" customWidth="1"/>
    <col min="10755" max="10755" width="8.85546875" style="37" customWidth="1"/>
    <col min="10756" max="10756" width="11" style="37" customWidth="1"/>
    <col min="10757" max="10757" width="5.28515625" style="37" customWidth="1"/>
    <col min="10758" max="10758" width="10.28515625" style="37" customWidth="1"/>
    <col min="10759" max="10759" width="10.140625" style="37" customWidth="1"/>
    <col min="10760" max="10997" width="9.140625" style="37" customWidth="1"/>
    <col min="10998" max="10998" width="5.140625" style="37" customWidth="1"/>
    <col min="10999" max="10999" width="4.7109375" style="37" customWidth="1"/>
    <col min="11000" max="11000" width="7.42578125" style="37" customWidth="1"/>
    <col min="11001" max="11002" width="23.85546875" style="37" customWidth="1"/>
    <col min="11003" max="11003" width="10.140625" style="37" customWidth="1"/>
    <col min="11004" max="11004" width="5.85546875" style="37" customWidth="1"/>
    <col min="11005" max="11005" width="4.7109375" style="37" customWidth="1"/>
    <col min="11006" max="11006" width="4.85546875" style="37" customWidth="1"/>
    <col min="11007" max="11007" width="16.140625" style="37" customWidth="1"/>
    <col min="11008" max="11008" width="9.7109375" style="37" customWidth="1"/>
    <col min="11009" max="11009" width="14.5703125" style="37" customWidth="1"/>
    <col min="11010" max="11010" width="10.7109375" style="37" customWidth="1"/>
    <col min="11011" max="11011" width="8.85546875" style="37" customWidth="1"/>
    <col min="11012" max="11012" width="11" style="37" customWidth="1"/>
    <col min="11013" max="11013" width="5.28515625" style="37" customWidth="1"/>
    <col min="11014" max="11014" width="10.28515625" style="37" customWidth="1"/>
    <col min="11015" max="11015" width="10.140625" style="37" customWidth="1"/>
    <col min="11016" max="11253" width="9.140625" style="37" customWidth="1"/>
    <col min="11254" max="11254" width="5.140625" style="37" customWidth="1"/>
    <col min="11255" max="11255" width="4.7109375" style="37" customWidth="1"/>
    <col min="11256" max="11256" width="7.42578125" style="37" customWidth="1"/>
    <col min="11257" max="11258" width="23.85546875" style="37" customWidth="1"/>
    <col min="11259" max="11259" width="10.140625" style="37" customWidth="1"/>
    <col min="11260" max="11260" width="5.85546875" style="37" customWidth="1"/>
    <col min="11261" max="11261" width="4.7109375" style="37" customWidth="1"/>
    <col min="11262" max="11262" width="4.85546875" style="37" customWidth="1"/>
    <col min="11263" max="11263" width="16.140625" style="37" customWidth="1"/>
    <col min="11264" max="11264" width="9.7109375" style="37" customWidth="1"/>
    <col min="11265" max="11265" width="14.5703125" style="37" customWidth="1"/>
    <col min="11266" max="11266" width="10.7109375" style="37" customWidth="1"/>
    <col min="11267" max="11267" width="8.85546875" style="37" customWidth="1"/>
    <col min="11268" max="11268" width="11" style="37" customWidth="1"/>
    <col min="11269" max="11269" width="5.28515625" style="37" customWidth="1"/>
    <col min="11270" max="11270" width="10.28515625" style="37" customWidth="1"/>
    <col min="11271" max="11271" width="10.140625" style="37" customWidth="1"/>
    <col min="11272" max="11509" width="9.140625" style="37" customWidth="1"/>
    <col min="11510" max="11510" width="5.140625" style="37" customWidth="1"/>
    <col min="11511" max="11511" width="4.7109375" style="37" customWidth="1"/>
    <col min="11512" max="11512" width="7.42578125" style="37" customWidth="1"/>
    <col min="11513" max="11514" width="23.85546875" style="37" customWidth="1"/>
    <col min="11515" max="11515" width="10.140625" style="37" customWidth="1"/>
    <col min="11516" max="11516" width="5.85546875" style="37" customWidth="1"/>
    <col min="11517" max="11517" width="4.7109375" style="37" customWidth="1"/>
    <col min="11518" max="11518" width="4.85546875" style="37" customWidth="1"/>
    <col min="11519" max="11519" width="16.140625" style="37" customWidth="1"/>
    <col min="11520" max="11520" width="9.7109375" style="37" customWidth="1"/>
    <col min="11521" max="11521" width="14.5703125" style="37" customWidth="1"/>
    <col min="11522" max="11522" width="10.7109375" style="37" customWidth="1"/>
    <col min="11523" max="11523" width="8.85546875" style="37" customWidth="1"/>
    <col min="11524" max="11524" width="11" style="37" customWidth="1"/>
    <col min="11525" max="11525" width="5.28515625" style="37" customWidth="1"/>
    <col min="11526" max="11526" width="10.28515625" style="37" customWidth="1"/>
    <col min="11527" max="11527" width="10.140625" style="37" customWidth="1"/>
    <col min="11528" max="11765" width="9.140625" style="37" customWidth="1"/>
    <col min="11766" max="11766" width="5.140625" style="37" customWidth="1"/>
    <col min="11767" max="11767" width="4.7109375" style="37" customWidth="1"/>
    <col min="11768" max="11768" width="7.42578125" style="37" customWidth="1"/>
    <col min="11769" max="11770" width="23.85546875" style="37" customWidth="1"/>
    <col min="11771" max="11771" width="10.140625" style="37" customWidth="1"/>
    <col min="11772" max="11772" width="5.85546875" style="37" customWidth="1"/>
    <col min="11773" max="11773" width="4.7109375" style="37" customWidth="1"/>
    <col min="11774" max="11774" width="4.85546875" style="37" customWidth="1"/>
    <col min="11775" max="11775" width="16.140625" style="37" customWidth="1"/>
    <col min="11776" max="11776" width="9.7109375" style="37" customWidth="1"/>
    <col min="11777" max="11777" width="14.5703125" style="37" customWidth="1"/>
    <col min="11778" max="11778" width="10.7109375" style="37" customWidth="1"/>
    <col min="11779" max="11779" width="8.85546875" style="37" customWidth="1"/>
    <col min="11780" max="11780" width="11" style="37" customWidth="1"/>
    <col min="11781" max="11781" width="5.28515625" style="37" customWidth="1"/>
    <col min="11782" max="11782" width="10.28515625" style="37" customWidth="1"/>
    <col min="11783" max="11783" width="10.140625" style="37" customWidth="1"/>
    <col min="11784" max="12021" width="9.140625" style="37" customWidth="1"/>
    <col min="12022" max="12022" width="5.140625" style="37" customWidth="1"/>
    <col min="12023" max="12023" width="4.7109375" style="37" customWidth="1"/>
    <col min="12024" max="12024" width="7.42578125" style="37" customWidth="1"/>
    <col min="12025" max="12026" width="23.85546875" style="37" customWidth="1"/>
    <col min="12027" max="12027" width="10.140625" style="37" customWidth="1"/>
    <col min="12028" max="12028" width="5.85546875" style="37" customWidth="1"/>
    <col min="12029" max="12029" width="4.7109375" style="37" customWidth="1"/>
    <col min="12030" max="12030" width="4.85546875" style="37" customWidth="1"/>
    <col min="12031" max="12031" width="16.140625" style="37" customWidth="1"/>
    <col min="12032" max="12032" width="9.7109375" style="37" customWidth="1"/>
    <col min="12033" max="12033" width="14.5703125" style="37" customWidth="1"/>
    <col min="12034" max="12034" width="10.7109375" style="37" customWidth="1"/>
    <col min="12035" max="12035" width="8.85546875" style="37" customWidth="1"/>
    <col min="12036" max="12036" width="11" style="37" customWidth="1"/>
    <col min="12037" max="12037" width="5.28515625" style="37" customWidth="1"/>
    <col min="12038" max="12038" width="10.28515625" style="37" customWidth="1"/>
    <col min="12039" max="12039" width="10.140625" style="37" customWidth="1"/>
    <col min="12040" max="12277" width="9.140625" style="37" customWidth="1"/>
    <col min="12278" max="12278" width="5.140625" style="37" customWidth="1"/>
    <col min="12279" max="12279" width="4.7109375" style="37" customWidth="1"/>
    <col min="12280" max="12280" width="7.42578125" style="37" customWidth="1"/>
    <col min="12281" max="12282" width="23.85546875" style="37" customWidth="1"/>
    <col min="12283" max="12283" width="10.140625" style="37" customWidth="1"/>
    <col min="12284" max="12284" width="5.85546875" style="37" customWidth="1"/>
    <col min="12285" max="12285" width="4.7109375" style="37" customWidth="1"/>
    <col min="12286" max="12286" width="4.85546875" style="37" customWidth="1"/>
    <col min="12287" max="12287" width="16.140625" style="37" customWidth="1"/>
    <col min="12288" max="12288" width="9.7109375" style="37" customWidth="1"/>
    <col min="12289" max="12289" width="14.5703125" style="37" customWidth="1"/>
    <col min="12290" max="12290" width="10.7109375" style="37" customWidth="1"/>
    <col min="12291" max="12291" width="8.85546875" style="37" customWidth="1"/>
    <col min="12292" max="12292" width="11" style="37" customWidth="1"/>
    <col min="12293" max="12293" width="5.28515625" style="37" customWidth="1"/>
    <col min="12294" max="12294" width="10.28515625" style="37" customWidth="1"/>
    <col min="12295" max="12295" width="10.140625" style="37" customWidth="1"/>
    <col min="12296" max="12533" width="9.140625" style="37" customWidth="1"/>
    <col min="12534" max="12534" width="5.140625" style="37" customWidth="1"/>
    <col min="12535" max="12535" width="4.7109375" style="37" customWidth="1"/>
    <col min="12536" max="12536" width="7.42578125" style="37" customWidth="1"/>
    <col min="12537" max="12538" width="23.85546875" style="37" customWidth="1"/>
    <col min="12539" max="12539" width="10.140625" style="37" customWidth="1"/>
    <col min="12540" max="12540" width="5.85546875" style="37" customWidth="1"/>
    <col min="12541" max="12541" width="4.7109375" style="37" customWidth="1"/>
    <col min="12542" max="12542" width="4.85546875" style="37" customWidth="1"/>
    <col min="12543" max="12543" width="16.140625" style="37" customWidth="1"/>
    <col min="12544" max="12544" width="9.7109375" style="37" customWidth="1"/>
    <col min="12545" max="12545" width="14.5703125" style="37" customWidth="1"/>
    <col min="12546" max="12546" width="10.7109375" style="37" customWidth="1"/>
    <col min="12547" max="12547" width="8.85546875" style="37" customWidth="1"/>
    <col min="12548" max="12548" width="11" style="37" customWidth="1"/>
    <col min="12549" max="12549" width="5.28515625" style="37" customWidth="1"/>
    <col min="12550" max="12550" width="10.28515625" style="37" customWidth="1"/>
    <col min="12551" max="12551" width="10.140625" style="37" customWidth="1"/>
    <col min="12552" max="12789" width="9.140625" style="37" customWidth="1"/>
    <col min="12790" max="12790" width="5.140625" style="37" customWidth="1"/>
    <col min="12791" max="12791" width="4.7109375" style="37" customWidth="1"/>
    <col min="12792" max="12792" width="7.42578125" style="37" customWidth="1"/>
    <col min="12793" max="12794" width="23.85546875" style="37" customWidth="1"/>
    <col min="12795" max="12795" width="10.140625" style="37" customWidth="1"/>
    <col min="12796" max="12796" width="5.85546875" style="37" customWidth="1"/>
    <col min="12797" max="12797" width="4.7109375" style="37" customWidth="1"/>
    <col min="12798" max="12798" width="4.85546875" style="37" customWidth="1"/>
    <col min="12799" max="12799" width="16.140625" style="37" customWidth="1"/>
    <col min="12800" max="12800" width="9.7109375" style="37" customWidth="1"/>
    <col min="12801" max="12801" width="14.5703125" style="37" customWidth="1"/>
    <col min="12802" max="12802" width="10.7109375" style="37" customWidth="1"/>
    <col min="12803" max="12803" width="8.85546875" style="37" customWidth="1"/>
    <col min="12804" max="12804" width="11" style="37" customWidth="1"/>
    <col min="12805" max="12805" width="5.28515625" style="37" customWidth="1"/>
    <col min="12806" max="12806" width="10.28515625" style="37" customWidth="1"/>
    <col min="12807" max="12807" width="10.140625" style="37" customWidth="1"/>
    <col min="12808" max="13045" width="9.140625" style="37" customWidth="1"/>
    <col min="13046" max="13046" width="5.140625" style="37" customWidth="1"/>
    <col min="13047" max="13047" width="4.7109375" style="37" customWidth="1"/>
    <col min="13048" max="13048" width="7.42578125" style="37" customWidth="1"/>
    <col min="13049" max="13050" width="23.85546875" style="37" customWidth="1"/>
    <col min="13051" max="13051" width="10.140625" style="37" customWidth="1"/>
    <col min="13052" max="13052" width="5.85546875" style="37" customWidth="1"/>
    <col min="13053" max="13053" width="4.7109375" style="37" customWidth="1"/>
    <col min="13054" max="13054" width="4.85546875" style="37" customWidth="1"/>
    <col min="13055" max="13055" width="16.140625" style="37" customWidth="1"/>
    <col min="13056" max="13056" width="9.7109375" style="37" customWidth="1"/>
    <col min="13057" max="13057" width="14.5703125" style="37" customWidth="1"/>
    <col min="13058" max="13058" width="10.7109375" style="37" customWidth="1"/>
    <col min="13059" max="13059" width="8.85546875" style="37" customWidth="1"/>
    <col min="13060" max="13060" width="11" style="37" customWidth="1"/>
    <col min="13061" max="13061" width="5.28515625" style="37" customWidth="1"/>
    <col min="13062" max="13062" width="10.28515625" style="37" customWidth="1"/>
    <col min="13063" max="13063" width="10.140625" style="37" customWidth="1"/>
    <col min="13064" max="13301" width="9.140625" style="37" customWidth="1"/>
    <col min="13302" max="13302" width="5.140625" style="37" customWidth="1"/>
    <col min="13303" max="13303" width="4.7109375" style="37" customWidth="1"/>
    <col min="13304" max="13304" width="7.42578125" style="37" customWidth="1"/>
    <col min="13305" max="13306" width="23.85546875" style="37" customWidth="1"/>
    <col min="13307" max="13307" width="10.140625" style="37" customWidth="1"/>
    <col min="13308" max="13308" width="5.85546875" style="37" customWidth="1"/>
    <col min="13309" max="13309" width="4.7109375" style="37" customWidth="1"/>
    <col min="13310" max="13310" width="4.85546875" style="37" customWidth="1"/>
    <col min="13311" max="13311" width="16.140625" style="37" customWidth="1"/>
    <col min="13312" max="13312" width="9.7109375" style="37" customWidth="1"/>
    <col min="13313" max="13313" width="14.5703125" style="37" customWidth="1"/>
    <col min="13314" max="13314" width="10.7109375" style="37" customWidth="1"/>
    <col min="13315" max="13315" width="8.85546875" style="37" customWidth="1"/>
    <col min="13316" max="13316" width="11" style="37" customWidth="1"/>
    <col min="13317" max="13317" width="5.28515625" style="37" customWidth="1"/>
    <col min="13318" max="13318" width="10.28515625" style="37" customWidth="1"/>
    <col min="13319" max="13319" width="10.140625" style="37" customWidth="1"/>
    <col min="13320" max="13557" width="9.140625" style="37" customWidth="1"/>
    <col min="13558" max="13558" width="5.140625" style="37" customWidth="1"/>
    <col min="13559" max="13559" width="4.7109375" style="37" customWidth="1"/>
    <col min="13560" max="13560" width="7.42578125" style="37" customWidth="1"/>
    <col min="13561" max="13562" width="23.85546875" style="37" customWidth="1"/>
    <col min="13563" max="13563" width="10.140625" style="37" customWidth="1"/>
    <col min="13564" max="13564" width="5.85546875" style="37" customWidth="1"/>
    <col min="13565" max="13565" width="4.7109375" style="37" customWidth="1"/>
    <col min="13566" max="13566" width="4.85546875" style="37" customWidth="1"/>
    <col min="13567" max="13567" width="16.140625" style="37" customWidth="1"/>
    <col min="13568" max="13568" width="9.7109375" style="37" customWidth="1"/>
    <col min="13569" max="13569" width="14.5703125" style="37" customWidth="1"/>
    <col min="13570" max="13570" width="10.7109375" style="37" customWidth="1"/>
    <col min="13571" max="13571" width="8.85546875" style="37" customWidth="1"/>
    <col min="13572" max="13572" width="11" style="37" customWidth="1"/>
    <col min="13573" max="13573" width="5.28515625" style="37" customWidth="1"/>
    <col min="13574" max="13574" width="10.28515625" style="37" customWidth="1"/>
    <col min="13575" max="13575" width="10.140625" style="37" customWidth="1"/>
    <col min="13576" max="13813" width="9.140625" style="37" customWidth="1"/>
    <col min="13814" max="13814" width="5.140625" style="37" customWidth="1"/>
    <col min="13815" max="13815" width="4.7109375" style="37" customWidth="1"/>
    <col min="13816" max="13816" width="7.42578125" style="37" customWidth="1"/>
    <col min="13817" max="13818" width="23.85546875" style="37" customWidth="1"/>
    <col min="13819" max="13819" width="10.140625" style="37" customWidth="1"/>
    <col min="13820" max="13820" width="5.85546875" style="37" customWidth="1"/>
    <col min="13821" max="13821" width="4.7109375" style="37" customWidth="1"/>
    <col min="13822" max="13822" width="4.85546875" style="37" customWidth="1"/>
    <col min="13823" max="13823" width="16.140625" style="37" customWidth="1"/>
    <col min="13824" max="13824" width="9.7109375" style="37" customWidth="1"/>
    <col min="13825" max="13825" width="14.5703125" style="37" customWidth="1"/>
    <col min="13826" max="13826" width="10.7109375" style="37" customWidth="1"/>
    <col min="13827" max="13827" width="8.85546875" style="37" customWidth="1"/>
    <col min="13828" max="13828" width="11" style="37" customWidth="1"/>
    <col min="13829" max="13829" width="5.28515625" style="37" customWidth="1"/>
    <col min="13830" max="13830" width="10.28515625" style="37" customWidth="1"/>
    <col min="13831" max="13831" width="10.140625" style="37" customWidth="1"/>
    <col min="13832" max="14069" width="9.140625" style="37" customWidth="1"/>
    <col min="14070" max="14070" width="5.140625" style="37" customWidth="1"/>
    <col min="14071" max="14071" width="4.7109375" style="37" customWidth="1"/>
    <col min="14072" max="14072" width="7.42578125" style="37" customWidth="1"/>
    <col min="14073" max="14074" width="23.85546875" style="37" customWidth="1"/>
    <col min="14075" max="14075" width="10.140625" style="37" customWidth="1"/>
    <col min="14076" max="14076" width="5.85546875" style="37" customWidth="1"/>
    <col min="14077" max="14077" width="4.7109375" style="37" customWidth="1"/>
    <col min="14078" max="14078" width="4.85546875" style="37" customWidth="1"/>
    <col min="14079" max="14079" width="16.140625" style="37" customWidth="1"/>
    <col min="14080" max="14080" width="9.7109375" style="37" customWidth="1"/>
    <col min="14081" max="14081" width="14.5703125" style="37" customWidth="1"/>
    <col min="14082" max="14082" width="10.7109375" style="37" customWidth="1"/>
    <col min="14083" max="14083" width="8.85546875" style="37" customWidth="1"/>
    <col min="14084" max="14084" width="11" style="37" customWidth="1"/>
    <col min="14085" max="14085" width="5.28515625" style="37" customWidth="1"/>
    <col min="14086" max="14086" width="10.28515625" style="37" customWidth="1"/>
    <col min="14087" max="14087" width="10.140625" style="37" customWidth="1"/>
    <col min="14088" max="14325" width="9.140625" style="37" customWidth="1"/>
    <col min="14326" max="14326" width="5.140625" style="37" customWidth="1"/>
    <col min="14327" max="14327" width="4.7109375" style="37" customWidth="1"/>
    <col min="14328" max="14328" width="7.42578125" style="37" customWidth="1"/>
    <col min="14329" max="14330" width="23.85546875" style="37" customWidth="1"/>
    <col min="14331" max="14331" width="10.140625" style="37" customWidth="1"/>
    <col min="14332" max="14332" width="5.85546875" style="37" customWidth="1"/>
    <col min="14333" max="14333" width="4.7109375" style="37" customWidth="1"/>
    <col min="14334" max="14334" width="4.85546875" style="37" customWidth="1"/>
    <col min="14335" max="14335" width="16.140625" style="37" customWidth="1"/>
    <col min="14336" max="14336" width="9.7109375" style="37" customWidth="1"/>
    <col min="14337" max="14337" width="14.5703125" style="37" customWidth="1"/>
    <col min="14338" max="14338" width="10.7109375" style="37" customWidth="1"/>
    <col min="14339" max="14339" width="8.85546875" style="37" customWidth="1"/>
    <col min="14340" max="14340" width="11" style="37" customWidth="1"/>
    <col min="14341" max="14341" width="5.28515625" style="37" customWidth="1"/>
    <col min="14342" max="14342" width="10.28515625" style="37" customWidth="1"/>
    <col min="14343" max="14343" width="10.140625" style="37" customWidth="1"/>
    <col min="14344" max="14581" width="9.140625" style="37" customWidth="1"/>
    <col min="14582" max="14582" width="5.140625" style="37" customWidth="1"/>
    <col min="14583" max="14583" width="4.7109375" style="37" customWidth="1"/>
    <col min="14584" max="14584" width="7.42578125" style="37" customWidth="1"/>
    <col min="14585" max="14586" width="23.85546875" style="37" customWidth="1"/>
    <col min="14587" max="14587" width="10.140625" style="37" customWidth="1"/>
    <col min="14588" max="14588" width="5.85546875" style="37" customWidth="1"/>
    <col min="14589" max="14589" width="4.7109375" style="37" customWidth="1"/>
    <col min="14590" max="14590" width="4.85546875" style="37" customWidth="1"/>
    <col min="14591" max="14591" width="16.140625" style="37" customWidth="1"/>
    <col min="14592" max="14592" width="9.7109375" style="37" customWidth="1"/>
    <col min="14593" max="14593" width="14.5703125" style="37" customWidth="1"/>
    <col min="14594" max="14594" width="10.7109375" style="37" customWidth="1"/>
    <col min="14595" max="14595" width="8.85546875" style="37" customWidth="1"/>
    <col min="14596" max="14596" width="11" style="37" customWidth="1"/>
    <col min="14597" max="14597" width="5.28515625" style="37" customWidth="1"/>
    <col min="14598" max="14598" width="10.28515625" style="37" customWidth="1"/>
    <col min="14599" max="14599" width="10.140625" style="37" customWidth="1"/>
    <col min="14600" max="14837" width="9.140625" style="37" customWidth="1"/>
    <col min="14838" max="14838" width="5.140625" style="37" customWidth="1"/>
    <col min="14839" max="14839" width="4.7109375" style="37" customWidth="1"/>
    <col min="14840" max="14840" width="7.42578125" style="37" customWidth="1"/>
    <col min="14841" max="14842" width="23.85546875" style="37" customWidth="1"/>
    <col min="14843" max="14843" width="10.140625" style="37" customWidth="1"/>
    <col min="14844" max="14844" width="5.85546875" style="37" customWidth="1"/>
    <col min="14845" max="14845" width="4.7109375" style="37" customWidth="1"/>
    <col min="14846" max="14846" width="4.85546875" style="37" customWidth="1"/>
    <col min="14847" max="14847" width="16.140625" style="37" customWidth="1"/>
    <col min="14848" max="14848" width="9.7109375" style="37" customWidth="1"/>
    <col min="14849" max="14849" width="14.5703125" style="37" customWidth="1"/>
    <col min="14850" max="14850" width="10.7109375" style="37" customWidth="1"/>
    <col min="14851" max="14851" width="8.85546875" style="37" customWidth="1"/>
    <col min="14852" max="14852" width="11" style="37" customWidth="1"/>
    <col min="14853" max="14853" width="5.28515625" style="37" customWidth="1"/>
    <col min="14854" max="14854" width="10.28515625" style="37" customWidth="1"/>
    <col min="14855" max="14855" width="10.140625" style="37" customWidth="1"/>
    <col min="14856" max="15093" width="9.140625" style="37" customWidth="1"/>
    <col min="15094" max="15094" width="5.140625" style="37" customWidth="1"/>
    <col min="15095" max="15095" width="4.7109375" style="37" customWidth="1"/>
    <col min="15096" max="15096" width="7.42578125" style="37" customWidth="1"/>
    <col min="15097" max="15098" width="23.85546875" style="37" customWidth="1"/>
    <col min="15099" max="15099" width="10.140625" style="37" customWidth="1"/>
    <col min="15100" max="15100" width="5.85546875" style="37" customWidth="1"/>
    <col min="15101" max="15101" width="4.7109375" style="37" customWidth="1"/>
    <col min="15102" max="15102" width="4.85546875" style="37" customWidth="1"/>
    <col min="15103" max="15103" width="16.140625" style="37" customWidth="1"/>
    <col min="15104" max="15104" width="9.7109375" style="37" customWidth="1"/>
    <col min="15105" max="15105" width="14.5703125" style="37" customWidth="1"/>
    <col min="15106" max="15106" width="10.7109375" style="37" customWidth="1"/>
    <col min="15107" max="15107" width="8.85546875" style="37" customWidth="1"/>
    <col min="15108" max="15108" width="11" style="37" customWidth="1"/>
    <col min="15109" max="15109" width="5.28515625" style="37" customWidth="1"/>
    <col min="15110" max="15110" width="10.28515625" style="37" customWidth="1"/>
    <col min="15111" max="15111" width="10.140625" style="37" customWidth="1"/>
    <col min="15112" max="15349" width="9.140625" style="37" customWidth="1"/>
    <col min="15350" max="15350" width="5.140625" style="37" customWidth="1"/>
    <col min="15351" max="15351" width="4.7109375" style="37" customWidth="1"/>
    <col min="15352" max="15352" width="7.42578125" style="37" customWidth="1"/>
    <col min="15353" max="15354" width="23.85546875" style="37" customWidth="1"/>
    <col min="15355" max="15355" width="10.140625" style="37" customWidth="1"/>
    <col min="15356" max="15356" width="5.85546875" style="37" customWidth="1"/>
    <col min="15357" max="15357" width="4.7109375" style="37" customWidth="1"/>
    <col min="15358" max="15358" width="4.85546875" style="37" customWidth="1"/>
    <col min="15359" max="15359" width="16.140625" style="37" customWidth="1"/>
    <col min="15360" max="15360" width="9.7109375" style="37" customWidth="1"/>
    <col min="15361" max="15361" width="14.5703125" style="37" customWidth="1"/>
    <col min="15362" max="15362" width="10.7109375" style="37" customWidth="1"/>
    <col min="15363" max="15363" width="8.85546875" style="37" customWidth="1"/>
    <col min="15364" max="15364" width="11" style="37" customWidth="1"/>
    <col min="15365" max="15365" width="5.28515625" style="37" customWidth="1"/>
    <col min="15366" max="15366" width="10.28515625" style="37" customWidth="1"/>
    <col min="15367" max="15367" width="10.140625" style="37" customWidth="1"/>
    <col min="15368" max="15605" width="9.140625" style="37" customWidth="1"/>
    <col min="15606" max="15606" width="5.140625" style="37" customWidth="1"/>
    <col min="15607" max="15607" width="4.7109375" style="37" customWidth="1"/>
    <col min="15608" max="15608" width="7.42578125" style="37" customWidth="1"/>
    <col min="15609" max="15610" width="23.85546875" style="37" customWidth="1"/>
    <col min="15611" max="15611" width="10.140625" style="37" customWidth="1"/>
    <col min="15612" max="15612" width="5.85546875" style="37" customWidth="1"/>
    <col min="15613" max="15613" width="4.7109375" style="37" customWidth="1"/>
    <col min="15614" max="15614" width="4.85546875" style="37" customWidth="1"/>
    <col min="15615" max="15615" width="16.140625" style="37" customWidth="1"/>
    <col min="15616" max="15616" width="9.7109375" style="37" customWidth="1"/>
    <col min="15617" max="15617" width="14.5703125" style="37" customWidth="1"/>
    <col min="15618" max="15618" width="10.7109375" style="37" customWidth="1"/>
    <col min="15619" max="15619" width="8.85546875" style="37" customWidth="1"/>
    <col min="15620" max="15620" width="11" style="37" customWidth="1"/>
    <col min="15621" max="15621" width="5.28515625" style="37" customWidth="1"/>
    <col min="15622" max="15622" width="10.28515625" style="37" customWidth="1"/>
    <col min="15623" max="15623" width="10.140625" style="37" customWidth="1"/>
    <col min="15624" max="15861" width="9.140625" style="37" customWidth="1"/>
    <col min="15862" max="15862" width="5.140625" style="37" customWidth="1"/>
    <col min="15863" max="15863" width="4.7109375" style="37" customWidth="1"/>
    <col min="15864" max="15864" width="7.42578125" style="37" customWidth="1"/>
    <col min="15865" max="15866" width="23.85546875" style="37" customWidth="1"/>
    <col min="15867" max="15867" width="10.140625" style="37" customWidth="1"/>
    <col min="15868" max="15868" width="5.85546875" style="37" customWidth="1"/>
    <col min="15869" max="15869" width="4.7109375" style="37" customWidth="1"/>
    <col min="15870" max="15870" width="4.85546875" style="37" customWidth="1"/>
    <col min="15871" max="15871" width="16.140625" style="37" customWidth="1"/>
    <col min="15872" max="15872" width="9.7109375" style="37" customWidth="1"/>
    <col min="15873" max="15873" width="14.5703125" style="37" customWidth="1"/>
    <col min="15874" max="15874" width="10.7109375" style="37" customWidth="1"/>
    <col min="15875" max="15875" width="8.85546875" style="37" customWidth="1"/>
    <col min="15876" max="15876" width="11" style="37" customWidth="1"/>
    <col min="15877" max="15877" width="5.28515625" style="37" customWidth="1"/>
    <col min="15878" max="15878" width="10.28515625" style="37" customWidth="1"/>
    <col min="15879" max="15879" width="10.140625" style="37" customWidth="1"/>
    <col min="15880" max="16117" width="9.140625" style="37" customWidth="1"/>
    <col min="16118" max="16118" width="5.140625" style="37" customWidth="1"/>
    <col min="16119" max="16119" width="4.7109375" style="37" customWidth="1"/>
    <col min="16120" max="16120" width="7.42578125" style="37" customWidth="1"/>
    <col min="16121" max="16122" width="23.85546875" style="37" customWidth="1"/>
    <col min="16123" max="16123" width="10.140625" style="37" customWidth="1"/>
    <col min="16124" max="16124" width="5.85546875" style="37" customWidth="1"/>
    <col min="16125" max="16125" width="4.7109375" style="37" customWidth="1"/>
    <col min="16126" max="16126" width="4.85546875" style="37" customWidth="1"/>
    <col min="16127" max="16127" width="16.140625" style="37" customWidth="1"/>
    <col min="16128" max="16128" width="9.7109375" style="37" customWidth="1"/>
    <col min="16129" max="16129" width="14.5703125" style="37" customWidth="1"/>
    <col min="16130" max="16130" width="10.7109375" style="37" customWidth="1"/>
    <col min="16131" max="16131" width="8.85546875" style="37" customWidth="1"/>
    <col min="16132" max="16132" width="11" style="37" customWidth="1"/>
    <col min="16133" max="16133" width="5.28515625" style="37" customWidth="1"/>
    <col min="16134" max="16134" width="10.28515625" style="37" customWidth="1"/>
    <col min="16135" max="16135" width="10.140625" style="37" customWidth="1"/>
    <col min="16136" max="16373" width="9.140625" style="37" customWidth="1"/>
    <col min="16374" max="16384" width="5.140625" style="37" customWidth="1"/>
  </cols>
  <sheetData>
    <row r="1" spans="1:12">
      <c r="A1" s="518" t="s">
        <v>0</v>
      </c>
      <c r="B1" s="518"/>
      <c r="C1" s="518"/>
      <c r="D1" s="518"/>
      <c r="J1" s="425"/>
    </row>
    <row r="2" spans="1:12">
      <c r="A2" s="501" t="s">
        <v>975</v>
      </c>
      <c r="B2" s="501"/>
      <c r="C2" s="501"/>
      <c r="D2" s="501"/>
      <c r="F2" s="229"/>
      <c r="J2" s="425"/>
    </row>
    <row r="3" spans="1:12">
      <c r="A3" s="501" t="s">
        <v>37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</row>
    <row r="4" spans="1:12">
      <c r="A4" s="501" t="s">
        <v>977</v>
      </c>
      <c r="B4" s="501"/>
      <c r="C4" s="501"/>
      <c r="D4" s="501"/>
      <c r="E4" s="501"/>
      <c r="F4" s="501"/>
      <c r="G4" s="501"/>
      <c r="H4" s="501"/>
      <c r="I4" s="501"/>
      <c r="J4" s="501"/>
      <c r="K4" s="501"/>
    </row>
    <row r="5" spans="1:12">
      <c r="H5" s="427"/>
      <c r="J5" s="425"/>
    </row>
    <row r="6" spans="1:12" ht="27.75" customHeight="1">
      <c r="A6" s="404" t="s">
        <v>2</v>
      </c>
      <c r="B6" s="335" t="s">
        <v>12</v>
      </c>
      <c r="C6" s="428" t="s">
        <v>98</v>
      </c>
      <c r="D6" s="335" t="s">
        <v>4</v>
      </c>
      <c r="E6" s="428" t="s">
        <v>30</v>
      </c>
      <c r="F6" s="335" t="s">
        <v>87</v>
      </c>
      <c r="G6" s="335" t="s">
        <v>99</v>
      </c>
      <c r="H6" s="335" t="s">
        <v>100</v>
      </c>
      <c r="I6" s="335" t="s">
        <v>101</v>
      </c>
      <c r="J6" s="429" t="s">
        <v>100</v>
      </c>
      <c r="K6" s="335" t="s">
        <v>88</v>
      </c>
    </row>
    <row r="7" spans="1:12" s="147" customFormat="1" ht="25.5">
      <c r="A7" s="405">
        <v>1</v>
      </c>
      <c r="B7" s="337" t="s">
        <v>472</v>
      </c>
      <c r="C7" s="337" t="s">
        <v>840</v>
      </c>
      <c r="D7" s="337" t="s">
        <v>812</v>
      </c>
      <c r="E7" s="337" t="s">
        <v>841</v>
      </c>
      <c r="F7" s="338">
        <v>500000</v>
      </c>
      <c r="G7" s="430" t="s">
        <v>212</v>
      </c>
      <c r="H7" s="431">
        <f t="shared" ref="H7:H37" si="0">K7-J7</f>
        <v>68750</v>
      </c>
      <c r="I7" s="432" t="s">
        <v>89</v>
      </c>
      <c r="J7" s="431">
        <f t="shared" ref="J7:J37" si="1">F7*0.05</f>
        <v>25000</v>
      </c>
      <c r="K7" s="431">
        <f t="shared" ref="K7:K37" si="2">IF(G7="NGUYỆN",F7*25%*75%,IF(G7="TOẢN",F7*25%*75%,IF(G7="V.TÂN",F7*25%*75%,F7*0.25)))</f>
        <v>93750</v>
      </c>
    </row>
    <row r="8" spans="1:12" s="147" customFormat="1">
      <c r="A8" s="405">
        <v>2</v>
      </c>
      <c r="B8" s="337" t="s">
        <v>472</v>
      </c>
      <c r="C8" s="337" t="s">
        <v>842</v>
      </c>
      <c r="D8" s="337" t="s">
        <v>573</v>
      </c>
      <c r="E8" s="337" t="s">
        <v>843</v>
      </c>
      <c r="F8" s="338">
        <v>384000</v>
      </c>
      <c r="G8" s="430" t="s">
        <v>212</v>
      </c>
      <c r="H8" s="431">
        <f t="shared" si="0"/>
        <v>52800</v>
      </c>
      <c r="I8" s="432" t="s">
        <v>89</v>
      </c>
      <c r="J8" s="431">
        <f t="shared" si="1"/>
        <v>19200</v>
      </c>
      <c r="K8" s="431">
        <f t="shared" si="2"/>
        <v>72000</v>
      </c>
    </row>
    <row r="9" spans="1:12" s="147" customFormat="1" ht="25.5">
      <c r="A9" s="405">
        <v>3</v>
      </c>
      <c r="B9" s="337" t="s">
        <v>472</v>
      </c>
      <c r="C9" s="337" t="s">
        <v>934</v>
      </c>
      <c r="D9" s="337" t="s">
        <v>497</v>
      </c>
      <c r="E9" s="337" t="s">
        <v>935</v>
      </c>
      <c r="F9" s="338">
        <v>4000000</v>
      </c>
      <c r="G9" s="430" t="s">
        <v>190</v>
      </c>
      <c r="H9" s="431">
        <f t="shared" si="0"/>
        <v>550000</v>
      </c>
      <c r="I9" s="432" t="s">
        <v>89</v>
      </c>
      <c r="J9" s="431">
        <f t="shared" si="1"/>
        <v>200000</v>
      </c>
      <c r="K9" s="431">
        <f t="shared" si="2"/>
        <v>750000</v>
      </c>
    </row>
    <row r="10" spans="1:12" s="147" customFormat="1" ht="25.5">
      <c r="A10" s="405">
        <v>4</v>
      </c>
      <c r="B10" s="337" t="s">
        <v>472</v>
      </c>
      <c r="C10" s="337" t="s">
        <v>936</v>
      </c>
      <c r="D10" s="337" t="s">
        <v>512</v>
      </c>
      <c r="E10" s="337" t="s">
        <v>937</v>
      </c>
      <c r="F10" s="338">
        <v>1000000</v>
      </c>
      <c r="G10" s="430" t="s">
        <v>212</v>
      </c>
      <c r="H10" s="431">
        <f t="shared" si="0"/>
        <v>137500</v>
      </c>
      <c r="I10" s="432" t="s">
        <v>89</v>
      </c>
      <c r="J10" s="431">
        <f t="shared" si="1"/>
        <v>50000</v>
      </c>
      <c r="K10" s="431">
        <f t="shared" si="2"/>
        <v>187500</v>
      </c>
    </row>
    <row r="11" spans="1:12" s="147" customFormat="1" ht="25.5">
      <c r="A11" s="405">
        <v>5</v>
      </c>
      <c r="B11" s="337" t="s">
        <v>472</v>
      </c>
      <c r="C11" s="337" t="s">
        <v>938</v>
      </c>
      <c r="D11" s="337" t="s">
        <v>667</v>
      </c>
      <c r="E11" s="337" t="s">
        <v>935</v>
      </c>
      <c r="F11" s="338">
        <v>4000000</v>
      </c>
      <c r="G11" s="430" t="s">
        <v>212</v>
      </c>
      <c r="H11" s="431">
        <f t="shared" si="0"/>
        <v>550000</v>
      </c>
      <c r="I11" s="432" t="s">
        <v>89</v>
      </c>
      <c r="J11" s="431">
        <f t="shared" si="1"/>
        <v>200000</v>
      </c>
      <c r="K11" s="431">
        <f t="shared" si="2"/>
        <v>750000</v>
      </c>
    </row>
    <row r="12" spans="1:12" s="147" customFormat="1" ht="25.5">
      <c r="A12" s="405">
        <v>6</v>
      </c>
      <c r="B12" s="337" t="s">
        <v>238</v>
      </c>
      <c r="C12" s="337" t="s">
        <v>844</v>
      </c>
      <c r="D12" s="337" t="s">
        <v>565</v>
      </c>
      <c r="E12" s="337" t="s">
        <v>841</v>
      </c>
      <c r="F12" s="338">
        <v>500000</v>
      </c>
      <c r="G12" s="430" t="s">
        <v>183</v>
      </c>
      <c r="H12" s="431">
        <f t="shared" si="0"/>
        <v>100000</v>
      </c>
      <c r="I12" s="432" t="s">
        <v>89</v>
      </c>
      <c r="J12" s="431">
        <f t="shared" si="1"/>
        <v>25000</v>
      </c>
      <c r="K12" s="431">
        <f t="shared" si="2"/>
        <v>125000</v>
      </c>
    </row>
    <row r="13" spans="1:12" s="147" customFormat="1" ht="25.5">
      <c r="A13" s="405">
        <v>7</v>
      </c>
      <c r="B13" s="337" t="s">
        <v>238</v>
      </c>
      <c r="C13" s="337" t="s">
        <v>845</v>
      </c>
      <c r="D13" s="337" t="s">
        <v>505</v>
      </c>
      <c r="E13" s="337" t="s">
        <v>846</v>
      </c>
      <c r="F13" s="338">
        <v>1500000</v>
      </c>
      <c r="G13" s="430" t="s">
        <v>978</v>
      </c>
      <c r="H13" s="431">
        <f t="shared" si="0"/>
        <v>300000</v>
      </c>
      <c r="I13" s="432" t="s">
        <v>89</v>
      </c>
      <c r="J13" s="431">
        <f t="shared" si="1"/>
        <v>75000</v>
      </c>
      <c r="K13" s="431">
        <f t="shared" si="2"/>
        <v>375000</v>
      </c>
    </row>
    <row r="14" spans="1:12" s="147" customFormat="1">
      <c r="A14" s="405">
        <v>8</v>
      </c>
      <c r="B14" s="337" t="s">
        <v>238</v>
      </c>
      <c r="C14" s="337" t="s">
        <v>847</v>
      </c>
      <c r="D14" s="337" t="s">
        <v>504</v>
      </c>
      <c r="E14" s="337" t="s">
        <v>848</v>
      </c>
      <c r="F14" s="338">
        <v>500000</v>
      </c>
      <c r="G14" s="297" t="s">
        <v>978</v>
      </c>
      <c r="H14" s="431">
        <f t="shared" si="0"/>
        <v>100000</v>
      </c>
      <c r="I14" s="432" t="s">
        <v>89</v>
      </c>
      <c r="J14" s="431">
        <f t="shared" si="1"/>
        <v>25000</v>
      </c>
      <c r="K14" s="431">
        <f t="shared" si="2"/>
        <v>125000</v>
      </c>
    </row>
    <row r="15" spans="1:12" s="174" customFormat="1">
      <c r="A15" s="405">
        <v>9</v>
      </c>
      <c r="B15" s="337" t="s">
        <v>238</v>
      </c>
      <c r="C15" s="337" t="s">
        <v>595</v>
      </c>
      <c r="D15" s="337" t="s">
        <v>507</v>
      </c>
      <c r="E15" s="337" t="s">
        <v>849</v>
      </c>
      <c r="F15" s="338">
        <v>500000</v>
      </c>
      <c r="G15" s="430" t="s">
        <v>978</v>
      </c>
      <c r="H15" s="431">
        <f t="shared" si="0"/>
        <v>100000</v>
      </c>
      <c r="I15" s="432" t="s">
        <v>89</v>
      </c>
      <c r="J15" s="431">
        <f t="shared" si="1"/>
        <v>25000</v>
      </c>
      <c r="K15" s="431">
        <f t="shared" si="2"/>
        <v>125000</v>
      </c>
      <c r="L15" s="147"/>
    </row>
    <row r="16" spans="1:12" s="174" customFormat="1">
      <c r="A16" s="405">
        <v>10</v>
      </c>
      <c r="B16" s="353" t="s">
        <v>238</v>
      </c>
      <c r="C16" s="353" t="s">
        <v>850</v>
      </c>
      <c r="D16" s="353" t="s">
        <v>537</v>
      </c>
      <c r="E16" s="337" t="s">
        <v>851</v>
      </c>
      <c r="F16" s="433">
        <v>384000</v>
      </c>
      <c r="G16" s="430" t="s">
        <v>978</v>
      </c>
      <c r="H16" s="431">
        <f t="shared" si="0"/>
        <v>76800</v>
      </c>
      <c r="I16" s="432" t="s">
        <v>89</v>
      </c>
      <c r="J16" s="431">
        <f t="shared" si="1"/>
        <v>19200</v>
      </c>
      <c r="K16" s="431">
        <f t="shared" si="2"/>
        <v>96000</v>
      </c>
      <c r="L16" s="147"/>
    </row>
    <row r="17" spans="1:12" s="174" customFormat="1" ht="25.5">
      <c r="A17" s="405">
        <v>11</v>
      </c>
      <c r="B17" s="337" t="s">
        <v>238</v>
      </c>
      <c r="C17" s="337" t="s">
        <v>939</v>
      </c>
      <c r="D17" s="337" t="s">
        <v>622</v>
      </c>
      <c r="E17" s="337" t="s">
        <v>937</v>
      </c>
      <c r="F17" s="338">
        <v>1000000</v>
      </c>
      <c r="G17" s="430" t="s">
        <v>978</v>
      </c>
      <c r="H17" s="431">
        <f t="shared" si="0"/>
        <v>200000</v>
      </c>
      <c r="I17" s="432" t="s">
        <v>89</v>
      </c>
      <c r="J17" s="431">
        <f t="shared" si="1"/>
        <v>50000</v>
      </c>
      <c r="K17" s="431">
        <f t="shared" si="2"/>
        <v>250000</v>
      </c>
      <c r="L17" s="147"/>
    </row>
    <row r="18" spans="1:12" s="174" customFormat="1" ht="25.5">
      <c r="A18" s="405">
        <v>12</v>
      </c>
      <c r="B18" s="337" t="s">
        <v>238</v>
      </c>
      <c r="C18" s="337" t="s">
        <v>940</v>
      </c>
      <c r="D18" s="337" t="s">
        <v>565</v>
      </c>
      <c r="E18" s="337" t="s">
        <v>937</v>
      </c>
      <c r="F18" s="338">
        <v>1000000</v>
      </c>
      <c r="G18" s="430" t="s">
        <v>978</v>
      </c>
      <c r="H18" s="431">
        <f t="shared" si="0"/>
        <v>200000</v>
      </c>
      <c r="I18" s="432" t="s">
        <v>89</v>
      </c>
      <c r="J18" s="431">
        <f t="shared" si="1"/>
        <v>50000</v>
      </c>
      <c r="K18" s="431">
        <f t="shared" si="2"/>
        <v>250000</v>
      </c>
      <c r="L18" s="147"/>
    </row>
    <row r="19" spans="1:12" s="174" customFormat="1" ht="25.5">
      <c r="A19" s="405">
        <v>13</v>
      </c>
      <c r="B19" s="339" t="s">
        <v>238</v>
      </c>
      <c r="C19" s="339" t="s">
        <v>941</v>
      </c>
      <c r="D19" s="339" t="s">
        <v>144</v>
      </c>
      <c r="E19" s="340" t="s">
        <v>935</v>
      </c>
      <c r="F19" s="338">
        <v>4000000</v>
      </c>
      <c r="G19" s="430" t="s">
        <v>978</v>
      </c>
      <c r="H19" s="431">
        <f t="shared" si="0"/>
        <v>800000</v>
      </c>
      <c r="I19" s="432" t="s">
        <v>89</v>
      </c>
      <c r="J19" s="431">
        <f t="shared" si="1"/>
        <v>200000</v>
      </c>
      <c r="K19" s="431">
        <f t="shared" si="2"/>
        <v>1000000</v>
      </c>
      <c r="L19" s="147"/>
    </row>
    <row r="20" spans="1:12" s="174" customFormat="1" ht="25.5">
      <c r="A20" s="405">
        <v>14</v>
      </c>
      <c r="B20" s="337" t="s">
        <v>238</v>
      </c>
      <c r="C20" s="337" t="s">
        <v>942</v>
      </c>
      <c r="D20" s="337" t="s">
        <v>477</v>
      </c>
      <c r="E20" s="337" t="s">
        <v>943</v>
      </c>
      <c r="F20" s="338">
        <v>1500000</v>
      </c>
      <c r="G20" s="430" t="s">
        <v>978</v>
      </c>
      <c r="H20" s="431">
        <f t="shared" si="0"/>
        <v>300000</v>
      </c>
      <c r="I20" s="432" t="s">
        <v>89</v>
      </c>
      <c r="J20" s="431">
        <f t="shared" si="1"/>
        <v>75000</v>
      </c>
      <c r="K20" s="431">
        <f t="shared" si="2"/>
        <v>375000</v>
      </c>
      <c r="L20" s="147"/>
    </row>
    <row r="21" spans="1:12" s="174" customFormat="1">
      <c r="A21" s="405">
        <v>15</v>
      </c>
      <c r="B21" s="353" t="s">
        <v>250</v>
      </c>
      <c r="C21" s="353" t="s">
        <v>852</v>
      </c>
      <c r="D21" s="353" t="s">
        <v>575</v>
      </c>
      <c r="E21" s="337" t="s">
        <v>853</v>
      </c>
      <c r="F21" s="433">
        <v>418000</v>
      </c>
      <c r="G21" s="297" t="s">
        <v>159</v>
      </c>
      <c r="H21" s="431">
        <f t="shared" si="0"/>
        <v>83600</v>
      </c>
      <c r="I21" s="432" t="s">
        <v>89</v>
      </c>
      <c r="J21" s="431">
        <f t="shared" si="1"/>
        <v>20900</v>
      </c>
      <c r="K21" s="431">
        <f t="shared" si="2"/>
        <v>104500</v>
      </c>
      <c r="L21" s="147"/>
    </row>
    <row r="22" spans="1:12" s="147" customFormat="1" ht="25.5">
      <c r="A22" s="405">
        <v>16</v>
      </c>
      <c r="B22" s="337" t="s">
        <v>250</v>
      </c>
      <c r="C22" s="337" t="s">
        <v>944</v>
      </c>
      <c r="D22" s="337" t="s">
        <v>533</v>
      </c>
      <c r="E22" s="337" t="s">
        <v>945</v>
      </c>
      <c r="F22" s="338">
        <v>5000000</v>
      </c>
      <c r="G22" s="430" t="s">
        <v>159</v>
      </c>
      <c r="H22" s="431">
        <f t="shared" si="0"/>
        <v>1000000</v>
      </c>
      <c r="I22" s="432" t="s">
        <v>89</v>
      </c>
      <c r="J22" s="431">
        <f t="shared" si="1"/>
        <v>250000</v>
      </c>
      <c r="K22" s="431">
        <f t="shared" si="2"/>
        <v>1250000</v>
      </c>
    </row>
    <row r="23" spans="1:12" s="147" customFormat="1" ht="25.5">
      <c r="A23" s="405">
        <v>17</v>
      </c>
      <c r="B23" s="337" t="s">
        <v>250</v>
      </c>
      <c r="C23" s="337" t="s">
        <v>946</v>
      </c>
      <c r="D23" s="337" t="s">
        <v>136</v>
      </c>
      <c r="E23" s="337" t="s">
        <v>935</v>
      </c>
      <c r="F23" s="338">
        <v>4000000</v>
      </c>
      <c r="G23" s="430" t="s">
        <v>277</v>
      </c>
      <c r="H23" s="431">
        <f t="shared" si="0"/>
        <v>800000</v>
      </c>
      <c r="I23" s="432" t="s">
        <v>89</v>
      </c>
      <c r="J23" s="431">
        <f t="shared" si="1"/>
        <v>200000</v>
      </c>
      <c r="K23" s="431">
        <f t="shared" si="2"/>
        <v>1000000</v>
      </c>
    </row>
    <row r="24" spans="1:12" s="147" customFormat="1" ht="25.5">
      <c r="A24" s="405">
        <v>18</v>
      </c>
      <c r="B24" s="337" t="s">
        <v>250</v>
      </c>
      <c r="C24" s="337" t="s">
        <v>947</v>
      </c>
      <c r="D24" s="337" t="s">
        <v>542</v>
      </c>
      <c r="E24" s="337" t="s">
        <v>948</v>
      </c>
      <c r="F24" s="338">
        <v>1000000</v>
      </c>
      <c r="G24" s="430" t="s">
        <v>212</v>
      </c>
      <c r="H24" s="431">
        <f t="shared" si="0"/>
        <v>137500</v>
      </c>
      <c r="I24" s="432" t="s">
        <v>89</v>
      </c>
      <c r="J24" s="431">
        <f t="shared" si="1"/>
        <v>50000</v>
      </c>
      <c r="K24" s="431">
        <f t="shared" si="2"/>
        <v>187500</v>
      </c>
    </row>
    <row r="25" spans="1:12" s="147" customFormat="1">
      <c r="A25" s="405">
        <v>19</v>
      </c>
      <c r="B25" s="353" t="s">
        <v>260</v>
      </c>
      <c r="C25" s="353" t="s">
        <v>854</v>
      </c>
      <c r="D25" s="353" t="s">
        <v>533</v>
      </c>
      <c r="E25" s="337" t="s">
        <v>855</v>
      </c>
      <c r="F25" s="433">
        <v>400000</v>
      </c>
      <c r="G25" s="434" t="s">
        <v>134</v>
      </c>
      <c r="H25" s="435">
        <f t="shared" si="0"/>
        <v>80000</v>
      </c>
      <c r="I25" s="436" t="s">
        <v>89</v>
      </c>
      <c r="J25" s="435">
        <f t="shared" si="1"/>
        <v>20000</v>
      </c>
      <c r="K25" s="435">
        <f t="shared" si="2"/>
        <v>100000</v>
      </c>
    </row>
    <row r="26" spans="1:12" s="147" customFormat="1" ht="25.5">
      <c r="A26" s="405">
        <v>20</v>
      </c>
      <c r="B26" s="353" t="s">
        <v>260</v>
      </c>
      <c r="C26" s="353" t="s">
        <v>856</v>
      </c>
      <c r="D26" s="353" t="s">
        <v>145</v>
      </c>
      <c r="E26" s="337" t="s">
        <v>857</v>
      </c>
      <c r="F26" s="433">
        <v>2000000</v>
      </c>
      <c r="G26" s="434" t="s">
        <v>190</v>
      </c>
      <c r="H26" s="435">
        <f t="shared" si="0"/>
        <v>275000</v>
      </c>
      <c r="I26" s="436" t="s">
        <v>89</v>
      </c>
      <c r="J26" s="435">
        <f t="shared" si="1"/>
        <v>100000</v>
      </c>
      <c r="K26" s="435">
        <f t="shared" si="2"/>
        <v>375000</v>
      </c>
    </row>
    <row r="27" spans="1:12" s="147" customFormat="1">
      <c r="A27" s="405">
        <v>21</v>
      </c>
      <c r="B27" s="353" t="s">
        <v>260</v>
      </c>
      <c r="C27" s="353" t="s">
        <v>858</v>
      </c>
      <c r="D27" s="353" t="s">
        <v>522</v>
      </c>
      <c r="E27" s="337" t="s">
        <v>859</v>
      </c>
      <c r="F27" s="433">
        <v>800000</v>
      </c>
      <c r="G27" s="434" t="s">
        <v>134</v>
      </c>
      <c r="H27" s="435">
        <f t="shared" si="0"/>
        <v>160000</v>
      </c>
      <c r="I27" s="436" t="s">
        <v>89</v>
      </c>
      <c r="J27" s="435">
        <f t="shared" si="1"/>
        <v>40000</v>
      </c>
      <c r="K27" s="435">
        <f t="shared" si="2"/>
        <v>200000</v>
      </c>
    </row>
    <row r="28" spans="1:12" s="147" customFormat="1">
      <c r="A28" s="405">
        <v>22</v>
      </c>
      <c r="B28" s="353" t="s">
        <v>260</v>
      </c>
      <c r="C28" s="353" t="s">
        <v>860</v>
      </c>
      <c r="D28" s="353" t="s">
        <v>573</v>
      </c>
      <c r="E28" s="337" t="s">
        <v>861</v>
      </c>
      <c r="F28" s="433">
        <v>300000</v>
      </c>
      <c r="G28" s="434" t="s">
        <v>190</v>
      </c>
      <c r="H28" s="435">
        <f t="shared" si="0"/>
        <v>41250</v>
      </c>
      <c r="I28" s="436" t="s">
        <v>89</v>
      </c>
      <c r="J28" s="435">
        <f t="shared" si="1"/>
        <v>15000</v>
      </c>
      <c r="K28" s="435">
        <f t="shared" si="2"/>
        <v>56250</v>
      </c>
    </row>
    <row r="29" spans="1:12" s="147" customFormat="1" ht="38.25">
      <c r="A29" s="405">
        <v>23</v>
      </c>
      <c r="B29" s="353" t="s">
        <v>260</v>
      </c>
      <c r="C29" s="353" t="s">
        <v>862</v>
      </c>
      <c r="D29" s="353" t="s">
        <v>770</v>
      </c>
      <c r="E29" s="337" t="s">
        <v>863</v>
      </c>
      <c r="F29" s="433">
        <v>500000</v>
      </c>
      <c r="G29" s="434" t="s">
        <v>134</v>
      </c>
      <c r="H29" s="435">
        <f t="shared" si="0"/>
        <v>100000</v>
      </c>
      <c r="I29" s="436" t="s">
        <v>89</v>
      </c>
      <c r="J29" s="435">
        <f t="shared" si="1"/>
        <v>25000</v>
      </c>
      <c r="K29" s="435">
        <f t="shared" si="2"/>
        <v>125000</v>
      </c>
    </row>
    <row r="30" spans="1:12" s="174" customFormat="1">
      <c r="A30" s="405">
        <v>24</v>
      </c>
      <c r="B30" s="353" t="s">
        <v>260</v>
      </c>
      <c r="C30" s="353" t="s">
        <v>864</v>
      </c>
      <c r="D30" s="353" t="s">
        <v>510</v>
      </c>
      <c r="E30" s="337" t="s">
        <v>851</v>
      </c>
      <c r="F30" s="433">
        <v>104400</v>
      </c>
      <c r="G30" s="437" t="s">
        <v>134</v>
      </c>
      <c r="H30" s="435">
        <f t="shared" si="0"/>
        <v>20880</v>
      </c>
      <c r="I30" s="436" t="s">
        <v>89</v>
      </c>
      <c r="J30" s="435">
        <f t="shared" si="1"/>
        <v>5220</v>
      </c>
      <c r="K30" s="435">
        <f t="shared" si="2"/>
        <v>26100</v>
      </c>
      <c r="L30" s="147"/>
    </row>
    <row r="31" spans="1:12" s="174" customFormat="1" ht="25.5">
      <c r="A31" s="405">
        <v>25</v>
      </c>
      <c r="B31" s="353" t="s">
        <v>553</v>
      </c>
      <c r="C31" s="353" t="s">
        <v>865</v>
      </c>
      <c r="D31" s="353" t="s">
        <v>516</v>
      </c>
      <c r="E31" s="337" t="s">
        <v>841</v>
      </c>
      <c r="F31" s="433">
        <v>500000</v>
      </c>
      <c r="G31" s="434" t="s">
        <v>277</v>
      </c>
      <c r="H31" s="435">
        <f t="shared" si="0"/>
        <v>100000</v>
      </c>
      <c r="I31" s="436" t="s">
        <v>89</v>
      </c>
      <c r="J31" s="435">
        <f t="shared" si="1"/>
        <v>25000</v>
      </c>
      <c r="K31" s="435">
        <f t="shared" si="2"/>
        <v>125000</v>
      </c>
      <c r="L31" s="147"/>
    </row>
    <row r="32" spans="1:12" s="174" customFormat="1">
      <c r="A32" s="405">
        <v>26</v>
      </c>
      <c r="B32" s="353" t="s">
        <v>553</v>
      </c>
      <c r="C32" s="353" t="s">
        <v>866</v>
      </c>
      <c r="D32" s="353" t="s">
        <v>867</v>
      </c>
      <c r="E32" s="337" t="s">
        <v>868</v>
      </c>
      <c r="F32" s="433">
        <v>500000</v>
      </c>
      <c r="G32" s="297" t="s">
        <v>183</v>
      </c>
      <c r="H32" s="431">
        <f t="shared" si="0"/>
        <v>100000</v>
      </c>
      <c r="I32" s="432" t="s">
        <v>89</v>
      </c>
      <c r="J32" s="431">
        <f t="shared" si="1"/>
        <v>25000</v>
      </c>
      <c r="K32" s="431">
        <f t="shared" si="2"/>
        <v>125000</v>
      </c>
      <c r="L32" s="147"/>
    </row>
    <row r="33" spans="1:12" s="174" customFormat="1" ht="25.5">
      <c r="A33" s="405">
        <v>27</v>
      </c>
      <c r="B33" s="353" t="s">
        <v>553</v>
      </c>
      <c r="C33" s="353" t="s">
        <v>869</v>
      </c>
      <c r="D33" s="353" t="s">
        <v>499</v>
      </c>
      <c r="E33" s="337" t="s">
        <v>841</v>
      </c>
      <c r="F33" s="433">
        <v>500000</v>
      </c>
      <c r="G33" s="297" t="s">
        <v>277</v>
      </c>
      <c r="H33" s="431">
        <f t="shared" si="0"/>
        <v>100000</v>
      </c>
      <c r="I33" s="432" t="s">
        <v>89</v>
      </c>
      <c r="J33" s="431">
        <f t="shared" si="1"/>
        <v>25000</v>
      </c>
      <c r="K33" s="431">
        <f t="shared" si="2"/>
        <v>125000</v>
      </c>
      <c r="L33" s="147"/>
    </row>
    <row r="34" spans="1:12" s="147" customFormat="1" ht="25.5">
      <c r="A34" s="405">
        <v>29</v>
      </c>
      <c r="B34" s="337" t="s">
        <v>553</v>
      </c>
      <c r="C34" s="337" t="s">
        <v>949</v>
      </c>
      <c r="D34" s="337" t="s">
        <v>573</v>
      </c>
      <c r="E34" s="337" t="s">
        <v>937</v>
      </c>
      <c r="F34" s="338">
        <v>1000000</v>
      </c>
      <c r="G34" s="430" t="s">
        <v>277</v>
      </c>
      <c r="H34" s="431">
        <f t="shared" si="0"/>
        <v>200000</v>
      </c>
      <c r="I34" s="432" t="s">
        <v>89</v>
      </c>
      <c r="J34" s="431">
        <f t="shared" si="1"/>
        <v>50000</v>
      </c>
      <c r="K34" s="431">
        <f t="shared" si="2"/>
        <v>250000</v>
      </c>
    </row>
    <row r="35" spans="1:12" s="147" customFormat="1" ht="25.5">
      <c r="A35" s="405">
        <v>30</v>
      </c>
      <c r="B35" s="337" t="s">
        <v>553</v>
      </c>
      <c r="C35" s="337" t="s">
        <v>950</v>
      </c>
      <c r="D35" s="337" t="s">
        <v>650</v>
      </c>
      <c r="E35" s="337" t="s">
        <v>937</v>
      </c>
      <c r="F35" s="338">
        <v>1000000</v>
      </c>
      <c r="G35" s="430" t="s">
        <v>277</v>
      </c>
      <c r="H35" s="431">
        <f t="shared" si="0"/>
        <v>200000</v>
      </c>
      <c r="I35" s="432" t="s">
        <v>89</v>
      </c>
      <c r="J35" s="431">
        <f t="shared" si="1"/>
        <v>50000</v>
      </c>
      <c r="K35" s="431">
        <f t="shared" si="2"/>
        <v>250000</v>
      </c>
    </row>
    <row r="36" spans="1:12" s="147" customFormat="1" ht="25.5">
      <c r="A36" s="405">
        <v>31</v>
      </c>
      <c r="B36" s="339" t="s">
        <v>553</v>
      </c>
      <c r="C36" s="339" t="s">
        <v>951</v>
      </c>
      <c r="D36" s="339" t="s">
        <v>480</v>
      </c>
      <c r="E36" s="340" t="s">
        <v>935</v>
      </c>
      <c r="F36" s="338">
        <v>4000000</v>
      </c>
      <c r="G36" s="430" t="s">
        <v>277</v>
      </c>
      <c r="H36" s="431">
        <f t="shared" si="0"/>
        <v>800000</v>
      </c>
      <c r="I36" s="432" t="s">
        <v>89</v>
      </c>
      <c r="J36" s="431">
        <f t="shared" si="1"/>
        <v>200000</v>
      </c>
      <c r="K36" s="431">
        <f t="shared" si="2"/>
        <v>1000000</v>
      </c>
    </row>
    <row r="37" spans="1:12" s="147" customFormat="1" ht="25.5">
      <c r="A37" s="405">
        <v>32</v>
      </c>
      <c r="B37" s="353" t="s">
        <v>553</v>
      </c>
      <c r="C37" s="353" t="s">
        <v>952</v>
      </c>
      <c r="D37" s="353" t="s">
        <v>622</v>
      </c>
      <c r="E37" s="337" t="s">
        <v>937</v>
      </c>
      <c r="F37" s="338">
        <v>1000000</v>
      </c>
      <c r="G37" s="430" t="s">
        <v>183</v>
      </c>
      <c r="H37" s="431">
        <f t="shared" si="0"/>
        <v>200000</v>
      </c>
      <c r="I37" s="432" t="s">
        <v>89</v>
      </c>
      <c r="J37" s="431">
        <f t="shared" si="1"/>
        <v>50000</v>
      </c>
      <c r="K37" s="431">
        <f t="shared" si="2"/>
        <v>250000</v>
      </c>
    </row>
    <row r="38" spans="1:12" s="147" customFormat="1" ht="25.5">
      <c r="A38" s="405">
        <v>33</v>
      </c>
      <c r="B38" s="353" t="s">
        <v>584</v>
      </c>
      <c r="C38" s="353" t="s">
        <v>870</v>
      </c>
      <c r="D38" s="353" t="s">
        <v>555</v>
      </c>
      <c r="E38" s="337" t="s">
        <v>841</v>
      </c>
      <c r="F38" s="433">
        <v>500000</v>
      </c>
      <c r="G38" s="430" t="s">
        <v>212</v>
      </c>
      <c r="H38" s="431">
        <f t="shared" ref="H38:H65" si="3">K38-J38</f>
        <v>68750</v>
      </c>
      <c r="I38" s="432" t="s">
        <v>89</v>
      </c>
      <c r="J38" s="431">
        <f t="shared" ref="J38:J65" si="4">F38*0.05</f>
        <v>25000</v>
      </c>
      <c r="K38" s="431">
        <f t="shared" ref="K38:K65" si="5">IF(G38="NGUYỆN",F38*25%*75%,IF(G38="TOẢN",F38*25%*75%,IF(G38="V.TÂN",F38*25%*75%,F38*0.25)))</f>
        <v>93750</v>
      </c>
    </row>
    <row r="39" spans="1:12" s="147" customFormat="1" ht="25.5">
      <c r="A39" s="405">
        <v>34</v>
      </c>
      <c r="B39" s="337" t="s">
        <v>584</v>
      </c>
      <c r="C39" s="337" t="s">
        <v>953</v>
      </c>
      <c r="D39" s="337" t="s">
        <v>144</v>
      </c>
      <c r="E39" s="337" t="s">
        <v>948</v>
      </c>
      <c r="F39" s="338">
        <v>1000000</v>
      </c>
      <c r="G39" s="430" t="s">
        <v>212</v>
      </c>
      <c r="H39" s="431">
        <f t="shared" si="3"/>
        <v>137500</v>
      </c>
      <c r="I39" s="432" t="s">
        <v>89</v>
      </c>
      <c r="J39" s="431">
        <f t="shared" si="4"/>
        <v>50000</v>
      </c>
      <c r="K39" s="431">
        <f t="shared" si="5"/>
        <v>187500</v>
      </c>
    </row>
    <row r="40" spans="1:12" s="147" customFormat="1" ht="25.5">
      <c r="A40" s="405">
        <v>35</v>
      </c>
      <c r="B40" s="353" t="s">
        <v>597</v>
      </c>
      <c r="C40" s="353" t="s">
        <v>871</v>
      </c>
      <c r="D40" s="353" t="s">
        <v>645</v>
      </c>
      <c r="E40" s="337" t="s">
        <v>841</v>
      </c>
      <c r="F40" s="433">
        <v>500000</v>
      </c>
      <c r="G40" s="430" t="s">
        <v>978</v>
      </c>
      <c r="H40" s="431">
        <f t="shared" si="3"/>
        <v>100000</v>
      </c>
      <c r="I40" s="432" t="s">
        <v>89</v>
      </c>
      <c r="J40" s="431">
        <f t="shared" si="4"/>
        <v>25000</v>
      </c>
      <c r="K40" s="431">
        <f t="shared" si="5"/>
        <v>125000</v>
      </c>
    </row>
    <row r="41" spans="1:12" s="147" customFormat="1" ht="25.5">
      <c r="A41" s="405">
        <v>36</v>
      </c>
      <c r="B41" s="353" t="s">
        <v>597</v>
      </c>
      <c r="C41" s="353" t="s">
        <v>872</v>
      </c>
      <c r="D41" s="353" t="s">
        <v>601</v>
      </c>
      <c r="E41" s="337" t="s">
        <v>841</v>
      </c>
      <c r="F41" s="433">
        <v>500000</v>
      </c>
      <c r="G41" s="430" t="s">
        <v>183</v>
      </c>
      <c r="H41" s="431">
        <f t="shared" si="3"/>
        <v>100000</v>
      </c>
      <c r="I41" s="432" t="s">
        <v>89</v>
      </c>
      <c r="J41" s="431">
        <f t="shared" si="4"/>
        <v>25000</v>
      </c>
      <c r="K41" s="431">
        <f t="shared" si="5"/>
        <v>125000</v>
      </c>
    </row>
    <row r="42" spans="1:12" s="147" customFormat="1">
      <c r="A42" s="405">
        <v>37</v>
      </c>
      <c r="B42" s="353" t="s">
        <v>597</v>
      </c>
      <c r="C42" s="353" t="s">
        <v>873</v>
      </c>
      <c r="D42" s="353" t="s">
        <v>667</v>
      </c>
      <c r="E42" s="337" t="s">
        <v>874</v>
      </c>
      <c r="F42" s="433">
        <v>104400</v>
      </c>
      <c r="G42" s="430" t="s">
        <v>183</v>
      </c>
      <c r="H42" s="431">
        <f t="shared" si="3"/>
        <v>20880</v>
      </c>
      <c r="I42" s="432" t="s">
        <v>89</v>
      </c>
      <c r="J42" s="431">
        <f t="shared" si="4"/>
        <v>5220</v>
      </c>
      <c r="K42" s="431">
        <f t="shared" si="5"/>
        <v>26100</v>
      </c>
    </row>
    <row r="43" spans="1:12" s="147" customFormat="1">
      <c r="A43" s="405">
        <v>38</v>
      </c>
      <c r="B43" s="353" t="s">
        <v>597</v>
      </c>
      <c r="C43" s="353" t="s">
        <v>875</v>
      </c>
      <c r="D43" s="353" t="s">
        <v>474</v>
      </c>
      <c r="E43" s="337" t="s">
        <v>851</v>
      </c>
      <c r="F43" s="433">
        <v>384000</v>
      </c>
      <c r="G43" s="430" t="s">
        <v>978</v>
      </c>
      <c r="H43" s="431">
        <f t="shared" si="3"/>
        <v>76800</v>
      </c>
      <c r="I43" s="432" t="s">
        <v>89</v>
      </c>
      <c r="J43" s="431">
        <f t="shared" si="4"/>
        <v>19200</v>
      </c>
      <c r="K43" s="431">
        <f t="shared" si="5"/>
        <v>96000</v>
      </c>
    </row>
    <row r="44" spans="1:12" s="147" customFormat="1" ht="25.5">
      <c r="A44" s="405">
        <v>39</v>
      </c>
      <c r="B44" s="337" t="s">
        <v>597</v>
      </c>
      <c r="C44" s="337" t="s">
        <v>954</v>
      </c>
      <c r="D44" s="337" t="s">
        <v>573</v>
      </c>
      <c r="E44" s="337" t="s">
        <v>937</v>
      </c>
      <c r="F44" s="338">
        <v>1000000</v>
      </c>
      <c r="G44" s="430" t="s">
        <v>978</v>
      </c>
      <c r="H44" s="431">
        <f t="shared" si="3"/>
        <v>200000</v>
      </c>
      <c r="I44" s="432" t="s">
        <v>89</v>
      </c>
      <c r="J44" s="431">
        <f t="shared" si="4"/>
        <v>50000</v>
      </c>
      <c r="K44" s="431">
        <f t="shared" si="5"/>
        <v>250000</v>
      </c>
    </row>
    <row r="45" spans="1:12" s="147" customFormat="1" ht="25.5">
      <c r="A45" s="405">
        <v>40</v>
      </c>
      <c r="B45" s="339" t="s">
        <v>597</v>
      </c>
      <c r="C45" s="339" t="s">
        <v>955</v>
      </c>
      <c r="D45" s="339" t="s">
        <v>601</v>
      </c>
      <c r="E45" s="340" t="s">
        <v>937</v>
      </c>
      <c r="F45" s="438">
        <v>1000000</v>
      </c>
      <c r="G45" s="430" t="s">
        <v>978</v>
      </c>
      <c r="H45" s="431">
        <f t="shared" si="3"/>
        <v>200000</v>
      </c>
      <c r="I45" s="432" t="s">
        <v>89</v>
      </c>
      <c r="J45" s="431">
        <f t="shared" si="4"/>
        <v>50000</v>
      </c>
      <c r="K45" s="431">
        <f t="shared" si="5"/>
        <v>250000</v>
      </c>
    </row>
    <row r="46" spans="1:12" s="147" customFormat="1" ht="25.5">
      <c r="A46" s="405">
        <v>41</v>
      </c>
      <c r="B46" s="353" t="s">
        <v>615</v>
      </c>
      <c r="C46" s="353" t="s">
        <v>876</v>
      </c>
      <c r="D46" s="353" t="s">
        <v>174</v>
      </c>
      <c r="E46" s="337" t="s">
        <v>841</v>
      </c>
      <c r="F46" s="433">
        <v>500000</v>
      </c>
      <c r="G46" s="434" t="s">
        <v>159</v>
      </c>
      <c r="H46" s="435">
        <f t="shared" si="3"/>
        <v>100000</v>
      </c>
      <c r="I46" s="436" t="s">
        <v>89</v>
      </c>
      <c r="J46" s="435">
        <f t="shared" si="4"/>
        <v>25000</v>
      </c>
      <c r="K46" s="435">
        <f t="shared" si="5"/>
        <v>125000</v>
      </c>
    </row>
    <row r="47" spans="1:12" s="147" customFormat="1">
      <c r="A47" s="405">
        <v>42</v>
      </c>
      <c r="B47" s="353" t="s">
        <v>615</v>
      </c>
      <c r="C47" s="353" t="s">
        <v>877</v>
      </c>
      <c r="D47" s="353" t="s">
        <v>565</v>
      </c>
      <c r="E47" s="337" t="s">
        <v>878</v>
      </c>
      <c r="F47" s="433">
        <v>300000</v>
      </c>
      <c r="G47" s="437" t="s">
        <v>159</v>
      </c>
      <c r="H47" s="435">
        <f t="shared" si="3"/>
        <v>60000</v>
      </c>
      <c r="I47" s="436" t="s">
        <v>89</v>
      </c>
      <c r="J47" s="435">
        <f t="shared" si="4"/>
        <v>15000</v>
      </c>
      <c r="K47" s="435">
        <f t="shared" si="5"/>
        <v>75000</v>
      </c>
    </row>
    <row r="48" spans="1:12" s="147" customFormat="1">
      <c r="A48" s="405">
        <v>43</v>
      </c>
      <c r="B48" s="353" t="s">
        <v>615</v>
      </c>
      <c r="C48" s="353" t="s">
        <v>879</v>
      </c>
      <c r="D48" s="353" t="s">
        <v>533</v>
      </c>
      <c r="E48" s="337" t="s">
        <v>878</v>
      </c>
      <c r="F48" s="433">
        <v>300000</v>
      </c>
      <c r="G48" s="434" t="s">
        <v>159</v>
      </c>
      <c r="H48" s="435">
        <f t="shared" si="3"/>
        <v>60000</v>
      </c>
      <c r="I48" s="436" t="s">
        <v>89</v>
      </c>
      <c r="J48" s="435">
        <f t="shared" si="4"/>
        <v>15000</v>
      </c>
      <c r="K48" s="435">
        <f t="shared" si="5"/>
        <v>75000</v>
      </c>
    </row>
    <row r="49" spans="1:11" s="147" customFormat="1">
      <c r="A49" s="405">
        <v>44</v>
      </c>
      <c r="B49" s="353" t="s">
        <v>615</v>
      </c>
      <c r="C49" s="353" t="s">
        <v>880</v>
      </c>
      <c r="D49" s="353" t="s">
        <v>665</v>
      </c>
      <c r="E49" s="337" t="s">
        <v>881</v>
      </c>
      <c r="F49" s="433">
        <v>104400</v>
      </c>
      <c r="G49" s="434" t="s">
        <v>159</v>
      </c>
      <c r="H49" s="435">
        <f t="shared" si="3"/>
        <v>20880</v>
      </c>
      <c r="I49" s="436" t="s">
        <v>89</v>
      </c>
      <c r="J49" s="435">
        <f t="shared" si="4"/>
        <v>5220</v>
      </c>
      <c r="K49" s="435">
        <f t="shared" si="5"/>
        <v>26100</v>
      </c>
    </row>
    <row r="50" spans="1:11" s="147" customFormat="1" ht="25.5">
      <c r="A50" s="405">
        <v>46</v>
      </c>
      <c r="B50" s="353" t="s">
        <v>632</v>
      </c>
      <c r="C50" s="353" t="s">
        <v>882</v>
      </c>
      <c r="D50" s="353" t="s">
        <v>665</v>
      </c>
      <c r="E50" s="337" t="s">
        <v>883</v>
      </c>
      <c r="F50" s="433">
        <v>104400</v>
      </c>
      <c r="G50" s="430" t="s">
        <v>134</v>
      </c>
      <c r="H50" s="431">
        <f t="shared" si="3"/>
        <v>20880</v>
      </c>
      <c r="I50" s="432" t="s">
        <v>89</v>
      </c>
      <c r="J50" s="431">
        <f t="shared" si="4"/>
        <v>5220</v>
      </c>
      <c r="K50" s="431">
        <f t="shared" si="5"/>
        <v>26100</v>
      </c>
    </row>
    <row r="51" spans="1:11" s="147" customFormat="1">
      <c r="A51" s="405">
        <v>48</v>
      </c>
      <c r="B51" s="353" t="s">
        <v>632</v>
      </c>
      <c r="C51" s="353" t="s">
        <v>884</v>
      </c>
      <c r="D51" s="353" t="s">
        <v>537</v>
      </c>
      <c r="E51" s="337" t="s">
        <v>881</v>
      </c>
      <c r="F51" s="433">
        <v>384000</v>
      </c>
      <c r="G51" s="297" t="s">
        <v>134</v>
      </c>
      <c r="H51" s="431">
        <f t="shared" si="3"/>
        <v>76800</v>
      </c>
      <c r="I51" s="432" t="s">
        <v>89</v>
      </c>
      <c r="J51" s="431">
        <f t="shared" si="4"/>
        <v>19200</v>
      </c>
      <c r="K51" s="431">
        <f t="shared" si="5"/>
        <v>96000</v>
      </c>
    </row>
    <row r="52" spans="1:11" s="147" customFormat="1" ht="25.5">
      <c r="A52" s="405">
        <v>50</v>
      </c>
      <c r="B52" s="337" t="s">
        <v>632</v>
      </c>
      <c r="C52" s="337" t="s">
        <v>956</v>
      </c>
      <c r="D52" s="337" t="s">
        <v>565</v>
      </c>
      <c r="E52" s="337" t="s">
        <v>943</v>
      </c>
      <c r="F52" s="338">
        <v>1500000</v>
      </c>
      <c r="G52" s="430" t="s">
        <v>134</v>
      </c>
      <c r="H52" s="431">
        <f t="shared" si="3"/>
        <v>300000</v>
      </c>
      <c r="I52" s="432" t="s">
        <v>89</v>
      </c>
      <c r="J52" s="431">
        <f t="shared" si="4"/>
        <v>75000</v>
      </c>
      <c r="K52" s="431">
        <f t="shared" si="5"/>
        <v>375000</v>
      </c>
    </row>
    <row r="53" spans="1:11" s="147" customFormat="1" ht="25.5">
      <c r="A53" s="405">
        <v>51</v>
      </c>
      <c r="B53" s="353" t="s">
        <v>661</v>
      </c>
      <c r="C53" s="353" t="s">
        <v>885</v>
      </c>
      <c r="D53" s="353" t="s">
        <v>505</v>
      </c>
      <c r="E53" s="337" t="s">
        <v>857</v>
      </c>
      <c r="F53" s="433">
        <v>2000000</v>
      </c>
      <c r="G53" s="430" t="s">
        <v>183</v>
      </c>
      <c r="H53" s="431">
        <f t="shared" si="3"/>
        <v>400000</v>
      </c>
      <c r="I53" s="432" t="s">
        <v>89</v>
      </c>
      <c r="J53" s="431">
        <f t="shared" si="4"/>
        <v>100000</v>
      </c>
      <c r="K53" s="431">
        <f t="shared" si="5"/>
        <v>500000</v>
      </c>
    </row>
    <row r="54" spans="1:11" s="147" customFormat="1" ht="25.5">
      <c r="A54" s="405">
        <v>52</v>
      </c>
      <c r="B54" s="353" t="s">
        <v>661</v>
      </c>
      <c r="C54" s="353" t="s">
        <v>886</v>
      </c>
      <c r="D54" s="353" t="s">
        <v>485</v>
      </c>
      <c r="E54" s="337" t="s">
        <v>887</v>
      </c>
      <c r="F54" s="433">
        <v>300000</v>
      </c>
      <c r="G54" s="430" t="s">
        <v>190</v>
      </c>
      <c r="H54" s="431">
        <f t="shared" si="3"/>
        <v>41250</v>
      </c>
      <c r="I54" s="432" t="s">
        <v>89</v>
      </c>
      <c r="J54" s="431">
        <f t="shared" si="4"/>
        <v>15000</v>
      </c>
      <c r="K54" s="431">
        <f t="shared" si="5"/>
        <v>56250</v>
      </c>
    </row>
    <row r="55" spans="1:11" s="147" customFormat="1" ht="25.5">
      <c r="A55" s="405">
        <v>53</v>
      </c>
      <c r="B55" s="353" t="s">
        <v>661</v>
      </c>
      <c r="C55" s="353" t="s">
        <v>888</v>
      </c>
      <c r="D55" s="353" t="s">
        <v>683</v>
      </c>
      <c r="E55" s="337" t="s">
        <v>887</v>
      </c>
      <c r="F55" s="433">
        <v>300000</v>
      </c>
      <c r="G55" s="430" t="s">
        <v>190</v>
      </c>
      <c r="H55" s="431">
        <f t="shared" si="3"/>
        <v>41250</v>
      </c>
      <c r="I55" s="432" t="s">
        <v>89</v>
      </c>
      <c r="J55" s="431">
        <f t="shared" si="4"/>
        <v>15000</v>
      </c>
      <c r="K55" s="431">
        <f t="shared" si="5"/>
        <v>56250</v>
      </c>
    </row>
    <row r="56" spans="1:11" s="147" customFormat="1" ht="25.5">
      <c r="A56" s="405">
        <v>55</v>
      </c>
      <c r="B56" s="353" t="s">
        <v>661</v>
      </c>
      <c r="C56" s="353" t="s">
        <v>957</v>
      </c>
      <c r="D56" s="353" t="s">
        <v>474</v>
      </c>
      <c r="E56" s="337" t="s">
        <v>935</v>
      </c>
      <c r="F56" s="338">
        <v>4000000</v>
      </c>
      <c r="G56" s="430" t="s">
        <v>190</v>
      </c>
      <c r="H56" s="431">
        <f t="shared" si="3"/>
        <v>550000</v>
      </c>
      <c r="I56" s="432" t="s">
        <v>89</v>
      </c>
      <c r="J56" s="431">
        <f t="shared" si="4"/>
        <v>200000</v>
      </c>
      <c r="K56" s="431">
        <f t="shared" si="5"/>
        <v>750000</v>
      </c>
    </row>
    <row r="57" spans="1:11" s="147" customFormat="1" ht="25.5">
      <c r="A57" s="405">
        <v>56</v>
      </c>
      <c r="B57" s="337" t="s">
        <v>661</v>
      </c>
      <c r="C57" s="337" t="s">
        <v>759</v>
      </c>
      <c r="D57" s="337" t="s">
        <v>499</v>
      </c>
      <c r="E57" s="337" t="s">
        <v>935</v>
      </c>
      <c r="F57" s="338">
        <v>8000000</v>
      </c>
      <c r="G57" s="430" t="s">
        <v>190</v>
      </c>
      <c r="H57" s="431">
        <f t="shared" si="3"/>
        <v>1100000</v>
      </c>
      <c r="I57" s="432" t="s">
        <v>89</v>
      </c>
      <c r="J57" s="431">
        <f t="shared" si="4"/>
        <v>400000</v>
      </c>
      <c r="K57" s="431">
        <f t="shared" si="5"/>
        <v>1500000</v>
      </c>
    </row>
    <row r="58" spans="1:11" s="147" customFormat="1" ht="25.5">
      <c r="A58" s="405">
        <v>57</v>
      </c>
      <c r="B58" s="337" t="s">
        <v>661</v>
      </c>
      <c r="C58" s="337" t="s">
        <v>958</v>
      </c>
      <c r="D58" s="337" t="s">
        <v>497</v>
      </c>
      <c r="E58" s="337" t="s">
        <v>935</v>
      </c>
      <c r="F58" s="338">
        <v>4000000</v>
      </c>
      <c r="G58" s="430" t="s">
        <v>190</v>
      </c>
      <c r="H58" s="431">
        <f t="shared" si="3"/>
        <v>550000</v>
      </c>
      <c r="I58" s="432" t="s">
        <v>89</v>
      </c>
      <c r="J58" s="431">
        <f t="shared" si="4"/>
        <v>200000</v>
      </c>
      <c r="K58" s="431">
        <f t="shared" si="5"/>
        <v>750000</v>
      </c>
    </row>
    <row r="59" spans="1:11" s="147" customFormat="1">
      <c r="A59" s="405">
        <v>58</v>
      </c>
      <c r="B59" s="353" t="s">
        <v>678</v>
      </c>
      <c r="C59" s="353" t="s">
        <v>889</v>
      </c>
      <c r="D59" s="353" t="s">
        <v>563</v>
      </c>
      <c r="E59" s="337" t="s">
        <v>853</v>
      </c>
      <c r="F59" s="433">
        <v>418000</v>
      </c>
      <c r="G59" s="430" t="s">
        <v>277</v>
      </c>
      <c r="H59" s="431">
        <f t="shared" si="3"/>
        <v>83600</v>
      </c>
      <c r="I59" s="432" t="s">
        <v>89</v>
      </c>
      <c r="J59" s="431">
        <f t="shared" si="4"/>
        <v>20900</v>
      </c>
      <c r="K59" s="431">
        <f t="shared" si="5"/>
        <v>104500</v>
      </c>
    </row>
    <row r="60" spans="1:11" s="147" customFormat="1" ht="25.5">
      <c r="A60" s="405">
        <v>59</v>
      </c>
      <c r="B60" s="353" t="s">
        <v>678</v>
      </c>
      <c r="C60" s="353" t="s">
        <v>890</v>
      </c>
      <c r="D60" s="353" t="s">
        <v>485</v>
      </c>
      <c r="E60" s="337" t="s">
        <v>883</v>
      </c>
      <c r="F60" s="433">
        <v>104400</v>
      </c>
      <c r="G60" s="430" t="s">
        <v>277</v>
      </c>
      <c r="H60" s="431">
        <f t="shared" si="3"/>
        <v>20880</v>
      </c>
      <c r="I60" s="432" t="s">
        <v>89</v>
      </c>
      <c r="J60" s="431">
        <f t="shared" si="4"/>
        <v>5220</v>
      </c>
      <c r="K60" s="431">
        <f t="shared" si="5"/>
        <v>26100</v>
      </c>
    </row>
    <row r="61" spans="1:11" s="147" customFormat="1">
      <c r="A61" s="405">
        <v>60</v>
      </c>
      <c r="B61" s="353" t="s">
        <v>678</v>
      </c>
      <c r="C61" s="353" t="s">
        <v>891</v>
      </c>
      <c r="D61" s="353" t="s">
        <v>512</v>
      </c>
      <c r="E61" s="337" t="s">
        <v>892</v>
      </c>
      <c r="F61" s="433">
        <v>300000</v>
      </c>
      <c r="G61" s="297" t="s">
        <v>277</v>
      </c>
      <c r="H61" s="431">
        <f t="shared" si="3"/>
        <v>60000</v>
      </c>
      <c r="I61" s="432" t="s">
        <v>89</v>
      </c>
      <c r="J61" s="431">
        <f t="shared" si="4"/>
        <v>15000</v>
      </c>
      <c r="K61" s="431">
        <f t="shared" si="5"/>
        <v>75000</v>
      </c>
    </row>
    <row r="62" spans="1:11" s="147" customFormat="1" ht="25.5">
      <c r="A62" s="405">
        <v>61</v>
      </c>
      <c r="B62" s="353" t="s">
        <v>678</v>
      </c>
      <c r="C62" s="353" t="s">
        <v>893</v>
      </c>
      <c r="D62" s="353" t="s">
        <v>499</v>
      </c>
      <c r="E62" s="337" t="s">
        <v>841</v>
      </c>
      <c r="F62" s="433">
        <v>500000</v>
      </c>
      <c r="G62" s="297" t="s">
        <v>294</v>
      </c>
      <c r="H62" s="431">
        <f t="shared" si="3"/>
        <v>100000</v>
      </c>
      <c r="I62" s="432" t="s">
        <v>89</v>
      </c>
      <c r="J62" s="431">
        <f t="shared" si="4"/>
        <v>25000</v>
      </c>
      <c r="K62" s="431">
        <f t="shared" si="5"/>
        <v>125000</v>
      </c>
    </row>
    <row r="63" spans="1:11" s="147" customFormat="1">
      <c r="A63" s="405">
        <v>62</v>
      </c>
      <c r="B63" s="353" t="s">
        <v>678</v>
      </c>
      <c r="C63" s="353" t="s">
        <v>894</v>
      </c>
      <c r="D63" s="353" t="s">
        <v>487</v>
      </c>
      <c r="E63" s="337" t="s">
        <v>855</v>
      </c>
      <c r="F63" s="433">
        <v>400000</v>
      </c>
      <c r="G63" s="297" t="s">
        <v>277</v>
      </c>
      <c r="H63" s="431">
        <f t="shared" si="3"/>
        <v>80000</v>
      </c>
      <c r="I63" s="432" t="s">
        <v>89</v>
      </c>
      <c r="J63" s="431">
        <f t="shared" si="4"/>
        <v>20000</v>
      </c>
      <c r="K63" s="431">
        <f t="shared" si="5"/>
        <v>100000</v>
      </c>
    </row>
    <row r="64" spans="1:11" s="147" customFormat="1">
      <c r="A64" s="405">
        <v>63</v>
      </c>
      <c r="B64" s="353" t="s">
        <v>678</v>
      </c>
      <c r="C64" s="353" t="s">
        <v>895</v>
      </c>
      <c r="D64" s="353" t="s">
        <v>494</v>
      </c>
      <c r="E64" s="337" t="s">
        <v>849</v>
      </c>
      <c r="F64" s="433">
        <v>500000</v>
      </c>
      <c r="G64" s="430" t="s">
        <v>277</v>
      </c>
      <c r="H64" s="431">
        <f t="shared" si="3"/>
        <v>100000</v>
      </c>
      <c r="I64" s="432" t="s">
        <v>89</v>
      </c>
      <c r="J64" s="431">
        <f t="shared" si="4"/>
        <v>25000</v>
      </c>
      <c r="K64" s="431">
        <f t="shared" si="5"/>
        <v>125000</v>
      </c>
    </row>
    <row r="65" spans="1:11" s="147" customFormat="1">
      <c r="A65" s="405">
        <v>64</v>
      </c>
      <c r="B65" s="353" t="s">
        <v>678</v>
      </c>
      <c r="C65" s="353" t="s">
        <v>896</v>
      </c>
      <c r="D65" s="353" t="s">
        <v>487</v>
      </c>
      <c r="E65" s="337" t="s">
        <v>855</v>
      </c>
      <c r="F65" s="433">
        <v>400000</v>
      </c>
      <c r="G65" s="430" t="s">
        <v>294</v>
      </c>
      <c r="H65" s="431">
        <f t="shared" si="3"/>
        <v>80000</v>
      </c>
      <c r="I65" s="432" t="s">
        <v>89</v>
      </c>
      <c r="J65" s="431">
        <f t="shared" si="4"/>
        <v>20000</v>
      </c>
      <c r="K65" s="431">
        <f t="shared" si="5"/>
        <v>100000</v>
      </c>
    </row>
    <row r="66" spans="1:11" s="147" customFormat="1" ht="25.5">
      <c r="A66" s="405">
        <v>65</v>
      </c>
      <c r="B66" s="337" t="s">
        <v>678</v>
      </c>
      <c r="C66" s="337" t="s">
        <v>959</v>
      </c>
      <c r="D66" s="337" t="s">
        <v>497</v>
      </c>
      <c r="E66" s="337" t="s">
        <v>935</v>
      </c>
      <c r="F66" s="338">
        <v>8000000</v>
      </c>
      <c r="G66" s="430" t="s">
        <v>277</v>
      </c>
      <c r="H66" s="431">
        <f t="shared" ref="H66:H93" si="6">K66-J66</f>
        <v>1600000</v>
      </c>
      <c r="I66" s="432" t="s">
        <v>89</v>
      </c>
      <c r="J66" s="431">
        <f t="shared" ref="J66:J93" si="7">F66*0.05</f>
        <v>400000</v>
      </c>
      <c r="K66" s="431">
        <f t="shared" ref="K66:K93" si="8">IF(G66="NGUYỆN",F66*25%*75%,IF(G66="TOẢN",F66*25%*75%,IF(G66="V.TÂN",F66*25%*75%,F66*0.25)))</f>
        <v>2000000</v>
      </c>
    </row>
    <row r="67" spans="1:11" s="147" customFormat="1" ht="25.5">
      <c r="A67" s="405">
        <v>66</v>
      </c>
      <c r="B67" s="339" t="s">
        <v>678</v>
      </c>
      <c r="C67" s="339" t="s">
        <v>960</v>
      </c>
      <c r="D67" s="339" t="s">
        <v>499</v>
      </c>
      <c r="E67" s="340" t="s">
        <v>948</v>
      </c>
      <c r="F67" s="338">
        <v>1000000</v>
      </c>
      <c r="G67" s="430" t="s">
        <v>277</v>
      </c>
      <c r="H67" s="431">
        <f t="shared" si="6"/>
        <v>200000</v>
      </c>
      <c r="I67" s="432" t="s">
        <v>89</v>
      </c>
      <c r="J67" s="431">
        <f t="shared" si="7"/>
        <v>50000</v>
      </c>
      <c r="K67" s="431">
        <f t="shared" si="8"/>
        <v>250000</v>
      </c>
    </row>
    <row r="68" spans="1:11" s="147" customFormat="1" ht="25.5">
      <c r="A68" s="405">
        <v>67</v>
      </c>
      <c r="B68" s="353" t="s">
        <v>689</v>
      </c>
      <c r="C68" s="353" t="s">
        <v>760</v>
      </c>
      <c r="D68" s="353" t="s">
        <v>174</v>
      </c>
      <c r="E68" s="337" t="s">
        <v>897</v>
      </c>
      <c r="F68" s="433">
        <v>2000000</v>
      </c>
      <c r="G68" s="297" t="s">
        <v>978</v>
      </c>
      <c r="H68" s="431">
        <f t="shared" si="6"/>
        <v>400000</v>
      </c>
      <c r="I68" s="432" t="s">
        <v>89</v>
      </c>
      <c r="J68" s="431">
        <f t="shared" si="7"/>
        <v>100000</v>
      </c>
      <c r="K68" s="431">
        <f t="shared" si="8"/>
        <v>500000</v>
      </c>
    </row>
    <row r="69" spans="1:11" s="147" customFormat="1" ht="25.5">
      <c r="A69" s="405">
        <v>68</v>
      </c>
      <c r="B69" s="337" t="s">
        <v>689</v>
      </c>
      <c r="C69" s="337" t="s">
        <v>961</v>
      </c>
      <c r="D69" s="337" t="s">
        <v>571</v>
      </c>
      <c r="E69" s="337" t="s">
        <v>962</v>
      </c>
      <c r="F69" s="338">
        <v>3000000</v>
      </c>
      <c r="G69" s="430" t="s">
        <v>978</v>
      </c>
      <c r="H69" s="431">
        <f t="shared" si="6"/>
        <v>600000</v>
      </c>
      <c r="I69" s="432" t="s">
        <v>89</v>
      </c>
      <c r="J69" s="431">
        <f t="shared" si="7"/>
        <v>150000</v>
      </c>
      <c r="K69" s="431">
        <f t="shared" si="8"/>
        <v>750000</v>
      </c>
    </row>
    <row r="70" spans="1:11" s="147" customFormat="1">
      <c r="A70" s="405">
        <v>69</v>
      </c>
      <c r="B70" s="353" t="s">
        <v>694</v>
      </c>
      <c r="C70" s="353" t="s">
        <v>898</v>
      </c>
      <c r="D70" s="353" t="s">
        <v>665</v>
      </c>
      <c r="E70" s="337" t="s">
        <v>881</v>
      </c>
      <c r="F70" s="433">
        <v>384000</v>
      </c>
      <c r="G70" s="430" t="s">
        <v>159</v>
      </c>
      <c r="H70" s="431">
        <f t="shared" si="6"/>
        <v>76800</v>
      </c>
      <c r="I70" s="432" t="s">
        <v>89</v>
      </c>
      <c r="J70" s="431">
        <f t="shared" si="7"/>
        <v>19200</v>
      </c>
      <c r="K70" s="431">
        <f t="shared" si="8"/>
        <v>96000</v>
      </c>
    </row>
    <row r="71" spans="1:11" s="147" customFormat="1">
      <c r="A71" s="405">
        <v>70</v>
      </c>
      <c r="B71" s="353" t="s">
        <v>694</v>
      </c>
      <c r="C71" s="353" t="s">
        <v>899</v>
      </c>
      <c r="D71" s="353" t="s">
        <v>140</v>
      </c>
      <c r="E71" s="337" t="s">
        <v>881</v>
      </c>
      <c r="F71" s="433">
        <v>104400</v>
      </c>
      <c r="G71" s="430" t="s">
        <v>159</v>
      </c>
      <c r="H71" s="431">
        <f t="shared" si="6"/>
        <v>20880</v>
      </c>
      <c r="I71" s="432" t="s">
        <v>89</v>
      </c>
      <c r="J71" s="431">
        <f t="shared" si="7"/>
        <v>5220</v>
      </c>
      <c r="K71" s="431">
        <f t="shared" si="8"/>
        <v>26100</v>
      </c>
    </row>
    <row r="72" spans="1:11" s="147" customFormat="1" ht="25.5">
      <c r="A72" s="405">
        <v>71</v>
      </c>
      <c r="B72" s="353" t="s">
        <v>694</v>
      </c>
      <c r="C72" s="353" t="s">
        <v>900</v>
      </c>
      <c r="D72" s="353" t="s">
        <v>525</v>
      </c>
      <c r="E72" s="337" t="s">
        <v>887</v>
      </c>
      <c r="F72" s="433">
        <v>300000</v>
      </c>
      <c r="G72" s="430" t="s">
        <v>159</v>
      </c>
      <c r="H72" s="431">
        <f t="shared" si="6"/>
        <v>60000</v>
      </c>
      <c r="I72" s="432" t="s">
        <v>89</v>
      </c>
      <c r="J72" s="431">
        <f t="shared" si="7"/>
        <v>15000</v>
      </c>
      <c r="K72" s="431">
        <f t="shared" si="8"/>
        <v>75000</v>
      </c>
    </row>
    <row r="73" spans="1:11" s="147" customFormat="1" ht="38.25">
      <c r="A73" s="405">
        <v>72</v>
      </c>
      <c r="B73" s="353" t="s">
        <v>702</v>
      </c>
      <c r="C73" s="353" t="s">
        <v>901</v>
      </c>
      <c r="D73" s="353" t="s">
        <v>902</v>
      </c>
      <c r="E73" s="337" t="s">
        <v>863</v>
      </c>
      <c r="F73" s="433">
        <v>194700</v>
      </c>
      <c r="G73" s="430" t="s">
        <v>159</v>
      </c>
      <c r="H73" s="431">
        <f t="shared" si="6"/>
        <v>38940</v>
      </c>
      <c r="I73" s="432" t="s">
        <v>89</v>
      </c>
      <c r="J73" s="431">
        <f t="shared" si="7"/>
        <v>9735</v>
      </c>
      <c r="K73" s="431">
        <f t="shared" si="8"/>
        <v>48675</v>
      </c>
    </row>
    <row r="74" spans="1:11" s="147" customFormat="1">
      <c r="A74" s="405">
        <v>73</v>
      </c>
      <c r="B74" s="353" t="s">
        <v>702</v>
      </c>
      <c r="C74" s="353" t="s">
        <v>903</v>
      </c>
      <c r="D74" s="353" t="s">
        <v>665</v>
      </c>
      <c r="E74" s="337" t="s">
        <v>853</v>
      </c>
      <c r="F74" s="433">
        <v>126700</v>
      </c>
      <c r="G74" s="430" t="s">
        <v>190</v>
      </c>
      <c r="H74" s="431">
        <f t="shared" si="6"/>
        <v>17421.25</v>
      </c>
      <c r="I74" s="432" t="s">
        <v>89</v>
      </c>
      <c r="J74" s="431">
        <f t="shared" si="7"/>
        <v>6335</v>
      </c>
      <c r="K74" s="431">
        <f t="shared" si="8"/>
        <v>23756.25</v>
      </c>
    </row>
    <row r="75" spans="1:11" s="147" customFormat="1">
      <c r="A75" s="405">
        <v>74</v>
      </c>
      <c r="B75" s="353" t="s">
        <v>702</v>
      </c>
      <c r="C75" s="353" t="s">
        <v>904</v>
      </c>
      <c r="D75" s="353" t="s">
        <v>575</v>
      </c>
      <c r="E75" s="337" t="s">
        <v>851</v>
      </c>
      <c r="F75" s="433">
        <v>104400</v>
      </c>
      <c r="G75" s="430" t="s">
        <v>134</v>
      </c>
      <c r="H75" s="431">
        <f t="shared" si="6"/>
        <v>20880</v>
      </c>
      <c r="I75" s="432" t="s">
        <v>89</v>
      </c>
      <c r="J75" s="431">
        <f t="shared" si="7"/>
        <v>5220</v>
      </c>
      <c r="K75" s="431">
        <f t="shared" si="8"/>
        <v>26100</v>
      </c>
    </row>
    <row r="76" spans="1:11" s="147" customFormat="1" ht="25.5">
      <c r="A76" s="405">
        <v>76</v>
      </c>
      <c r="B76" s="353" t="s">
        <v>719</v>
      </c>
      <c r="C76" s="353" t="s">
        <v>905</v>
      </c>
      <c r="D76" s="353" t="s">
        <v>494</v>
      </c>
      <c r="E76" s="337" t="s">
        <v>887</v>
      </c>
      <c r="F76" s="433">
        <v>300000</v>
      </c>
      <c r="G76" s="430" t="s">
        <v>277</v>
      </c>
      <c r="H76" s="431">
        <f t="shared" si="6"/>
        <v>60000</v>
      </c>
      <c r="I76" s="432" t="s">
        <v>89</v>
      </c>
      <c r="J76" s="431">
        <f t="shared" si="7"/>
        <v>15000</v>
      </c>
      <c r="K76" s="431">
        <f t="shared" si="8"/>
        <v>75000</v>
      </c>
    </row>
    <row r="77" spans="1:11" s="147" customFormat="1">
      <c r="A77" s="405">
        <v>78</v>
      </c>
      <c r="B77" s="353" t="s">
        <v>719</v>
      </c>
      <c r="C77" s="353" t="s">
        <v>906</v>
      </c>
      <c r="D77" s="353" t="s">
        <v>525</v>
      </c>
      <c r="E77" s="337" t="s">
        <v>878</v>
      </c>
      <c r="F77" s="433">
        <v>300000</v>
      </c>
      <c r="G77" s="430" t="s">
        <v>277</v>
      </c>
      <c r="H77" s="431">
        <f t="shared" si="6"/>
        <v>60000</v>
      </c>
      <c r="I77" s="432" t="s">
        <v>89</v>
      </c>
      <c r="J77" s="431">
        <f t="shared" si="7"/>
        <v>15000</v>
      </c>
      <c r="K77" s="431">
        <f t="shared" si="8"/>
        <v>75000</v>
      </c>
    </row>
    <row r="78" spans="1:11" s="147" customFormat="1" ht="25.5">
      <c r="A78" s="405">
        <v>79</v>
      </c>
      <c r="B78" s="337" t="s">
        <v>719</v>
      </c>
      <c r="C78" s="337" t="s">
        <v>963</v>
      </c>
      <c r="D78" s="337" t="s">
        <v>537</v>
      </c>
      <c r="E78" s="337" t="s">
        <v>935</v>
      </c>
      <c r="F78" s="338">
        <v>4000000</v>
      </c>
      <c r="G78" s="430" t="s">
        <v>277</v>
      </c>
      <c r="H78" s="431">
        <f t="shared" si="6"/>
        <v>800000</v>
      </c>
      <c r="I78" s="432" t="s">
        <v>89</v>
      </c>
      <c r="J78" s="431">
        <f t="shared" si="7"/>
        <v>200000</v>
      </c>
      <c r="K78" s="431">
        <f t="shared" si="8"/>
        <v>1000000</v>
      </c>
    </row>
    <row r="79" spans="1:11" s="147" customFormat="1">
      <c r="A79" s="405">
        <v>80</v>
      </c>
      <c r="B79" s="353" t="s">
        <v>740</v>
      </c>
      <c r="C79" s="353" t="s">
        <v>907</v>
      </c>
      <c r="D79" s="353" t="s">
        <v>599</v>
      </c>
      <c r="E79" s="337" t="s">
        <v>853</v>
      </c>
      <c r="F79" s="433">
        <v>418000</v>
      </c>
      <c r="G79" s="430" t="s">
        <v>190</v>
      </c>
      <c r="H79" s="431">
        <f t="shared" si="6"/>
        <v>57475</v>
      </c>
      <c r="I79" s="432" t="s">
        <v>89</v>
      </c>
      <c r="J79" s="431">
        <f t="shared" si="7"/>
        <v>20900</v>
      </c>
      <c r="K79" s="431">
        <f t="shared" si="8"/>
        <v>78375</v>
      </c>
    </row>
    <row r="80" spans="1:11" s="147" customFormat="1">
      <c r="A80" s="405">
        <v>81</v>
      </c>
      <c r="B80" s="353" t="s">
        <v>740</v>
      </c>
      <c r="C80" s="353" t="s">
        <v>908</v>
      </c>
      <c r="D80" s="353" t="s">
        <v>512</v>
      </c>
      <c r="E80" s="337" t="s">
        <v>853</v>
      </c>
      <c r="F80" s="433">
        <v>418000</v>
      </c>
      <c r="G80" s="430" t="s">
        <v>190</v>
      </c>
      <c r="H80" s="431">
        <f t="shared" si="6"/>
        <v>57475</v>
      </c>
      <c r="I80" s="432" t="s">
        <v>89</v>
      </c>
      <c r="J80" s="431">
        <f t="shared" si="7"/>
        <v>20900</v>
      </c>
      <c r="K80" s="431">
        <f t="shared" si="8"/>
        <v>78375</v>
      </c>
    </row>
    <row r="81" spans="1:11" s="147" customFormat="1">
      <c r="A81" s="405">
        <v>82</v>
      </c>
      <c r="B81" s="353" t="s">
        <v>740</v>
      </c>
      <c r="C81" s="353" t="s">
        <v>909</v>
      </c>
      <c r="D81" s="353" t="s">
        <v>665</v>
      </c>
      <c r="E81" s="337" t="s">
        <v>853</v>
      </c>
      <c r="F81" s="433">
        <v>418000</v>
      </c>
      <c r="G81" s="430" t="s">
        <v>190</v>
      </c>
      <c r="H81" s="431">
        <f t="shared" si="6"/>
        <v>57475</v>
      </c>
      <c r="I81" s="432" t="s">
        <v>89</v>
      </c>
      <c r="J81" s="431">
        <f t="shared" si="7"/>
        <v>20900</v>
      </c>
      <c r="K81" s="431">
        <f t="shared" si="8"/>
        <v>78375</v>
      </c>
    </row>
    <row r="82" spans="1:11" s="147" customFormat="1" ht="25.5">
      <c r="A82" s="405">
        <v>83</v>
      </c>
      <c r="B82" s="353" t="s">
        <v>740</v>
      </c>
      <c r="C82" s="353" t="s">
        <v>910</v>
      </c>
      <c r="D82" s="353" t="s">
        <v>911</v>
      </c>
      <c r="E82" s="337" t="s">
        <v>857</v>
      </c>
      <c r="F82" s="433">
        <v>2000000</v>
      </c>
      <c r="G82" s="430" t="s">
        <v>190</v>
      </c>
      <c r="H82" s="431">
        <f t="shared" si="6"/>
        <v>275000</v>
      </c>
      <c r="I82" s="432" t="s">
        <v>89</v>
      </c>
      <c r="J82" s="431">
        <f t="shared" si="7"/>
        <v>100000</v>
      </c>
      <c r="K82" s="431">
        <f t="shared" si="8"/>
        <v>375000</v>
      </c>
    </row>
    <row r="83" spans="1:11" s="147" customFormat="1">
      <c r="A83" s="405">
        <v>85</v>
      </c>
      <c r="B83" s="353" t="s">
        <v>740</v>
      </c>
      <c r="C83" s="353" t="s">
        <v>912</v>
      </c>
      <c r="D83" s="353" t="s">
        <v>504</v>
      </c>
      <c r="E83" s="337" t="s">
        <v>853</v>
      </c>
      <c r="F83" s="433">
        <v>418000</v>
      </c>
      <c r="G83" s="430" t="s">
        <v>190</v>
      </c>
      <c r="H83" s="431">
        <f t="shared" si="6"/>
        <v>57475</v>
      </c>
      <c r="I83" s="432" t="s">
        <v>89</v>
      </c>
      <c r="J83" s="431">
        <f t="shared" si="7"/>
        <v>20900</v>
      </c>
      <c r="K83" s="431">
        <f t="shared" si="8"/>
        <v>78375</v>
      </c>
    </row>
    <row r="84" spans="1:11" s="147" customFormat="1">
      <c r="A84" s="405">
        <v>86</v>
      </c>
      <c r="B84" s="353" t="s">
        <v>755</v>
      </c>
      <c r="C84" s="353" t="s">
        <v>913</v>
      </c>
      <c r="D84" s="353" t="s">
        <v>577</v>
      </c>
      <c r="E84" s="337" t="s">
        <v>855</v>
      </c>
      <c r="F84" s="433">
        <v>400000</v>
      </c>
      <c r="G84" s="430" t="s">
        <v>978</v>
      </c>
      <c r="H84" s="431">
        <f t="shared" si="6"/>
        <v>80000</v>
      </c>
      <c r="I84" s="432" t="s">
        <v>89</v>
      </c>
      <c r="J84" s="431">
        <f t="shared" si="7"/>
        <v>20000</v>
      </c>
      <c r="K84" s="431">
        <f t="shared" si="8"/>
        <v>100000</v>
      </c>
    </row>
    <row r="85" spans="1:11" s="147" customFormat="1">
      <c r="A85" s="405">
        <v>87</v>
      </c>
      <c r="B85" s="353" t="s">
        <v>755</v>
      </c>
      <c r="C85" s="353" t="s">
        <v>914</v>
      </c>
      <c r="D85" s="353" t="s">
        <v>591</v>
      </c>
      <c r="E85" s="337" t="s">
        <v>851</v>
      </c>
      <c r="F85" s="433">
        <v>384000</v>
      </c>
      <c r="G85" s="430" t="s">
        <v>978</v>
      </c>
      <c r="H85" s="431">
        <f t="shared" si="6"/>
        <v>76800</v>
      </c>
      <c r="I85" s="432" t="s">
        <v>89</v>
      </c>
      <c r="J85" s="431">
        <f t="shared" si="7"/>
        <v>19200</v>
      </c>
      <c r="K85" s="431">
        <f t="shared" si="8"/>
        <v>96000</v>
      </c>
    </row>
    <row r="86" spans="1:11" s="147" customFormat="1">
      <c r="A86" s="405">
        <v>88</v>
      </c>
      <c r="B86" s="353" t="s">
        <v>755</v>
      </c>
      <c r="C86" s="353" t="s">
        <v>915</v>
      </c>
      <c r="D86" s="353" t="s">
        <v>530</v>
      </c>
      <c r="E86" s="337" t="s">
        <v>853</v>
      </c>
      <c r="F86" s="433">
        <v>418000</v>
      </c>
      <c r="G86" s="430" t="s">
        <v>190</v>
      </c>
      <c r="H86" s="431">
        <f t="shared" si="6"/>
        <v>57475</v>
      </c>
      <c r="I86" s="432" t="s">
        <v>89</v>
      </c>
      <c r="J86" s="431">
        <f t="shared" si="7"/>
        <v>20900</v>
      </c>
      <c r="K86" s="431">
        <f t="shared" si="8"/>
        <v>78375</v>
      </c>
    </row>
    <row r="87" spans="1:11" s="147" customFormat="1">
      <c r="A87" s="405">
        <v>89</v>
      </c>
      <c r="B87" s="353" t="s">
        <v>755</v>
      </c>
      <c r="C87" s="353" t="s">
        <v>916</v>
      </c>
      <c r="D87" s="353" t="s">
        <v>474</v>
      </c>
      <c r="E87" s="337" t="s">
        <v>843</v>
      </c>
      <c r="F87" s="433">
        <v>384000</v>
      </c>
      <c r="G87" s="430" t="s">
        <v>190</v>
      </c>
      <c r="H87" s="431">
        <f t="shared" si="6"/>
        <v>52800</v>
      </c>
      <c r="I87" s="432" t="s">
        <v>89</v>
      </c>
      <c r="J87" s="431">
        <f t="shared" si="7"/>
        <v>19200</v>
      </c>
      <c r="K87" s="431">
        <f t="shared" si="8"/>
        <v>72000</v>
      </c>
    </row>
    <row r="88" spans="1:11" s="147" customFormat="1" ht="25.5">
      <c r="A88" s="405">
        <v>90</v>
      </c>
      <c r="B88" s="337" t="s">
        <v>755</v>
      </c>
      <c r="C88" s="337" t="s">
        <v>964</v>
      </c>
      <c r="D88" s="337" t="s">
        <v>667</v>
      </c>
      <c r="E88" s="337" t="s">
        <v>935</v>
      </c>
      <c r="F88" s="338">
        <v>4000000</v>
      </c>
      <c r="G88" s="430" t="s">
        <v>978</v>
      </c>
      <c r="H88" s="431">
        <f t="shared" si="6"/>
        <v>800000</v>
      </c>
      <c r="I88" s="432" t="s">
        <v>89</v>
      </c>
      <c r="J88" s="431">
        <f t="shared" si="7"/>
        <v>200000</v>
      </c>
      <c r="K88" s="431">
        <f t="shared" si="8"/>
        <v>1000000</v>
      </c>
    </row>
    <row r="89" spans="1:11" s="147" customFormat="1">
      <c r="A89" s="405">
        <v>91</v>
      </c>
      <c r="B89" s="353" t="s">
        <v>766</v>
      </c>
      <c r="C89" s="353" t="s">
        <v>917</v>
      </c>
      <c r="D89" s="353" t="s">
        <v>530</v>
      </c>
      <c r="E89" s="337" t="s">
        <v>881</v>
      </c>
      <c r="F89" s="433">
        <v>384000</v>
      </c>
      <c r="G89" s="430" t="s">
        <v>159</v>
      </c>
      <c r="H89" s="431">
        <f t="shared" si="6"/>
        <v>76800</v>
      </c>
      <c r="I89" s="432" t="s">
        <v>89</v>
      </c>
      <c r="J89" s="431">
        <f t="shared" si="7"/>
        <v>19200</v>
      </c>
      <c r="K89" s="431">
        <f t="shared" si="8"/>
        <v>96000</v>
      </c>
    </row>
    <row r="90" spans="1:11" s="147" customFormat="1">
      <c r="A90" s="405">
        <v>93</v>
      </c>
      <c r="B90" s="353" t="s">
        <v>766</v>
      </c>
      <c r="C90" s="353" t="s">
        <v>918</v>
      </c>
      <c r="D90" s="353" t="s">
        <v>575</v>
      </c>
      <c r="E90" s="337" t="s">
        <v>881</v>
      </c>
      <c r="F90" s="433">
        <v>384000</v>
      </c>
      <c r="G90" s="430" t="s">
        <v>159</v>
      </c>
      <c r="H90" s="431">
        <f t="shared" si="6"/>
        <v>76800</v>
      </c>
      <c r="I90" s="432" t="s">
        <v>89</v>
      </c>
      <c r="J90" s="431">
        <f t="shared" si="7"/>
        <v>19200</v>
      </c>
      <c r="K90" s="431">
        <f t="shared" si="8"/>
        <v>96000</v>
      </c>
    </row>
    <row r="91" spans="1:11" s="147" customFormat="1">
      <c r="A91" s="405">
        <v>94</v>
      </c>
      <c r="B91" s="353" t="s">
        <v>766</v>
      </c>
      <c r="C91" s="353" t="s">
        <v>919</v>
      </c>
      <c r="D91" s="353" t="s">
        <v>650</v>
      </c>
      <c r="E91" s="337" t="s">
        <v>851</v>
      </c>
      <c r="F91" s="433">
        <v>384000</v>
      </c>
      <c r="G91" s="430" t="s">
        <v>159</v>
      </c>
      <c r="H91" s="431">
        <f t="shared" si="6"/>
        <v>76800</v>
      </c>
      <c r="I91" s="432" t="s">
        <v>89</v>
      </c>
      <c r="J91" s="431">
        <f t="shared" si="7"/>
        <v>19200</v>
      </c>
      <c r="K91" s="431">
        <f t="shared" si="8"/>
        <v>96000</v>
      </c>
    </row>
    <row r="92" spans="1:11" s="147" customFormat="1">
      <c r="A92" s="405">
        <v>95</v>
      </c>
      <c r="B92" s="353" t="s">
        <v>766</v>
      </c>
      <c r="C92" s="353" t="s">
        <v>920</v>
      </c>
      <c r="D92" s="353" t="s">
        <v>533</v>
      </c>
      <c r="E92" s="337" t="s">
        <v>851</v>
      </c>
      <c r="F92" s="433">
        <v>384000</v>
      </c>
      <c r="G92" s="430" t="s">
        <v>159</v>
      </c>
      <c r="H92" s="431">
        <f t="shared" si="6"/>
        <v>76800</v>
      </c>
      <c r="I92" s="432" t="s">
        <v>89</v>
      </c>
      <c r="J92" s="431">
        <f t="shared" si="7"/>
        <v>19200</v>
      </c>
      <c r="K92" s="431">
        <f t="shared" si="8"/>
        <v>96000</v>
      </c>
    </row>
    <row r="93" spans="1:11" s="147" customFormat="1" ht="25.5">
      <c r="A93" s="405">
        <v>96</v>
      </c>
      <c r="B93" s="353" t="s">
        <v>766</v>
      </c>
      <c r="C93" s="353" t="s">
        <v>921</v>
      </c>
      <c r="D93" s="353" t="s">
        <v>136</v>
      </c>
      <c r="E93" s="337" t="s">
        <v>887</v>
      </c>
      <c r="F93" s="433">
        <v>300000</v>
      </c>
      <c r="G93" s="430" t="s">
        <v>159</v>
      </c>
      <c r="H93" s="431">
        <f t="shared" si="6"/>
        <v>60000</v>
      </c>
      <c r="I93" s="432" t="s">
        <v>89</v>
      </c>
      <c r="J93" s="431">
        <f t="shared" si="7"/>
        <v>15000</v>
      </c>
      <c r="K93" s="431">
        <f t="shared" si="8"/>
        <v>75000</v>
      </c>
    </row>
    <row r="94" spans="1:11" s="147" customFormat="1" ht="25.5">
      <c r="A94" s="405">
        <v>97</v>
      </c>
      <c r="B94" s="337" t="s">
        <v>766</v>
      </c>
      <c r="C94" s="337" t="s">
        <v>965</v>
      </c>
      <c r="D94" s="337" t="s">
        <v>573</v>
      </c>
      <c r="E94" s="337" t="s">
        <v>945</v>
      </c>
      <c r="F94" s="338">
        <v>5000000</v>
      </c>
      <c r="G94" s="430" t="s">
        <v>159</v>
      </c>
      <c r="H94" s="431">
        <f t="shared" ref="H94:H117" si="9">K94-J94</f>
        <v>1000000</v>
      </c>
      <c r="I94" s="432" t="s">
        <v>89</v>
      </c>
      <c r="J94" s="431">
        <f t="shared" ref="J94:J117" si="10">F94*0.05</f>
        <v>250000</v>
      </c>
      <c r="K94" s="431">
        <f t="shared" ref="K94:K117" si="11">IF(G94="NGUYỆN",F94*25%*75%,IF(G94="TOẢN",F94*25%*75%,IF(G94="V.TÂN",F94*25%*75%,F94*0.25)))</f>
        <v>1250000</v>
      </c>
    </row>
    <row r="95" spans="1:11" s="147" customFormat="1" ht="25.5">
      <c r="A95" s="405">
        <v>99</v>
      </c>
      <c r="B95" s="337" t="s">
        <v>773</v>
      </c>
      <c r="C95" s="337" t="s">
        <v>966</v>
      </c>
      <c r="D95" s="337" t="s">
        <v>485</v>
      </c>
      <c r="E95" s="337" t="s">
        <v>935</v>
      </c>
      <c r="F95" s="338">
        <v>4000000</v>
      </c>
      <c r="G95" s="430" t="s">
        <v>134</v>
      </c>
      <c r="H95" s="431">
        <f t="shared" si="9"/>
        <v>800000</v>
      </c>
      <c r="I95" s="432" t="s">
        <v>89</v>
      </c>
      <c r="J95" s="431">
        <f t="shared" si="10"/>
        <v>200000</v>
      </c>
      <c r="K95" s="431">
        <f t="shared" si="11"/>
        <v>1000000</v>
      </c>
    </row>
    <row r="96" spans="1:11" s="147" customFormat="1">
      <c r="A96" s="405">
        <v>100</v>
      </c>
      <c r="B96" s="353" t="s">
        <v>796</v>
      </c>
      <c r="C96" s="353" t="s">
        <v>922</v>
      </c>
      <c r="D96" s="353" t="s">
        <v>665</v>
      </c>
      <c r="E96" s="337" t="s">
        <v>892</v>
      </c>
      <c r="F96" s="433">
        <v>300000</v>
      </c>
      <c r="G96" s="430" t="s">
        <v>277</v>
      </c>
      <c r="H96" s="431">
        <f t="shared" si="9"/>
        <v>60000</v>
      </c>
      <c r="I96" s="432" t="s">
        <v>89</v>
      </c>
      <c r="J96" s="431">
        <f t="shared" si="10"/>
        <v>15000</v>
      </c>
      <c r="K96" s="431">
        <f t="shared" si="11"/>
        <v>75000</v>
      </c>
    </row>
    <row r="97" spans="1:11" s="147" customFormat="1">
      <c r="A97" s="405">
        <v>101</v>
      </c>
      <c r="B97" s="353" t="s">
        <v>796</v>
      </c>
      <c r="C97" s="353" t="s">
        <v>923</v>
      </c>
      <c r="D97" s="353" t="s">
        <v>139</v>
      </c>
      <c r="E97" s="337" t="s">
        <v>878</v>
      </c>
      <c r="F97" s="433">
        <v>300000</v>
      </c>
      <c r="G97" s="430" t="s">
        <v>277</v>
      </c>
      <c r="H97" s="431">
        <f t="shared" si="9"/>
        <v>60000</v>
      </c>
      <c r="I97" s="432" t="s">
        <v>89</v>
      </c>
      <c r="J97" s="431">
        <f t="shared" si="10"/>
        <v>15000</v>
      </c>
      <c r="K97" s="431">
        <f t="shared" si="11"/>
        <v>75000</v>
      </c>
    </row>
    <row r="98" spans="1:11" s="147" customFormat="1" ht="25.5">
      <c r="A98" s="405">
        <v>104</v>
      </c>
      <c r="B98" s="353" t="s">
        <v>796</v>
      </c>
      <c r="C98" s="353" t="s">
        <v>924</v>
      </c>
      <c r="D98" s="353" t="s">
        <v>507</v>
      </c>
      <c r="E98" s="337" t="s">
        <v>841</v>
      </c>
      <c r="F98" s="433">
        <v>500000</v>
      </c>
      <c r="G98" s="430" t="s">
        <v>277</v>
      </c>
      <c r="H98" s="431">
        <f t="shared" si="9"/>
        <v>100000</v>
      </c>
      <c r="I98" s="432" t="s">
        <v>89</v>
      </c>
      <c r="J98" s="431">
        <f t="shared" si="10"/>
        <v>25000</v>
      </c>
      <c r="K98" s="431">
        <f t="shared" si="11"/>
        <v>125000</v>
      </c>
    </row>
    <row r="99" spans="1:11" s="147" customFormat="1">
      <c r="A99" s="405">
        <v>105</v>
      </c>
      <c r="B99" s="353" t="s">
        <v>796</v>
      </c>
      <c r="C99" s="353" t="s">
        <v>925</v>
      </c>
      <c r="D99" s="353" t="s">
        <v>494</v>
      </c>
      <c r="E99" s="337" t="s">
        <v>849</v>
      </c>
      <c r="F99" s="433">
        <v>500000</v>
      </c>
      <c r="G99" s="430" t="s">
        <v>183</v>
      </c>
      <c r="H99" s="431">
        <f t="shared" si="9"/>
        <v>100000</v>
      </c>
      <c r="I99" s="432" t="s">
        <v>89</v>
      </c>
      <c r="J99" s="431">
        <f t="shared" si="10"/>
        <v>25000</v>
      </c>
      <c r="K99" s="431">
        <f t="shared" si="11"/>
        <v>125000</v>
      </c>
    </row>
    <row r="100" spans="1:11" s="147" customFormat="1">
      <c r="A100" s="405">
        <v>106</v>
      </c>
      <c r="B100" s="353" t="s">
        <v>796</v>
      </c>
      <c r="C100" s="353" t="s">
        <v>926</v>
      </c>
      <c r="D100" s="353" t="s">
        <v>141</v>
      </c>
      <c r="E100" s="337" t="s">
        <v>927</v>
      </c>
      <c r="F100" s="433">
        <v>384000</v>
      </c>
      <c r="G100" s="430" t="s">
        <v>277</v>
      </c>
      <c r="H100" s="431">
        <f t="shared" si="9"/>
        <v>76800</v>
      </c>
      <c r="I100" s="432" t="s">
        <v>89</v>
      </c>
      <c r="J100" s="431">
        <f t="shared" si="10"/>
        <v>19200</v>
      </c>
      <c r="K100" s="431">
        <f t="shared" si="11"/>
        <v>96000</v>
      </c>
    </row>
    <row r="101" spans="1:11" s="147" customFormat="1" ht="25.5">
      <c r="A101" s="405">
        <v>108</v>
      </c>
      <c r="B101" s="353" t="s">
        <v>796</v>
      </c>
      <c r="C101" s="353" t="s">
        <v>928</v>
      </c>
      <c r="D101" s="353" t="s">
        <v>622</v>
      </c>
      <c r="E101" s="337" t="s">
        <v>887</v>
      </c>
      <c r="F101" s="433">
        <v>300000</v>
      </c>
      <c r="G101" s="430" t="s">
        <v>277</v>
      </c>
      <c r="H101" s="431">
        <f t="shared" si="9"/>
        <v>60000</v>
      </c>
      <c r="I101" s="432" t="s">
        <v>89</v>
      </c>
      <c r="J101" s="431">
        <f t="shared" si="10"/>
        <v>15000</v>
      </c>
      <c r="K101" s="431">
        <f t="shared" si="11"/>
        <v>75000</v>
      </c>
    </row>
    <row r="102" spans="1:11" s="147" customFormat="1" ht="25.5">
      <c r="A102" s="405">
        <v>109</v>
      </c>
      <c r="B102" s="337" t="s">
        <v>796</v>
      </c>
      <c r="C102" s="337" t="s">
        <v>967</v>
      </c>
      <c r="D102" s="337" t="s">
        <v>507</v>
      </c>
      <c r="E102" s="337" t="s">
        <v>935</v>
      </c>
      <c r="F102" s="338">
        <v>4000000</v>
      </c>
      <c r="G102" s="430" t="s">
        <v>277</v>
      </c>
      <c r="H102" s="431">
        <f t="shared" si="9"/>
        <v>800000</v>
      </c>
      <c r="I102" s="432" t="s">
        <v>89</v>
      </c>
      <c r="J102" s="431">
        <f t="shared" si="10"/>
        <v>200000</v>
      </c>
      <c r="K102" s="431">
        <f t="shared" si="11"/>
        <v>1000000</v>
      </c>
    </row>
    <row r="103" spans="1:11" s="147" customFormat="1" ht="25.5">
      <c r="A103" s="405">
        <v>110</v>
      </c>
      <c r="B103" s="337" t="s">
        <v>796</v>
      </c>
      <c r="C103" s="337" t="s">
        <v>968</v>
      </c>
      <c r="D103" s="337" t="s">
        <v>499</v>
      </c>
      <c r="E103" s="337" t="s">
        <v>935</v>
      </c>
      <c r="F103" s="338">
        <v>4000000</v>
      </c>
      <c r="G103" s="430" t="s">
        <v>277</v>
      </c>
      <c r="H103" s="431">
        <f t="shared" si="9"/>
        <v>800000</v>
      </c>
      <c r="I103" s="432" t="s">
        <v>89</v>
      </c>
      <c r="J103" s="431">
        <f t="shared" si="10"/>
        <v>200000</v>
      </c>
      <c r="K103" s="431">
        <f t="shared" si="11"/>
        <v>1000000</v>
      </c>
    </row>
    <row r="104" spans="1:11" s="147" customFormat="1" ht="25.5">
      <c r="A104" s="405">
        <v>111</v>
      </c>
      <c r="B104" s="337" t="s">
        <v>796</v>
      </c>
      <c r="C104" s="337" t="s">
        <v>642</v>
      </c>
      <c r="D104" s="337" t="s">
        <v>480</v>
      </c>
      <c r="E104" s="337" t="s">
        <v>935</v>
      </c>
      <c r="F104" s="338">
        <v>4000000</v>
      </c>
      <c r="G104" s="430" t="s">
        <v>277</v>
      </c>
      <c r="H104" s="431">
        <f t="shared" si="9"/>
        <v>800000</v>
      </c>
      <c r="I104" s="432" t="s">
        <v>89</v>
      </c>
      <c r="J104" s="431">
        <f t="shared" si="10"/>
        <v>200000</v>
      </c>
      <c r="K104" s="431">
        <f t="shared" si="11"/>
        <v>1000000</v>
      </c>
    </row>
    <row r="105" spans="1:11" s="147" customFormat="1" ht="25.5">
      <c r="A105" s="405">
        <v>112</v>
      </c>
      <c r="B105" s="337" t="s">
        <v>796</v>
      </c>
      <c r="C105" s="337" t="s">
        <v>969</v>
      </c>
      <c r="D105" s="337" t="s">
        <v>487</v>
      </c>
      <c r="E105" s="337" t="s">
        <v>970</v>
      </c>
      <c r="F105" s="338">
        <v>749600</v>
      </c>
      <c r="G105" s="430" t="s">
        <v>277</v>
      </c>
      <c r="H105" s="431">
        <f t="shared" si="9"/>
        <v>149920</v>
      </c>
      <c r="I105" s="432" t="s">
        <v>89</v>
      </c>
      <c r="J105" s="431">
        <f t="shared" si="10"/>
        <v>37480</v>
      </c>
      <c r="K105" s="431">
        <f t="shared" si="11"/>
        <v>187400</v>
      </c>
    </row>
    <row r="106" spans="1:11" s="147" customFormat="1" ht="25.5">
      <c r="A106" s="405">
        <v>113</v>
      </c>
      <c r="B106" s="353" t="s">
        <v>809</v>
      </c>
      <c r="C106" s="353" t="s">
        <v>929</v>
      </c>
      <c r="D106" s="353" t="s">
        <v>494</v>
      </c>
      <c r="E106" s="337" t="s">
        <v>841</v>
      </c>
      <c r="F106" s="433">
        <v>500000</v>
      </c>
      <c r="G106" s="430" t="s">
        <v>212</v>
      </c>
      <c r="H106" s="431">
        <f t="shared" si="9"/>
        <v>68750</v>
      </c>
      <c r="I106" s="432" t="s">
        <v>89</v>
      </c>
      <c r="J106" s="431">
        <f t="shared" si="10"/>
        <v>25000</v>
      </c>
      <c r="K106" s="431">
        <f t="shared" si="11"/>
        <v>93750</v>
      </c>
    </row>
    <row r="107" spans="1:11" s="147" customFormat="1">
      <c r="A107" s="405">
        <v>114</v>
      </c>
      <c r="B107" s="353" t="s">
        <v>809</v>
      </c>
      <c r="C107" s="353" t="s">
        <v>817</v>
      </c>
      <c r="D107" s="353" t="s">
        <v>683</v>
      </c>
      <c r="E107" s="337" t="s">
        <v>853</v>
      </c>
      <c r="F107" s="433">
        <v>126700</v>
      </c>
      <c r="G107" s="430" t="s">
        <v>190</v>
      </c>
      <c r="H107" s="431">
        <f t="shared" si="9"/>
        <v>17421.25</v>
      </c>
      <c r="I107" s="432" t="s">
        <v>89</v>
      </c>
      <c r="J107" s="431">
        <f t="shared" si="10"/>
        <v>6335</v>
      </c>
      <c r="K107" s="431">
        <f t="shared" si="11"/>
        <v>23756.25</v>
      </c>
    </row>
    <row r="108" spans="1:11" s="147" customFormat="1" ht="25.5">
      <c r="A108" s="405">
        <v>115</v>
      </c>
      <c r="B108" s="353" t="s">
        <v>818</v>
      </c>
      <c r="C108" s="353" t="s">
        <v>930</v>
      </c>
      <c r="D108" s="353" t="s">
        <v>516</v>
      </c>
      <c r="E108" s="337" t="s">
        <v>841</v>
      </c>
      <c r="F108" s="433">
        <v>500000</v>
      </c>
      <c r="G108" s="430" t="s">
        <v>277</v>
      </c>
      <c r="H108" s="431">
        <f t="shared" si="9"/>
        <v>100000</v>
      </c>
      <c r="I108" s="432" t="s">
        <v>89</v>
      </c>
      <c r="J108" s="431">
        <f t="shared" si="10"/>
        <v>25000</v>
      </c>
      <c r="K108" s="431">
        <f t="shared" si="11"/>
        <v>125000</v>
      </c>
    </row>
    <row r="109" spans="1:11" s="147" customFormat="1">
      <c r="A109" s="405">
        <v>116</v>
      </c>
      <c r="B109" s="353" t="s">
        <v>818</v>
      </c>
      <c r="C109" s="353" t="s">
        <v>931</v>
      </c>
      <c r="D109" s="353" t="s">
        <v>141</v>
      </c>
      <c r="E109" s="337" t="s">
        <v>853</v>
      </c>
      <c r="F109" s="433">
        <v>126700</v>
      </c>
      <c r="G109" s="430" t="s">
        <v>183</v>
      </c>
      <c r="H109" s="431">
        <f t="shared" si="9"/>
        <v>25340</v>
      </c>
      <c r="I109" s="432" t="s">
        <v>89</v>
      </c>
      <c r="J109" s="431">
        <f t="shared" si="10"/>
        <v>6335</v>
      </c>
      <c r="K109" s="431">
        <f t="shared" si="11"/>
        <v>31675</v>
      </c>
    </row>
    <row r="110" spans="1:11" s="147" customFormat="1" ht="25.5">
      <c r="A110" s="405">
        <v>117</v>
      </c>
      <c r="B110" s="353" t="s">
        <v>818</v>
      </c>
      <c r="C110" s="353" t="s">
        <v>932</v>
      </c>
      <c r="D110" s="353" t="s">
        <v>577</v>
      </c>
      <c r="E110" s="337" t="s">
        <v>887</v>
      </c>
      <c r="F110" s="433">
        <v>300000</v>
      </c>
      <c r="G110" s="430" t="s">
        <v>277</v>
      </c>
      <c r="H110" s="431">
        <f t="shared" si="9"/>
        <v>60000</v>
      </c>
      <c r="I110" s="432" t="s">
        <v>89</v>
      </c>
      <c r="J110" s="431">
        <f t="shared" si="10"/>
        <v>15000</v>
      </c>
      <c r="K110" s="431">
        <f t="shared" si="11"/>
        <v>75000</v>
      </c>
    </row>
    <row r="111" spans="1:11" s="147" customFormat="1" ht="25.5">
      <c r="A111" s="405">
        <v>118</v>
      </c>
      <c r="B111" s="337" t="s">
        <v>818</v>
      </c>
      <c r="C111" s="337" t="s">
        <v>971</v>
      </c>
      <c r="D111" s="337" t="s">
        <v>512</v>
      </c>
      <c r="E111" s="337" t="s">
        <v>948</v>
      </c>
      <c r="F111" s="338">
        <v>1000000</v>
      </c>
      <c r="G111" s="430" t="s">
        <v>277</v>
      </c>
      <c r="H111" s="431">
        <f t="shared" si="9"/>
        <v>200000</v>
      </c>
      <c r="I111" s="432" t="s">
        <v>89</v>
      </c>
      <c r="J111" s="431">
        <f t="shared" si="10"/>
        <v>50000</v>
      </c>
      <c r="K111" s="431">
        <f t="shared" si="11"/>
        <v>250000</v>
      </c>
    </row>
    <row r="112" spans="1:11" s="147" customFormat="1" ht="25.5">
      <c r="A112" s="405">
        <v>119</v>
      </c>
      <c r="B112" s="337" t="s">
        <v>818</v>
      </c>
      <c r="C112" s="337" t="s">
        <v>972</v>
      </c>
      <c r="D112" s="337" t="s">
        <v>575</v>
      </c>
      <c r="E112" s="337" t="s">
        <v>935</v>
      </c>
      <c r="F112" s="338">
        <v>4000000</v>
      </c>
      <c r="G112" s="430" t="s">
        <v>277</v>
      </c>
      <c r="H112" s="431">
        <f t="shared" si="9"/>
        <v>800000</v>
      </c>
      <c r="I112" s="432" t="s">
        <v>89</v>
      </c>
      <c r="J112" s="431">
        <f t="shared" si="10"/>
        <v>200000</v>
      </c>
      <c r="K112" s="431">
        <f t="shared" si="11"/>
        <v>1000000</v>
      </c>
    </row>
    <row r="113" spans="1:12" s="147" customFormat="1" ht="25.5">
      <c r="A113" s="405">
        <v>120</v>
      </c>
      <c r="B113" s="337" t="s">
        <v>818</v>
      </c>
      <c r="C113" s="337" t="s">
        <v>821</v>
      </c>
      <c r="D113" s="337" t="s">
        <v>505</v>
      </c>
      <c r="E113" s="337" t="s">
        <v>935</v>
      </c>
      <c r="F113" s="338">
        <v>4000000</v>
      </c>
      <c r="G113" s="430" t="s">
        <v>277</v>
      </c>
      <c r="H113" s="431">
        <f t="shared" si="9"/>
        <v>800000</v>
      </c>
      <c r="I113" s="432" t="s">
        <v>89</v>
      </c>
      <c r="J113" s="431">
        <f t="shared" si="10"/>
        <v>200000</v>
      </c>
      <c r="K113" s="431">
        <f t="shared" si="11"/>
        <v>1000000</v>
      </c>
    </row>
    <row r="114" spans="1:12" s="147" customFormat="1" ht="25.5">
      <c r="A114" s="405">
        <v>121</v>
      </c>
      <c r="B114" s="353" t="s">
        <v>828</v>
      </c>
      <c r="C114" s="353" t="s">
        <v>831</v>
      </c>
      <c r="D114" s="353" t="s">
        <v>512</v>
      </c>
      <c r="E114" s="337" t="s">
        <v>897</v>
      </c>
      <c r="F114" s="433">
        <v>2000000</v>
      </c>
      <c r="G114" s="430" t="s">
        <v>190</v>
      </c>
      <c r="H114" s="431">
        <f t="shared" si="9"/>
        <v>275000</v>
      </c>
      <c r="I114" s="432" t="s">
        <v>89</v>
      </c>
      <c r="J114" s="431">
        <f t="shared" si="10"/>
        <v>100000</v>
      </c>
      <c r="K114" s="431">
        <f t="shared" si="11"/>
        <v>375000</v>
      </c>
    </row>
    <row r="115" spans="1:12" s="147" customFormat="1">
      <c r="A115" s="405">
        <v>122</v>
      </c>
      <c r="B115" s="353" t="s">
        <v>828</v>
      </c>
      <c r="C115" s="353" t="s">
        <v>933</v>
      </c>
      <c r="D115" s="353" t="s">
        <v>683</v>
      </c>
      <c r="E115" s="337" t="s">
        <v>855</v>
      </c>
      <c r="F115" s="433">
        <v>400000</v>
      </c>
      <c r="G115" s="430" t="s">
        <v>212</v>
      </c>
      <c r="H115" s="431">
        <f t="shared" si="9"/>
        <v>55000</v>
      </c>
      <c r="I115" s="432" t="s">
        <v>89</v>
      </c>
      <c r="J115" s="431">
        <f t="shared" si="10"/>
        <v>20000</v>
      </c>
      <c r="K115" s="431">
        <f t="shared" si="11"/>
        <v>75000</v>
      </c>
    </row>
    <row r="116" spans="1:12" s="147" customFormat="1" ht="25.5">
      <c r="A116" s="405">
        <v>123</v>
      </c>
      <c r="B116" s="337" t="s">
        <v>828</v>
      </c>
      <c r="C116" s="337" t="s">
        <v>973</v>
      </c>
      <c r="D116" s="337" t="s">
        <v>683</v>
      </c>
      <c r="E116" s="337" t="s">
        <v>935</v>
      </c>
      <c r="F116" s="338">
        <v>4000000</v>
      </c>
      <c r="G116" s="430" t="s">
        <v>159</v>
      </c>
      <c r="H116" s="431">
        <f t="shared" si="9"/>
        <v>800000</v>
      </c>
      <c r="I116" s="432" t="s">
        <v>89</v>
      </c>
      <c r="J116" s="431">
        <f t="shared" si="10"/>
        <v>200000</v>
      </c>
      <c r="K116" s="431">
        <f t="shared" si="11"/>
        <v>1000000</v>
      </c>
    </row>
    <row r="117" spans="1:12" s="147" customFormat="1" ht="25.5">
      <c r="A117" s="405">
        <v>124</v>
      </c>
      <c r="B117" s="337" t="s">
        <v>828</v>
      </c>
      <c r="C117" s="337" t="s">
        <v>974</v>
      </c>
      <c r="D117" s="337" t="s">
        <v>577</v>
      </c>
      <c r="E117" s="337" t="s">
        <v>948</v>
      </c>
      <c r="F117" s="338">
        <v>1000000</v>
      </c>
      <c r="G117" s="430" t="s">
        <v>159</v>
      </c>
      <c r="H117" s="431">
        <f t="shared" si="9"/>
        <v>200000</v>
      </c>
      <c r="I117" s="432" t="s">
        <v>89</v>
      </c>
      <c r="J117" s="431">
        <f t="shared" si="10"/>
        <v>50000</v>
      </c>
      <c r="K117" s="431">
        <f t="shared" si="11"/>
        <v>250000</v>
      </c>
    </row>
    <row r="118" spans="1:12" s="147" customFormat="1">
      <c r="A118" s="405"/>
      <c r="B118" s="439"/>
      <c r="C118" s="255" t="s">
        <v>83</v>
      </c>
      <c r="D118" s="440"/>
      <c r="E118" s="441"/>
      <c r="F118" s="442">
        <f>SUBTOTAL(9,F7:F117)</f>
        <v>146089200</v>
      </c>
      <c r="G118" s="442"/>
      <c r="H118" s="442">
        <f t="shared" ref="H118:K118" si="12">SUBTOTAL(9,H7:H117)</f>
        <v>26785877.5</v>
      </c>
      <c r="I118" s="442"/>
      <c r="J118" s="442">
        <f t="shared" si="12"/>
        <v>7304460</v>
      </c>
      <c r="K118" s="442">
        <f t="shared" si="12"/>
        <v>34090337.5</v>
      </c>
    </row>
    <row r="119" spans="1:12">
      <c r="B119" s="443"/>
      <c r="C119" s="444"/>
      <c r="D119" s="445"/>
      <c r="E119" s="444"/>
      <c r="F119" s="446"/>
      <c r="G119" s="520" t="s">
        <v>990</v>
      </c>
      <c r="H119" s="520"/>
      <c r="I119" s="520"/>
      <c r="J119" s="520"/>
      <c r="K119" s="520"/>
      <c r="L119" s="147"/>
    </row>
    <row r="120" spans="1:12" ht="18.75" customHeight="1">
      <c r="A120" s="519" t="s">
        <v>35</v>
      </c>
      <c r="B120" s="519"/>
      <c r="C120" s="519"/>
      <c r="D120" s="447"/>
      <c r="E120" s="448"/>
      <c r="F120" s="449"/>
      <c r="H120" s="516" t="s">
        <v>110</v>
      </c>
      <c r="I120" s="516"/>
      <c r="J120" s="516"/>
      <c r="K120" s="516"/>
      <c r="L120" s="147"/>
    </row>
    <row r="121" spans="1:12">
      <c r="D121" s="450"/>
      <c r="K121" s="451"/>
    </row>
    <row r="122" spans="1:12">
      <c r="D122" s="450"/>
      <c r="K122" s="451"/>
    </row>
    <row r="123" spans="1:12" ht="21" customHeight="1">
      <c r="F123" s="449"/>
      <c r="K123" s="452"/>
    </row>
    <row r="124" spans="1:12">
      <c r="A124" s="501" t="s">
        <v>96</v>
      </c>
      <c r="B124" s="501"/>
      <c r="C124" s="501"/>
      <c r="H124" s="517" t="s">
        <v>161</v>
      </c>
      <c r="I124" s="517"/>
      <c r="J124" s="517"/>
      <c r="K124" s="517"/>
    </row>
  </sheetData>
  <autoFilter ref="A6:XET120" xr:uid="{00000000-0009-0000-0000-000009000000}"/>
  <sortState xmlns:xlrd2="http://schemas.microsoft.com/office/spreadsheetml/2017/richdata2" ref="A7:K117">
    <sortCondition ref="B7:B117"/>
  </sortState>
  <mergeCells count="9">
    <mergeCell ref="H120:K120"/>
    <mergeCell ref="H124:K124"/>
    <mergeCell ref="A1:D1"/>
    <mergeCell ref="A2:D2"/>
    <mergeCell ref="A3:K3"/>
    <mergeCell ref="A4:K4"/>
    <mergeCell ref="A124:C124"/>
    <mergeCell ref="A120:C120"/>
    <mergeCell ref="G119:K119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topLeftCell="A7" zoomScaleNormal="100" workbookViewId="0">
      <selection activeCell="D7" sqref="D7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21" t="s">
        <v>0</v>
      </c>
      <c r="B1" s="521"/>
      <c r="C1" s="130"/>
      <c r="D1" s="130"/>
      <c r="E1" s="130"/>
    </row>
    <row r="2" spans="1:6" ht="18.75">
      <c r="A2" s="490" t="s">
        <v>107</v>
      </c>
      <c r="B2" s="490"/>
      <c r="C2" s="39"/>
      <c r="D2" s="130"/>
      <c r="E2" s="130"/>
    </row>
    <row r="3" spans="1:6" ht="21.75" customHeight="1">
      <c r="A3" s="478" t="s">
        <v>178</v>
      </c>
      <c r="B3" s="478"/>
      <c r="C3" s="478"/>
      <c r="D3" s="478"/>
      <c r="E3" s="478"/>
    </row>
    <row r="4" spans="1:6" ht="17.25" customHeight="1">
      <c r="A4" s="490" t="s">
        <v>32</v>
      </c>
      <c r="B4" s="490"/>
      <c r="C4" s="490"/>
      <c r="D4" s="490"/>
      <c r="E4" s="490"/>
    </row>
    <row r="5" spans="1:6" ht="15.75">
      <c r="A5" s="130"/>
      <c r="B5" s="130"/>
      <c r="C5" s="130"/>
      <c r="D5" s="130"/>
      <c r="E5" s="130"/>
    </row>
    <row r="6" spans="1:6" ht="15.75">
      <c r="A6" s="131" t="s">
        <v>29</v>
      </c>
      <c r="B6" s="131" t="s">
        <v>31</v>
      </c>
      <c r="C6" s="131" t="s">
        <v>33</v>
      </c>
      <c r="D6" s="131" t="s">
        <v>7</v>
      </c>
      <c r="E6" s="131" t="s">
        <v>34</v>
      </c>
    </row>
    <row r="7" spans="1:6" ht="16.5">
      <c r="A7" s="132">
        <v>1</v>
      </c>
      <c r="B7" s="62" t="s">
        <v>23</v>
      </c>
      <c r="C7" s="133" t="s">
        <v>26</v>
      </c>
      <c r="D7" s="134">
        <f>SUM(SUMIF(tieuphau!$G$7:$G$127,"TRIỀU",tieuphau!$H$7:$H$127),SUMIF(tieuphau!$I$7:$I$126,"TRIỀU",tieuphau!$J$7:$J$126))</f>
        <v>10131200</v>
      </c>
      <c r="E7" s="132"/>
      <c r="F7" s="61"/>
    </row>
    <row r="8" spans="1:6" ht="16.5">
      <c r="A8" s="132">
        <v>2</v>
      </c>
      <c r="B8" s="62" t="s">
        <v>18</v>
      </c>
      <c r="C8" s="133" t="s">
        <v>26</v>
      </c>
      <c r="D8" s="134">
        <f>SUM(SUMIF(tieuphau!$G$7:$G$85,"TẤN",tieuphau!$H$7:$H$85),SUMIF(tieuphau!$I$7:$I$85,"TẤN",tieuphau!$J$7:$J$85))</f>
        <v>0</v>
      </c>
      <c r="E8" s="132"/>
      <c r="F8" s="61"/>
    </row>
    <row r="9" spans="1:6" ht="16.5">
      <c r="A9" s="132">
        <v>3</v>
      </c>
      <c r="B9" s="62" t="s">
        <v>17</v>
      </c>
      <c r="C9" s="133" t="s">
        <v>26</v>
      </c>
      <c r="D9" s="134">
        <f>SUM(SUMIF(tieuphau!$G$7:$G$127,"HOAN",tieuphau!$H$7:$H$127),SUMIF(tieuphau!$I$7:$I$126,"HOAN",tieuphau!$J$7:$J$126))</f>
        <v>3888300</v>
      </c>
      <c r="E9" s="132"/>
      <c r="F9" s="61"/>
    </row>
    <row r="10" spans="1:6" ht="16.5">
      <c r="A10" s="132">
        <v>4</v>
      </c>
      <c r="B10" s="62" t="s">
        <v>19</v>
      </c>
      <c r="C10" s="133" t="s">
        <v>26</v>
      </c>
      <c r="D10" s="134">
        <f>SUM(SUMIF(tieuphau!$G$7:$G$127,"TÚ",tieuphau!$H$7:$H$127),SUMIF(tieuphau!$I$7:$I$126,"TÚ",tieuphau!$J$7:$J$126))</f>
        <v>4610400</v>
      </c>
      <c r="E10" s="132"/>
    </row>
    <row r="11" spans="1:6" ht="18" customHeight="1">
      <c r="A11" s="132">
        <v>5</v>
      </c>
      <c r="B11" s="62" t="s">
        <v>74</v>
      </c>
      <c r="C11" s="133" t="s">
        <v>26</v>
      </c>
      <c r="D11" s="134">
        <f>SUM(SUMIF(tieuphau!$G$7:$G$127,"NGUYỆN",tieuphau!$H$7:$H$127),SUMIF(tieuphau!$I$7:$I$126,"NGUYỆN",tieuphau!$J$7:$J$126))</f>
        <v>0</v>
      </c>
      <c r="E11" s="132"/>
    </row>
    <row r="12" spans="1:6" ht="18" customHeight="1">
      <c r="A12" s="132">
        <v>6</v>
      </c>
      <c r="B12" s="62" t="s">
        <v>84</v>
      </c>
      <c r="C12" s="133" t="s">
        <v>26</v>
      </c>
      <c r="D12" s="134">
        <f>SUM(SUMIF(tieuphau!$G$7:$G$127,"v.tân",tieuphau!$H$7:$H$127),SUMIF(tieuphau!$I$7:$I$126,"v.tân",tieuphau!$J$7:$J$126))</f>
        <v>4073767.5</v>
      </c>
      <c r="E12" s="132"/>
    </row>
    <row r="13" spans="1:6" ht="18" customHeight="1">
      <c r="A13" s="132">
        <v>7</v>
      </c>
      <c r="B13" s="62" t="s">
        <v>111</v>
      </c>
      <c r="C13" s="133" t="s">
        <v>26</v>
      </c>
      <c r="D13" s="134">
        <f>SUM(SUMIF(tieuphau!$G$7:$G$127,"TOẢN",tieuphau!$H$7:$H$127),SUMIF(tieuphau!$I$7:$I$126,"TOẢN",tieuphau!$J$7:$J$126))</f>
        <v>1276550</v>
      </c>
      <c r="E13" s="132"/>
    </row>
    <row r="14" spans="1:6" ht="18" customHeight="1">
      <c r="A14" s="132">
        <v>8</v>
      </c>
      <c r="B14" s="62" t="s">
        <v>94</v>
      </c>
      <c r="C14" s="133" t="s">
        <v>26</v>
      </c>
      <c r="D14" s="134">
        <f>SUM(SUMIF(tieuphau!$G$7:$G$127,"GIÀU",tieuphau!$H$7:$H$127),SUMIF(tieuphau!$I$7:$I$126,"GIÀU",tieuphau!$J$7:$J$126))</f>
        <v>1579440</v>
      </c>
      <c r="E14" s="132"/>
    </row>
    <row r="15" spans="1:6" ht="18" customHeight="1">
      <c r="A15" s="132">
        <v>9</v>
      </c>
      <c r="B15" s="62" t="s">
        <v>72</v>
      </c>
      <c r="C15" s="133" t="s">
        <v>26</v>
      </c>
      <c r="D15" s="134">
        <f>SUM(SUMIF(tieuphau!$G$7:$G$127,"Điền",tieuphau!$H$7:$H$127),SUMIF(tieuphau!$I$7:$I$126,"điền",tieuphau!$J$7:$J$126))</f>
        <v>1046220</v>
      </c>
      <c r="E15" s="132"/>
    </row>
    <row r="16" spans="1:6" ht="18" customHeight="1">
      <c r="A16" s="132">
        <v>10</v>
      </c>
      <c r="B16" s="62" t="s">
        <v>68</v>
      </c>
      <c r="C16" s="133" t="s">
        <v>26</v>
      </c>
      <c r="D16" s="134">
        <f>SUM(SUMIF(tieuphau!$G$7:$G$127,"minh",tieuphau!$H$7:$H$127),SUMIF(tieuphau!$I$7:$I$126,"minh",tieuphau!$J$7:$J$126))</f>
        <v>180000</v>
      </c>
      <c r="E16" s="132"/>
    </row>
    <row r="17" spans="1:6" ht="17.25" customHeight="1">
      <c r="A17" s="132">
        <v>12</v>
      </c>
      <c r="B17" s="62" t="s">
        <v>45</v>
      </c>
      <c r="C17" s="55" t="s">
        <v>27</v>
      </c>
      <c r="D17" s="135">
        <f>tieuphau!J118/9</f>
        <v>811606.66666666663</v>
      </c>
      <c r="E17" s="132"/>
    </row>
    <row r="18" spans="1:6" ht="19.5" customHeight="1">
      <c r="A18" s="132">
        <v>13</v>
      </c>
      <c r="B18" s="62" t="s">
        <v>65</v>
      </c>
      <c r="C18" s="55" t="s">
        <v>27</v>
      </c>
      <c r="D18" s="135">
        <f>D17</f>
        <v>811606.66666666663</v>
      </c>
      <c r="E18" s="136"/>
    </row>
    <row r="19" spans="1:6" ht="16.5" customHeight="1">
      <c r="A19" s="132">
        <v>15</v>
      </c>
      <c r="B19" s="62" t="s">
        <v>82</v>
      </c>
      <c r="C19" s="55" t="s">
        <v>27</v>
      </c>
      <c r="D19" s="135">
        <f t="shared" ref="D19:D22" si="0">D18</f>
        <v>811606.66666666663</v>
      </c>
      <c r="E19" s="132"/>
    </row>
    <row r="20" spans="1:6" ht="16.5">
      <c r="A20" s="132">
        <v>17</v>
      </c>
      <c r="B20" s="62" t="s">
        <v>46</v>
      </c>
      <c r="C20" s="55" t="s">
        <v>27</v>
      </c>
      <c r="D20" s="135">
        <f t="shared" si="0"/>
        <v>811606.66666666663</v>
      </c>
      <c r="E20" s="132"/>
    </row>
    <row r="21" spans="1:6" ht="16.5" customHeight="1">
      <c r="A21" s="132">
        <v>18</v>
      </c>
      <c r="B21" s="62" t="s">
        <v>70</v>
      </c>
      <c r="C21" s="55" t="s">
        <v>27</v>
      </c>
      <c r="D21" s="135">
        <f t="shared" si="0"/>
        <v>811606.66666666663</v>
      </c>
      <c r="E21" s="132"/>
    </row>
    <row r="22" spans="1:6" ht="16.5" customHeight="1">
      <c r="A22" s="132">
        <v>19</v>
      </c>
      <c r="B22" s="62" t="s">
        <v>112</v>
      </c>
      <c r="C22" s="55" t="s">
        <v>27</v>
      </c>
      <c r="D22" s="135">
        <f t="shared" si="0"/>
        <v>811606.66666666663</v>
      </c>
      <c r="E22" s="132"/>
    </row>
    <row r="23" spans="1:6" ht="16.5" customHeight="1">
      <c r="A23" s="132">
        <v>20</v>
      </c>
      <c r="B23" s="62" t="s">
        <v>93</v>
      </c>
      <c r="C23" s="55" t="s">
        <v>27</v>
      </c>
      <c r="D23" s="135" t="s">
        <v>56</v>
      </c>
      <c r="E23" s="132"/>
    </row>
    <row r="24" spans="1:6" ht="16.5" customHeight="1">
      <c r="A24" s="132">
        <v>21</v>
      </c>
      <c r="B24" s="62" t="s">
        <v>73</v>
      </c>
      <c r="C24" s="55" t="s">
        <v>27</v>
      </c>
      <c r="D24" s="135">
        <f>D22</f>
        <v>811606.66666666663</v>
      </c>
      <c r="E24" s="132"/>
    </row>
    <row r="25" spans="1:6" ht="16.5" customHeight="1">
      <c r="A25" s="132">
        <v>22</v>
      </c>
      <c r="B25" s="62" t="s">
        <v>149</v>
      </c>
      <c r="C25" s="55" t="s">
        <v>27</v>
      </c>
      <c r="D25" s="135">
        <f>D24</f>
        <v>811606.66666666663</v>
      </c>
      <c r="E25" s="132"/>
    </row>
    <row r="26" spans="1:6" ht="16.5" customHeight="1">
      <c r="A26" s="132">
        <v>23</v>
      </c>
      <c r="B26" s="62" t="s">
        <v>148</v>
      </c>
      <c r="C26" s="55" t="s">
        <v>27</v>
      </c>
      <c r="D26" s="135">
        <f t="shared" ref="D26" si="1">D24</f>
        <v>811606.66666666663</v>
      </c>
      <c r="E26" s="132"/>
    </row>
    <row r="27" spans="1:6" ht="15.75">
      <c r="A27" s="132"/>
      <c r="B27" s="137" t="s">
        <v>28</v>
      </c>
      <c r="C27" s="137"/>
      <c r="D27" s="138">
        <f>SUM(D7:D26)</f>
        <v>34090337.500000007</v>
      </c>
      <c r="E27" s="137"/>
    </row>
    <row r="28" spans="1:6">
      <c r="D28" s="61"/>
      <c r="E28" s="104"/>
      <c r="F28" s="61"/>
    </row>
    <row r="29" spans="1:6" ht="15.75">
      <c r="A29" s="119"/>
      <c r="B29" s="119"/>
      <c r="C29" s="119"/>
      <c r="D29" s="522" t="s">
        <v>979</v>
      </c>
      <c r="E29" s="522"/>
    </row>
    <row r="30" spans="1:6" ht="15.75">
      <c r="A30" s="119" t="s">
        <v>20</v>
      </c>
      <c r="B30" s="119"/>
      <c r="C30" s="139"/>
      <c r="D30" s="490" t="s">
        <v>21</v>
      </c>
      <c r="E30" s="490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523"/>
      <c r="B34" s="523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view="pageLayout" topLeftCell="A4" zoomScaleNormal="100" workbookViewId="0">
      <selection activeCell="D7" sqref="D7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24" t="s">
        <v>0</v>
      </c>
      <c r="B1" s="524"/>
      <c r="C1" s="524"/>
    </row>
    <row r="2" spans="1:8" ht="16.5">
      <c r="A2" s="525" t="s">
        <v>44</v>
      </c>
      <c r="B2" s="525"/>
      <c r="C2" s="525"/>
    </row>
    <row r="3" spans="1:8" ht="30" customHeight="1">
      <c r="A3" s="526" t="s">
        <v>984</v>
      </c>
      <c r="B3" s="526"/>
      <c r="C3" s="526"/>
      <c r="D3" s="526"/>
      <c r="E3" s="526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9">
        <v>1</v>
      </c>
      <c r="B7" s="9" t="s">
        <v>45</v>
      </c>
      <c r="C7" s="22" t="s">
        <v>27</v>
      </c>
      <c r="D7" s="23">
        <f>15300000/9</f>
        <v>1700000</v>
      </c>
      <c r="E7" s="32">
        <f>F7/19.5</f>
        <v>1</v>
      </c>
      <c r="F7" s="35">
        <v>19.5</v>
      </c>
      <c r="G7" s="24"/>
    </row>
    <row r="8" spans="1:8" ht="17.25" thickBot="1">
      <c r="A8" s="199">
        <v>2</v>
      </c>
      <c r="B8" s="9" t="s">
        <v>65</v>
      </c>
      <c r="C8" s="22" t="s">
        <v>27</v>
      </c>
      <c r="D8" s="23">
        <f t="shared" ref="D8:D15" si="0">15300000/9</f>
        <v>1700000</v>
      </c>
      <c r="E8" s="32">
        <f>F8/19.5</f>
        <v>1</v>
      </c>
      <c r="F8" s="35">
        <v>19.5</v>
      </c>
      <c r="H8" s="25"/>
    </row>
    <row r="9" spans="1:8" ht="21.75" customHeight="1" thickBot="1">
      <c r="A9" s="199">
        <v>3</v>
      </c>
      <c r="B9" s="79" t="s">
        <v>70</v>
      </c>
      <c r="C9" s="22" t="s">
        <v>27</v>
      </c>
      <c r="D9" s="23">
        <f t="shared" si="0"/>
        <v>1700000</v>
      </c>
      <c r="E9" s="81"/>
      <c r="F9" s="35"/>
    </row>
    <row r="10" spans="1:8" ht="21.75" customHeight="1" thickBot="1">
      <c r="A10" s="199">
        <v>4</v>
      </c>
      <c r="B10" s="79" t="s">
        <v>73</v>
      </c>
      <c r="C10" s="22" t="s">
        <v>27</v>
      </c>
      <c r="D10" s="23">
        <f t="shared" si="0"/>
        <v>1700000</v>
      </c>
      <c r="E10" s="81"/>
      <c r="F10" s="35"/>
    </row>
    <row r="11" spans="1:8" ht="21.75" customHeight="1" thickBot="1">
      <c r="A11" s="199">
        <v>5</v>
      </c>
      <c r="B11" s="79" t="s">
        <v>82</v>
      </c>
      <c r="C11" s="103" t="s">
        <v>27</v>
      </c>
      <c r="D11" s="23">
        <f t="shared" si="0"/>
        <v>1700000</v>
      </c>
      <c r="E11" s="81"/>
      <c r="F11" s="35"/>
    </row>
    <row r="12" spans="1:8" ht="21.75" customHeight="1" thickBot="1">
      <c r="A12" s="199">
        <v>6</v>
      </c>
      <c r="B12" s="79" t="s">
        <v>46</v>
      </c>
      <c r="C12" s="103" t="s">
        <v>27</v>
      </c>
      <c r="D12" s="23">
        <f t="shared" si="0"/>
        <v>1700000</v>
      </c>
      <c r="E12" s="81"/>
      <c r="F12" s="35"/>
    </row>
    <row r="13" spans="1:8" ht="21.75" customHeight="1" thickBot="1">
      <c r="A13" s="199">
        <v>7</v>
      </c>
      <c r="B13" s="79" t="s">
        <v>112</v>
      </c>
      <c r="C13" s="103" t="s">
        <v>27</v>
      </c>
      <c r="D13" s="23">
        <f t="shared" si="0"/>
        <v>1700000</v>
      </c>
      <c r="E13" s="81"/>
      <c r="F13" s="35"/>
    </row>
    <row r="14" spans="1:8" ht="21.75" customHeight="1" thickBot="1">
      <c r="A14" s="199">
        <v>8</v>
      </c>
      <c r="B14" s="79" t="s">
        <v>149</v>
      </c>
      <c r="C14" s="103" t="s">
        <v>27</v>
      </c>
      <c r="D14" s="23">
        <f t="shared" si="0"/>
        <v>1700000</v>
      </c>
      <c r="E14" s="81"/>
      <c r="F14" s="35"/>
    </row>
    <row r="15" spans="1:8" ht="21.75" customHeight="1" thickBot="1">
      <c r="A15" s="199">
        <v>9</v>
      </c>
      <c r="B15" s="79" t="s">
        <v>148</v>
      </c>
      <c r="C15" s="103" t="s">
        <v>27</v>
      </c>
      <c r="D15" s="23">
        <f t="shared" si="0"/>
        <v>1700000</v>
      </c>
      <c r="E15" s="81"/>
      <c r="F15" s="35"/>
    </row>
    <row r="16" spans="1:8" ht="17.25" thickBot="1">
      <c r="A16" s="26"/>
      <c r="B16" s="27" t="s">
        <v>28</v>
      </c>
      <c r="C16" s="28"/>
      <c r="D16" s="29">
        <f>SUM(D7:D15)</f>
        <v>15300000</v>
      </c>
      <c r="E16" s="30"/>
      <c r="F16" s="36"/>
      <c r="G16" s="24"/>
    </row>
    <row r="17" spans="1:5" ht="26.25" customHeight="1">
      <c r="A17" s="58"/>
      <c r="B17" s="24"/>
    </row>
    <row r="18" spans="1:5">
      <c r="B18" s="24"/>
    </row>
    <row r="19" spans="1:5">
      <c r="D19" s="59" t="s">
        <v>123</v>
      </c>
    </row>
    <row r="20" spans="1:5">
      <c r="B20" s="14" t="s">
        <v>20</v>
      </c>
      <c r="D20" s="527" t="s">
        <v>21</v>
      </c>
      <c r="E20" s="527"/>
    </row>
    <row r="21" spans="1:5">
      <c r="E21" s="157"/>
    </row>
    <row r="23" spans="1:5">
      <c r="E23" s="25"/>
    </row>
    <row r="26" spans="1:5">
      <c r="D26" s="31"/>
    </row>
  </sheetData>
  <mergeCells count="4">
    <mergeCell ref="A1:C1"/>
    <mergeCell ref="A2:C2"/>
    <mergeCell ref="A3:E3"/>
    <mergeCell ref="D20:E20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39"/>
  <sheetViews>
    <sheetView workbookViewId="0">
      <selection activeCell="M32" sqref="M32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88" t="s">
        <v>0</v>
      </c>
      <c r="B1" s="488"/>
    </row>
    <row r="2" spans="1:7" ht="16.5">
      <c r="A2" s="487" t="s">
        <v>44</v>
      </c>
      <c r="B2" s="487"/>
    </row>
    <row r="3" spans="1:7" ht="20.25">
      <c r="B3" s="515" t="s">
        <v>162</v>
      </c>
      <c r="C3" s="515"/>
      <c r="D3" s="515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v>6388738.5684210537</v>
      </c>
      <c r="E20" s="54"/>
      <c r="G20" s="41"/>
      <c r="H20" s="237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6388738.5684210537</v>
      </c>
      <c r="E21" s="54"/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6388738.5684210537</v>
      </c>
      <c r="E22" s="54"/>
      <c r="F22" s="48"/>
      <c r="G22" s="43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6388738.5684210537</v>
      </c>
      <c r="E23" s="54"/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6388738.5684210537</v>
      </c>
      <c r="E24" s="54"/>
      <c r="F24" s="48"/>
      <c r="G24" s="43">
        <f>phauthuat!Q168/9+'thu thuat'!I697/9+tieuphau!J118/9+'TIỀN GIƯỜNG'!D16/9</f>
        <v>6743668.4888888896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6388738.5684210537</v>
      </c>
      <c r="E25" s="54"/>
      <c r="F25" s="48"/>
      <c r="G25" s="43">
        <f>G24*9</f>
        <v>60693016.400000006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 t="s">
        <v>56</v>
      </c>
      <c r="E26" s="54"/>
      <c r="F26" s="48"/>
      <c r="G26" s="43">
        <f>G25/19</f>
        <v>3194369.2842105269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6388738.5684210537</v>
      </c>
      <c r="E27" s="54"/>
      <c r="F27" s="48"/>
      <c r="G27" s="43">
        <f>G26*2</f>
        <v>6388738.5684210537</v>
      </c>
      <c r="H27" s="41"/>
    </row>
    <row r="28" spans="1:9" ht="16.5">
      <c r="A28" s="65">
        <v>9</v>
      </c>
      <c r="B28" s="76" t="s">
        <v>148</v>
      </c>
      <c r="C28" s="55" t="s">
        <v>27</v>
      </c>
      <c r="D28" s="56">
        <f>D20</f>
        <v>6388738.5684210537</v>
      </c>
      <c r="E28" s="54"/>
      <c r="F28" s="48"/>
      <c r="G28" s="43"/>
      <c r="H28" s="41"/>
    </row>
    <row r="29" spans="1:9" ht="16.5">
      <c r="A29" s="65">
        <v>10</v>
      </c>
      <c r="B29" s="76" t="s">
        <v>149</v>
      </c>
      <c r="C29" s="55" t="s">
        <v>27</v>
      </c>
      <c r="D29" s="56">
        <f>D28</f>
        <v>6388738.5684210537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v>3194369.2842105269</v>
      </c>
      <c r="E30" s="54"/>
      <c r="F30" s="48"/>
      <c r="G30" s="56"/>
      <c r="H30" s="41"/>
    </row>
    <row r="31" spans="1:9" ht="16.5">
      <c r="A31" s="66"/>
      <c r="B31" s="67" t="s">
        <v>28</v>
      </c>
      <c r="C31" s="68"/>
      <c r="D31" s="56">
        <f>SUM(D20:D30)</f>
        <v>60693016.399999999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91" t="s">
        <v>69</v>
      </c>
      <c r="E34" s="491"/>
    </row>
    <row r="35" spans="1:5">
      <c r="A35" s="501" t="s">
        <v>20</v>
      </c>
      <c r="B35" s="501"/>
      <c r="D35" s="502" t="s">
        <v>21</v>
      </c>
      <c r="E35" s="502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>
      <selection activeCell="F16" sqref="F16:H16"/>
    </sheetView>
  </sheetViews>
  <sheetFormatPr defaultColWidth="9.140625" defaultRowHeight="12.75"/>
  <cols>
    <col min="1" max="1" width="6.7109375" style="140" customWidth="1"/>
    <col min="2" max="2" width="13.7109375" style="289" customWidth="1"/>
    <col min="3" max="3" width="30.140625" style="286" customWidth="1"/>
    <col min="4" max="4" width="11.7109375" style="289" customWidth="1"/>
    <col min="5" max="5" width="32.85546875" style="72" bestFit="1" customWidth="1"/>
    <col min="6" max="6" width="12.5703125" style="299" bestFit="1" customWidth="1"/>
    <col min="7" max="7" width="15.140625" style="200" customWidth="1"/>
    <col min="8" max="8" width="12" style="200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32" t="s">
        <v>0</v>
      </c>
      <c r="B1" s="532"/>
      <c r="C1" s="532"/>
      <c r="D1" s="532"/>
      <c r="E1" s="532"/>
      <c r="F1" s="532"/>
    </row>
    <row r="2" spans="1:12" ht="18" customHeight="1">
      <c r="A2" s="533" t="s">
        <v>75</v>
      </c>
      <c r="B2" s="533"/>
      <c r="C2" s="533"/>
      <c r="D2" s="533"/>
      <c r="E2" s="533"/>
      <c r="F2" s="533"/>
    </row>
    <row r="3" spans="1:12" ht="26.25" customHeight="1">
      <c r="A3" s="528" t="s">
        <v>976</v>
      </c>
      <c r="B3" s="528"/>
      <c r="C3" s="528"/>
      <c r="D3" s="528"/>
      <c r="E3" s="528"/>
      <c r="F3" s="528"/>
      <c r="G3" s="528"/>
      <c r="H3" s="528"/>
    </row>
    <row r="4" spans="1:12" ht="18.75">
      <c r="F4" s="298"/>
    </row>
    <row r="5" spans="1:12" s="282" customFormat="1" ht="33">
      <c r="A5" s="280" t="s">
        <v>2</v>
      </c>
      <c r="B5" s="280" t="s">
        <v>103</v>
      </c>
      <c r="C5" s="280" t="s">
        <v>79</v>
      </c>
      <c r="D5" s="280" t="s">
        <v>80</v>
      </c>
      <c r="E5" s="280" t="s">
        <v>133</v>
      </c>
      <c r="F5" s="280" t="s">
        <v>81</v>
      </c>
      <c r="G5" s="281" t="s">
        <v>14</v>
      </c>
      <c r="H5" s="281" t="s">
        <v>118</v>
      </c>
    </row>
    <row r="6" spans="1:12" s="359" customFormat="1" ht="21.75" customHeight="1">
      <c r="A6" s="256">
        <v>1</v>
      </c>
      <c r="B6" s="453" t="s">
        <v>740</v>
      </c>
      <c r="C6" s="453" t="s">
        <v>743</v>
      </c>
      <c r="D6" s="474" t="s">
        <v>480</v>
      </c>
      <c r="E6" s="410" t="s">
        <v>132</v>
      </c>
      <c r="F6" s="360" t="s">
        <v>159</v>
      </c>
      <c r="G6" s="257">
        <v>1000000</v>
      </c>
      <c r="H6" s="358">
        <f t="shared" ref="H6:H13" si="0">G6*0.9</f>
        <v>900000</v>
      </c>
    </row>
    <row r="7" spans="1:12" s="359" customFormat="1" ht="21.75" customHeight="1">
      <c r="A7" s="357">
        <v>2</v>
      </c>
      <c r="B7" s="453" t="s">
        <v>809</v>
      </c>
      <c r="C7" s="453" t="s">
        <v>813</v>
      </c>
      <c r="D7" s="474" t="s">
        <v>599</v>
      </c>
      <c r="E7" s="410" t="s">
        <v>132</v>
      </c>
      <c r="F7" s="360" t="s">
        <v>277</v>
      </c>
      <c r="G7" s="257">
        <v>1000000</v>
      </c>
      <c r="H7" s="358">
        <f t="shared" si="0"/>
        <v>900000</v>
      </c>
    </row>
    <row r="8" spans="1:12" s="359" customFormat="1" ht="21.75" customHeight="1">
      <c r="A8" s="357">
        <v>3</v>
      </c>
      <c r="B8" s="453" t="s">
        <v>549</v>
      </c>
      <c r="C8" s="453" t="s">
        <v>550</v>
      </c>
      <c r="D8" s="474" t="s">
        <v>480</v>
      </c>
      <c r="E8" s="410" t="s">
        <v>132</v>
      </c>
      <c r="F8" s="360" t="s">
        <v>159</v>
      </c>
      <c r="G8" s="257">
        <v>1000000</v>
      </c>
      <c r="H8" s="358">
        <f t="shared" si="0"/>
        <v>900000</v>
      </c>
    </row>
    <row r="9" spans="1:12" s="359" customFormat="1" ht="21.75" customHeight="1">
      <c r="A9" s="256">
        <v>4</v>
      </c>
      <c r="B9" s="453" t="s">
        <v>632</v>
      </c>
      <c r="C9" s="453" t="s">
        <v>639</v>
      </c>
      <c r="D9" s="474" t="s">
        <v>565</v>
      </c>
      <c r="E9" s="410" t="s">
        <v>132</v>
      </c>
      <c r="F9" s="360" t="s">
        <v>159</v>
      </c>
      <c r="G9" s="257">
        <v>1000000</v>
      </c>
      <c r="H9" s="358">
        <f t="shared" si="0"/>
        <v>900000</v>
      </c>
    </row>
    <row r="10" spans="1:12" s="359" customFormat="1" ht="21.75" customHeight="1">
      <c r="A10" s="357">
        <v>5</v>
      </c>
      <c r="B10" s="453" t="s">
        <v>689</v>
      </c>
      <c r="C10" s="453" t="s">
        <v>691</v>
      </c>
      <c r="D10" s="474" t="s">
        <v>525</v>
      </c>
      <c r="E10" s="410" t="s">
        <v>132</v>
      </c>
      <c r="F10" s="360" t="s">
        <v>159</v>
      </c>
      <c r="G10" s="257">
        <v>1000000</v>
      </c>
      <c r="H10" s="358">
        <f t="shared" si="0"/>
        <v>900000</v>
      </c>
    </row>
    <row r="11" spans="1:12" s="359" customFormat="1" ht="21.75" customHeight="1">
      <c r="A11" s="357">
        <v>6</v>
      </c>
      <c r="B11" s="453" t="s">
        <v>694</v>
      </c>
      <c r="C11" s="453" t="s">
        <v>696</v>
      </c>
      <c r="D11" s="474" t="s">
        <v>145</v>
      </c>
      <c r="E11" s="410" t="s">
        <v>132</v>
      </c>
      <c r="F11" s="360" t="s">
        <v>134</v>
      </c>
      <c r="G11" s="257">
        <v>1000000</v>
      </c>
      <c r="H11" s="358">
        <f t="shared" si="0"/>
        <v>900000</v>
      </c>
    </row>
    <row r="12" spans="1:12" s="359" customFormat="1" ht="21.75" customHeight="1">
      <c r="A12" s="256">
        <v>7</v>
      </c>
      <c r="B12" s="453" t="s">
        <v>615</v>
      </c>
      <c r="C12" s="453" t="s">
        <v>623</v>
      </c>
      <c r="D12" s="474" t="s">
        <v>487</v>
      </c>
      <c r="E12" s="410" t="s">
        <v>132</v>
      </c>
      <c r="F12" s="360" t="s">
        <v>159</v>
      </c>
      <c r="G12" s="257">
        <v>1000000</v>
      </c>
      <c r="H12" s="358">
        <f t="shared" si="0"/>
        <v>900000</v>
      </c>
    </row>
    <row r="13" spans="1:12" s="359" customFormat="1" ht="21.75" customHeight="1">
      <c r="A13" s="357">
        <v>8</v>
      </c>
      <c r="B13" s="453" t="s">
        <v>702</v>
      </c>
      <c r="C13" s="453" t="s">
        <v>707</v>
      </c>
      <c r="D13" s="474" t="s">
        <v>542</v>
      </c>
      <c r="E13" s="410" t="s">
        <v>132</v>
      </c>
      <c r="F13" s="360" t="s">
        <v>159</v>
      </c>
      <c r="G13" s="257">
        <v>1000000</v>
      </c>
      <c r="H13" s="358">
        <f t="shared" si="0"/>
        <v>900000</v>
      </c>
    </row>
    <row r="14" spans="1:12" ht="15.75">
      <c r="A14" s="529" t="s">
        <v>28</v>
      </c>
      <c r="B14" s="530"/>
      <c r="C14" s="530"/>
      <c r="D14" s="530"/>
      <c r="E14" s="530"/>
      <c r="F14" s="531"/>
      <c r="G14" s="141">
        <f>SUM(G6:G13)</f>
        <v>8000000</v>
      </c>
      <c r="H14" s="141">
        <f>SUM(H6:H13)</f>
        <v>7200000</v>
      </c>
    </row>
    <row r="15" spans="1:12" ht="20.25" customHeight="1">
      <c r="F15" s="535" t="s">
        <v>989</v>
      </c>
      <c r="G15" s="535"/>
      <c r="H15" s="535"/>
      <c r="L15" s="78"/>
    </row>
    <row r="16" spans="1:12" ht="21.75" customHeight="1">
      <c r="A16" s="528" t="s">
        <v>20</v>
      </c>
      <c r="B16" s="528"/>
      <c r="C16" s="528"/>
      <c r="F16" s="536" t="s">
        <v>21</v>
      </c>
      <c r="G16" s="536"/>
      <c r="H16" s="536"/>
    </row>
    <row r="17" spans="1:8" ht="15" customHeight="1">
      <c r="C17" s="534"/>
      <c r="D17" s="534"/>
      <c r="E17" s="534"/>
      <c r="F17" s="534"/>
      <c r="G17" s="534"/>
      <c r="H17" s="232"/>
    </row>
    <row r="21" spans="1:8" ht="22.5" customHeight="1">
      <c r="A21" s="528" t="s">
        <v>109</v>
      </c>
      <c r="B21" s="528"/>
      <c r="C21" s="528"/>
      <c r="F21" s="536" t="s">
        <v>161</v>
      </c>
      <c r="G21" s="536"/>
      <c r="H21" s="536"/>
    </row>
  </sheetData>
  <sortState xmlns:xlrd2="http://schemas.microsoft.com/office/spreadsheetml/2017/richdata2" ref="A6:L6">
    <sortCondition ref="B6"/>
  </sortState>
  <mergeCells count="10">
    <mergeCell ref="A21:C21"/>
    <mergeCell ref="A14:F14"/>
    <mergeCell ref="A1:F1"/>
    <mergeCell ref="A2:F2"/>
    <mergeCell ref="C17:G17"/>
    <mergeCell ref="A3:H3"/>
    <mergeCell ref="A16:C16"/>
    <mergeCell ref="F15:H15"/>
    <mergeCell ref="F21:H21"/>
    <mergeCell ref="F16:H16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selection activeCell="N26" sqref="N26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88" t="s">
        <v>0</v>
      </c>
      <c r="B1" s="488"/>
      <c r="C1" s="488"/>
      <c r="D1" s="38"/>
      <c r="E1" s="38"/>
      <c r="F1" s="37"/>
    </row>
    <row r="2" spans="1:6" ht="16.5">
      <c r="A2" s="487" t="s">
        <v>75</v>
      </c>
      <c r="B2" s="487"/>
      <c r="C2" s="487"/>
      <c r="D2" s="38"/>
      <c r="E2" s="38"/>
      <c r="F2" s="37"/>
    </row>
    <row r="3" spans="1:6" ht="18.75">
      <c r="A3" s="478" t="s">
        <v>178</v>
      </c>
      <c r="B3" s="478"/>
      <c r="C3" s="478"/>
      <c r="D3" s="478"/>
      <c r="E3" s="478"/>
      <c r="F3" s="125"/>
    </row>
    <row r="4" spans="1:6" ht="15.75">
      <c r="A4" s="499" t="s">
        <v>92</v>
      </c>
      <c r="B4" s="499"/>
      <c r="C4" s="499"/>
      <c r="D4" s="499"/>
      <c r="E4" s="499"/>
      <c r="F4" s="499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>
      <c r="A7" s="110">
        <v>1</v>
      </c>
      <c r="B7" s="106" t="s">
        <v>23</v>
      </c>
      <c r="C7" s="107" t="s">
        <v>26</v>
      </c>
      <c r="D7" s="188">
        <v>102006610216</v>
      </c>
      <c r="E7" s="70">
        <v>900000</v>
      </c>
      <c r="F7" s="37"/>
    </row>
    <row r="8" spans="1:6" ht="16.5" hidden="1">
      <c r="A8" s="110">
        <v>1</v>
      </c>
      <c r="B8" s="106" t="s">
        <v>18</v>
      </c>
      <c r="C8" s="107" t="s">
        <v>26</v>
      </c>
      <c r="D8" s="188">
        <v>103006610215</v>
      </c>
      <c r="E8" s="70"/>
      <c r="F8" s="37"/>
    </row>
    <row r="9" spans="1:6" ht="16.5">
      <c r="A9" s="110">
        <v>2</v>
      </c>
      <c r="B9" s="106" t="s">
        <v>17</v>
      </c>
      <c r="C9" s="107" t="s">
        <v>26</v>
      </c>
      <c r="D9" s="188">
        <v>105001159195</v>
      </c>
      <c r="E9" s="70">
        <v>5400000</v>
      </c>
      <c r="F9" s="41"/>
    </row>
    <row r="10" spans="1:6" ht="16.5">
      <c r="A10" s="110">
        <v>3</v>
      </c>
      <c r="B10" s="106" t="s">
        <v>72</v>
      </c>
      <c r="C10" s="107" t="s">
        <v>66</v>
      </c>
      <c r="D10" s="188">
        <v>105001225232</v>
      </c>
      <c r="E10" s="70">
        <v>0</v>
      </c>
      <c r="F10" s="41"/>
    </row>
    <row r="11" spans="1:6" ht="16.5" hidden="1">
      <c r="A11" s="110">
        <v>2.8333333333333299</v>
      </c>
      <c r="B11" s="106" t="s">
        <v>111</v>
      </c>
      <c r="C11" s="107" t="s">
        <v>66</v>
      </c>
      <c r="D11" s="188">
        <v>107868829237</v>
      </c>
      <c r="E11" s="70" t="s">
        <v>56</v>
      </c>
      <c r="F11" s="41"/>
    </row>
    <row r="12" spans="1:6" ht="16.5" hidden="1">
      <c r="A12" s="110">
        <v>3.3333333333333299</v>
      </c>
      <c r="B12" s="344" t="s">
        <v>74</v>
      </c>
      <c r="C12" s="107" t="s">
        <v>66</v>
      </c>
      <c r="D12" s="188">
        <v>105867664283</v>
      </c>
      <c r="E12" s="70" t="s">
        <v>56</v>
      </c>
      <c r="F12" s="41"/>
    </row>
    <row r="13" spans="1:6" ht="16.5" hidden="1">
      <c r="A13" s="110">
        <v>4</v>
      </c>
      <c r="B13" s="106" t="s">
        <v>84</v>
      </c>
      <c r="C13" s="230" t="s">
        <v>26</v>
      </c>
      <c r="D13" s="278" t="s">
        <v>122</v>
      </c>
      <c r="E13" s="70" t="s">
        <v>56</v>
      </c>
      <c r="F13" s="41"/>
    </row>
    <row r="14" spans="1:6" ht="16.5">
      <c r="A14" s="110">
        <v>5</v>
      </c>
      <c r="B14" s="344" t="s">
        <v>94</v>
      </c>
      <c r="C14" s="230" t="s">
        <v>26</v>
      </c>
      <c r="D14" s="205">
        <v>103006610215</v>
      </c>
      <c r="E14" s="70">
        <v>900000</v>
      </c>
      <c r="F14" s="41"/>
    </row>
    <row r="15" spans="1:6" ht="16.5">
      <c r="A15" s="106"/>
      <c r="B15" s="116" t="s">
        <v>28</v>
      </c>
      <c r="C15" s="117"/>
      <c r="D15" s="117"/>
      <c r="E15" s="86">
        <f>SUM(E7:E14)</f>
        <v>7200000</v>
      </c>
      <c r="F15" s="49"/>
    </row>
    <row r="16" spans="1:6" ht="16.5">
      <c r="A16" s="1"/>
      <c r="B16" s="105"/>
      <c r="C16" s="38"/>
      <c r="D16" s="38"/>
      <c r="E16" s="38"/>
      <c r="F16" s="37"/>
    </row>
    <row r="17" spans="1:6" ht="15.75">
      <c r="A17" s="37"/>
      <c r="B17" s="37"/>
      <c r="C17" s="38"/>
      <c r="D17" s="489" t="s">
        <v>985</v>
      </c>
      <c r="E17" s="489"/>
      <c r="F17" s="489"/>
    </row>
    <row r="18" spans="1:6" ht="18.75">
      <c r="A18" s="478" t="s">
        <v>20</v>
      </c>
      <c r="B18" s="478"/>
      <c r="C18" s="40"/>
      <c r="D18" s="500" t="s">
        <v>21</v>
      </c>
      <c r="E18" s="500"/>
      <c r="F18" s="500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39"/>
      <c r="B21" s="39"/>
      <c r="C21" s="40"/>
      <c r="D21" s="40"/>
      <c r="E21" s="40"/>
      <c r="F21" s="39"/>
    </row>
    <row r="22" spans="1:6" ht="18.75">
      <c r="A22" s="478" t="s">
        <v>96</v>
      </c>
      <c r="B22" s="478"/>
      <c r="C22" s="40"/>
      <c r="D22" s="500" t="s">
        <v>108</v>
      </c>
      <c r="E22" s="500"/>
      <c r="F22" s="500"/>
    </row>
  </sheetData>
  <mergeCells count="9">
    <mergeCell ref="A22:B22"/>
    <mergeCell ref="D22:F22"/>
    <mergeCell ref="A1:C1"/>
    <mergeCell ref="A2:C2"/>
    <mergeCell ref="A3:E3"/>
    <mergeCell ref="A4:F4"/>
    <mergeCell ref="D17:F17"/>
    <mergeCell ref="A18:B18"/>
    <mergeCell ref="D18:F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1"/>
  <sheetViews>
    <sheetView zoomScale="110" zoomScaleNormal="110" workbookViewId="0">
      <selection activeCell="L22" sqref="L22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2" customWidth="1"/>
    <col min="6" max="6" width="12.85546875" style="292" customWidth="1"/>
    <col min="7" max="7" width="12.5703125" style="165" customWidth="1"/>
    <col min="8" max="8" width="12.5703125" style="72" customWidth="1"/>
    <col min="9" max="16384" width="9.140625" style="72"/>
  </cols>
  <sheetData>
    <row r="1" spans="1:8" ht="16.5">
      <c r="A1" s="537" t="s">
        <v>0</v>
      </c>
      <c r="B1" s="537"/>
      <c r="C1" s="537"/>
      <c r="D1" s="186"/>
    </row>
    <row r="2" spans="1:8" ht="18" customHeight="1">
      <c r="A2" s="538" t="s">
        <v>75</v>
      </c>
      <c r="B2" s="538"/>
      <c r="C2" s="538"/>
      <c r="D2" s="187"/>
    </row>
    <row r="3" spans="1:8" s="172" customFormat="1" ht="26.25" customHeight="1">
      <c r="A3" s="541" t="s">
        <v>178</v>
      </c>
      <c r="B3" s="541"/>
      <c r="C3" s="541"/>
      <c r="D3" s="541"/>
      <c r="E3" s="541"/>
      <c r="F3" s="541"/>
      <c r="G3" s="541"/>
      <c r="H3" s="541"/>
    </row>
    <row r="4" spans="1:8" ht="20.25" customHeight="1">
      <c r="A4" s="536" t="s">
        <v>67</v>
      </c>
      <c r="B4" s="536"/>
      <c r="C4" s="536"/>
      <c r="D4" s="536"/>
      <c r="E4" s="536"/>
      <c r="F4" s="536"/>
      <c r="G4" s="536"/>
      <c r="H4" s="536"/>
    </row>
    <row r="5" spans="1:8" ht="5.25" customHeight="1">
      <c r="B5" s="74"/>
      <c r="C5" s="75"/>
      <c r="D5" s="75"/>
      <c r="H5" s="73"/>
    </row>
    <row r="6" spans="1:8" s="172" customFormat="1" ht="20.25" customHeight="1">
      <c r="A6" s="102" t="s">
        <v>2</v>
      </c>
      <c r="B6" s="102" t="s">
        <v>13</v>
      </c>
      <c r="C6" s="123" t="s">
        <v>85</v>
      </c>
      <c r="D6" s="123" t="s">
        <v>114</v>
      </c>
      <c r="E6" s="163" t="s">
        <v>14</v>
      </c>
      <c r="F6" s="291" t="s">
        <v>90</v>
      </c>
      <c r="G6" s="163" t="s">
        <v>51</v>
      </c>
      <c r="H6" s="123" t="s">
        <v>15</v>
      </c>
    </row>
    <row r="7" spans="1:8" s="172" customFormat="1" ht="20.25" customHeight="1">
      <c r="A7" s="111">
        <v>1</v>
      </c>
      <c r="B7" s="206" t="s">
        <v>23</v>
      </c>
      <c r="C7" s="207" t="s">
        <v>26</v>
      </c>
      <c r="D7" s="205">
        <v>102006610216</v>
      </c>
      <c r="E7" s="208">
        <f>'lanh tien tphau'!D7+'lanh tien PT'!D7+'Lãnh tiền PTYC'!E7</f>
        <v>12946348.5</v>
      </c>
      <c r="F7" s="209">
        <f>E7-G7</f>
        <v>1294634.8499999996</v>
      </c>
      <c r="G7" s="166">
        <f>E7*0.9</f>
        <v>11651713.65</v>
      </c>
      <c r="H7" s="206"/>
    </row>
    <row r="8" spans="1:8" s="172" customFormat="1" ht="20.25" customHeight="1">
      <c r="A8" s="111">
        <v>2</v>
      </c>
      <c r="B8" s="206" t="s">
        <v>18</v>
      </c>
      <c r="C8" s="207" t="s">
        <v>26</v>
      </c>
      <c r="D8" s="205">
        <v>103006610215</v>
      </c>
      <c r="E8" s="208">
        <f>'lanh tien PT'!D8</f>
        <v>2058712.5</v>
      </c>
      <c r="F8" s="209">
        <f t="shared" ref="F8:F33" si="0">E8-G8</f>
        <v>205871.25</v>
      </c>
      <c r="G8" s="166">
        <f>E8*0.9</f>
        <v>1852841.25</v>
      </c>
      <c r="H8" s="206"/>
    </row>
    <row r="9" spans="1:8" s="172" customFormat="1" ht="20.25" customHeight="1">
      <c r="A9" s="111">
        <v>3</v>
      </c>
      <c r="B9" s="206" t="s">
        <v>17</v>
      </c>
      <c r="C9" s="207" t="s">
        <v>26</v>
      </c>
      <c r="D9" s="205">
        <v>100006610218</v>
      </c>
      <c r="E9" s="208">
        <f>'lanh tien tphau'!D9+'lanh tien PT'!D9+'Bác sĩ điều trị'!D9+'Lãnh tiền PTYC'!E9</f>
        <v>30278232</v>
      </c>
      <c r="F9" s="209">
        <f t="shared" si="0"/>
        <v>0</v>
      </c>
      <c r="G9" s="166">
        <f>E9</f>
        <v>30278232</v>
      </c>
      <c r="H9" s="206"/>
    </row>
    <row r="10" spans="1:8" s="172" customFormat="1" ht="20.2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8">
        <f>'lanh tien tphau'!D10</f>
        <v>4610400</v>
      </c>
      <c r="F10" s="209">
        <f t="shared" si="0"/>
        <v>461040</v>
      </c>
      <c r="G10" s="166">
        <f>E10*0.9</f>
        <v>4149360</v>
      </c>
      <c r="H10" s="111"/>
    </row>
    <row r="11" spans="1:8" s="172" customFormat="1" ht="20.2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8">
        <f>'lanh tien tphau'!D11+'lanh tien PT'!D10</f>
        <v>0</v>
      </c>
      <c r="F11" s="209">
        <f t="shared" si="0"/>
        <v>0</v>
      </c>
      <c r="G11" s="166">
        <f>E11</f>
        <v>0</v>
      </c>
      <c r="H11" s="206"/>
    </row>
    <row r="12" spans="1:8" s="172" customFormat="1" ht="20.25" customHeight="1">
      <c r="A12" s="111">
        <v>6</v>
      </c>
      <c r="B12" s="206" t="s">
        <v>94</v>
      </c>
      <c r="C12" s="207" t="s">
        <v>66</v>
      </c>
      <c r="D12" s="205">
        <v>105867664283</v>
      </c>
      <c r="E12" s="208">
        <f>'lanh tien PT'!D11+'lanh tien tphau'!D14+'Bác sĩ điều trị'!D15+'Lãnh tiền PTYC'!E14</f>
        <v>24136526.149999999</v>
      </c>
      <c r="F12" s="209">
        <f t="shared" si="0"/>
        <v>2413652.6149999984</v>
      </c>
      <c r="G12" s="166">
        <f>E12*0.9</f>
        <v>21722873.535</v>
      </c>
      <c r="H12" s="332"/>
    </row>
    <row r="13" spans="1:8" s="172" customFormat="1" ht="20.25" customHeight="1">
      <c r="A13" s="111">
        <v>7</v>
      </c>
      <c r="B13" s="206" t="s">
        <v>72</v>
      </c>
      <c r="C13" s="207" t="s">
        <v>66</v>
      </c>
      <c r="D13" s="205">
        <v>105001225232</v>
      </c>
      <c r="E13" s="208">
        <f>'lanh tien PT'!D12+'Bác sĩ điều trị'!D13+'lanh tien tphau'!D15+'Lãnh tiền PTYC'!E10</f>
        <v>15241360</v>
      </c>
      <c r="F13" s="209">
        <f t="shared" si="0"/>
        <v>1524136</v>
      </c>
      <c r="G13" s="166">
        <f>E13*0.9</f>
        <v>13717224</v>
      </c>
      <c r="H13" s="332"/>
    </row>
    <row r="14" spans="1:8" s="172" customFormat="1" ht="20.25" customHeight="1">
      <c r="A14" s="111">
        <v>8</v>
      </c>
      <c r="B14" s="206" t="s">
        <v>111</v>
      </c>
      <c r="C14" s="207" t="s">
        <v>66</v>
      </c>
      <c r="D14" s="205">
        <v>107868829237</v>
      </c>
      <c r="E14" s="208">
        <f>'lanh tien tphau'!D13+'lanh tien PT'!D13+'Bác sĩ điều trị'!D16</f>
        <v>7170926.5</v>
      </c>
      <c r="F14" s="209">
        <f t="shared" si="0"/>
        <v>0</v>
      </c>
      <c r="G14" s="166">
        <f t="shared" ref="G14:G34" si="1">E14</f>
        <v>7170926.5</v>
      </c>
      <c r="H14" s="332"/>
    </row>
    <row r="15" spans="1:8" s="172" customFormat="1" ht="20.25" customHeight="1">
      <c r="A15" s="111">
        <v>9</v>
      </c>
      <c r="B15" s="206" t="s">
        <v>84</v>
      </c>
      <c r="C15" s="207" t="s">
        <v>66</v>
      </c>
      <c r="D15" s="278" t="s">
        <v>122</v>
      </c>
      <c r="E15" s="208">
        <f>'lanh tien tphau'!D12+'lanh tien PT'!D14+'Bác sĩ điều trị'!D14</f>
        <v>12668044.425000001</v>
      </c>
      <c r="F15" s="209">
        <f t="shared" si="0"/>
        <v>0</v>
      </c>
      <c r="G15" s="166">
        <f t="shared" si="1"/>
        <v>12668044.425000001</v>
      </c>
      <c r="H15" s="332"/>
    </row>
    <row r="16" spans="1:8" s="172" customFormat="1" ht="20.25" customHeight="1">
      <c r="A16" s="111">
        <v>10</v>
      </c>
      <c r="B16" s="206" t="s">
        <v>68</v>
      </c>
      <c r="C16" s="207" t="s">
        <v>66</v>
      </c>
      <c r="D16" s="278" t="s">
        <v>137</v>
      </c>
      <c r="E16" s="208">
        <f>'lanh tien tphau'!D16+'lanh tien PT'!D15</f>
        <v>5244677.5</v>
      </c>
      <c r="F16" s="209">
        <f t="shared" si="0"/>
        <v>524467.75</v>
      </c>
      <c r="G16" s="166">
        <f>E16*0.9</f>
        <v>4720209.75</v>
      </c>
      <c r="H16" s="332"/>
    </row>
    <row r="17" spans="1:9" s="172" customFormat="1" ht="20.25" customHeight="1">
      <c r="A17" s="111">
        <v>11</v>
      </c>
      <c r="B17" s="206" t="s">
        <v>124</v>
      </c>
      <c r="C17" s="207" t="s">
        <v>66</v>
      </c>
      <c r="D17" s="278" t="s">
        <v>127</v>
      </c>
      <c r="E17" s="208">
        <f>'lanh tien PT'!D16</f>
        <v>0</v>
      </c>
      <c r="F17" s="209">
        <f t="shared" si="0"/>
        <v>0</v>
      </c>
      <c r="G17" s="166">
        <f t="shared" si="1"/>
        <v>0</v>
      </c>
      <c r="H17" s="332"/>
    </row>
    <row r="18" spans="1:9" s="172" customFormat="1" ht="20.25" customHeight="1">
      <c r="A18" s="111">
        <v>12</v>
      </c>
      <c r="B18" s="210" t="s">
        <v>125</v>
      </c>
      <c r="C18" s="331" t="s">
        <v>26</v>
      </c>
      <c r="D18" s="278" t="s">
        <v>147</v>
      </c>
      <c r="E18" s="208">
        <f>'lanh tien PT'!D17+'Bác sĩ điều trị'!D17</f>
        <v>4095113</v>
      </c>
      <c r="F18" s="209">
        <f t="shared" si="0"/>
        <v>409511.29999999981</v>
      </c>
      <c r="G18" s="166">
        <f>E18*0.9</f>
        <v>3685601.7</v>
      </c>
      <c r="H18" s="332"/>
    </row>
    <row r="19" spans="1:9" s="172" customFormat="1" ht="20.25" customHeight="1">
      <c r="A19" s="111">
        <v>13</v>
      </c>
      <c r="B19" s="210" t="s">
        <v>59</v>
      </c>
      <c r="C19" s="331" t="s">
        <v>26</v>
      </c>
      <c r="D19" s="457">
        <v>107004193662</v>
      </c>
      <c r="E19" s="208">
        <f>'lanh tien PT'!D18</f>
        <v>884032.50000000012</v>
      </c>
      <c r="F19" s="209">
        <f t="shared" si="0"/>
        <v>0</v>
      </c>
      <c r="G19" s="166">
        <f>E19</f>
        <v>884032.50000000012</v>
      </c>
      <c r="H19" s="462"/>
    </row>
    <row r="20" spans="1:9" s="172" customFormat="1" ht="20.25" customHeight="1">
      <c r="A20" s="111">
        <v>14</v>
      </c>
      <c r="B20" s="106" t="s">
        <v>980</v>
      </c>
      <c r="C20" s="230" t="s">
        <v>60</v>
      </c>
      <c r="D20" s="455">
        <v>105883051352</v>
      </c>
      <c r="E20" s="208">
        <f>'lanh tien PT'!D19</f>
        <v>912891</v>
      </c>
      <c r="F20" s="209">
        <f t="shared" si="0"/>
        <v>0</v>
      </c>
      <c r="G20" s="166">
        <f>E20</f>
        <v>912891</v>
      </c>
      <c r="H20" s="542" t="s">
        <v>986</v>
      </c>
    </row>
    <row r="21" spans="1:9" s="172" customFormat="1" ht="20.25" customHeight="1">
      <c r="A21" s="111">
        <v>15</v>
      </c>
      <c r="B21" s="106" t="s">
        <v>981</v>
      </c>
      <c r="C21" s="230" t="s">
        <v>60</v>
      </c>
      <c r="D21" s="456"/>
      <c r="E21" s="208">
        <f>'lanh tien PT'!D20</f>
        <v>571089</v>
      </c>
      <c r="F21" s="209">
        <f t="shared" si="0"/>
        <v>0</v>
      </c>
      <c r="G21" s="166">
        <f t="shared" ref="G21:G23" si="2">E21</f>
        <v>571089</v>
      </c>
      <c r="H21" s="543"/>
      <c r="I21" s="477"/>
    </row>
    <row r="22" spans="1:9" s="172" customFormat="1" ht="20.25" customHeight="1">
      <c r="A22" s="111">
        <v>16</v>
      </c>
      <c r="B22" s="106" t="s">
        <v>982</v>
      </c>
      <c r="C22" s="230" t="s">
        <v>60</v>
      </c>
      <c r="D22" s="456"/>
      <c r="E22" s="208">
        <f>'lanh tien PT'!D21</f>
        <v>477401</v>
      </c>
      <c r="F22" s="209">
        <f t="shared" si="0"/>
        <v>0</v>
      </c>
      <c r="G22" s="166">
        <f t="shared" si="2"/>
        <v>477401</v>
      </c>
      <c r="H22" s="543"/>
    </row>
    <row r="23" spans="1:9" s="172" customFormat="1" ht="20.25" customHeight="1">
      <c r="A23" s="111">
        <v>17</v>
      </c>
      <c r="B23" s="106" t="s">
        <v>983</v>
      </c>
      <c r="C23" s="230" t="s">
        <v>60</v>
      </c>
      <c r="D23" s="456"/>
      <c r="E23" s="208">
        <f>'lanh tien PT'!D22</f>
        <v>490228</v>
      </c>
      <c r="F23" s="209">
        <f t="shared" si="0"/>
        <v>0</v>
      </c>
      <c r="G23" s="166">
        <f t="shared" si="2"/>
        <v>490228</v>
      </c>
      <c r="H23" s="544"/>
    </row>
    <row r="24" spans="1:9" s="172" customFormat="1" ht="20.25" customHeight="1">
      <c r="A24" s="111">
        <v>18</v>
      </c>
      <c r="B24" s="210" t="s">
        <v>152</v>
      </c>
      <c r="C24" s="331" t="s">
        <v>60</v>
      </c>
      <c r="D24" s="329">
        <v>109883164818</v>
      </c>
      <c r="E24" s="208">
        <f>'lanh tien PT'!D23</f>
        <v>989496.5</v>
      </c>
      <c r="F24" s="209">
        <f t="shared" si="0"/>
        <v>0</v>
      </c>
      <c r="G24" s="166">
        <f t="shared" si="1"/>
        <v>989496.5</v>
      </c>
      <c r="H24" s="542" t="s">
        <v>157</v>
      </c>
      <c r="I24" s="476"/>
    </row>
    <row r="25" spans="1:9" s="172" customFormat="1" ht="20.25" customHeight="1">
      <c r="A25" s="111">
        <v>19</v>
      </c>
      <c r="B25" s="210" t="s">
        <v>153</v>
      </c>
      <c r="C25" s="331" t="s">
        <v>60</v>
      </c>
      <c r="D25" s="336"/>
      <c r="E25" s="208">
        <f>'lanh tien PT'!D24</f>
        <v>616467</v>
      </c>
      <c r="F25" s="209">
        <f t="shared" si="0"/>
        <v>0</v>
      </c>
      <c r="G25" s="166">
        <f t="shared" si="1"/>
        <v>616467</v>
      </c>
      <c r="H25" s="543"/>
    </row>
    <row r="26" spans="1:9" s="172" customFormat="1" ht="20.25" customHeight="1">
      <c r="A26" s="111">
        <v>20</v>
      </c>
      <c r="B26" s="210" t="s">
        <v>154</v>
      </c>
      <c r="C26" s="331" t="s">
        <v>60</v>
      </c>
      <c r="D26" s="336"/>
      <c r="E26" s="208">
        <f>'lanh tien PT'!D25</f>
        <v>767486</v>
      </c>
      <c r="F26" s="209">
        <f t="shared" si="0"/>
        <v>0</v>
      </c>
      <c r="G26" s="166">
        <f t="shared" si="1"/>
        <v>767486</v>
      </c>
      <c r="H26" s="543"/>
    </row>
    <row r="27" spans="1:9" s="172" customFormat="1" ht="20.25" customHeight="1">
      <c r="A27" s="111">
        <v>21</v>
      </c>
      <c r="B27" s="210" t="s">
        <v>155</v>
      </c>
      <c r="C27" s="331" t="s">
        <v>60</v>
      </c>
      <c r="D27" s="336"/>
      <c r="E27" s="208">
        <f>'lanh tien PT'!D26</f>
        <v>767445</v>
      </c>
      <c r="F27" s="209">
        <f t="shared" si="0"/>
        <v>0</v>
      </c>
      <c r="G27" s="166">
        <f t="shared" si="1"/>
        <v>767445</v>
      </c>
      <c r="H27" s="544"/>
    </row>
    <row r="28" spans="1:9" s="172" customFormat="1" ht="29.45" customHeight="1">
      <c r="A28" s="111">
        <v>22</v>
      </c>
      <c r="B28" s="106" t="s">
        <v>163</v>
      </c>
      <c r="C28" s="230" t="s">
        <v>60</v>
      </c>
      <c r="D28" s="361">
        <v>105880975165</v>
      </c>
      <c r="E28" s="208">
        <f>'lanh tien PT'!D27</f>
        <v>3265800.5</v>
      </c>
      <c r="F28" s="209">
        <f t="shared" si="0"/>
        <v>0</v>
      </c>
      <c r="G28" s="166">
        <f t="shared" si="1"/>
        <v>3265800.5</v>
      </c>
      <c r="H28" s="356"/>
    </row>
    <row r="29" spans="1:9" s="172" customFormat="1" ht="20.25" customHeight="1">
      <c r="A29" s="111">
        <v>23</v>
      </c>
      <c r="B29" s="106" t="s">
        <v>164</v>
      </c>
      <c r="C29" s="230" t="s">
        <v>60</v>
      </c>
      <c r="D29" s="361">
        <v>102879258199</v>
      </c>
      <c r="E29" s="208">
        <f>'lanh tien PT'!D28</f>
        <v>3062417</v>
      </c>
      <c r="F29" s="209">
        <f t="shared" si="0"/>
        <v>0</v>
      </c>
      <c r="G29" s="166">
        <f t="shared" si="1"/>
        <v>3062417</v>
      </c>
      <c r="H29" s="356"/>
    </row>
    <row r="30" spans="1:9" s="172" customFormat="1" ht="20.25" customHeight="1">
      <c r="A30" s="111">
        <v>24</v>
      </c>
      <c r="B30" s="106" t="s">
        <v>165</v>
      </c>
      <c r="C30" s="230" t="s">
        <v>60</v>
      </c>
      <c r="D30" s="362" t="s">
        <v>169</v>
      </c>
      <c r="E30" s="208">
        <f>'lanh tien PT'!D29</f>
        <v>2571218</v>
      </c>
      <c r="F30" s="209">
        <f t="shared" si="0"/>
        <v>0</v>
      </c>
      <c r="G30" s="166">
        <f t="shared" si="1"/>
        <v>2571218</v>
      </c>
      <c r="H30" s="356"/>
    </row>
    <row r="31" spans="1:9" s="172" customFormat="1" ht="20.25" customHeight="1">
      <c r="A31" s="111">
        <v>25</v>
      </c>
      <c r="B31" s="106" t="s">
        <v>166</v>
      </c>
      <c r="C31" s="230" t="s">
        <v>60</v>
      </c>
      <c r="D31" s="361">
        <v>109881014321</v>
      </c>
      <c r="E31" s="208">
        <f>'lanh tien PT'!D30</f>
        <v>5843198.0999999996</v>
      </c>
      <c r="F31" s="209">
        <f t="shared" si="0"/>
        <v>0</v>
      </c>
      <c r="G31" s="166">
        <f t="shared" si="1"/>
        <v>5843198.0999999996</v>
      </c>
      <c r="H31" s="356"/>
    </row>
    <row r="32" spans="1:9" s="172" customFormat="1" ht="20.25" customHeight="1">
      <c r="A32" s="111">
        <v>26</v>
      </c>
      <c r="B32" s="106" t="s">
        <v>167</v>
      </c>
      <c r="C32" s="230" t="s">
        <v>60</v>
      </c>
      <c r="D32" s="361">
        <v>102880994246</v>
      </c>
      <c r="E32" s="208">
        <f>'lanh tien PT'!D31</f>
        <v>2212316</v>
      </c>
      <c r="F32" s="209">
        <f t="shared" si="0"/>
        <v>0</v>
      </c>
      <c r="G32" s="166">
        <f t="shared" si="1"/>
        <v>2212316</v>
      </c>
      <c r="H32" s="356"/>
    </row>
    <row r="33" spans="1:8" s="172" customFormat="1" ht="20.25" customHeight="1">
      <c r="A33" s="111">
        <v>27</v>
      </c>
      <c r="B33" s="106" t="s">
        <v>168</v>
      </c>
      <c r="C33" s="230" t="s">
        <v>60</v>
      </c>
      <c r="D33" s="363" t="s">
        <v>170</v>
      </c>
      <c r="E33" s="208">
        <f>'lanh tien PT'!D32</f>
        <v>2295123.7999999998</v>
      </c>
      <c r="F33" s="209">
        <f t="shared" si="0"/>
        <v>0</v>
      </c>
      <c r="G33" s="166">
        <f t="shared" si="1"/>
        <v>2295123.7999999998</v>
      </c>
      <c r="H33" s="356"/>
    </row>
    <row r="34" spans="1:8" s="172" customFormat="1" ht="20.25" customHeight="1">
      <c r="A34" s="111">
        <v>28</v>
      </c>
      <c r="B34" s="206" t="s">
        <v>45</v>
      </c>
      <c r="C34" s="207" t="s">
        <v>27</v>
      </c>
      <c r="D34" s="205">
        <v>106006773860</v>
      </c>
      <c r="E34" s="208">
        <f>'lanh tien PT1'!D20</f>
        <v>6388738.5684210537</v>
      </c>
      <c r="F34" s="209" t="s">
        <v>56</v>
      </c>
      <c r="G34" s="166">
        <f t="shared" si="1"/>
        <v>6388738.5684210537</v>
      </c>
      <c r="H34" s="206"/>
    </row>
    <row r="35" spans="1:8" s="172" customFormat="1" ht="20.25" customHeight="1">
      <c r="A35" s="111">
        <v>29</v>
      </c>
      <c r="B35" s="206" t="s">
        <v>65</v>
      </c>
      <c r="C35" s="207" t="s">
        <v>27</v>
      </c>
      <c r="D35" s="205">
        <v>105866700129</v>
      </c>
      <c r="E35" s="208">
        <f>'lanh tien PT1'!D21</f>
        <v>6388738.5684210537</v>
      </c>
      <c r="F35" s="209" t="s">
        <v>56</v>
      </c>
      <c r="G35" s="166">
        <f t="shared" ref="G35:G43" si="3">E35</f>
        <v>6388738.5684210537</v>
      </c>
      <c r="H35" s="206"/>
    </row>
    <row r="36" spans="1:8" s="172" customFormat="1" ht="20.25" customHeight="1">
      <c r="A36" s="111">
        <v>30</v>
      </c>
      <c r="B36" s="206" t="s">
        <v>82</v>
      </c>
      <c r="C36" s="207" t="s">
        <v>27</v>
      </c>
      <c r="D36" s="205" t="s">
        <v>115</v>
      </c>
      <c r="E36" s="208">
        <f>'lanh tien PT1'!D23</f>
        <v>6388738.5684210537</v>
      </c>
      <c r="F36" s="209" t="s">
        <v>56</v>
      </c>
      <c r="G36" s="166">
        <f t="shared" ref="G36:G42" si="4">E36</f>
        <v>6388738.5684210537</v>
      </c>
      <c r="H36" s="206"/>
    </row>
    <row r="37" spans="1:8" s="172" customFormat="1" ht="20.25" customHeight="1">
      <c r="A37" s="111">
        <v>31</v>
      </c>
      <c r="B37" s="206" t="s">
        <v>46</v>
      </c>
      <c r="C37" s="207" t="s">
        <v>27</v>
      </c>
      <c r="D37" s="205">
        <v>106002699376</v>
      </c>
      <c r="E37" s="208">
        <f>'lanh tien PT1'!D24+'Bác sĩ điều trị'!D18</f>
        <v>8688738.5684210546</v>
      </c>
      <c r="F37" s="209" t="s">
        <v>56</v>
      </c>
      <c r="G37" s="166">
        <f t="shared" si="4"/>
        <v>8688738.5684210546</v>
      </c>
      <c r="H37" s="206"/>
    </row>
    <row r="38" spans="1:8" s="172" customFormat="1" ht="20.25" customHeight="1">
      <c r="A38" s="111">
        <v>32</v>
      </c>
      <c r="B38" s="206" t="s">
        <v>70</v>
      </c>
      <c r="C38" s="207" t="s">
        <v>27</v>
      </c>
      <c r="D38" s="205" t="s">
        <v>116</v>
      </c>
      <c r="E38" s="208">
        <f>'lanh tien PT1'!D22</f>
        <v>6388738.5684210537</v>
      </c>
      <c r="F38" s="209" t="s">
        <v>56</v>
      </c>
      <c r="G38" s="166">
        <f t="shared" si="4"/>
        <v>6388738.5684210537</v>
      </c>
      <c r="H38" s="206"/>
    </row>
    <row r="39" spans="1:8" s="172" customFormat="1" ht="20.25" customHeight="1">
      <c r="A39" s="111">
        <v>33</v>
      </c>
      <c r="B39" s="206" t="s">
        <v>112</v>
      </c>
      <c r="C39" s="207" t="s">
        <v>27</v>
      </c>
      <c r="D39" s="205">
        <v>102877256973</v>
      </c>
      <c r="E39" s="208">
        <f>'lanh tien PT1'!D25</f>
        <v>6388738.5684210537</v>
      </c>
      <c r="F39" s="209" t="s">
        <v>56</v>
      </c>
      <c r="G39" s="166">
        <f t="shared" si="4"/>
        <v>6388738.5684210537</v>
      </c>
      <c r="H39" s="206"/>
    </row>
    <row r="40" spans="1:8" s="172" customFormat="1" ht="20.25" customHeight="1">
      <c r="A40" s="111">
        <v>34</v>
      </c>
      <c r="B40" s="206" t="s">
        <v>73</v>
      </c>
      <c r="C40" s="207" t="s">
        <v>27</v>
      </c>
      <c r="D40" s="205">
        <v>109869939394</v>
      </c>
      <c r="E40" s="208">
        <f>'lanh tien PT1'!D27</f>
        <v>6388738.5684210537</v>
      </c>
      <c r="F40" s="209" t="s">
        <v>56</v>
      </c>
      <c r="G40" s="166">
        <f t="shared" si="4"/>
        <v>6388738.5684210537</v>
      </c>
      <c r="H40" s="206"/>
    </row>
    <row r="41" spans="1:8" s="172" customFormat="1" ht="20.25" customHeight="1">
      <c r="A41" s="111">
        <v>35</v>
      </c>
      <c r="B41" s="328" t="s">
        <v>148</v>
      </c>
      <c r="C41" s="207" t="s">
        <v>27</v>
      </c>
      <c r="D41" s="330" t="s">
        <v>150</v>
      </c>
      <c r="E41" s="208">
        <f>'lanh tien PT1'!D28</f>
        <v>6388738.5684210537</v>
      </c>
      <c r="F41" s="209" t="s">
        <v>56</v>
      </c>
      <c r="G41" s="166">
        <f t="shared" si="4"/>
        <v>6388738.5684210537</v>
      </c>
      <c r="H41" s="206"/>
    </row>
    <row r="42" spans="1:8" s="172" customFormat="1" ht="20.25" customHeight="1">
      <c r="A42" s="111">
        <v>36</v>
      </c>
      <c r="B42" s="328" t="s">
        <v>149</v>
      </c>
      <c r="C42" s="207" t="s">
        <v>27</v>
      </c>
      <c r="D42" s="330" t="s">
        <v>151</v>
      </c>
      <c r="E42" s="208">
        <f>'lanh tien PT1'!D29</f>
        <v>6388738.5684210537</v>
      </c>
      <c r="F42" s="209" t="s">
        <v>56</v>
      </c>
      <c r="G42" s="166">
        <f t="shared" si="4"/>
        <v>6388738.5684210537</v>
      </c>
      <c r="H42" s="206"/>
    </row>
    <row r="43" spans="1:8" s="172" customFormat="1" ht="20.25" customHeight="1">
      <c r="A43" s="111">
        <v>37</v>
      </c>
      <c r="B43" s="206" t="s">
        <v>55</v>
      </c>
      <c r="C43" s="207" t="s">
        <v>91</v>
      </c>
      <c r="D43" s="205">
        <v>108002699374</v>
      </c>
      <c r="E43" s="208">
        <f>'lanh tien PT1'!D30</f>
        <v>3194369.2842105269</v>
      </c>
      <c r="F43" s="209" t="s">
        <v>56</v>
      </c>
      <c r="G43" s="166">
        <f t="shared" si="3"/>
        <v>3194369.2842105269</v>
      </c>
      <c r="H43" s="206"/>
    </row>
    <row r="44" spans="1:8" s="172" customFormat="1" ht="20.25" customHeight="1">
      <c r="A44" s="206"/>
      <c r="B44" s="211" t="s">
        <v>28</v>
      </c>
      <c r="C44" s="212"/>
      <c r="D44" s="212"/>
      <c r="E44" s="208">
        <f>SUM(E7:E43)</f>
        <v>207169966.37500015</v>
      </c>
      <c r="F44" s="209">
        <f>SUM(F7:F43)</f>
        <v>6833313.7649999978</v>
      </c>
      <c r="G44" s="208">
        <f>SUM(G7:G43)</f>
        <v>200336652.61000013</v>
      </c>
      <c r="H44" s="333"/>
    </row>
    <row r="45" spans="1:8">
      <c r="B45" s="77"/>
    </row>
    <row r="46" spans="1:8" ht="16.5" customHeight="1">
      <c r="B46" s="77"/>
      <c r="E46" s="475"/>
      <c r="F46" s="539" t="s">
        <v>979</v>
      </c>
      <c r="G46" s="539"/>
      <c r="H46" s="539"/>
    </row>
    <row r="47" spans="1:8" ht="18.75">
      <c r="A47" s="528" t="s">
        <v>20</v>
      </c>
      <c r="B47" s="528"/>
      <c r="C47" s="75"/>
      <c r="D47" s="75"/>
      <c r="E47" s="235"/>
      <c r="F47" s="540" t="s">
        <v>21</v>
      </c>
      <c r="G47" s="540"/>
      <c r="H47" s="540"/>
    </row>
    <row r="48" spans="1:8" ht="18.75">
      <c r="A48" s="74"/>
      <c r="B48" s="74"/>
      <c r="C48" s="75"/>
      <c r="D48" s="75"/>
      <c r="E48" s="235"/>
      <c r="F48" s="293"/>
      <c r="G48" s="236"/>
      <c r="H48" s="74"/>
    </row>
    <row r="49" spans="1:8" ht="18.75">
      <c r="A49" s="74"/>
      <c r="B49" s="74"/>
      <c r="C49" s="75"/>
      <c r="D49" s="75"/>
      <c r="E49" s="235"/>
      <c r="F49" s="293"/>
      <c r="G49" s="237"/>
      <c r="H49" s="74"/>
    </row>
    <row r="50" spans="1:8" ht="18.75">
      <c r="A50" s="74"/>
      <c r="B50" s="74"/>
      <c r="C50" s="75"/>
      <c r="D50" s="75"/>
      <c r="E50" s="235"/>
      <c r="F50" s="293"/>
      <c r="G50" s="236"/>
      <c r="H50" s="74"/>
    </row>
    <row r="51" spans="1:8" ht="18.75">
      <c r="A51" s="528" t="s">
        <v>96</v>
      </c>
      <c r="B51" s="528"/>
      <c r="C51" s="75"/>
      <c r="D51" s="75"/>
      <c r="E51" s="235"/>
      <c r="F51" s="528" t="s">
        <v>158</v>
      </c>
      <c r="G51" s="528"/>
      <c r="H51" s="528"/>
    </row>
  </sheetData>
  <mergeCells count="11">
    <mergeCell ref="A1:C1"/>
    <mergeCell ref="A2:C2"/>
    <mergeCell ref="F51:H51"/>
    <mergeCell ref="A47:B47"/>
    <mergeCell ref="F46:H46"/>
    <mergeCell ref="F47:H47"/>
    <mergeCell ref="A3:H3"/>
    <mergeCell ref="A4:H4"/>
    <mergeCell ref="A51:B51"/>
    <mergeCell ref="H20:H23"/>
    <mergeCell ref="H24:H27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6"/>
  <sheetViews>
    <sheetView topLeftCell="A4" zoomScaleNormal="100" workbookViewId="0">
      <selection activeCell="A18" sqref="A18:XFD18"/>
    </sheetView>
  </sheetViews>
  <sheetFormatPr defaultColWidth="9.140625" defaultRowHeight="12.75"/>
  <cols>
    <col min="1" max="1" width="5" style="72" customWidth="1"/>
    <col min="2" max="2" width="25.28515625" style="72" customWidth="1"/>
    <col min="3" max="3" width="11.140625" style="71" customWidth="1"/>
    <col min="4" max="4" width="14.5703125" style="200" customWidth="1"/>
    <col min="5" max="5" width="11.28515625" style="292" customWidth="1"/>
    <col min="6" max="6" width="10.42578125" style="162" customWidth="1"/>
    <col min="7" max="7" width="12.140625" style="165" customWidth="1"/>
    <col min="8" max="8" width="12" style="72" customWidth="1"/>
    <col min="9" max="16384" width="9.140625" style="72"/>
  </cols>
  <sheetData>
    <row r="1" spans="1:8" ht="16.5">
      <c r="A1" s="537" t="s">
        <v>0</v>
      </c>
      <c r="B1" s="537"/>
      <c r="C1" s="537"/>
      <c r="D1" s="186"/>
    </row>
    <row r="2" spans="1:8" ht="18" customHeight="1">
      <c r="A2" s="538" t="s">
        <v>75</v>
      </c>
      <c r="B2" s="538"/>
      <c r="C2" s="538"/>
      <c r="D2" s="187"/>
    </row>
    <row r="3" spans="1:8" ht="26.25" customHeight="1">
      <c r="A3" s="528" t="s">
        <v>178</v>
      </c>
      <c r="B3" s="528"/>
      <c r="C3" s="528"/>
      <c r="D3" s="528"/>
      <c r="E3" s="528"/>
      <c r="F3" s="528"/>
      <c r="G3" s="528"/>
      <c r="H3" s="528"/>
    </row>
    <row r="4" spans="1:8" ht="20.25" customHeight="1">
      <c r="A4" s="536" t="s">
        <v>67</v>
      </c>
      <c r="B4" s="536"/>
      <c r="C4" s="536"/>
      <c r="D4" s="536"/>
      <c r="E4" s="536"/>
      <c r="F4" s="536"/>
      <c r="G4" s="536"/>
      <c r="H4" s="536"/>
    </row>
    <row r="5" spans="1:8" ht="20.25">
      <c r="B5" s="74"/>
      <c r="C5" s="75"/>
      <c r="D5" s="300"/>
      <c r="H5" s="73"/>
    </row>
    <row r="6" spans="1:8" s="216" customFormat="1" ht="24.75" customHeight="1">
      <c r="A6" s="213" t="s">
        <v>2</v>
      </c>
      <c r="B6" s="213" t="s">
        <v>13</v>
      </c>
      <c r="C6" s="214" t="s">
        <v>85</v>
      </c>
      <c r="D6" s="214" t="s">
        <v>114</v>
      </c>
      <c r="E6" s="214" t="s">
        <v>14</v>
      </c>
      <c r="F6" s="164" t="s">
        <v>90</v>
      </c>
      <c r="G6" s="215" t="s">
        <v>51</v>
      </c>
      <c r="H6" s="214" t="s">
        <v>15</v>
      </c>
    </row>
    <row r="7" spans="1:8" s="172" customFormat="1" ht="24.75" customHeight="1">
      <c r="A7" s="111">
        <v>1</v>
      </c>
      <c r="B7" s="206" t="s">
        <v>23</v>
      </c>
      <c r="C7" s="207" t="s">
        <v>26</v>
      </c>
      <c r="D7" s="205">
        <v>102006610216</v>
      </c>
      <c r="E7" s="209">
        <f>'lanh tien tphau'!D7+'lanh tien PT'!D7+'Lãnh tiền PTYC'!E7-'Thực lãnh'!I32</f>
        <v>4336348.5</v>
      </c>
      <c r="F7" s="209">
        <f>E7-G7</f>
        <v>433634.85000000009</v>
      </c>
      <c r="G7" s="166">
        <f>E7*0.9</f>
        <v>3902713.65</v>
      </c>
      <c r="H7" s="206"/>
    </row>
    <row r="8" spans="1:8" s="289" customFormat="1" ht="24.75" customHeight="1">
      <c r="A8" s="111">
        <v>2</v>
      </c>
      <c r="B8" s="290" t="s">
        <v>18</v>
      </c>
      <c r="C8" s="207" t="s">
        <v>26</v>
      </c>
      <c r="D8" s="205">
        <v>103006610215</v>
      </c>
      <c r="E8" s="209">
        <f>'lanh tien PT'!D8</f>
        <v>2058712.5</v>
      </c>
      <c r="F8" s="209">
        <f t="shared" ref="F8:F19" si="0">E8-G8</f>
        <v>205871.25</v>
      </c>
      <c r="G8" s="288">
        <f>E8*0.9</f>
        <v>1852841.25</v>
      </c>
      <c r="H8" s="111"/>
    </row>
    <row r="9" spans="1:8" s="172" customFormat="1" ht="24.75" customHeight="1">
      <c r="A9" s="111">
        <v>3</v>
      </c>
      <c r="B9" s="206" t="s">
        <v>17</v>
      </c>
      <c r="C9" s="207" t="s">
        <v>26</v>
      </c>
      <c r="D9" s="205">
        <v>100006610218</v>
      </c>
      <c r="E9" s="209">
        <f>'lanh tien tphau'!D9+'lanh tien PT'!D9+'Bác sĩ điều trị'!D9-'Thực lãnh'!I29+'Lãnh tiền PTYC'!E9</f>
        <v>16238232</v>
      </c>
      <c r="F9" s="209">
        <f t="shared" si="0"/>
        <v>1623823.1999999993</v>
      </c>
      <c r="G9" s="166">
        <f>E9*0.9</f>
        <v>14614408.800000001</v>
      </c>
      <c r="H9" s="206"/>
    </row>
    <row r="10" spans="1:8" s="172" customFormat="1" ht="24.7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9">
        <f>'lanh tien tphau'!D10</f>
        <v>4610400</v>
      </c>
      <c r="F10" s="209">
        <f t="shared" si="0"/>
        <v>461040</v>
      </c>
      <c r="G10" s="166">
        <f>E10*0.9</f>
        <v>4149360</v>
      </c>
      <c r="H10" s="111"/>
    </row>
    <row r="11" spans="1:8" s="172" customFormat="1" ht="24.7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9">
        <f>'lanh tien tphau'!D11+'lanh tien PT'!D10</f>
        <v>0</v>
      </c>
      <c r="F11" s="209">
        <f t="shared" si="0"/>
        <v>0</v>
      </c>
      <c r="G11" s="166">
        <f>E11</f>
        <v>0</v>
      </c>
      <c r="H11" s="206"/>
    </row>
    <row r="12" spans="1:8" s="172" customFormat="1" ht="24.75" customHeight="1">
      <c r="A12" s="111">
        <v>6</v>
      </c>
      <c r="B12" s="206" t="s">
        <v>94</v>
      </c>
      <c r="C12" s="207" t="s">
        <v>66</v>
      </c>
      <c r="D12" s="205">
        <v>105867664283</v>
      </c>
      <c r="E12" s="209">
        <f>'lanh tien PT'!D11+'lanh tien tphau'!D14+'Bác sĩ điều trị'!D15-'Thực lãnh'!I24+'Lãnh tiền PTYC'!E14</f>
        <v>8581526.1499999985</v>
      </c>
      <c r="F12" s="209">
        <f t="shared" si="0"/>
        <v>858152.61499999929</v>
      </c>
      <c r="G12" s="166">
        <f>E12*0.9</f>
        <v>7723373.5349999992</v>
      </c>
      <c r="H12" s="332"/>
    </row>
    <row r="13" spans="1:8" s="172" customFormat="1" ht="24.75" customHeight="1">
      <c r="A13" s="111">
        <v>7</v>
      </c>
      <c r="B13" s="206" t="s">
        <v>72</v>
      </c>
      <c r="C13" s="207" t="s">
        <v>66</v>
      </c>
      <c r="D13" s="205">
        <v>105001225232</v>
      </c>
      <c r="E13" s="209">
        <f>'lanh tien PT'!D12+'Bác sĩ điều trị'!D13+'lanh tien tphau'!D15-'Thực lãnh'!I19+'Lãnh tiền PTYC'!E10</f>
        <v>13036360</v>
      </c>
      <c r="F13" s="209">
        <f t="shared" si="0"/>
        <v>1303636</v>
      </c>
      <c r="G13" s="166">
        <f>E13*0.9</f>
        <v>11732724</v>
      </c>
      <c r="H13" s="332"/>
    </row>
    <row r="14" spans="1:8" s="172" customFormat="1" ht="24.75" customHeight="1">
      <c r="A14" s="111">
        <v>8</v>
      </c>
      <c r="B14" s="206" t="s">
        <v>111</v>
      </c>
      <c r="C14" s="207" t="s">
        <v>66</v>
      </c>
      <c r="D14" s="205">
        <v>107868829237</v>
      </c>
      <c r="E14" s="209">
        <f>'lanh tien tphau'!D13+'lanh tien PT'!D13+'Bác sĩ điều trị'!D16</f>
        <v>7170926.5</v>
      </c>
      <c r="F14" s="209">
        <f t="shared" si="0"/>
        <v>0</v>
      </c>
      <c r="G14" s="166">
        <f t="shared" ref="G14:G17" si="1">E14</f>
        <v>7170926.5</v>
      </c>
      <c r="H14" s="332"/>
    </row>
    <row r="15" spans="1:8" s="172" customFormat="1" ht="24.75" customHeight="1">
      <c r="A15" s="111">
        <v>9</v>
      </c>
      <c r="B15" s="206" t="s">
        <v>84</v>
      </c>
      <c r="C15" s="207" t="s">
        <v>66</v>
      </c>
      <c r="D15" s="278" t="s">
        <v>122</v>
      </c>
      <c r="E15" s="209">
        <f>'lanh tien tphau'!D12+'lanh tien PT'!D14+'Bác sĩ điều trị'!D14</f>
        <v>12668044.425000001</v>
      </c>
      <c r="F15" s="209">
        <f t="shared" si="0"/>
        <v>0</v>
      </c>
      <c r="G15" s="166">
        <f t="shared" si="1"/>
        <v>12668044.425000001</v>
      </c>
      <c r="H15" s="332"/>
    </row>
    <row r="16" spans="1:8" s="172" customFormat="1" ht="24.75" customHeight="1">
      <c r="A16" s="111">
        <v>10</v>
      </c>
      <c r="B16" s="206" t="s">
        <v>68</v>
      </c>
      <c r="C16" s="207" t="s">
        <v>66</v>
      </c>
      <c r="D16" s="278" t="s">
        <v>137</v>
      </c>
      <c r="E16" s="209">
        <f>'lanh tien tphau'!D16+'lanh tien PT'!D15</f>
        <v>5244677.5</v>
      </c>
      <c r="F16" s="209">
        <f t="shared" si="0"/>
        <v>524467.75</v>
      </c>
      <c r="G16" s="166">
        <f>E16*0.9</f>
        <v>4720209.75</v>
      </c>
      <c r="H16" s="332"/>
    </row>
    <row r="17" spans="1:8" s="172" customFormat="1" ht="24.75" customHeight="1">
      <c r="A17" s="111">
        <v>11</v>
      </c>
      <c r="B17" s="206" t="s">
        <v>124</v>
      </c>
      <c r="C17" s="207" t="s">
        <v>66</v>
      </c>
      <c r="D17" s="278" t="s">
        <v>127</v>
      </c>
      <c r="E17" s="209">
        <f>'lanh tien PT'!D16</f>
        <v>0</v>
      </c>
      <c r="F17" s="209">
        <f t="shared" si="0"/>
        <v>0</v>
      </c>
      <c r="G17" s="166">
        <f t="shared" si="1"/>
        <v>0</v>
      </c>
      <c r="H17" s="332"/>
    </row>
    <row r="18" spans="1:8" s="172" customFormat="1" ht="24.75" customHeight="1">
      <c r="A18" s="111">
        <v>12</v>
      </c>
      <c r="B18" s="210" t="s">
        <v>125</v>
      </c>
      <c r="C18" s="331" t="s">
        <v>26</v>
      </c>
      <c r="D18" s="278" t="s">
        <v>147</v>
      </c>
      <c r="E18" s="209">
        <f>'lanh tien PT'!D17+'Bác sĩ điều trị'!D17-'Thực lãnh'!I31</f>
        <v>4095113</v>
      </c>
      <c r="F18" s="209">
        <f t="shared" si="0"/>
        <v>409511.29999999981</v>
      </c>
      <c r="G18" s="166">
        <f>E18*0.9</f>
        <v>3685601.7</v>
      </c>
      <c r="H18" s="332"/>
    </row>
    <row r="19" spans="1:8" s="172" customFormat="1" ht="24.75" customHeight="1">
      <c r="A19" s="111">
        <v>13</v>
      </c>
      <c r="B19" s="210" t="s">
        <v>59</v>
      </c>
      <c r="C19" s="331" t="s">
        <v>26</v>
      </c>
      <c r="D19" s="457">
        <v>107004193662</v>
      </c>
      <c r="E19" s="209">
        <f>'lanh tien PT'!D18</f>
        <v>884032.50000000012</v>
      </c>
      <c r="F19" s="209">
        <f t="shared" si="0"/>
        <v>0</v>
      </c>
      <c r="G19" s="166">
        <f>E19</f>
        <v>884032.50000000012</v>
      </c>
      <c r="H19" s="332"/>
    </row>
    <row r="20" spans="1:8" s="172" customFormat="1" ht="24.75" customHeight="1">
      <c r="A20" s="111">
        <v>14</v>
      </c>
      <c r="B20" s="106" t="s">
        <v>980</v>
      </c>
      <c r="C20" s="230" t="s">
        <v>60</v>
      </c>
      <c r="D20" s="455">
        <v>105883051352</v>
      </c>
      <c r="E20" s="209">
        <f>'lanh tien PT'!D19+'lanh tien PT'!D20+'lanh tien PT'!D21+'lanh tien PT'!D22+'lanh tien PT_BHYT'!E19+'lanh tien PT_BHYT'!E20+'lanh tien PT_BHYT'!E21+'lanh tien PT_BHYT'!E22</f>
        <v>4656609</v>
      </c>
      <c r="F20" s="209">
        <f t="shared" ref="F20:F27" si="2">E20-G20</f>
        <v>465660.89999999991</v>
      </c>
      <c r="G20" s="166">
        <f>E20*0.9</f>
        <v>4190948.1</v>
      </c>
      <c r="H20" s="332"/>
    </row>
    <row r="21" spans="1:8" s="172" customFormat="1" ht="24.75" customHeight="1">
      <c r="A21" s="111">
        <v>15</v>
      </c>
      <c r="B21" s="210" t="s">
        <v>152</v>
      </c>
      <c r="C21" s="331" t="s">
        <v>60</v>
      </c>
      <c r="D21" s="336">
        <v>109883164818</v>
      </c>
      <c r="E21" s="209">
        <f>'lanh tien PT_BHYT'!E26+'lanh tien PT_BHYT'!E25+'lanh tien PT_BHYT'!E23+'lanh tien PT_BHYT'!E24+'lanh tien PT'!D23+'lanh tien PT'!D24+'lanh tien PT'!D25+'lanh tien PT'!D26</f>
        <v>5480894.5</v>
      </c>
      <c r="F21" s="209">
        <f t="shared" si="2"/>
        <v>548089.45000000019</v>
      </c>
      <c r="G21" s="166">
        <f>E21*0.9</f>
        <v>4932805.05</v>
      </c>
      <c r="H21" s="332"/>
    </row>
    <row r="22" spans="1:8" s="172" customFormat="1" ht="24.75" customHeight="1">
      <c r="A22" s="111">
        <v>16</v>
      </c>
      <c r="B22" s="106" t="s">
        <v>163</v>
      </c>
      <c r="C22" s="230" t="s">
        <v>60</v>
      </c>
      <c r="D22" s="361">
        <v>105880975165</v>
      </c>
      <c r="E22" s="209">
        <f>'lanh tien PT_BHYT'!E27+'lanh tien PT'!D27</f>
        <v>10120800.5</v>
      </c>
      <c r="F22" s="209">
        <f t="shared" si="2"/>
        <v>1012080.0499999989</v>
      </c>
      <c r="G22" s="166">
        <f t="shared" ref="G22:G26" si="3">E22*0.9</f>
        <v>9108720.4500000011</v>
      </c>
      <c r="H22" s="332"/>
    </row>
    <row r="23" spans="1:8" s="172" customFormat="1" ht="24.75" customHeight="1">
      <c r="A23" s="111">
        <v>17</v>
      </c>
      <c r="B23" s="106" t="s">
        <v>164</v>
      </c>
      <c r="C23" s="230" t="s">
        <v>60</v>
      </c>
      <c r="D23" s="361">
        <v>102879258199</v>
      </c>
      <c r="E23" s="209">
        <f>'lanh tien PT_BHYT'!E28+'lanh tien PT'!D28</f>
        <v>9422417</v>
      </c>
      <c r="F23" s="209">
        <f t="shared" si="2"/>
        <v>942241.69999999925</v>
      </c>
      <c r="G23" s="166">
        <f t="shared" si="3"/>
        <v>8480175.3000000007</v>
      </c>
      <c r="H23" s="332"/>
    </row>
    <row r="24" spans="1:8" s="172" customFormat="1" ht="24.75" customHeight="1">
      <c r="A24" s="111">
        <v>18</v>
      </c>
      <c r="B24" s="106" t="s">
        <v>165</v>
      </c>
      <c r="C24" s="230" t="s">
        <v>60</v>
      </c>
      <c r="D24" s="362" t="s">
        <v>169</v>
      </c>
      <c r="E24" s="209">
        <f>'lanh tien PT_BHYT'!E29+'lanh tien PT'!D29</f>
        <v>7941218</v>
      </c>
      <c r="F24" s="209">
        <f t="shared" si="2"/>
        <v>794121.79999999981</v>
      </c>
      <c r="G24" s="166">
        <f t="shared" si="3"/>
        <v>7147096.2000000002</v>
      </c>
      <c r="H24" s="332"/>
    </row>
    <row r="25" spans="1:8" s="172" customFormat="1" ht="24.75" customHeight="1">
      <c r="A25" s="111">
        <v>19</v>
      </c>
      <c r="B25" s="106" t="s">
        <v>166</v>
      </c>
      <c r="C25" s="230" t="s">
        <v>60</v>
      </c>
      <c r="D25" s="361">
        <v>109881014321</v>
      </c>
      <c r="E25" s="209">
        <f>'lanh tien PT_BHYT'!E30+'lanh tien PT'!D30</f>
        <v>14513198.1</v>
      </c>
      <c r="F25" s="209">
        <f t="shared" si="2"/>
        <v>1451319.8100000005</v>
      </c>
      <c r="G25" s="166">
        <f t="shared" si="3"/>
        <v>13061878.289999999</v>
      </c>
      <c r="H25" s="332"/>
    </row>
    <row r="26" spans="1:8" s="172" customFormat="1" ht="24.75" customHeight="1">
      <c r="A26" s="111">
        <v>20</v>
      </c>
      <c r="B26" s="106" t="s">
        <v>167</v>
      </c>
      <c r="C26" s="230" t="s">
        <v>60</v>
      </c>
      <c r="D26" s="361">
        <v>102880994246</v>
      </c>
      <c r="E26" s="209">
        <f>'lanh tien PT_BHYT'!E31+'lanh tien PT'!D31</f>
        <v>6412316</v>
      </c>
      <c r="F26" s="209">
        <f t="shared" si="2"/>
        <v>641231.59999999963</v>
      </c>
      <c r="G26" s="166">
        <f t="shared" si="3"/>
        <v>5771084.4000000004</v>
      </c>
      <c r="H26" s="332"/>
    </row>
    <row r="27" spans="1:8" s="172" customFormat="1" ht="24.75" customHeight="1">
      <c r="A27" s="111">
        <v>21</v>
      </c>
      <c r="B27" s="106" t="s">
        <v>168</v>
      </c>
      <c r="C27" s="230" t="s">
        <v>60</v>
      </c>
      <c r="D27" s="363" t="s">
        <v>170</v>
      </c>
      <c r="E27" s="209">
        <f>'lanh tien PT_BHYT'!E32+'lanh tien PT'!D32</f>
        <v>6705123.7999999998</v>
      </c>
      <c r="F27" s="209">
        <f t="shared" si="2"/>
        <v>670512.37999999989</v>
      </c>
      <c r="G27" s="166">
        <f>E27*0.9</f>
        <v>6034611.4199999999</v>
      </c>
      <c r="H27" s="332"/>
    </row>
    <row r="28" spans="1:8" s="172" customFormat="1" ht="24.75" customHeight="1">
      <c r="A28" s="111">
        <v>22</v>
      </c>
      <c r="B28" s="206" t="s">
        <v>45</v>
      </c>
      <c r="C28" s="207" t="s">
        <v>27</v>
      </c>
      <c r="D28" s="205">
        <v>106006773860</v>
      </c>
      <c r="E28" s="209">
        <f>'lanh tien PT1'!D20</f>
        <v>6388738.5684210537</v>
      </c>
      <c r="F28" s="209" t="s">
        <v>56</v>
      </c>
      <c r="G28" s="166">
        <f t="shared" ref="G28" si="4">E28</f>
        <v>6388738.5684210537</v>
      </c>
      <c r="H28" s="206"/>
    </row>
    <row r="29" spans="1:8" s="172" customFormat="1" ht="24.75" customHeight="1">
      <c r="A29" s="111">
        <v>23</v>
      </c>
      <c r="B29" s="206" t="s">
        <v>65</v>
      </c>
      <c r="C29" s="207" t="s">
        <v>27</v>
      </c>
      <c r="D29" s="205">
        <v>105866700129</v>
      </c>
      <c r="E29" s="209">
        <f>'lanh tien PT1'!D21</f>
        <v>6388738.5684210537</v>
      </c>
      <c r="F29" s="209" t="s">
        <v>56</v>
      </c>
      <c r="G29" s="166">
        <f t="shared" ref="G29:G37" si="5">E29</f>
        <v>6388738.5684210537</v>
      </c>
      <c r="H29" s="206"/>
    </row>
    <row r="30" spans="1:8" s="172" customFormat="1" ht="24.75" customHeight="1">
      <c r="A30" s="111">
        <v>24</v>
      </c>
      <c r="B30" s="206" t="s">
        <v>82</v>
      </c>
      <c r="C30" s="207" t="s">
        <v>27</v>
      </c>
      <c r="D30" s="205" t="s">
        <v>115</v>
      </c>
      <c r="E30" s="209">
        <f>'lanh tien PT1'!D23</f>
        <v>6388738.5684210537</v>
      </c>
      <c r="F30" s="209" t="s">
        <v>56</v>
      </c>
      <c r="G30" s="166">
        <f t="shared" si="5"/>
        <v>6388738.5684210537</v>
      </c>
      <c r="H30" s="206"/>
    </row>
    <row r="31" spans="1:8" s="172" customFormat="1" ht="24.75" customHeight="1">
      <c r="A31" s="111">
        <v>25</v>
      </c>
      <c r="B31" s="206" t="s">
        <v>46</v>
      </c>
      <c r="C31" s="207" t="s">
        <v>27</v>
      </c>
      <c r="D31" s="205">
        <v>106002699376</v>
      </c>
      <c r="E31" s="209">
        <f>'lanh tien PT1'!D24+'Bác sĩ điều trị'!D18</f>
        <v>8688738.5684210546</v>
      </c>
      <c r="F31" s="209" t="s">
        <v>56</v>
      </c>
      <c r="G31" s="166">
        <f t="shared" si="5"/>
        <v>8688738.5684210546</v>
      </c>
      <c r="H31" s="206"/>
    </row>
    <row r="32" spans="1:8" s="172" customFormat="1" ht="24.75" customHeight="1">
      <c r="A32" s="111">
        <v>26</v>
      </c>
      <c r="B32" s="206" t="s">
        <v>70</v>
      </c>
      <c r="C32" s="207" t="s">
        <v>27</v>
      </c>
      <c r="D32" s="205" t="s">
        <v>116</v>
      </c>
      <c r="E32" s="209">
        <f>'lanh tien PT1'!D22</f>
        <v>6388738.5684210537</v>
      </c>
      <c r="F32" s="209" t="s">
        <v>56</v>
      </c>
      <c r="G32" s="166">
        <f t="shared" si="5"/>
        <v>6388738.5684210537</v>
      </c>
      <c r="H32" s="206"/>
    </row>
    <row r="33" spans="1:10" s="172" customFormat="1" ht="24.75" customHeight="1">
      <c r="A33" s="111">
        <v>27</v>
      </c>
      <c r="B33" s="206" t="s">
        <v>112</v>
      </c>
      <c r="C33" s="207" t="s">
        <v>27</v>
      </c>
      <c r="D33" s="205">
        <v>102877256973</v>
      </c>
      <c r="E33" s="209">
        <f>'lanh tien PT1'!D25</f>
        <v>6388738.5684210537</v>
      </c>
      <c r="F33" s="209" t="s">
        <v>56</v>
      </c>
      <c r="G33" s="166">
        <f t="shared" si="5"/>
        <v>6388738.5684210537</v>
      </c>
      <c r="H33" s="206"/>
    </row>
    <row r="34" spans="1:10" s="172" customFormat="1" ht="24.75" customHeight="1">
      <c r="A34" s="111">
        <v>28</v>
      </c>
      <c r="B34" s="206" t="s">
        <v>73</v>
      </c>
      <c r="C34" s="207" t="s">
        <v>27</v>
      </c>
      <c r="D34" s="205">
        <v>109869939394</v>
      </c>
      <c r="E34" s="209">
        <f>'lanh tien PT1'!D27</f>
        <v>6388738.5684210537</v>
      </c>
      <c r="F34" s="209" t="s">
        <v>56</v>
      </c>
      <c r="G34" s="166">
        <f t="shared" si="5"/>
        <v>6388738.5684210537</v>
      </c>
      <c r="H34" s="206"/>
    </row>
    <row r="35" spans="1:10" s="172" customFormat="1" ht="24.75" customHeight="1">
      <c r="A35" s="111">
        <v>29</v>
      </c>
      <c r="B35" s="328" t="s">
        <v>148</v>
      </c>
      <c r="C35" s="207" t="s">
        <v>27</v>
      </c>
      <c r="D35" s="330" t="s">
        <v>150</v>
      </c>
      <c r="E35" s="209">
        <f>'lanh tien PT1'!D28</f>
        <v>6388738.5684210537</v>
      </c>
      <c r="F35" s="209" t="s">
        <v>56</v>
      </c>
      <c r="G35" s="166">
        <f t="shared" si="5"/>
        <v>6388738.5684210537</v>
      </c>
      <c r="H35" s="206"/>
    </row>
    <row r="36" spans="1:10" s="172" customFormat="1" ht="24.75" customHeight="1">
      <c r="A36" s="111">
        <v>30</v>
      </c>
      <c r="B36" s="328" t="s">
        <v>149</v>
      </c>
      <c r="C36" s="207" t="s">
        <v>27</v>
      </c>
      <c r="D36" s="334" t="s">
        <v>151</v>
      </c>
      <c r="E36" s="209">
        <f>'lanh tien PT1'!D29</f>
        <v>6388738.5684210537</v>
      </c>
      <c r="F36" s="209" t="s">
        <v>56</v>
      </c>
      <c r="G36" s="166">
        <f t="shared" si="5"/>
        <v>6388738.5684210537</v>
      </c>
      <c r="H36" s="206"/>
    </row>
    <row r="37" spans="1:10" s="172" customFormat="1" ht="24.75" customHeight="1">
      <c r="A37" s="111">
        <v>31</v>
      </c>
      <c r="B37" s="206" t="s">
        <v>55</v>
      </c>
      <c r="C37" s="207" t="s">
        <v>91</v>
      </c>
      <c r="D37" s="205">
        <v>108002699374</v>
      </c>
      <c r="E37" s="209">
        <f>'lanh tien PT1'!D30</f>
        <v>3194369.2842105269</v>
      </c>
      <c r="F37" s="209" t="s">
        <v>56</v>
      </c>
      <c r="G37" s="166">
        <f t="shared" si="5"/>
        <v>3194369.2842105269</v>
      </c>
      <c r="H37" s="206"/>
    </row>
    <row r="38" spans="1:10" s="352" customFormat="1" ht="24.75" customHeight="1">
      <c r="A38" s="345"/>
      <c r="B38" s="346" t="s">
        <v>28</v>
      </c>
      <c r="C38" s="347"/>
      <c r="D38" s="348"/>
      <c r="E38" s="349">
        <f>SUM(E7:E37)</f>
        <v>207169966.37500015</v>
      </c>
      <c r="F38" s="350">
        <f>SUM(F7:F37)</f>
        <v>12345394.654999997</v>
      </c>
      <c r="G38" s="350">
        <f>SUM(G7:G37)</f>
        <v>194824571.72000012</v>
      </c>
      <c r="H38" s="351"/>
    </row>
    <row r="39" spans="1:10">
      <c r="B39" s="77"/>
      <c r="J39" s="78"/>
    </row>
    <row r="40" spans="1:10" ht="16.5" customHeight="1">
      <c r="B40" s="77"/>
      <c r="F40" s="539" t="s">
        <v>989</v>
      </c>
      <c r="G40" s="539"/>
      <c r="H40" s="539"/>
      <c r="J40" s="78"/>
    </row>
    <row r="41" spans="1:10" ht="18.75">
      <c r="A41" s="528" t="s">
        <v>20</v>
      </c>
      <c r="B41" s="528"/>
      <c r="C41" s="75"/>
      <c r="D41" s="300"/>
      <c r="E41" s="293"/>
      <c r="F41" s="540" t="s">
        <v>21</v>
      </c>
      <c r="G41" s="540"/>
      <c r="H41" s="540"/>
    </row>
    <row r="42" spans="1:10" ht="18.75">
      <c r="A42" s="74"/>
      <c r="B42" s="74"/>
      <c r="C42" s="75"/>
      <c r="D42" s="300"/>
      <c r="E42" s="293"/>
      <c r="F42" s="235"/>
      <c r="G42" s="236"/>
      <c r="H42" s="74"/>
    </row>
    <row r="43" spans="1:10" ht="18.75">
      <c r="A43" s="74"/>
      <c r="B43" s="74"/>
      <c r="C43" s="75"/>
      <c r="D43" s="300"/>
      <c r="E43" s="293"/>
      <c r="F43" s="235"/>
      <c r="G43" s="237"/>
      <c r="H43" s="74"/>
    </row>
    <row r="44" spans="1:10" ht="18.75">
      <c r="A44" s="74"/>
      <c r="B44" s="74"/>
      <c r="C44" s="75"/>
      <c r="D44" s="300"/>
      <c r="F44" s="235"/>
      <c r="G44" s="236"/>
      <c r="H44" s="74"/>
    </row>
    <row r="45" spans="1:10" ht="18.75">
      <c r="A45" s="528" t="s">
        <v>96</v>
      </c>
      <c r="B45" s="528"/>
      <c r="C45" s="75"/>
      <c r="D45" s="300"/>
      <c r="E45" s="293"/>
      <c r="F45" s="528" t="s">
        <v>173</v>
      </c>
      <c r="G45" s="528"/>
      <c r="H45" s="528"/>
    </row>
    <row r="46" spans="1:10" ht="18.75">
      <c r="A46" s="74"/>
      <c r="B46" s="74"/>
      <c r="C46" s="75"/>
      <c r="D46" s="300"/>
      <c r="E46" s="293"/>
      <c r="F46" s="235"/>
      <c r="G46" s="236"/>
      <c r="H46" s="74"/>
    </row>
  </sheetData>
  <mergeCells count="9">
    <mergeCell ref="A45:B45"/>
    <mergeCell ref="F45:H45"/>
    <mergeCell ref="A1:C1"/>
    <mergeCell ref="A2:C2"/>
    <mergeCell ref="A3:H3"/>
    <mergeCell ref="A4:H4"/>
    <mergeCell ref="F40:H40"/>
    <mergeCell ref="A41:B41"/>
    <mergeCell ref="F41:H41"/>
  </mergeCells>
  <pageMargins left="0.2" right="0.17" top="0.46" bottom="0.3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thu thuat</vt:lpstr>
      <vt:lpstr>lanh tien thu thuat</vt:lpstr>
      <vt:lpstr>tieuphau</vt:lpstr>
      <vt:lpstr>lanh tien tphau</vt:lpstr>
      <vt:lpstr>TIỀN GIƯỜNG</vt:lpstr>
      <vt:lpstr>lanh tien PT1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2025-08-27T06:42:37Z</cp:lastPrinted>
  <dcterms:created xsi:type="dcterms:W3CDTF">2012-03-02T08:10:25Z</dcterms:created>
  <dcterms:modified xsi:type="dcterms:W3CDTF">2025-08-27T06:43:20Z</dcterms:modified>
</cp:coreProperties>
</file>