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D01B50CE-4619-4353-9483-74C32303A925}" xr6:coauthVersionLast="47" xr6:coauthVersionMax="47" xr10:uidLastSave="{00000000-0000-0000-0000-000000000000}"/>
  <bookViews>
    <workbookView xWindow="-120" yWindow="-120" windowWidth="29040" windowHeight="15720" tabRatio="907" activeTab="2" xr2:uid="{00000000-000D-0000-FFFF-FFFF00000000}"/>
  </bookViews>
  <sheets>
    <sheet name="phauthuat" sheetId="1" r:id="rId1"/>
    <sheet name="lanh tien PT" sheetId="9" r:id="rId2"/>
    <sheet name="Bác sĩ điều trị" sheetId="56" r:id="rId3"/>
    <sheet name="lanh tien PT1" sheetId="57" r:id="rId4"/>
    <sheet name="phauthuat_BHYT" sheetId="38" r:id="rId5"/>
    <sheet name="lanh tien PT_BHYT" sheetId="40" r:id="rId6"/>
    <sheet name="Thực lãnh" sheetId="60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TONG LANH" sheetId="32" r:id="rId13"/>
    <sheet name="Thực lãnh dv" sheetId="62" r:id="rId14"/>
    <sheet name="GIƯỜNG GỬI" sheetId="59" r:id="rId15"/>
    <sheet name="PT YÊU CẦU" sheetId="58" r:id="rId16"/>
    <sheet name="Lãnh tiền PTYC" sheetId="63" r:id="rId17"/>
  </sheets>
  <definedNames>
    <definedName name="_Fill" localSheetId="5" hidden="1">#REF!</definedName>
    <definedName name="_Fill" localSheetId="8" hidden="1">#REF!</definedName>
    <definedName name="_Fill" localSheetId="4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phauthuat!$A$6:$WWO$102</definedName>
    <definedName name="_xlnm._FilterDatabase" localSheetId="4" hidden="1">phauthuat_BHYT!$A$7:$WWY$123</definedName>
    <definedName name="_xlnm._FilterDatabase" localSheetId="9" hidden="1">tieuphau!$A$6:$XET$66</definedName>
    <definedName name="_xlnm._FilterDatabase" localSheetId="7" hidden="1">'thu thuat'!$B$5:$I$577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2" l="1"/>
  <c r="D28" i="57"/>
  <c r="D21" i="57"/>
  <c r="D20" i="57"/>
  <c r="G19" i="57"/>
  <c r="G21" i="57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2" i="41"/>
  <c r="I573" i="41"/>
  <c r="I574" i="41"/>
  <c r="E25" i="62"/>
  <c r="E28" i="32"/>
  <c r="E27" i="32"/>
  <c r="E26" i="32"/>
  <c r="E17" i="63"/>
  <c r="E8" i="32"/>
  <c r="E8" i="62"/>
  <c r="E24" i="40"/>
  <c r="D18" i="56"/>
  <c r="D17" i="56"/>
  <c r="D16" i="56"/>
  <c r="D15" i="56"/>
  <c r="D14" i="56"/>
  <c r="D13" i="56"/>
  <c r="D11" i="56"/>
  <c r="D8" i="30"/>
  <c r="D9" i="30"/>
  <c r="D10" i="30"/>
  <c r="D11" i="30"/>
  <c r="D12" i="30"/>
  <c r="D13" i="30"/>
  <c r="D14" i="30"/>
  <c r="D7" i="30"/>
  <c r="I405" i="41"/>
  <c r="K70" i="38" l="1"/>
  <c r="K71" i="38"/>
  <c r="K72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K120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M70" i="38"/>
  <c r="M71" i="38"/>
  <c r="M72" i="38"/>
  <c r="M73" i="38"/>
  <c r="M74" i="38"/>
  <c r="M75" i="38"/>
  <c r="M76" i="38"/>
  <c r="M77" i="38"/>
  <c r="M78" i="38"/>
  <c r="N78" i="38" s="1"/>
  <c r="M79" i="38"/>
  <c r="M80" i="38"/>
  <c r="M81" i="38"/>
  <c r="M82" i="38"/>
  <c r="M83" i="38"/>
  <c r="M84" i="38"/>
  <c r="M85" i="38"/>
  <c r="M86" i="38"/>
  <c r="N86" i="38" s="1"/>
  <c r="M87" i="38"/>
  <c r="M88" i="38"/>
  <c r="M89" i="38"/>
  <c r="M90" i="38"/>
  <c r="M91" i="38"/>
  <c r="M92" i="38"/>
  <c r="M93" i="38"/>
  <c r="M94" i="38"/>
  <c r="N94" i="38" s="1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N110" i="38" l="1"/>
  <c r="N111" i="38"/>
  <c r="N103" i="38"/>
  <c r="N95" i="38"/>
  <c r="N79" i="38"/>
  <c r="N71" i="38"/>
  <c r="N118" i="38"/>
  <c r="N119" i="38"/>
  <c r="N87" i="38"/>
  <c r="N90" i="38"/>
  <c r="N81" i="38"/>
  <c r="N120" i="38"/>
  <c r="N112" i="38"/>
  <c r="N104" i="38"/>
  <c r="N96" i="38"/>
  <c r="N88" i="38"/>
  <c r="N80" i="38"/>
  <c r="N98" i="38"/>
  <c r="N113" i="38"/>
  <c r="N89" i="38"/>
  <c r="N114" i="38"/>
  <c r="N82" i="38"/>
  <c r="N74" i="38"/>
  <c r="N97" i="38"/>
  <c r="N73" i="38"/>
  <c r="N102" i="38"/>
  <c r="N70" i="38"/>
  <c r="N72" i="38"/>
  <c r="N106" i="38"/>
  <c r="N105" i="38"/>
  <c r="N116" i="38"/>
  <c r="N108" i="38"/>
  <c r="N100" i="38"/>
  <c r="N92" i="38"/>
  <c r="N84" i="38"/>
  <c r="N76" i="38"/>
  <c r="N117" i="38"/>
  <c r="N109" i="38"/>
  <c r="N101" i="38"/>
  <c r="N93" i="38"/>
  <c r="N85" i="38"/>
  <c r="N77" i="38"/>
  <c r="N115" i="38"/>
  <c r="N107" i="38"/>
  <c r="N99" i="38"/>
  <c r="N91" i="38"/>
  <c r="N83" i="38"/>
  <c r="N75" i="38"/>
  <c r="D17" i="7" l="1"/>
  <c r="I8" i="41" l="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L97" i="1" l="1"/>
  <c r="L98" i="1"/>
  <c r="L99" i="1"/>
  <c r="N97" i="1"/>
  <c r="N98" i="1"/>
  <c r="N99" i="1"/>
  <c r="P97" i="1"/>
  <c r="P98" i="1"/>
  <c r="P99" i="1"/>
  <c r="Q97" i="1"/>
  <c r="Q98" i="1"/>
  <c r="Q99" i="1"/>
  <c r="R97" i="1"/>
  <c r="R98" i="1"/>
  <c r="R99" i="1"/>
  <c r="H100" i="1"/>
  <c r="J99" i="1" l="1"/>
  <c r="J98" i="1"/>
  <c r="J97" i="1"/>
  <c r="G7" i="58" l="1"/>
  <c r="J48" i="26" l="1"/>
  <c r="J46" i="26"/>
  <c r="J52" i="26"/>
  <c r="J28" i="26"/>
  <c r="J7" i="26"/>
  <c r="J40" i="26"/>
  <c r="J58" i="26"/>
  <c r="J38" i="26"/>
  <c r="J55" i="26"/>
  <c r="J22" i="26"/>
  <c r="J57" i="26"/>
  <c r="J56" i="26"/>
  <c r="J47" i="26"/>
  <c r="J43" i="26"/>
  <c r="J23" i="26"/>
  <c r="J12" i="26"/>
  <c r="J14" i="26"/>
  <c r="J53" i="26"/>
  <c r="J37" i="26"/>
  <c r="J42" i="26"/>
  <c r="J41" i="26"/>
  <c r="J19" i="26"/>
  <c r="J59" i="26"/>
  <c r="J32" i="26"/>
  <c r="J17" i="26"/>
  <c r="J16" i="26"/>
  <c r="J35" i="26"/>
  <c r="J11" i="26"/>
  <c r="J15" i="26"/>
  <c r="J61" i="26"/>
  <c r="J21" i="26"/>
  <c r="J31" i="26"/>
  <c r="J9" i="26"/>
  <c r="J49" i="26"/>
  <c r="J51" i="26"/>
  <c r="J62" i="26"/>
  <c r="J63" i="26"/>
  <c r="J34" i="26"/>
  <c r="K48" i="26"/>
  <c r="K46" i="26"/>
  <c r="K52" i="26"/>
  <c r="K28" i="26"/>
  <c r="K7" i="26"/>
  <c r="K40" i="26"/>
  <c r="K58" i="26"/>
  <c r="K38" i="26"/>
  <c r="K55" i="26"/>
  <c r="K22" i="26"/>
  <c r="K57" i="26"/>
  <c r="K56" i="26"/>
  <c r="K47" i="26"/>
  <c r="K43" i="26"/>
  <c r="K23" i="26"/>
  <c r="K12" i="26"/>
  <c r="K14" i="26"/>
  <c r="K53" i="26"/>
  <c r="K37" i="26"/>
  <c r="K42" i="26"/>
  <c r="K41" i="26"/>
  <c r="K19" i="26"/>
  <c r="K59" i="26"/>
  <c r="K32" i="26"/>
  <c r="K17" i="26"/>
  <c r="K16" i="26"/>
  <c r="K35" i="26"/>
  <c r="K11" i="26"/>
  <c r="K15" i="26"/>
  <c r="K61" i="26"/>
  <c r="K21" i="26"/>
  <c r="K31" i="26"/>
  <c r="K9" i="26"/>
  <c r="K49" i="26"/>
  <c r="K51" i="26"/>
  <c r="K62" i="26"/>
  <c r="K63" i="26"/>
  <c r="K34" i="26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H35" i="26" l="1"/>
  <c r="H49" i="26"/>
  <c r="H37" i="26"/>
  <c r="H43" i="26"/>
  <c r="H58" i="26"/>
  <c r="H48" i="26"/>
  <c r="H51" i="26"/>
  <c r="H15" i="26"/>
  <c r="H41" i="26"/>
  <c r="H12" i="26"/>
  <c r="H55" i="26"/>
  <c r="H59" i="26"/>
  <c r="H28" i="26"/>
  <c r="H62" i="26"/>
  <c r="H61" i="26"/>
  <c r="H19" i="26"/>
  <c r="H22" i="26"/>
  <c r="H52" i="26"/>
  <c r="H21" i="26"/>
  <c r="H63" i="26"/>
  <c r="H57" i="26"/>
  <c r="H9" i="26"/>
  <c r="H16" i="26"/>
  <c r="H11" i="26"/>
  <c r="H42" i="26"/>
  <c r="H23" i="26"/>
  <c r="H38" i="26"/>
  <c r="H46" i="26"/>
  <c r="H34" i="26"/>
  <c r="H32" i="26"/>
  <c r="H56" i="26"/>
  <c r="J90" i="1"/>
  <c r="J82" i="1"/>
  <c r="J75" i="1"/>
  <c r="J67" i="1"/>
  <c r="J93" i="1"/>
  <c r="J85" i="1"/>
  <c r="J78" i="1"/>
  <c r="J70" i="1"/>
  <c r="J62" i="1"/>
  <c r="J91" i="1"/>
  <c r="J76" i="1"/>
  <c r="J68" i="1"/>
  <c r="H14" i="26"/>
  <c r="H7" i="26"/>
  <c r="H31" i="26"/>
  <c r="H17" i="26"/>
  <c r="H53" i="26"/>
  <c r="H47" i="26"/>
  <c r="H40" i="26"/>
  <c r="J84" i="1"/>
  <c r="J69" i="1"/>
  <c r="J65" i="1"/>
  <c r="J92" i="1"/>
  <c r="J77" i="1"/>
  <c r="J83" i="1"/>
  <c r="J89" i="1"/>
  <c r="J81" i="1"/>
  <c r="J74" i="1"/>
  <c r="J66" i="1"/>
  <c r="J88" i="1"/>
  <c r="J80" i="1"/>
  <c r="J73" i="1"/>
  <c r="J87" i="1"/>
  <c r="J79" i="1"/>
  <c r="J72" i="1"/>
  <c r="J64" i="1"/>
  <c r="J94" i="1"/>
  <c r="J86" i="1"/>
  <c r="J71" i="1"/>
  <c r="J63" i="1"/>
  <c r="F64" i="26" l="1"/>
  <c r="K29" i="26"/>
  <c r="K39" i="26"/>
  <c r="K44" i="26"/>
  <c r="K13" i="26"/>
  <c r="K25" i="26"/>
  <c r="K8" i="26"/>
  <c r="K10" i="26"/>
  <c r="K45" i="26"/>
  <c r="K24" i="26"/>
  <c r="K50" i="26"/>
  <c r="K27" i="26"/>
  <c r="K33" i="26"/>
  <c r="K60" i="26"/>
  <c r="K54" i="26"/>
  <c r="K20" i="26"/>
  <c r="K30" i="26"/>
  <c r="K36" i="26"/>
  <c r="K26" i="26"/>
  <c r="K18" i="26"/>
  <c r="H575" i="41"/>
  <c r="H6" i="58" l="1"/>
  <c r="G20" i="57" l="1"/>
  <c r="J24" i="26" l="1"/>
  <c r="H24" i="26" s="1"/>
  <c r="J13" i="26"/>
  <c r="J18" i="26"/>
  <c r="J25" i="26"/>
  <c r="H25" i="26" s="1"/>
  <c r="H18" i="26" l="1"/>
  <c r="H13" i="26"/>
  <c r="H7" i="58" l="1"/>
  <c r="E18" i="63" s="1"/>
  <c r="I7" i="41"/>
  <c r="I575" i="41" s="1"/>
  <c r="J36" i="26"/>
  <c r="K64" i="26"/>
  <c r="J10" i="26"/>
  <c r="J39" i="26"/>
  <c r="J50" i="26"/>
  <c r="J20" i="26"/>
  <c r="J27" i="26"/>
  <c r="J33" i="26"/>
  <c r="J29" i="26"/>
  <c r="J26" i="26"/>
  <c r="J54" i="26"/>
  <c r="J45" i="26"/>
  <c r="J8" i="26"/>
  <c r="J44" i="26"/>
  <c r="J30" i="26"/>
  <c r="D8" i="7"/>
  <c r="H30" i="26" l="1"/>
  <c r="H36" i="26"/>
  <c r="H44" i="26"/>
  <c r="H10" i="26"/>
  <c r="H54" i="26"/>
  <c r="H50" i="26"/>
  <c r="H39" i="26"/>
  <c r="H45" i="26"/>
  <c r="H33" i="26"/>
  <c r="D15" i="7"/>
  <c r="H26" i="26"/>
  <c r="H8" i="26"/>
  <c r="D12" i="7" s="1"/>
  <c r="H29" i="26"/>
  <c r="H27" i="26"/>
  <c r="H20" i="26"/>
  <c r="D16" i="7" l="1"/>
  <c r="D10" i="7"/>
  <c r="D9" i="7"/>
  <c r="D19" i="56" l="1"/>
  <c r="G575" i="4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95" i="1"/>
  <c r="R96" i="1"/>
  <c r="R7" i="1"/>
  <c r="R100" i="1" l="1"/>
  <c r="L53" i="1"/>
  <c r="L54" i="1"/>
  <c r="L55" i="1"/>
  <c r="L56" i="1"/>
  <c r="L57" i="1"/>
  <c r="L58" i="1"/>
  <c r="L59" i="1"/>
  <c r="L60" i="1"/>
  <c r="L61" i="1"/>
  <c r="N55" i="1"/>
  <c r="N56" i="1"/>
  <c r="N57" i="1"/>
  <c r="N58" i="1"/>
  <c r="N59" i="1"/>
  <c r="N60" i="1"/>
  <c r="N61" i="1"/>
  <c r="N95" i="1"/>
  <c r="N96" i="1"/>
  <c r="P55" i="1"/>
  <c r="P56" i="1"/>
  <c r="P57" i="1"/>
  <c r="P58" i="1"/>
  <c r="P59" i="1"/>
  <c r="P60" i="1"/>
  <c r="P61" i="1"/>
  <c r="P95" i="1"/>
  <c r="P96" i="1"/>
  <c r="Q55" i="1"/>
  <c r="Q56" i="1"/>
  <c r="Q57" i="1"/>
  <c r="Q58" i="1"/>
  <c r="Q59" i="1"/>
  <c r="Q60" i="1"/>
  <c r="Q61" i="1"/>
  <c r="Q95" i="1"/>
  <c r="Q96" i="1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E26" i="40" s="1"/>
  <c r="M61" i="38"/>
  <c r="M62" i="38"/>
  <c r="M63" i="38"/>
  <c r="M64" i="38"/>
  <c r="M65" i="38"/>
  <c r="M66" i="38"/>
  <c r="M67" i="38"/>
  <c r="M68" i="38"/>
  <c r="M69" i="38"/>
  <c r="J95" i="1" l="1"/>
  <c r="J61" i="1"/>
  <c r="D7" i="42"/>
  <c r="D8" i="42" s="1"/>
  <c r="J59" i="1"/>
  <c r="J55" i="1"/>
  <c r="J58" i="1"/>
  <c r="J57" i="1"/>
  <c r="J96" i="1"/>
  <c r="J56" i="1"/>
  <c r="J60" i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D10" i="42" s="1"/>
  <c r="D11" i="42" s="1"/>
  <c r="D12" i="42" s="1"/>
  <c r="D13" i="42" s="1"/>
  <c r="D14" i="42" s="1"/>
  <c r="J60" i="26"/>
  <c r="J64" i="26" l="1"/>
  <c r="D18" i="7" s="1"/>
  <c r="D15" i="42"/>
  <c r="H60" i="26"/>
  <c r="D11" i="7" l="1"/>
  <c r="D7" i="7"/>
  <c r="D14" i="7"/>
  <c r="E12" i="32" s="1"/>
  <c r="H64" i="26"/>
  <c r="D13" i="7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D26" i="9" s="1"/>
  <c r="G27" i="32" s="1"/>
  <c r="F27" i="32" s="1"/>
  <c r="N53" i="1"/>
  <c r="N54" i="1"/>
  <c r="N7" i="1"/>
  <c r="D24" i="9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7" i="1"/>
  <c r="E11" i="62" l="1"/>
  <c r="E11" i="32"/>
  <c r="D27" i="9"/>
  <c r="G28" i="32" s="1"/>
  <c r="F28" i="32" s="1"/>
  <c r="D22" i="9"/>
  <c r="E23" i="32" s="1"/>
  <c r="G23" i="32" s="1"/>
  <c r="F23" i="32" s="1"/>
  <c r="D25" i="9"/>
  <c r="G26" i="32" s="1"/>
  <c r="N100" i="1"/>
  <c r="L100" i="1"/>
  <c r="P100" i="1"/>
  <c r="D21" i="9"/>
  <c r="E22" i="32" s="1"/>
  <c r="G22" i="32" s="1"/>
  <c r="F22" i="32" s="1"/>
  <c r="D17" i="9"/>
  <c r="D18" i="9"/>
  <c r="D16" i="9"/>
  <c r="E25" i="32"/>
  <c r="G25" i="32" s="1"/>
  <c r="F25" i="32" s="1"/>
  <c r="D19" i="9"/>
  <c r="D23" i="9"/>
  <c r="E24" i="32" s="1"/>
  <c r="G24" i="32" s="1"/>
  <c r="F24" i="32" s="1"/>
  <c r="D20" i="9"/>
  <c r="E21" i="32" s="1"/>
  <c r="G21" i="32" s="1"/>
  <c r="F21" i="32" s="1"/>
  <c r="F26" i="32" l="1"/>
  <c r="E19" i="32"/>
  <c r="G19" i="32" s="1"/>
  <c r="F19" i="32" s="1"/>
  <c r="E20" i="32"/>
  <c r="G20" i="32" s="1"/>
  <c r="F20" i="32" s="1"/>
  <c r="E18" i="32"/>
  <c r="E18" i="62"/>
  <c r="E17" i="32"/>
  <c r="G17" i="32" s="1"/>
  <c r="F17" i="32" s="1"/>
  <c r="E17" i="62"/>
  <c r="G17" i="62" s="1"/>
  <c r="F17" i="62" s="1"/>
  <c r="G18" i="62" l="1"/>
  <c r="F18" i="62" s="1"/>
  <c r="G18" i="32"/>
  <c r="F18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N52" i="38" l="1"/>
  <c r="N50" i="38"/>
  <c r="N48" i="38"/>
  <c r="N51" i="38"/>
  <c r="N49" i="38"/>
  <c r="Q7" i="1"/>
  <c r="E10" i="62" l="1"/>
  <c r="G10" i="62" s="1"/>
  <c r="F10" i="62" s="1"/>
  <c r="D15" i="30" l="1"/>
  <c r="G22" i="57" l="1"/>
  <c r="D19" i="7" l="1"/>
  <c r="D20" i="7" l="1"/>
  <c r="D21" i="7" s="1"/>
  <c r="D22" i="7" s="1"/>
  <c r="D23" i="7" s="1"/>
  <c r="D24" i="7" s="1"/>
  <c r="D25" i="7" s="1"/>
  <c r="D26" i="7" s="1"/>
  <c r="Q8" i="1"/>
  <c r="Q9" i="1"/>
  <c r="J9" i="1" s="1"/>
  <c r="Q10" i="1"/>
  <c r="J10" i="1" s="1"/>
  <c r="Q11" i="1"/>
  <c r="J11" i="1" s="1"/>
  <c r="Q12" i="1"/>
  <c r="J12" i="1" s="1"/>
  <c r="Q13" i="1"/>
  <c r="J13" i="1" s="1"/>
  <c r="Q14" i="1"/>
  <c r="J14" i="1" s="1"/>
  <c r="Q15" i="1"/>
  <c r="J15" i="1" s="1"/>
  <c r="Q16" i="1"/>
  <c r="J16" i="1" s="1"/>
  <c r="Q17" i="1"/>
  <c r="J17" i="1" s="1"/>
  <c r="Q18" i="1"/>
  <c r="J18" i="1" s="1"/>
  <c r="Q19" i="1"/>
  <c r="J19" i="1" s="1"/>
  <c r="Q20" i="1"/>
  <c r="J20" i="1" s="1"/>
  <c r="Q21" i="1"/>
  <c r="J21" i="1" s="1"/>
  <c r="Q22" i="1"/>
  <c r="J22" i="1" s="1"/>
  <c r="Q23" i="1"/>
  <c r="J23" i="1" s="1"/>
  <c r="Q24" i="1"/>
  <c r="J24" i="1" s="1"/>
  <c r="Q25" i="1"/>
  <c r="J25" i="1" s="1"/>
  <c r="Q26" i="1"/>
  <c r="J26" i="1" s="1"/>
  <c r="Q27" i="1"/>
  <c r="J27" i="1" s="1"/>
  <c r="Q28" i="1"/>
  <c r="J28" i="1" s="1"/>
  <c r="Q29" i="1"/>
  <c r="J29" i="1" s="1"/>
  <c r="Q30" i="1"/>
  <c r="J30" i="1" s="1"/>
  <c r="Q31" i="1"/>
  <c r="J31" i="1" s="1"/>
  <c r="Q32" i="1"/>
  <c r="J32" i="1" s="1"/>
  <c r="Q33" i="1"/>
  <c r="J33" i="1" s="1"/>
  <c r="Q34" i="1"/>
  <c r="J34" i="1" s="1"/>
  <c r="Q35" i="1"/>
  <c r="J35" i="1" s="1"/>
  <c r="Q36" i="1"/>
  <c r="J36" i="1" s="1"/>
  <c r="Q37" i="1"/>
  <c r="J37" i="1" s="1"/>
  <c r="Q38" i="1"/>
  <c r="J38" i="1" s="1"/>
  <c r="Q39" i="1"/>
  <c r="J39" i="1" s="1"/>
  <c r="Q40" i="1"/>
  <c r="J40" i="1" s="1"/>
  <c r="Q41" i="1"/>
  <c r="J41" i="1" s="1"/>
  <c r="Q42" i="1"/>
  <c r="J42" i="1" s="1"/>
  <c r="Q43" i="1"/>
  <c r="J43" i="1" s="1"/>
  <c r="Q44" i="1"/>
  <c r="J44" i="1" s="1"/>
  <c r="Q45" i="1"/>
  <c r="J45" i="1" s="1"/>
  <c r="Q46" i="1"/>
  <c r="J46" i="1" s="1"/>
  <c r="Q47" i="1"/>
  <c r="J47" i="1" s="1"/>
  <c r="Q48" i="1"/>
  <c r="J48" i="1" s="1"/>
  <c r="Q49" i="1"/>
  <c r="J49" i="1" s="1"/>
  <c r="Q50" i="1"/>
  <c r="J50" i="1" s="1"/>
  <c r="Q51" i="1"/>
  <c r="J51" i="1" s="1"/>
  <c r="Q52" i="1"/>
  <c r="J52" i="1" s="1"/>
  <c r="Q53" i="1"/>
  <c r="J53" i="1" s="1"/>
  <c r="Q54" i="1"/>
  <c r="J54" i="1" s="1"/>
  <c r="Q100" i="1" l="1"/>
  <c r="D28" i="9" s="1"/>
  <c r="J8" i="1"/>
  <c r="D15" i="9" s="1"/>
  <c r="J7" i="1"/>
  <c r="J100" i="1" s="1"/>
  <c r="D11" i="9" l="1"/>
  <c r="D12" i="9"/>
  <c r="E16" i="32"/>
  <c r="G16" i="32" s="1"/>
  <c r="E16" i="62"/>
  <c r="G16" i="62" s="1"/>
  <c r="D9" i="9"/>
  <c r="E9" i="62" s="1"/>
  <c r="D14" i="9"/>
  <c r="E15" i="62" s="1"/>
  <c r="D10" i="9"/>
  <c r="D29" i="9"/>
  <c r="D13" i="9"/>
  <c r="E14" i="62" s="1"/>
  <c r="E9" i="32" l="1"/>
  <c r="G9" i="32" s="1"/>
  <c r="F16" i="62"/>
  <c r="F16" i="32"/>
  <c r="E14" i="32"/>
  <c r="D7" i="9"/>
  <c r="D8" i="9"/>
  <c r="E15" i="32"/>
  <c r="G15" i="32" s="1"/>
  <c r="F15" i="32" s="1"/>
  <c r="G15" i="62"/>
  <c r="F15" i="62" s="1"/>
  <c r="D30" i="9"/>
  <c r="D31" i="9" s="1"/>
  <c r="D32" i="9" s="1"/>
  <c r="D33" i="9" s="1"/>
  <c r="D34" i="9" s="1"/>
  <c r="D35" i="9" s="1"/>
  <c r="G8" i="59"/>
  <c r="E8" i="59"/>
  <c r="G8" i="32" l="1"/>
  <c r="G8" i="62"/>
  <c r="G7" i="32"/>
  <c r="E7" i="62"/>
  <c r="G7" i="62" s="1"/>
  <c r="D36" i="9"/>
  <c r="G14" i="32"/>
  <c r="F14" i="32" s="1"/>
  <c r="M23" i="38" l="1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E25" i="40" s="1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22" i="40" l="1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E15" i="40" s="1"/>
  <c r="F15" i="60" s="1"/>
  <c r="M20" i="38"/>
  <c r="M21" i="38"/>
  <c r="M22" i="38"/>
  <c r="N19" i="38" l="1"/>
  <c r="F8" i="62"/>
  <c r="N22" i="38"/>
  <c r="N20" i="38"/>
  <c r="N21" i="38"/>
  <c r="M15" i="38" l="1"/>
  <c r="M16" i="38"/>
  <c r="M17" i="38"/>
  <c r="M18" i="38"/>
  <c r="G11" i="62" l="1"/>
  <c r="F11" i="62" s="1"/>
  <c r="N16" i="38"/>
  <c r="N15" i="38"/>
  <c r="N17" i="38"/>
  <c r="N18" i="38"/>
  <c r="E10" i="32"/>
  <c r="G10" i="32" s="1"/>
  <c r="M9" i="38" l="1"/>
  <c r="M10" i="38"/>
  <c r="E19" i="40" s="1"/>
  <c r="E20" i="62" s="1"/>
  <c r="G20" i="62" s="1"/>
  <c r="F20" i="62" s="1"/>
  <c r="M11" i="38"/>
  <c r="E23" i="40" s="1"/>
  <c r="E24" i="62" s="1"/>
  <c r="G24" i="62" s="1"/>
  <c r="F24" i="62" s="1"/>
  <c r="M12" i="38"/>
  <c r="M13" i="38"/>
  <c r="M14" i="38"/>
  <c r="M8" i="38"/>
  <c r="K8" i="38"/>
  <c r="G25" i="62" l="1"/>
  <c r="F25" i="62" s="1"/>
  <c r="E20" i="40"/>
  <c r="E21" i="62" s="1"/>
  <c r="E21" i="40"/>
  <c r="E18" i="40"/>
  <c r="E17" i="40"/>
  <c r="F17" i="60" s="1"/>
  <c r="E16" i="40"/>
  <c r="F16" i="60" s="1"/>
  <c r="E23" i="62"/>
  <c r="G23" i="62" s="1"/>
  <c r="F23" i="62" s="1"/>
  <c r="K121" i="38"/>
  <c r="M121" i="38"/>
  <c r="E14" i="40"/>
  <c r="F14" i="60" s="1"/>
  <c r="N9" i="38"/>
  <c r="N12" i="38"/>
  <c r="N10" i="38"/>
  <c r="N14" i="38"/>
  <c r="N13" i="38"/>
  <c r="N11" i="38"/>
  <c r="I8" i="38"/>
  <c r="E19" i="62" l="1"/>
  <c r="G19" i="62" s="1"/>
  <c r="I18" i="60"/>
  <c r="E13" i="62" s="1"/>
  <c r="G13" i="62" s="1"/>
  <c r="E22" i="62"/>
  <c r="G22" i="62" s="1"/>
  <c r="F22" i="62" s="1"/>
  <c r="I24" i="60"/>
  <c r="E12" i="62" s="1"/>
  <c r="G21" i="62"/>
  <c r="F21" i="62" s="1"/>
  <c r="G9" i="62"/>
  <c r="I121" i="38"/>
  <c r="E7" i="60"/>
  <c r="F7" i="60" s="1"/>
  <c r="E7" i="40"/>
  <c r="E11" i="60"/>
  <c r="F11" i="60" s="1"/>
  <c r="E12" i="40"/>
  <c r="E12" i="60"/>
  <c r="F12" i="60" s="1"/>
  <c r="E13" i="40"/>
  <c r="E8" i="60"/>
  <c r="E10" i="60"/>
  <c r="F10" i="60" s="1"/>
  <c r="E13" i="60"/>
  <c r="E9" i="60"/>
  <c r="F9" i="60" s="1"/>
  <c r="E8" i="40"/>
  <c r="E11" i="40"/>
  <c r="N8" i="38"/>
  <c r="N121" i="38" s="1"/>
  <c r="E9" i="40"/>
  <c r="F19" i="62" l="1"/>
  <c r="G12" i="62"/>
  <c r="F12" i="62" s="1"/>
  <c r="F13" i="60"/>
  <c r="G14" i="62"/>
  <c r="F14" i="62" s="1"/>
  <c r="F9" i="62"/>
  <c r="F13" i="62"/>
  <c r="F8" i="60"/>
  <c r="E25" i="60"/>
  <c r="F25" i="60" l="1"/>
  <c r="F7" i="62"/>
  <c r="E13" i="32"/>
  <c r="G13" i="32" s="1"/>
  <c r="G12" i="32"/>
  <c r="F37" i="62" l="1"/>
  <c r="F12" i="32"/>
  <c r="E10" i="40" l="1"/>
  <c r="E27" i="40" s="1"/>
  <c r="G11" i="32" l="1"/>
  <c r="F11" i="32" s="1"/>
  <c r="F15" i="42" l="1"/>
  <c r="E7" i="30"/>
  <c r="E8" i="30"/>
  <c r="F13" i="32" l="1"/>
  <c r="F10" i="32" l="1"/>
  <c r="F9" i="32" l="1"/>
  <c r="F8" i="32" l="1"/>
  <c r="F7" i="32"/>
  <c r="F40" i="32" l="1"/>
  <c r="E37" i="32" l="1"/>
  <c r="G37" i="32" s="1"/>
  <c r="E34" i="62"/>
  <c r="G34" i="62" s="1"/>
  <c r="D29" i="57"/>
  <c r="E38" i="32" s="1"/>
  <c r="G38" i="32" s="1"/>
  <c r="E35" i="62" l="1"/>
  <c r="D30" i="57"/>
  <c r="E39" i="32" l="1"/>
  <c r="E36" i="62"/>
  <c r="G36" i="62" s="1"/>
  <c r="G35" i="62"/>
  <c r="G39" i="32" l="1"/>
  <c r="E36" i="32"/>
  <c r="G36" i="32" s="1"/>
  <c r="G26" i="62"/>
  <c r="E30" i="32"/>
  <c r="E27" i="62"/>
  <c r="G27" i="62" s="1"/>
  <c r="D27" i="57"/>
  <c r="E33" i="62"/>
  <c r="G33" i="62" s="1"/>
  <c r="E26" i="62"/>
  <c r="D23" i="57"/>
  <c r="E31" i="32" s="1"/>
  <c r="G31" i="32" s="1"/>
  <c r="E28" i="62"/>
  <c r="G28" i="62" s="1"/>
  <c r="D22" i="57"/>
  <c r="E30" i="62" s="1"/>
  <c r="G30" i="62" s="1"/>
  <c r="D25" i="57"/>
  <c r="E31" i="62" s="1"/>
  <c r="G31" i="62" s="1"/>
  <c r="E35" i="32"/>
  <c r="G35" i="32" s="1"/>
  <c r="D24" i="57"/>
  <c r="E29" i="62" s="1"/>
  <c r="D26" i="57"/>
  <c r="E32" i="62" s="1"/>
  <c r="G32" i="62" s="1"/>
  <c r="E29" i="32"/>
  <c r="G29" i="32" s="1"/>
  <c r="G29" i="62" l="1"/>
  <c r="E37" i="62"/>
  <c r="G30" i="32"/>
  <c r="G37" i="62"/>
  <c r="D31" i="57"/>
  <c r="E32" i="32"/>
  <c r="G32" i="32" s="1"/>
  <c r="G40" i="32" s="1"/>
  <c r="E33" i="32"/>
  <c r="G33" i="32" s="1"/>
  <c r="E34" i="32"/>
  <c r="G34" i="32" s="1"/>
  <c r="E40" i="32" l="1"/>
  <c r="G28" i="57" s="1"/>
</calcChain>
</file>

<file path=xl/sharedStrings.xml><?xml version="1.0" encoding="utf-8"?>
<sst xmlns="http://schemas.openxmlformats.org/spreadsheetml/2006/main" count="4939" uniqueCount="793">
  <si>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</si>
  <si>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</si>
  <si>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</si>
  <si>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</si>
  <si>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</si>
  <si>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</si>
  <si>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</si>
  <si>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</si>
  <si>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</si>
  <si>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</si>
  <si>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</si>
  <si>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</si>
  <si>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</si>
  <si>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</si>
  <si>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</si>
  <si>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</si>
  <si>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</si>
  <si>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</si>
  <si>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</si>
  <si>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</si>
  <si>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</si>
  <si>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</si>
  <si>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</si>
  <si>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</si>
  <si>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</si>
  <si>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</si>
  <si>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</si>
  <si>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</si>
  <si>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</si>
  <si>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</si>
  <si>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</si>
  <si>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</si>
  <si>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</si>
  <si>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</si>
  <si>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</si>
  <si>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</si>
  <si>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</si>
  <si>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</si>
  <si>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</si>
  <si>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</si>
  <si>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</si>
  <si>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</si>
  <si>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</si>
  <si>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</si>
  <si>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</si>
  <si>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</si>
  <si>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</si>
  <si>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</si>
  <si>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</si>
  <si>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</si>
  <si>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</si>
  <si>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</si>
  <si>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</si>
  <si>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</si>
  <si>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</si>
  <si>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</si>
  <si>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</si>
  <si>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</si>
  <si>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</si>
  <si>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</si>
  <si>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</si>
  <si>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</si>
  <si>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</si>
  <si>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</si>
  <si>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</si>
  <si>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</si>
  <si>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</si>
  <si>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</si>
  <si>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</si>
  <si>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</si>
  <si>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</si>
  <si>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</si>
  <si>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</si>
  <si>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</si>
  <si>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</si>
  <si>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</si>
  <si>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</si>
  <si>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</si>
  <si>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</si>
  <si>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</si>
  <si>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</si>
  <si>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</si>
  <si>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</si>
  <si>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</si>
  <si>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</si>
  <si>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</si>
  <si>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</si>
  <si>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</si>
  <si>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</si>
  <si>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</si>
  <si>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</si>
  <si>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</si>
  <si>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</si>
  <si>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</si>
  <si>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</si>
  <si>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</si>
  <si>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</si>
  <si>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</si>
  <si>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</si>
  <si>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</si>
  <si>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</si>
  <si>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</si>
  <si>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</si>
  <si>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</si>
  <si>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</si>
  <si>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</si>
  <si>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</si>
  <si>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</si>
  <si>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</si>
  <si>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</si>
  <si>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</si>
  <si>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>Ths.Bs.CKII.Nguyễn Lê Hoan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</si>
  <si>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</si>
  <si>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</si>
  <si>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</si>
  <si>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</si>
  <si>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</si>
  <si>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</si>
  <si>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</si>
  <si>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</si>
  <si>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</si>
  <si>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</si>
  <si>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Ngô Thị Thủy</t>
  </si>
  <si>
    <t>Cần Thơ, ngày 15 tháng 1 năm 2024</t>
  </si>
  <si>
    <t xml:space="preserve"> Điều dưỡng (Niệu) </t>
  </si>
  <si>
    <t>Cần Thơ, ngày 22 tháng 02 năm 2024</t>
  </si>
  <si>
    <t>BS.GIÀU</t>
  </si>
  <si>
    <t>DANH SÁCH LÃNH TIỀN GIƯỜNG VƯỢT ĐỊNH MỨC THÁNG 03/2024</t>
  </si>
  <si>
    <t>104000362303</t>
  </si>
  <si>
    <t>Cần Thơ, ngày 13 tháng 09 năm 2024</t>
  </si>
  <si>
    <t>Cần Thơ, ngày 18 tháng 12 năm 2024</t>
  </si>
  <si>
    <t>Phan Văn Tuấn</t>
  </si>
  <si>
    <t>Nguyễn Hữu Đạt</t>
  </si>
  <si>
    <t>Nguyễn Giang Tử</t>
  </si>
  <si>
    <t>105872433048</t>
  </si>
  <si>
    <t>Võ Dương Thành Thái</t>
  </si>
  <si>
    <t>Lê Đình Tùng</t>
  </si>
  <si>
    <t>Văn Minh Khén</t>
  </si>
  <si>
    <t>Phạm Tấn Hưởng</t>
  </si>
  <si>
    <t>Nguyễn Đông Khang</t>
  </si>
  <si>
    <t>Nguyễn Đình Luật</t>
  </si>
  <si>
    <t>Chọn bác sĩ phẫu thuật theo yêu cầu</t>
  </si>
  <si>
    <t>TÊN CLS</t>
  </si>
  <si>
    <t>TTDB</t>
  </si>
  <si>
    <t>DT1</t>
  </si>
  <si>
    <t>PT thay khớp háng bán phần</t>
  </si>
  <si>
    <t>TT1</t>
  </si>
  <si>
    <t>KHX trên màn hình tăng sáng</t>
  </si>
  <si>
    <t>DTDB</t>
  </si>
  <si>
    <t>PTNS tái tạo dây chằng</t>
  </si>
  <si>
    <t>TRIỀU</t>
  </si>
  <si>
    <t>NGUYỆN</t>
  </si>
  <si>
    <t>V.TÂN</t>
  </si>
  <si>
    <t>ĐIỀN</t>
  </si>
  <si>
    <t>TOẢN</t>
  </si>
  <si>
    <t>GIÀU</t>
  </si>
  <si>
    <t>TẤN</t>
  </si>
  <si>
    <t>TUẤN</t>
  </si>
  <si>
    <t>KHÉN</t>
  </si>
  <si>
    <t>TÙNG</t>
  </si>
  <si>
    <t>THÁI</t>
  </si>
  <si>
    <t>LUẬT</t>
  </si>
  <si>
    <t>TT2</t>
  </si>
  <si>
    <t>DT2</t>
  </si>
  <si>
    <t>Lấy dụng cụ KHX</t>
  </si>
  <si>
    <t>PT KHX trên màn hình tăng sáng</t>
  </si>
  <si>
    <t>TP</t>
  </si>
  <si>
    <t>43 Tuổi</t>
  </si>
  <si>
    <t>30 Tuổi</t>
  </si>
  <si>
    <t>105003414654</t>
  </si>
  <si>
    <t>PT thay toàn bộ khớp háng</t>
  </si>
  <si>
    <t>Thay khớp háng bán phần</t>
  </si>
  <si>
    <t>Thay toàn bộ khớp háng</t>
  </si>
  <si>
    <t>ĐẠT</t>
  </si>
  <si>
    <t>PT cắt cụt chi</t>
  </si>
  <si>
    <t>Nắn, bó bột gãy một xương cẳng tay  [bột liền]</t>
  </si>
  <si>
    <t>42 Tuổi</t>
  </si>
  <si>
    <t>Truyền tĩnh mạch</t>
  </si>
  <si>
    <t>25 Tuổi</t>
  </si>
  <si>
    <t>23 Tuổi</t>
  </si>
  <si>
    <t>Thay băng, cắt chỉ vết mổ [chiều dài  ≤ 15cm]</t>
  </si>
  <si>
    <t>49 Tuổi</t>
  </si>
  <si>
    <t>Cắt chỉ sau phẫu thuật</t>
  </si>
  <si>
    <t>72 Tuổi</t>
  </si>
  <si>
    <t>Thay băng vết mổ [chiều dài từ trên 30 cm đến 50 cm]</t>
  </si>
  <si>
    <t>75 Tuổi</t>
  </si>
  <si>
    <t>Nắn, bó bột gãy 1/3 dưới hai xương cẳng tay  [bột liền]</t>
  </si>
  <si>
    <t>73 Tuổi</t>
  </si>
  <si>
    <t>61 Tuổi</t>
  </si>
  <si>
    <t>Thay băng, cắt chỉ vết mổ</t>
  </si>
  <si>
    <t>22 Tuổi</t>
  </si>
  <si>
    <t>38 Tuổi</t>
  </si>
  <si>
    <t>32 Tuổi</t>
  </si>
  <si>
    <t>80 Tuổi</t>
  </si>
  <si>
    <t>37 Tuổi</t>
  </si>
  <si>
    <t>56 Tuổi</t>
  </si>
  <si>
    <t>19 Tuổi</t>
  </si>
  <si>
    <t>67 Tuổi</t>
  </si>
  <si>
    <t>58 Tuổi</t>
  </si>
  <si>
    <t>60 Tuổi</t>
  </si>
  <si>
    <t>64 Tuổi</t>
  </si>
  <si>
    <t>65 Tuổi</t>
  </si>
  <si>
    <t>57 Tuổi</t>
  </si>
  <si>
    <t>76 Tuổi</t>
  </si>
  <si>
    <t>53 Tuổi</t>
  </si>
  <si>
    <t>62 Tuổi</t>
  </si>
  <si>
    <t>20 Tuổi</t>
  </si>
  <si>
    <t>50 Tuổi</t>
  </si>
  <si>
    <t>71 Tuổi</t>
  </si>
  <si>
    <t>47 Tuổi</t>
  </si>
  <si>
    <t>39 Tuổi</t>
  </si>
  <si>
    <t>59 Tuổi</t>
  </si>
  <si>
    <t>63 Tuổi</t>
  </si>
  <si>
    <t>Truyền hóa chất tĩnh mạch [nội trú]</t>
  </si>
  <si>
    <t>24 Tuổi</t>
  </si>
  <si>
    <t>77 Tuổi</t>
  </si>
  <si>
    <t>35 Tuổi</t>
  </si>
  <si>
    <t>88 Tuổi</t>
  </si>
  <si>
    <t>21 Tuổi</t>
  </si>
  <si>
    <t>55 Tuổi</t>
  </si>
  <si>
    <t>THÁI VĂN SẺN</t>
  </si>
  <si>
    <t>Thông bàng quang</t>
  </si>
  <si>
    <t>69 Tuổi</t>
  </si>
  <si>
    <t>82 Tuổi</t>
  </si>
  <si>
    <t>46 Tuổi</t>
  </si>
  <si>
    <t xml:space="preserve"> Nẹp bột các loại, không nắn (loại 1) </t>
  </si>
  <si>
    <t>Nắn, bó bột gãy xương bàn, ngón tay [bột liền]</t>
  </si>
  <si>
    <t>70 Tuổi</t>
  </si>
  <si>
    <t>41 Tuổi</t>
  </si>
  <si>
    <t>45 Tuổi</t>
  </si>
  <si>
    <t>36 Tuổi</t>
  </si>
  <si>
    <t>44 Tuổi</t>
  </si>
  <si>
    <t>54 Tuổi</t>
  </si>
  <si>
    <t>74 Tuổi</t>
  </si>
  <si>
    <t>17 Tuổi</t>
  </si>
  <si>
    <t>51 Tuổi</t>
  </si>
  <si>
    <t>83 Tuổi</t>
  </si>
  <si>
    <t>26 Tuổi</t>
  </si>
  <si>
    <t>78 Tuổi</t>
  </si>
  <si>
    <t>33 Tuổi</t>
  </si>
  <si>
    <t>18 Tuổi</t>
  </si>
  <si>
    <t>UNG SĨ HỒNG VÂN</t>
  </si>
  <si>
    <t>Nắn, bó bột trật khớp khuỷu [bột liền]</t>
  </si>
  <si>
    <t>Xét nghiệm đường máu mao mạch tại giường (một lần)</t>
  </si>
  <si>
    <t xml:space="preserve"> Phẫu thuật điều trị ngón tay cò súng (1 ngón) </t>
  </si>
  <si>
    <t>Phẫu thuật điều trị hội chứng ống cổ tay</t>
  </si>
  <si>
    <t xml:space="preserve"> Phẫu thuật cắt bỏ u phần mềm &lt;5cm </t>
  </si>
  <si>
    <t>68 Tuổi</t>
  </si>
  <si>
    <t xml:space="preserve"> Chích rạch nhọt, Apxe nhỏ dẫn lưu </t>
  </si>
  <si>
    <t>Hút dịch khớp gối</t>
  </si>
  <si>
    <t>Hút ổ viêm/áp xe phần mềm</t>
  </si>
  <si>
    <t xml:space="preserve"> Tiêm gân lồi cầu cánh tay trong/ngoài </t>
  </si>
  <si>
    <t xml:space="preserve"> Tiêm gân Dequervein </t>
  </si>
  <si>
    <t>Tiêm khớp gối</t>
  </si>
  <si>
    <t>Tiêm gân gấp ngón tay</t>
  </si>
  <si>
    <t>48 Tuổi</t>
  </si>
  <si>
    <t xml:space="preserve"> Mắt cá 1-2 thương tổn </t>
  </si>
  <si>
    <t>Khâu vết thương phần mềm dài dưới 10 cm [tổn thương nông]</t>
  </si>
  <si>
    <t>Tiêm gân trên gai (dưới gai, gân bao xoay khớp vai)</t>
  </si>
  <si>
    <t xml:space="preserve"> Cắt móng quặm 1 ngón </t>
  </si>
  <si>
    <t>40 Tuổi</t>
  </si>
  <si>
    <t xml:space="preserve"> Tiêm gân duỗi ngón tay </t>
  </si>
  <si>
    <t>ThS. Bs. Nguyễn Chí Nguyện</t>
  </si>
  <si>
    <t>103876067585</t>
  </si>
  <si>
    <t>Nguyễn Lê Duy Anh</t>
  </si>
  <si>
    <t>Lê Kim Hoàn</t>
  </si>
  <si>
    <t>Ths.Bs.Nguyễn Chí Nguyện</t>
  </si>
  <si>
    <t>104882438347</t>
  </si>
  <si>
    <t>100883540104</t>
  </si>
  <si>
    <t>Cắt lọc hoại tử ổ loét vết thương mạn tính</t>
  </si>
  <si>
    <t>ThS.Bs.Nguyễn Chí Nguyện</t>
  </si>
  <si>
    <t>Cố định cột sống</t>
  </si>
  <si>
    <t>PT thay khớp háng toàn phần</t>
  </si>
  <si>
    <t>Khâu phục hồi tổn thương gân duỗi</t>
  </si>
  <si>
    <t>18/3/2025</t>
  </si>
  <si>
    <t>22/3/2025</t>
  </si>
  <si>
    <t>25/3/2025</t>
  </si>
  <si>
    <t>26/3/2025</t>
  </si>
  <si>
    <t>27/3/2025</t>
  </si>
  <si>
    <t>28/3/2025</t>
  </si>
  <si>
    <t>T.HƯỞNG</t>
  </si>
  <si>
    <t>Đ.KHANG</t>
  </si>
  <si>
    <t>V.HƯỞNG</t>
  </si>
  <si>
    <t>Trịnh Văn Phú</t>
  </si>
  <si>
    <t>Cắt lọc hoại tử ổ loét mạn tính</t>
  </si>
  <si>
    <t>PT viêm xương</t>
  </si>
  <si>
    <t>Tô Văn Giỏi</t>
  </si>
  <si>
    <t>Ngô Công Văn</t>
  </si>
  <si>
    <t>Huỳnh Thị Nhung</t>
  </si>
  <si>
    <t>PT vết thương phần mềm phức tạp</t>
  </si>
  <si>
    <t>NGHĨA</t>
  </si>
  <si>
    <t>N.KHANG</t>
  </si>
  <si>
    <t>NHỊ</t>
  </si>
  <si>
    <t>Cắt u lành phần mềm đường kính dưới 10 cm</t>
  </si>
  <si>
    <t>31/03/2025</t>
  </si>
  <si>
    <t>ĐỖ THỊ NGỌC HUỆ</t>
  </si>
  <si>
    <t>LÊ THỊ BIỆP</t>
  </si>
  <si>
    <t>HUỲNH THỊ NHUNG</t>
  </si>
  <si>
    <t>NGUYỄN THỊ ÚT</t>
  </si>
  <si>
    <t>Tiêm khớp bàn ngón tay</t>
  </si>
  <si>
    <t xml:space="preserve"> Bột cẳng bàn chân không kéo nắn </t>
  </si>
  <si>
    <t xml:space="preserve"> Cắt chỉ kim loại </t>
  </si>
  <si>
    <t>BÙI THỊ MỸ KIM</t>
  </si>
  <si>
    <t>84 Tuổi</t>
  </si>
  <si>
    <t xml:space="preserve"> Nẹp bột các loại, không nắn (loại 2) </t>
  </si>
  <si>
    <t>NGUYỄN THỊ PHƯƠNG</t>
  </si>
  <si>
    <t>28 Tuổi</t>
  </si>
  <si>
    <t>PHẠM THỊ KIM VỐN</t>
  </si>
  <si>
    <t>Đặt sonde bàng quang</t>
  </si>
  <si>
    <t>TRẦN THỊ QUẾ LINH</t>
  </si>
  <si>
    <t>HUỲNH THỊ HỒNG VÂN</t>
  </si>
  <si>
    <t>NGUYỄN HUỲNH ĐỨC</t>
  </si>
  <si>
    <t>NGUYỄN THỊ TUYẾT</t>
  </si>
  <si>
    <t>MAI CẨM TUYỀN</t>
  </si>
  <si>
    <t>NGUYỄN HOÀNG NAM</t>
  </si>
  <si>
    <t>Nắn, bó bột gãy xương gót</t>
  </si>
  <si>
    <t>CAO THANH BĂNG</t>
  </si>
  <si>
    <t>NGUYỄN VĂN KỸ</t>
  </si>
  <si>
    <t>Nắn, bó bột trật khớp vai [bột liền]</t>
  </si>
  <si>
    <t>Thay băng điều trị vết thương mạn tính</t>
  </si>
  <si>
    <t>LÊ THỊ THO</t>
  </si>
  <si>
    <t>NGUYỄN THỊ KIM NGỌC</t>
  </si>
  <si>
    <t>TRỊNH VĂN PHÚ</t>
  </si>
  <si>
    <t>NGÔ CÔNG VĂN</t>
  </si>
  <si>
    <t>HUỲNH THỊ HUỐT</t>
  </si>
  <si>
    <t>PHẠM THỊ LẦU</t>
  </si>
  <si>
    <t>LÊ THỊ MƯỜI</t>
  </si>
  <si>
    <t>LÊ VĂN TRUYỆN</t>
  </si>
  <si>
    <t>NGUYỄN QUỐC CƯỜNG</t>
  </si>
  <si>
    <t>BÙI VĂN TỒN</t>
  </si>
  <si>
    <t>CAO ANH DŨNG</t>
  </si>
  <si>
    <t>HUỲNH THỊ BẠCH CÚC</t>
  </si>
  <si>
    <t>LƯU NGUYỆT LUỐI</t>
  </si>
  <si>
    <t>DANH VĂN HIỆP</t>
  </si>
  <si>
    <t>NGUYỄN THỊ CẨM TÍM</t>
  </si>
  <si>
    <t>TÔ VĂN GIỎI</t>
  </si>
  <si>
    <t>86 Tuổi</t>
  </si>
  <si>
    <t>NGUYỄN VĂN HÀ</t>
  </si>
  <si>
    <t>TRẦN VĂN TÚY</t>
  </si>
  <si>
    <t>NGUYỄN THỊ BỢ</t>
  </si>
  <si>
    <t>HUỲNH THỊ BÍCH LIÊN</t>
  </si>
  <si>
    <t>TRƯƠNG THỊ XINH</t>
  </si>
  <si>
    <t>TRẦN THỊ VÂN</t>
  </si>
  <si>
    <t>PHẠM THỊ ÚT TƯƠI</t>
  </si>
  <si>
    <t>NGUYỄN CHÍ THIỆN</t>
  </si>
  <si>
    <t>NGUYỄN CHÍ CÔNG</t>
  </si>
  <si>
    <t>TRƯƠNG THỊ HƯƠNG</t>
  </si>
  <si>
    <t>ĐẶNG THỊ MÙI</t>
  </si>
  <si>
    <t xml:space="preserve"> Tháo bột (nhỏ) </t>
  </si>
  <si>
    <t xml:space="preserve"> Tháo bột (trung bình) </t>
  </si>
  <si>
    <t>29 Tuổi</t>
  </si>
  <si>
    <t>27 Tuổi</t>
  </si>
  <si>
    <t>Cần Thơ, ngày 25 tháng 04 năm 2025</t>
  </si>
  <si>
    <t>DANH SÁCH LÃNH TIỀN THÙ LAO THÁNG 3/2025</t>
  </si>
  <si>
    <t>Nguyễn Trung Nhị</t>
  </si>
  <si>
    <t>Trần Trung Nghĩa</t>
  </si>
  <si>
    <t>Lê Nhỉ Khang</t>
  </si>
  <si>
    <t>Phạm Văn Hưởng</t>
  </si>
  <si>
    <t>Cần Thơ, ngày 25 tháng 4 năm 2025</t>
  </si>
  <si>
    <t>Vũ Văn Kim Long</t>
  </si>
  <si>
    <t>(THÁNG 4/2025)</t>
  </si>
  <si>
    <t>Nguyễn Văn Hoàng</t>
  </si>
  <si>
    <t>Nguyễn Trí Nghiệp</t>
  </si>
  <si>
    <t>KHX màn hình tăng sáng</t>
  </si>
  <si>
    <t>Dương Văn Hiệp</t>
  </si>
  <si>
    <t>Thay khớp háng toàn phần</t>
  </si>
  <si>
    <t>Nguyễn Văn Hai</t>
  </si>
  <si>
    <t>PTNS cắt hoạt mạc viêm khớp gối</t>
  </si>
  <si>
    <t>Lê Ngọc Trúc</t>
  </si>
  <si>
    <t>30/3/2025</t>
  </si>
  <si>
    <t>Ngô Chí Tân</t>
  </si>
  <si>
    <t>Nguyễn Vũ Ca</t>
  </si>
  <si>
    <t>Võ Hoàng Quân</t>
  </si>
  <si>
    <t>Nguyễn Văn Minh</t>
  </si>
  <si>
    <t>01/4/2025</t>
  </si>
  <si>
    <t>Hồ Minh Tuấn</t>
  </si>
  <si>
    <t>Nguyễn Thanh Quang</t>
  </si>
  <si>
    <t>02/4/2025</t>
  </si>
  <si>
    <t>Nguyễn Thị Thia</t>
  </si>
  <si>
    <t>Thị Đẹp</t>
  </si>
  <si>
    <t>03/4/2025</t>
  </si>
  <si>
    <t>Nguyễn Hữu Thanh Phong</t>
  </si>
  <si>
    <t>04/4/2025</t>
  </si>
  <si>
    <t>Phan Văn Nghĩa</t>
  </si>
  <si>
    <t>PT bệnh lý nhiễm trùng bàn tay</t>
  </si>
  <si>
    <t>05/04/2025</t>
  </si>
  <si>
    <t>Nguyễn Thị Mỹ</t>
  </si>
  <si>
    <t>07/4/2025</t>
  </si>
  <si>
    <t>Trương Bích Ngọc</t>
  </si>
  <si>
    <t>Cắt u lành phần mềm &gt; 10cm</t>
  </si>
  <si>
    <t>08/04/2025</t>
  </si>
  <si>
    <t>Nguyễn Thị Bé Thủy</t>
  </si>
  <si>
    <t>Mở cung sau cột sống ngực</t>
  </si>
  <si>
    <t>Trần Văn Thu</t>
  </si>
  <si>
    <t>Võ Thị Thúy Kiều</t>
  </si>
  <si>
    <t xml:space="preserve">KHX trên màn hình tăng sáng </t>
  </si>
  <si>
    <t>09/04/2025</t>
  </si>
  <si>
    <t>Trần Thị Hiến</t>
  </si>
  <si>
    <t>Thay toàn bộ khớp gối</t>
  </si>
  <si>
    <t>Nguyễn Hoàng Ly</t>
  </si>
  <si>
    <t>PT giải ép thần kinh</t>
  </si>
  <si>
    <t>Nguyễn Văn Luôn</t>
  </si>
  <si>
    <t>PT lấy nhân đệm CSTL qua da</t>
  </si>
  <si>
    <t>Nguyễn Hoàng Lễ</t>
  </si>
  <si>
    <t>Nguyễn Văn Thọ</t>
  </si>
  <si>
    <t>KHX trên màn hình tăng sáng  (80%)</t>
  </si>
  <si>
    <t>Nguyễn Hà My</t>
  </si>
  <si>
    <t>10/04/2025</t>
  </si>
  <si>
    <t>Nguyễn Thị Út Mót</t>
  </si>
  <si>
    <t>PT vá da diện tích &gt; 10cm2</t>
  </si>
  <si>
    <t>Lê Hồng Khánh</t>
  </si>
  <si>
    <t>12/4/2025</t>
  </si>
  <si>
    <t>Võ Thị Niết</t>
  </si>
  <si>
    <t>Trần Minh Đức</t>
  </si>
  <si>
    <t>Nguyễn Thị Danh</t>
  </si>
  <si>
    <t>PTNS khâu chóp xoay</t>
  </si>
  <si>
    <t>Nguyễn Thị Diễm</t>
  </si>
  <si>
    <t>13/4/2025</t>
  </si>
  <si>
    <t>Lê Phú Lợi</t>
  </si>
  <si>
    <t>14/4/2025</t>
  </si>
  <si>
    <t>Phạm Thị Phỉ</t>
  </si>
  <si>
    <t>Huỳnh Văn Cường</t>
  </si>
  <si>
    <t>Trần Nguyễn Bảo Trân</t>
  </si>
  <si>
    <t>15/4/2025</t>
  </si>
  <si>
    <t>Lê Phước Đời</t>
  </si>
  <si>
    <t>Thay toàn bộ khớp háng (50%)</t>
  </si>
  <si>
    <t>Bùi Vĩnh Thái</t>
  </si>
  <si>
    <t>Hà Văn Bin</t>
  </si>
  <si>
    <t>16/4/2025</t>
  </si>
  <si>
    <t>NGUYỄN MINH HIỀN</t>
  </si>
  <si>
    <t>18/04/2025</t>
  </si>
  <si>
    <t>Dương Trung Tuấn</t>
  </si>
  <si>
    <t>PT vết thương phần mềm tổn thương thần kinh trụ, thần kinh quay</t>
  </si>
  <si>
    <t>19/04/2025</t>
  </si>
  <si>
    <t>Nguyễn Hoàng Mau</t>
  </si>
  <si>
    <t>20/04/2025</t>
  </si>
  <si>
    <t>Nguyễn Thành Sơn</t>
  </si>
  <si>
    <t>22/4/2025</t>
  </si>
  <si>
    <t>Nguyễn Thị Lang</t>
  </si>
  <si>
    <t>Trần Thị Mai</t>
  </si>
  <si>
    <t>Tiêu Xái Hía</t>
  </si>
  <si>
    <t xml:space="preserve">PT tổn thương gân Achille </t>
  </si>
  <si>
    <t>Danh Thị Thủy</t>
  </si>
  <si>
    <t>23/4/2025</t>
  </si>
  <si>
    <t>NGUYỄN PHƯỚC VỊ</t>
  </si>
  <si>
    <t>Đỗ Trung Hiền</t>
  </si>
  <si>
    <t>PTNS sụn chêm</t>
  </si>
  <si>
    <t>Nguyễn Thị Đậm</t>
  </si>
  <si>
    <t>Thay khớp gối toàn phần</t>
  </si>
  <si>
    <t>24/4/2025</t>
  </si>
  <si>
    <t>Trần Kim Quỳnh</t>
  </si>
  <si>
    <t>25/4/2025</t>
  </si>
  <si>
    <t>Hà Nhựt Khương</t>
  </si>
  <si>
    <t>PT khâu tổn thương thần kinh</t>
  </si>
  <si>
    <t>26/4/2025</t>
  </si>
  <si>
    <t>Ngô Bình An</t>
  </si>
  <si>
    <t>NS tái tạo dây chằng</t>
  </si>
  <si>
    <t>Võ Bảo Vinh</t>
  </si>
  <si>
    <t>PTNS cắt sụn chêm</t>
  </si>
  <si>
    <t>Võ Hoàng Anh</t>
  </si>
  <si>
    <t>Trương Quốc Sách</t>
  </si>
  <si>
    <t>Nguyễn Văn Beo</t>
  </si>
  <si>
    <t>Dương Hoàng Thiện</t>
  </si>
  <si>
    <t>LÊ TẤN KHANH</t>
  </si>
  <si>
    <t>Ghép da</t>
  </si>
  <si>
    <t>Nguyễn Hữu Thọ</t>
  </si>
  <si>
    <t>Lấy DC KHX</t>
  </si>
  <si>
    <t>Trần Thị Mỹ Hạnh</t>
  </si>
  <si>
    <t>Trần Thị Hồng Gấm</t>
  </si>
  <si>
    <t>Lê Thị Phước</t>
  </si>
  <si>
    <t>Nguyễn Văn Tùng</t>
  </si>
  <si>
    <t>Lê Hữu Trí</t>
  </si>
  <si>
    <t>Rút nẹp, dụng cụ KHX</t>
  </si>
  <si>
    <t>Lý Minh Quyền</t>
  </si>
  <si>
    <t>Hồ Hoàng Anh</t>
  </si>
  <si>
    <t>Đặng Thị Mùi</t>
  </si>
  <si>
    <t>Làm mõm cụt</t>
  </si>
  <si>
    <t>11/4/2025</t>
  </si>
  <si>
    <t>Nguyễn Thị Tím</t>
  </si>
  <si>
    <t>Hồng Phước Khánh</t>
  </si>
  <si>
    <t>PT cắt u máu nhỏ</t>
  </si>
  <si>
    <t>Cắt lọc, cầm máu</t>
  </si>
  <si>
    <t>Dương Phúc Ngọ</t>
  </si>
  <si>
    <t>Ghép da &lt; 50%</t>
  </si>
  <si>
    <t>Phạm Thành Tài</t>
  </si>
  <si>
    <t>Nguyễn Văn Cường</t>
  </si>
  <si>
    <t>Lê Thị Kiều Thu</t>
  </si>
  <si>
    <t>Nguyễn Thị Nàng</t>
  </si>
  <si>
    <t>HUỲNH HỬU KỲ</t>
  </si>
  <si>
    <t xml:space="preserve">Cắt ngón </t>
  </si>
  <si>
    <t>Bùi Văn Ca</t>
  </si>
  <si>
    <t>PT cắt lọc ổ loét mạn tính</t>
  </si>
  <si>
    <t>Trần Minh Tùng</t>
  </si>
  <si>
    <t>21/4/2025</t>
  </si>
  <si>
    <t>Lưu Văn Cường</t>
  </si>
  <si>
    <t>Nguyễn Thị Xê</t>
  </si>
  <si>
    <t>PT rút nẹp KHX</t>
  </si>
  <si>
    <t>Trần Thanh Tâm</t>
  </si>
  <si>
    <t>Cắt u lành phần mềm &lt; 10cm</t>
  </si>
  <si>
    <t>PT cắt đáy ổ loét mạn tính</t>
  </si>
  <si>
    <t>Nguyễn Hồng Mai</t>
  </si>
  <si>
    <t xml:space="preserve">Rút đinh </t>
  </si>
  <si>
    <t>Trương Thị Thố</t>
  </si>
  <si>
    <t>Lê Sỹ Lương</t>
  </si>
  <si>
    <t>Nguyễn Thị Thưa</t>
  </si>
  <si>
    <t>Danh Hữu Đạt</t>
  </si>
  <si>
    <t>Trần Văn Lộc</t>
  </si>
  <si>
    <t>Nguyễn Thị Phướng</t>
  </si>
  <si>
    <t>28/04/2025</t>
  </si>
  <si>
    <t>Trần Thị Hồng</t>
  </si>
  <si>
    <t xml:space="preserve">Cắt nang bao hoạt dịch </t>
  </si>
  <si>
    <t>TT3</t>
  </si>
  <si>
    <t>29/04/2025</t>
  </si>
  <si>
    <t>Nguyễn Thị Thắm</t>
  </si>
  <si>
    <t>Cắt u lành &lt;10cm</t>
  </si>
  <si>
    <t>Huỳnh Hữu Trọng</t>
  </si>
  <si>
    <t>KHX bánh chè (50%)</t>
  </si>
  <si>
    <t>Nguyễn Trọng Nghĩa</t>
  </si>
  <si>
    <t>Huỳnh Kim Hường</t>
  </si>
  <si>
    <t>TRẦN THỊ HỒNG THẮM</t>
  </si>
  <si>
    <t>PT KHX gãy mỏm khuỷu</t>
  </si>
  <si>
    <t>Trần Thị Thu Huê</t>
  </si>
  <si>
    <t>Thái Cẩm Nhung</t>
  </si>
  <si>
    <t>Lấy máu tụ gối</t>
  </si>
  <si>
    <t>Lý Văn Bas</t>
  </si>
  <si>
    <t>PT KHX gãy trật đốt bàn ngón chân</t>
  </si>
  <si>
    <t>Trần Văn Đạt</t>
  </si>
  <si>
    <t>PT cố định cột sống</t>
  </si>
  <si>
    <t>Nguyễn Minh Hoàng</t>
  </si>
  <si>
    <t>Mai Chí Linh</t>
  </si>
  <si>
    <t>Khâu vết thương phần mềm &gt;5cm</t>
  </si>
  <si>
    <t>Trương Thị Kim Thảo</t>
  </si>
  <si>
    <t>27/4/2025</t>
  </si>
  <si>
    <t>Huỳnh Linh Phi</t>
  </si>
  <si>
    <t>PT vết thương bàn tay</t>
  </si>
  <si>
    <t>15/04/2025</t>
  </si>
  <si>
    <t>NGUYỄN HỮU TRÍ</t>
  </si>
  <si>
    <t>LÊ THỊ THU THỦY</t>
  </si>
  <si>
    <t>66 Tuổi</t>
  </si>
  <si>
    <t>24/04/2025</t>
  </si>
  <si>
    <t>ĐỖ KIM THUYỀN</t>
  </si>
  <si>
    <t>Tiêm gân gót</t>
  </si>
  <si>
    <t>14/04/2025</t>
  </si>
  <si>
    <t>CAO THỊ ẤU</t>
  </si>
  <si>
    <t>25/04/2025</t>
  </si>
  <si>
    <t>TRẦN THỊ CHÚC GIANG</t>
  </si>
  <si>
    <t>Tiêm khớp vai</t>
  </si>
  <si>
    <t>NGÔ VĨNH HÒA</t>
  </si>
  <si>
    <t>TRẦN KIM LOAN</t>
  </si>
  <si>
    <t>NGUYỄN KIM THUẬN</t>
  </si>
  <si>
    <t>NGUYỄN THỊ PHƯỚNG</t>
  </si>
  <si>
    <t>21/04/2025</t>
  </si>
  <si>
    <t>VÕ QUỐC VINH</t>
  </si>
  <si>
    <t>16/04/2025</t>
  </si>
  <si>
    <t>LÂM NGỌC HẠNH</t>
  </si>
  <si>
    <t>17/04/2025</t>
  </si>
  <si>
    <t>VÕ VĂN BON</t>
  </si>
  <si>
    <t>TRẦN MỸ PHƯƠNG</t>
  </si>
  <si>
    <t>ĐỖ VĂN HIỀN</t>
  </si>
  <si>
    <t>ĐẶNG DUY TÂN</t>
  </si>
  <si>
    <t>03/04/2025</t>
  </si>
  <si>
    <t>ĐỖ THỊ DIỂM</t>
  </si>
  <si>
    <t>PHẠM THỊ NỮ</t>
  </si>
  <si>
    <t>NGUYỄN THỊ KIM TƯƠNG</t>
  </si>
  <si>
    <t>NGUYỄN THỊ KIM XUYẾN</t>
  </si>
  <si>
    <t>LƯƠNG THỊ MỸ CHI</t>
  </si>
  <si>
    <t>PHAN THỊ CẨM TÚ</t>
  </si>
  <si>
    <t>04/04/2025</t>
  </si>
  <si>
    <t>PHẠM THỊ HÒA</t>
  </si>
  <si>
    <t>TRẦN THỊ KIM CHI</t>
  </si>
  <si>
    <t>TRẦN THỊ HỒNG LẮM</t>
  </si>
  <si>
    <t>11/04/2025</t>
  </si>
  <si>
    <t>TRƯƠNG THỊ KIM DUNG</t>
  </si>
  <si>
    <t>CHU GIA BẢO</t>
  </si>
  <si>
    <t>PHAN HỒNG NGA</t>
  </si>
  <si>
    <t>HUỲNH CÔNG THOẢNG</t>
  </si>
  <si>
    <t>VĂN ĐẮC THÀNH</t>
  </si>
  <si>
    <t>26/04/2025</t>
  </si>
  <si>
    <t>NGUYỄN TIẾN ĐẠT</t>
  </si>
  <si>
    <t>TẠ NGỌC LỢI</t>
  </si>
  <si>
    <t>02/04/2025</t>
  </si>
  <si>
    <t>HUỲNH CÔNG KHANH</t>
  </si>
  <si>
    <t>01/04/2025</t>
  </si>
  <si>
    <t>LÊ THỊ THANH HUỆ</t>
  </si>
  <si>
    <t>LÊ THỊ PHƯỚC</t>
  </si>
  <si>
    <t>23/04/2025</t>
  </si>
  <si>
    <t>TRẦN THỊ CÚC</t>
  </si>
  <si>
    <t>TRẦN HỮU PHÚC</t>
  </si>
  <si>
    <t>LÊ PHƯƠNG KHÁNH LINH</t>
  </si>
  <si>
    <t>NGUYỄN THỊ THANH THÚY</t>
  </si>
  <si>
    <t>NGUYỄN HỮU VÂN HẢI</t>
  </si>
  <si>
    <t>NGUYỄN THỊ ANH THƯ</t>
  </si>
  <si>
    <t>TRẦN PHƯƠNG THÚY</t>
  </si>
  <si>
    <t>NGUYỄN THỊ KIỀU NGA</t>
  </si>
  <si>
    <t>THƯỢNG THỊ TÁM</t>
  </si>
  <si>
    <t>NGUYỄN HOÀNG THƠ</t>
  </si>
  <si>
    <t>CHÂU THỊ BÍCH TRÂM</t>
  </si>
  <si>
    <t>NGUYỄN HỮU THỜI</t>
  </si>
  <si>
    <t>NGUYỄN NGỌC HÙNG</t>
  </si>
  <si>
    <t>NGUYỄN THỊ KIM HÊN</t>
  </si>
  <si>
    <t>NGUYỄN THỊ THU YẾN</t>
  </si>
  <si>
    <t>LÂM THANH SANG</t>
  </si>
  <si>
    <t>NGUYỄN THỊ BẠCH</t>
  </si>
  <si>
    <t>ĐẶNG THỊ THU HẰNG</t>
  </si>
  <si>
    <t>NGUYỄN THỊ NGỌC LOAN</t>
  </si>
  <si>
    <t>NGUYỄN HOÀNG BẢO TRÂN</t>
  </si>
  <si>
    <t>30/04/2025</t>
  </si>
  <si>
    <t>NGUYỄN KIM NGÂN</t>
  </si>
  <si>
    <t>Nắn, cố định trật khớp háng không chỉ định phẫu thuật [bột liền]</t>
  </si>
  <si>
    <t>TRƯƠNG BÍCH NGỌC</t>
  </si>
  <si>
    <t>NGUYỄN VĂN MINH</t>
  </si>
  <si>
    <t>PHẠM THÀNH TÀI</t>
  </si>
  <si>
    <t>THỊ ĐẸP</t>
  </si>
  <si>
    <t>NGUYỄN THỊ NÀNG</t>
  </si>
  <si>
    <t>NGUYỄN THỊ MỸ</t>
  </si>
  <si>
    <t>DƯƠNG VĂN HIỆP</t>
  </si>
  <si>
    <t>ĐỖ TRUNG HIỀN</t>
  </si>
  <si>
    <t>31 Tuổi</t>
  </si>
  <si>
    <t>NGÔ BÌNH AN</t>
  </si>
  <si>
    <t>HÀ VĂN BIN</t>
  </si>
  <si>
    <t>ĐINH CÔNG THÁI</t>
  </si>
  <si>
    <t>ĐẶNG HOÀNG QUÍ</t>
  </si>
  <si>
    <t>BÙI VĨNH THÁI</t>
  </si>
  <si>
    <t>TRẦN THỊ MAI</t>
  </si>
  <si>
    <t>NGUYỄN THỊ THẮM</t>
  </si>
  <si>
    <t>HUỲNH HỮU TRỌNG</t>
  </si>
  <si>
    <t>22/04/2025</t>
  </si>
  <si>
    <t>NGÔ THỊ TUYẾT</t>
  </si>
  <si>
    <t>LÊ HỮU TRÍ</t>
  </si>
  <si>
    <t>LÊ SỸ LƯƠNG</t>
  </si>
  <si>
    <t>NGUYỄN HÀ MY</t>
  </si>
  <si>
    <t>VÕ THỊ THÚY KIỀU</t>
  </si>
  <si>
    <t>NGUYỄN THỊ XÊ</t>
  </si>
  <si>
    <t>NGUYỄN THÀNH ĐẠT</t>
  </si>
  <si>
    <t>HUỲNH KIM HƯỜNG</t>
  </si>
  <si>
    <t>DƯƠNG TRUNG TUẤN</t>
  </si>
  <si>
    <t>HỒ THỊ KIM CHI</t>
  </si>
  <si>
    <t>TRƯƠNG THỊ TUYẾT THU</t>
  </si>
  <si>
    <t>LÊ THỊ HOA</t>
  </si>
  <si>
    <t>THÁI CẨM NHUNG</t>
  </si>
  <si>
    <t>TRẦN VĂN LỘC</t>
  </si>
  <si>
    <t>TIÊU XÁI HÍA</t>
  </si>
  <si>
    <t>HỒNG PHƯỚC KHÁNH</t>
  </si>
  <si>
    <t>NGUYỄN THỊ THIA</t>
  </si>
  <si>
    <t>NGUYỄN HỒNG MAI</t>
  </si>
  <si>
    <t>NGUYỄN THANH QUANG</t>
  </si>
  <si>
    <t>NGUYỄN THỊ RỚT</t>
  </si>
  <si>
    <t>TRẦN MINH TÙNG</t>
  </si>
  <si>
    <t>DƯƠNG PHÚC NGỌ</t>
  </si>
  <si>
    <t>NGUYỄN TRỌNG NGHĨA</t>
  </si>
  <si>
    <t>LÊ NGỌC TRÚC</t>
  </si>
  <si>
    <t>NGUYỄN HỮU THỌ</t>
  </si>
  <si>
    <t>LÊ THỊ KIM TƯ</t>
  </si>
  <si>
    <t>TRƯƠNG THỊ THỐ</t>
  </si>
  <si>
    <t>HUỲNH VĂN CƯỜNG</t>
  </si>
  <si>
    <t>PHAN THỊ LÀ</t>
  </si>
  <si>
    <t>LA NGỌC KIỀU</t>
  </si>
  <si>
    <t>NGUYỄN VĂN BEO</t>
  </si>
  <si>
    <t>PHAN THỊ HÀ</t>
  </si>
  <si>
    <t>BÙI QUANG TRIỆU</t>
  </si>
  <si>
    <t>TRẦN THỊ HỒNG GẤM</t>
  </si>
  <si>
    <t>NGUYỄN TRÍ NGHIỆP</t>
  </si>
  <si>
    <t>NGUYỄN VĂN THÀNH</t>
  </si>
  <si>
    <t>PHAN THỊ PHƯƠNG TÂM</t>
  </si>
  <si>
    <t>LƯU VĂN CƯỜNG</t>
  </si>
  <si>
    <t>NGUYỄN VĂN HAI</t>
  </si>
  <si>
    <t>TRẦN KIM QUỲNH</t>
  </si>
  <si>
    <t>LÝ MINH QUYỀN</t>
  </si>
  <si>
    <t>KHÚC THỊ DẪU</t>
  </si>
  <si>
    <t>NGUYỄN THỊ DIỄM</t>
  </si>
  <si>
    <t>NGUYỄN THỊ THƯA</t>
  </si>
  <si>
    <t>NGUYỄN HOÀNG LỄ</t>
  </si>
  <si>
    <t>TRẦN VĂN HOÀNG</t>
  </si>
  <si>
    <t>NGÔ HỒNG CÚC</t>
  </si>
  <si>
    <t>NGUYỄN VĂN THỌ</t>
  </si>
  <si>
    <t>LÊ THỊ KIỀU THU</t>
  </si>
  <si>
    <t>PHẠM THỊ PHỈ</t>
  </si>
  <si>
    <t>VÕ BẢO VINH</t>
  </si>
  <si>
    <t>NGUYỄN THỊ BÔNG</t>
  </si>
  <si>
    <t>LÊ THỊ MỸ TRINH</t>
  </si>
  <si>
    <t>HỒ THỊ ÚT</t>
  </si>
  <si>
    <t>NGUYỄN MINH HOÀNG</t>
  </si>
  <si>
    <t>LÊ PHÚ LỢI</t>
  </si>
  <si>
    <t>NGUYỄN THỊ LANG</t>
  </si>
  <si>
    <t>TRẦN THỊ HIẾN</t>
  </si>
  <si>
    <t>NGUYỄN THỊ DANH</t>
  </si>
  <si>
    <t>HỒ MINH TUẤN</t>
  </si>
  <si>
    <t>NGUYỄN HỮU THANH PHONG</t>
  </si>
  <si>
    <t>TRƯƠNG THỊ KIM THẢO</t>
  </si>
  <si>
    <t>NGUYỄN VŨ CA</t>
  </si>
  <si>
    <t>TRẦN THỊ THU HUÊ</t>
  </si>
  <si>
    <t>NGUYỄN THỊ ÚT MÓT</t>
  </si>
  <si>
    <t>NGUYỄN THỊ BẢY</t>
  </si>
  <si>
    <t>TRẦN THỊ HỒNG</t>
  </si>
  <si>
    <t>TRIỆU PHÚC TRÚC LINH</t>
  </si>
  <si>
    <t>LÊ HỒNG KHÁNH</t>
  </si>
  <si>
    <t>VÕ VĂN TÁM</t>
  </si>
  <si>
    <t>95 Tuổi</t>
  </si>
  <si>
    <t>NGUYỄN THỊ KIM BA</t>
  </si>
  <si>
    <t>ĐỖ THỊ NIÊU</t>
  </si>
  <si>
    <t>TRẦN NGUYỄN BẢO TRÂN</t>
  </si>
  <si>
    <t>TRẦN VĂN LIA</t>
  </si>
  <si>
    <t>TRẦN VĂN THU</t>
  </si>
  <si>
    <t>97 Tuổi</t>
  </si>
  <si>
    <t>NGUYỄN VĂN NÊN</t>
  </si>
  <si>
    <t>DƯƠNG HOÀNG THIỆN</t>
  </si>
  <si>
    <t>NGUYỄN VĂN CƯỜNG</t>
  </si>
  <si>
    <t>TRẦN THANH TÂM</t>
  </si>
  <si>
    <t>NGUYỄN THỊ MỪNG</t>
  </si>
  <si>
    <t>LÝ VĂN BAS</t>
  </si>
  <si>
    <t>TRẦN VĂN ĐẠT</t>
  </si>
  <si>
    <t>TRẦN MINH ĐỨC</t>
  </si>
  <si>
    <t>HỒ HOÀNG ANH</t>
  </si>
  <si>
    <t>NGUYỄN THÀNH SƠN</t>
  </si>
  <si>
    <t>TRẦN THỊ CUNG</t>
  </si>
  <si>
    <t>VÕ THỊ NIẾT</t>
  </si>
  <si>
    <t>NGUYỄN HOÀNG MAU</t>
  </si>
  <si>
    <t>NGUYỄN THỊ TÍM</t>
  </si>
  <si>
    <t>VÕ HOÀNG TUẤN</t>
  </si>
  <si>
    <t>TRẦN VĂN MƯỜI</t>
  </si>
  <si>
    <t>HUỲNH LINH PHI</t>
  </si>
  <si>
    <t>LÂM HOÀNG SƠN</t>
  </si>
  <si>
    <t>NGUYỄN THỊ THƠ</t>
  </si>
  <si>
    <t>Nắn, bó bột gãy xương ngón chân [bột liền]</t>
  </si>
  <si>
    <t>NGUYỄN NGỌC BẢO ANH</t>
  </si>
  <si>
    <t>DANH HỮU ĐẠT</t>
  </si>
  <si>
    <t>NGUYỄN VĂN HOÀNG</t>
  </si>
  <si>
    <t>NGUYỄN THỊ BÉ THỦY</t>
  </si>
  <si>
    <t>VÕ QUAN SANG</t>
  </si>
  <si>
    <t>NGUYỄN TIẾN PHÁT</t>
  </si>
  <si>
    <t>12 Tuổi</t>
  </si>
  <si>
    <t>DANH THỊ THỦY</t>
  </si>
  <si>
    <t>TRƯƠNG NGỌC HÀ</t>
  </si>
  <si>
    <t>NGUYỄN THỊ HẰNG</t>
  </si>
  <si>
    <t>NGUYỄN VĂN TÙNG</t>
  </si>
  <si>
    <t>NGUYỄN HOÀNG LY</t>
  </si>
  <si>
    <t>MAI CHÍ LINH</t>
  </si>
  <si>
    <t>LÝ BẠC KEN</t>
  </si>
  <si>
    <t>TRẦN THỊ ÁNH TUYẾT</t>
  </si>
  <si>
    <t>NGUYỄN VĂN LUÔN</t>
  </si>
  <si>
    <t>NGÔ CHÍ TÂN</t>
  </si>
  <si>
    <t>VÕ HOÀNG QUÂN</t>
  </si>
  <si>
    <t>NGUYỄN VĂN SÀNG</t>
  </si>
  <si>
    <t>TRƯƠNG THỊ SEN</t>
  </si>
  <si>
    <t>LÊ PHƯỚC ĐỜI</t>
  </si>
  <si>
    <t>HÀ NHỰT KHƯƠNG</t>
  </si>
  <si>
    <t>TRƯƠNG QUỐC SÁCH</t>
  </si>
  <si>
    <t>HUỲNH KIM QUỚI</t>
  </si>
  <si>
    <t>VÕ HOÀNG ANH</t>
  </si>
  <si>
    <t>PHAN VĂN NGHĨA</t>
  </si>
  <si>
    <t>NGUYỄN THỊ ĐẬM</t>
  </si>
  <si>
    <t>ĐẶNG THỊ TÒNG</t>
  </si>
  <si>
    <t>NGUYỄN KIM TÂM</t>
  </si>
  <si>
    <t>PHAN QUỐC HUY</t>
  </si>
  <si>
    <t>TRẦN THANH PHÚC</t>
  </si>
  <si>
    <t>LÂM HOÀNG PHƯƠNG</t>
  </si>
  <si>
    <t>NGUYỄN QUỐC THỦ</t>
  </si>
  <si>
    <t>NGUYỄN THỊ THANH HƯƠNG</t>
  </si>
  <si>
    <t>TRẦN QUANG KHÁNH</t>
  </si>
  <si>
    <t>13/04/2025</t>
  </si>
  <si>
    <t>HỒ THỊ ÁI PHƯƠNG</t>
  </si>
  <si>
    <t>27/04/2025</t>
  </si>
  <si>
    <t>TRẦN THỊ NGỌC LAN</t>
  </si>
  <si>
    <t>NGUYỄN THỊ DIỄM TIÊN</t>
  </si>
  <si>
    <t>NGUYỄN VĂN TÁM</t>
  </si>
  <si>
    <t>07/04/2025</t>
  </si>
  <si>
    <t>NGUYỄN TRỌNG NHÂN</t>
  </si>
  <si>
    <t>TRẦN THỊ TUYẾT NGA</t>
  </si>
  <si>
    <t xml:space="preserve"> Nẹp bột các loại, không nắn (loại 3) </t>
  </si>
  <si>
    <t>NGUYỄN VĂN TÝ</t>
  </si>
  <si>
    <t>NGUYỄN MAI HOÀNG YẾN</t>
  </si>
  <si>
    <t>NGUYỄN THỊ NGỌC BÍCH</t>
  </si>
  <si>
    <t xml:space="preserve"> Nắn bột cẳng bàn chân trong gãy xương bàn chân, ngón chân </t>
  </si>
  <si>
    <t>12/04/2025</t>
  </si>
  <si>
    <t>NGÔ THỊ NGỌC DIỄM</t>
  </si>
  <si>
    <t>DƯƠNG MINH QUANG</t>
  </si>
  <si>
    <t>Nắn, bó bột gãy lồi cầu xương đùi  [bột liền]</t>
  </si>
  <si>
    <t>DƯƠNG THỊ THANH HƯƠNG</t>
  </si>
  <si>
    <t>Nắn, bó bột gãy 1/3 trên xương đùi  [bột liền]</t>
  </si>
  <si>
    <t>BẠCH NGỌC HÂN</t>
  </si>
  <si>
    <t>NGUYỄN THỊ HẠNH</t>
  </si>
  <si>
    <t>13 Tuổi</t>
  </si>
  <si>
    <t>HÀ VĂN NĂM</t>
  </si>
  <si>
    <t>DANH SÁCH LÃNH TIỀN PHẪU THUẬT THEO YÊU CẦU THÁNG 4/2025</t>
  </si>
  <si>
    <t>THÁNG 4 NĂM 2025</t>
  </si>
  <si>
    <t>TÚ</t>
  </si>
  <si>
    <t>DANH SÁCH LÃNH TIỀN THÙ LAO THÁNG 4/2025</t>
  </si>
  <si>
    <t>Cần Thơ, ngày 21 tháng 5 năm 2025</t>
  </si>
  <si>
    <t>DANH SÁCH LÃNH TIỀN THÙ LAO THÁNG 04/2025</t>
  </si>
  <si>
    <t>Cần Thơ, ngày 21 tháng 05 năm 2025</t>
  </si>
  <si>
    <t>Nhị</t>
  </si>
  <si>
    <t>Cần Thơ, Ngày 21 tháng 5 năm 2025</t>
  </si>
  <si>
    <t>ThS. Bs.Nguyễn Chí Nguyện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</si>
</sst>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₫_-;\-* #,##0.00\ _₫_-;_-* &quot;-&quot;??\ _₫_-;_-@_-"/>
    <numFmt numFmtId="165" formatCode="_(* #,##0_);_(* \(#,##0\);_(* &quot;-&quot;_);_(@_)"/>
    <numFmt numFmtId="166" formatCode="_(* #,##0.00_);_(* \(#,##0.00\);_(* &quot;-&quot;??_);_(@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</numFmts>
  <fonts count="7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13"/>
      <color rgb="FF00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b/>
      <sz val="12"/>
      <color rgb="FFFF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1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6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5" fontId="4" fillId="0" borderId="8" xfId="28" applyNumberFormat="1" applyFont="1" applyBorder="1"/>
    <xf numFmtId="166" fontId="11" fillId="0" borderId="11" xfId="0" applyNumberFormat="1" applyFont="1" applyBorder="1" applyAlignment="1">
      <alignment horizontal="right" vertical="top" wrapText="1"/>
    </xf>
    <xf numFmtId="166" fontId="5" fillId="0" borderId="12" xfId="28" applyFont="1" applyFill="1" applyBorder="1" applyAlignment="1">
      <alignment horizontal="center"/>
    </xf>
    <xf numFmtId="0" fontId="12" fillId="0" borderId="0" xfId="43"/>
    <xf numFmtId="166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6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6" fontId="5" fillId="0" borderId="8" xfId="29" applyFont="1" applyBorder="1" applyAlignment="1">
      <alignment horizontal="center"/>
    </xf>
    <xf numFmtId="166" fontId="13" fillId="0" borderId="8" xfId="29" applyFont="1" applyBorder="1" applyAlignment="1">
      <alignment horizontal="right"/>
    </xf>
    <xf numFmtId="165" fontId="4" fillId="0" borderId="8" xfId="29" applyNumberFormat="1" applyFont="1" applyBorder="1"/>
    <xf numFmtId="166" fontId="12" fillId="0" borderId="0" xfId="43" applyNumberFormat="1"/>
    <xf numFmtId="165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6" fontId="4" fillId="0" borderId="11" xfId="43" applyNumberFormat="1" applyFont="1" applyBorder="1" applyAlignment="1">
      <alignment horizontal="right" vertical="top" wrapText="1"/>
    </xf>
    <xf numFmtId="165" fontId="14" fillId="0" borderId="8" xfId="29" applyNumberFormat="1" applyFont="1" applyBorder="1"/>
    <xf numFmtId="166" fontId="11" fillId="0" borderId="11" xfId="43" applyNumberFormat="1" applyFont="1" applyBorder="1" applyAlignment="1">
      <alignment horizontal="right" vertical="top" wrapText="1"/>
    </xf>
    <xf numFmtId="166" fontId="12" fillId="0" borderId="0" xfId="29" applyFont="1"/>
    <xf numFmtId="166" fontId="15" fillId="0" borderId="8" xfId="29" applyFont="1" applyFill="1" applyBorder="1" applyAlignment="1">
      <alignment horizontal="right"/>
    </xf>
    <xf numFmtId="166" fontId="39" fillId="0" borderId="12" xfId="0" applyNumberFormat="1" applyFont="1" applyBorder="1" applyAlignment="1">
      <alignment horizontal="right" vertical="top" wrapText="1"/>
    </xf>
    <xf numFmtId="166" fontId="41" fillId="0" borderId="12" xfId="29" applyFont="1" applyFill="1" applyBorder="1" applyAlignment="1">
      <alignment horizontal="center"/>
    </xf>
    <xf numFmtId="166" fontId="39" fillId="0" borderId="12" xfId="43" applyNumberFormat="1" applyFont="1" applyBorder="1" applyAlignment="1">
      <alignment horizontal="right" vertical="top" wrapText="1"/>
    </xf>
    <xf numFmtId="166" fontId="40" fillId="0" borderId="12" xfId="43" applyNumberFormat="1" applyFont="1" applyBorder="1"/>
    <xf numFmtId="0" fontId="37" fillId="0" borderId="0" xfId="0" applyFont="1"/>
    <xf numFmtId="166" fontId="37" fillId="0" borderId="0" xfId="28" applyFont="1"/>
    <xf numFmtId="0" fontId="42" fillId="0" borderId="0" xfId="0" applyFont="1"/>
    <xf numFmtId="166" fontId="42" fillId="0" borderId="0" xfId="28" applyFont="1"/>
    <xf numFmtId="165" fontId="37" fillId="0" borderId="0" xfId="0" applyNumberFormat="1" applyFont="1"/>
    <xf numFmtId="166" fontId="15" fillId="0" borderId="8" xfId="28" applyFont="1" applyFill="1" applyBorder="1" applyAlignment="1">
      <alignment horizontal="right"/>
    </xf>
    <xf numFmtId="166" fontId="37" fillId="0" borderId="0" xfId="0" applyNumberFormat="1" applyFont="1"/>
    <xf numFmtId="0" fontId="5" fillId="0" borderId="11" xfId="0" applyFont="1" applyBorder="1"/>
    <xf numFmtId="166" fontId="43" fillId="0" borderId="12" xfId="0" applyNumberFormat="1" applyFont="1" applyBorder="1"/>
    <xf numFmtId="166" fontId="38" fillId="0" borderId="0" xfId="28" applyFont="1"/>
    <xf numFmtId="166" fontId="5" fillId="0" borderId="0" xfId="28" applyFont="1" applyFill="1" applyBorder="1" applyAlignment="1">
      <alignment horizontal="center"/>
    </xf>
    <xf numFmtId="166" fontId="39" fillId="0" borderId="0" xfId="0" applyNumberFormat="1" applyFont="1" applyAlignment="1">
      <alignment horizontal="right" vertical="top" wrapText="1"/>
    </xf>
    <xf numFmtId="166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6" fontId="5" fillId="0" borderId="9" xfId="28" applyFont="1" applyBorder="1" applyAlignment="1">
      <alignment horizontal="center"/>
    </xf>
    <xf numFmtId="166" fontId="4" fillId="0" borderId="9" xfId="28" applyFont="1" applyBorder="1"/>
    <xf numFmtId="166" fontId="15" fillId="0" borderId="9" xfId="28" applyFont="1" applyFill="1" applyBorder="1" applyAlignment="1">
      <alignment horizontal="right"/>
    </xf>
    <xf numFmtId="166" fontId="4" fillId="0" borderId="9" xfId="28" applyFont="1" applyBorder="1" applyAlignment="1">
      <alignment horizontal="center"/>
    </xf>
    <xf numFmtId="165" fontId="4" fillId="0" borderId="9" xfId="28" applyNumberFormat="1" applyFont="1" applyBorder="1" applyAlignment="1">
      <alignment horizontal="center"/>
    </xf>
    <xf numFmtId="166" fontId="4" fillId="0" borderId="8" xfId="28" applyFont="1" applyBorder="1" applyAlignment="1">
      <alignment horizontal="center"/>
    </xf>
    <xf numFmtId="0" fontId="1" fillId="0" borderId="0" xfId="43" applyFont="1"/>
    <xf numFmtId="166" fontId="1" fillId="0" borderId="0" xfId="29" applyFont="1"/>
    <xf numFmtId="0" fontId="8" fillId="0" borderId="0" xfId="0" applyFont="1" applyAlignment="1">
      <alignment horizontal="center"/>
    </xf>
    <xf numFmtId="165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6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6" fontId="4" fillId="0" borderId="9" xfId="0" applyNumberFormat="1" applyFont="1" applyBorder="1" applyAlignment="1">
      <alignment horizontal="right" vertical="top" wrapText="1"/>
    </xf>
    <xf numFmtId="165" fontId="4" fillId="0" borderId="9" xfId="28" applyNumberFormat="1" applyFont="1" applyBorder="1"/>
    <xf numFmtId="165" fontId="4" fillId="0" borderId="9" xfId="28" applyNumberFormat="1" applyFont="1" applyBorder="1" applyAlignment="1">
      <alignment horizontal="center" vertical="center"/>
    </xf>
    <xf numFmtId="166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6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6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6" fontId="15" fillId="0" borderId="11" xfId="28" applyFont="1" applyFill="1" applyBorder="1" applyAlignment="1">
      <alignment horizontal="right"/>
    </xf>
    <xf numFmtId="166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5" fontId="4" fillId="0" borderId="9" xfId="28" applyNumberFormat="1" applyFont="1" applyBorder="1" applyAlignment="1">
      <alignment vertical="center"/>
    </xf>
    <xf numFmtId="166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6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6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6" fontId="13" fillId="0" borderId="11" xfId="29" applyFont="1" applyBorder="1" applyAlignment="1">
      <alignment horizontal="right"/>
    </xf>
    <xf numFmtId="164" fontId="3" fillId="0" borderId="0" xfId="0" applyNumberFormat="1" applyFont="1"/>
    <xf numFmtId="0" fontId="58" fillId="0" borderId="0" xfId="0" applyFont="1"/>
    <xf numFmtId="166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6" fontId="4" fillId="0" borderId="9" xfId="28" applyFont="1" applyBorder="1" applyAlignment="1">
      <alignment horizontal="center" vertical="center"/>
    </xf>
    <xf numFmtId="166" fontId="10" fillId="0" borderId="0" xfId="28" applyFont="1"/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28" applyFont="1" applyBorder="1" applyAlignment="1">
      <alignment horizontal="center" vertical="center"/>
    </xf>
    <xf numFmtId="166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 wrapText="1"/>
    </xf>
    <xf numFmtId="166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3" fillId="0" borderId="9" xfId="61" applyFont="1" applyBorder="1" applyAlignment="1">
      <alignment horizontal="center" vertical="center" wrapText="1"/>
    </xf>
    <xf numFmtId="166" fontId="57" fillId="0" borderId="0" xfId="28" applyFont="1"/>
    <xf numFmtId="166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6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6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5" fontId="10" fillId="0" borderId="9" xfId="28" applyNumberFormat="1" applyFont="1" applyFill="1" applyBorder="1" applyAlignment="1">
      <alignment wrapText="1"/>
    </xf>
    <xf numFmtId="165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5" fontId="50" fillId="0" borderId="9" xfId="28" applyNumberFormat="1" applyFont="1" applyBorder="1" applyAlignment="1">
      <alignment wrapText="1"/>
    </xf>
    <xf numFmtId="165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166" fontId="11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 wrapText="1"/>
    </xf>
    <xf numFmtId="165" fontId="10" fillId="0" borderId="0" xfId="0" applyNumberFormat="1" applyFont="1"/>
    <xf numFmtId="166" fontId="68" fillId="0" borderId="0" xfId="28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6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6" fontId="37" fillId="0" borderId="0" xfId="28" applyFont="1" applyAlignment="1">
      <alignment horizontal="left" shrinkToFit="1"/>
    </xf>
    <xf numFmtId="166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5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6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60" fillId="0" borderId="9" xfId="61" applyFont="1" applyBorder="1" applyAlignment="1">
      <alignment horizontal="center" vertical="center" wrapText="1"/>
    </xf>
    <xf numFmtId="0" fontId="60" fillId="0" borderId="9" xfId="44" applyFont="1" applyBorder="1" applyAlignment="1">
      <alignment horizontal="center" vertical="center" wrapText="1" shrinkToFit="1"/>
    </xf>
    <xf numFmtId="3" fontId="60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60" fillId="0" borderId="9" xfId="62" applyNumberFormat="1" applyFont="1" applyFill="1" applyBorder="1" applyAlignment="1">
      <alignment horizontal="center" vertical="center" wrapText="1"/>
    </xf>
    <xf numFmtId="166" fontId="4" fillId="0" borderId="9" xfId="28" applyFont="1" applyFill="1" applyBorder="1" applyAlignment="1">
      <alignment horizontal="center"/>
    </xf>
    <xf numFmtId="166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3" fillId="0" borderId="9" xfId="61" applyFont="1" applyBorder="1" applyAlignment="1">
      <alignment vertical="center" wrapText="1"/>
    </xf>
    <xf numFmtId="0" fontId="37" fillId="24" borderId="0" xfId="61" applyFont="1" applyFill="1" applyAlignment="1">
      <alignment horizontal="left"/>
    </xf>
    <xf numFmtId="0" fontId="10" fillId="24" borderId="0" xfId="61" applyFont="1" applyFill="1" applyAlignment="1">
      <alignment horizontal="left"/>
    </xf>
    <xf numFmtId="0" fontId="9" fillId="24" borderId="0" xfId="0" applyFont="1" applyFill="1" applyAlignment="1">
      <alignment horizontal="left"/>
    </xf>
    <xf numFmtId="3" fontId="63" fillId="0" borderId="9" xfId="62" applyNumberFormat="1" applyFont="1" applyFill="1" applyBorder="1" applyAlignment="1">
      <alignment vertical="center" wrapText="1"/>
    </xf>
    <xf numFmtId="166" fontId="63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0" fontId="10" fillId="0" borderId="10" xfId="43" applyFont="1" applyBorder="1" applyAlignment="1">
      <alignment horizontal="center" vertical="center" wrapText="1"/>
    </xf>
    <xf numFmtId="166" fontId="37" fillId="0" borderId="0" xfId="28" applyFont="1" applyAlignment="1">
      <alignment horizontal="center" shrinkToFit="1"/>
    </xf>
    <xf numFmtId="1" fontId="4" fillId="0" borderId="9" xfId="28" applyNumberFormat="1" applyFont="1" applyBorder="1" applyAlignment="1">
      <alignment horizontal="center"/>
    </xf>
    <xf numFmtId="0" fontId="63" fillId="0" borderId="9" xfId="0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 wrapText="1"/>
    </xf>
    <xf numFmtId="49" fontId="63" fillId="0" borderId="9" xfId="62" applyNumberFormat="1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172" fontId="69" fillId="0" borderId="9" xfId="62" applyNumberFormat="1" applyFont="1" applyFill="1" applyBorder="1" applyAlignment="1">
      <alignment horizontal="center" vertical="center" wrapText="1"/>
    </xf>
    <xf numFmtId="165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166" fontId="37" fillId="0" borderId="0" xfId="0" applyNumberFormat="1" applyFont="1" applyAlignment="1">
      <alignment vertical="center" shrinkToFit="1"/>
    </xf>
    <xf numFmtId="164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166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6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6" fontId="50" fillId="0" borderId="9" xfId="28" applyFont="1" applyBorder="1" applyAlignment="1">
      <alignment horizontal="center" vertical="center"/>
    </xf>
    <xf numFmtId="165" fontId="10" fillId="0" borderId="9" xfId="28" applyNumberFormat="1" applyFont="1" applyBorder="1" applyAlignment="1">
      <alignment vertical="center"/>
    </xf>
    <xf numFmtId="165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6" fontId="10" fillId="0" borderId="9" xfId="0" applyNumberFormat="1" applyFont="1" applyBorder="1" applyAlignment="1">
      <alignment horizontal="right" vertical="center" wrapText="1"/>
    </xf>
    <xf numFmtId="166" fontId="70" fillId="0" borderId="9" xfId="0" applyNumberFormat="1" applyFont="1" applyBorder="1"/>
    <xf numFmtId="166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0" fontId="58" fillId="0" borderId="0" xfId="0" applyFont="1" applyAlignment="1">
      <alignment vertical="center" wrapText="1"/>
    </xf>
    <xf numFmtId="3" fontId="62" fillId="0" borderId="9" xfId="28" applyNumberFormat="1" applyFont="1" applyBorder="1" applyAlignment="1">
      <alignment horizontal="center" vertical="center" shrinkToFit="1"/>
    </xf>
    <xf numFmtId="3" fontId="37" fillId="0" borderId="0" xfId="61" applyNumberFormat="1" applyFont="1" applyAlignment="1">
      <alignment horizontal="center" vertical="center"/>
    </xf>
    <xf numFmtId="0" fontId="60" fillId="0" borderId="0" xfId="0" applyFont="1" applyAlignment="1">
      <alignment vertical="center" wrapText="1"/>
    </xf>
    <xf numFmtId="2" fontId="58" fillId="0" borderId="0" xfId="0" applyNumberFormat="1" applyFont="1" applyAlignment="1">
      <alignment vertical="center"/>
    </xf>
    <xf numFmtId="166" fontId="58" fillId="0" borderId="0" xfId="62" applyFont="1" applyFill="1" applyAlignment="1">
      <alignment vertical="center"/>
    </xf>
    <xf numFmtId="166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5" fontId="42" fillId="0" borderId="0" xfId="0" applyNumberFormat="1" applyFont="1" applyAlignment="1">
      <alignment horizontal="left" shrinkToFit="1"/>
    </xf>
    <xf numFmtId="165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0" fontId="60" fillId="0" borderId="0" xfId="0" applyFont="1" applyAlignment="1">
      <alignment vertical="center"/>
    </xf>
    <xf numFmtId="173" fontId="60" fillId="0" borderId="0" xfId="0" applyNumberFormat="1" applyFont="1" applyAlignment="1">
      <alignment vertical="center"/>
    </xf>
    <xf numFmtId="0" fontId="6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3" fontId="10" fillId="0" borderId="0" xfId="28" applyNumberFormat="1" applyFont="1" applyFill="1" applyAlignment="1"/>
    <xf numFmtId="0" fontId="4" fillId="0" borderId="0" xfId="0" applyFont="1" applyAlignment="1">
      <alignment vertical="center"/>
    </xf>
    <xf numFmtId="49" fontId="71" fillId="0" borderId="0" xfId="0" applyNumberFormat="1" applyFont="1" applyAlignment="1">
      <alignment horizontal="left" vertical="center" wrapText="1"/>
    </xf>
    <xf numFmtId="2" fontId="71" fillId="0" borderId="0" xfId="0" applyNumberFormat="1" applyFont="1" applyAlignment="1">
      <alignment horizontal="left" vertical="center" wrapText="1"/>
    </xf>
    <xf numFmtId="3" fontId="71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0" fontId="63" fillId="24" borderId="9" xfId="61" applyFont="1" applyFill="1" applyBorder="1" applyAlignment="1">
      <alignment horizontal="left" vertical="center" wrapText="1"/>
    </xf>
    <xf numFmtId="165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73" fillId="0" borderId="9" xfId="0" applyFont="1" applyBorder="1" applyAlignment="1">
      <alignment horizontal="center" vertical="center"/>
    </xf>
    <xf numFmtId="3" fontId="73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24" borderId="0" xfId="0" applyFont="1" applyFill="1" applyAlignment="1">
      <alignment horizontal="left"/>
    </xf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42" fillId="24" borderId="0" xfId="0" applyFont="1" applyFill="1" applyAlignment="1">
      <alignment horizontal="left"/>
    </xf>
    <xf numFmtId="0" fontId="74" fillId="0" borderId="0" xfId="0" applyFont="1" applyAlignment="1">
      <alignment vertical="top"/>
    </xf>
    <xf numFmtId="49" fontId="75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" fontId="76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 shrinkToFit="1"/>
    </xf>
    <xf numFmtId="166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6" fontId="37" fillId="0" borderId="0" xfId="28" applyFont="1" applyAlignment="1">
      <alignment horizontal="center" vertical="center" shrinkToFit="1"/>
    </xf>
    <xf numFmtId="166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6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 shrinkToFit="1"/>
    </xf>
    <xf numFmtId="166" fontId="42" fillId="0" borderId="0" xfId="28" applyFont="1" applyAlignment="1">
      <alignment horizontal="center" shrinkToFit="1"/>
    </xf>
    <xf numFmtId="166" fontId="50" fillId="0" borderId="0" xfId="28" applyFont="1" applyAlignment="1"/>
    <xf numFmtId="166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6" fontId="67" fillId="0" borderId="0" xfId="62" applyFont="1" applyFill="1" applyAlignment="1">
      <alignment horizontal="center" vertical="center"/>
    </xf>
    <xf numFmtId="166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5" borderId="9" xfId="0" applyFont="1" applyFill="1" applyBorder="1" applyAlignment="1">
      <alignment vertical="center" wrapText="1"/>
    </xf>
    <xf numFmtId="166" fontId="4" fillId="25" borderId="9" xfId="28" applyFont="1" applyFill="1" applyBorder="1" applyAlignment="1">
      <alignment horizontal="center" vertical="center"/>
    </xf>
    <xf numFmtId="1" fontId="76" fillId="25" borderId="9" xfId="0" applyNumberFormat="1" applyFont="1" applyFill="1" applyBorder="1" applyAlignment="1">
      <alignment horizontal="center"/>
    </xf>
    <xf numFmtId="165" fontId="10" fillId="25" borderId="9" xfId="28" applyNumberFormat="1" applyFont="1" applyFill="1" applyBorder="1" applyAlignment="1">
      <alignment vertical="center"/>
    </xf>
    <xf numFmtId="3" fontId="10" fillId="25" borderId="9" xfId="28" applyNumberFormat="1" applyFont="1" applyFill="1" applyBorder="1" applyAlignment="1">
      <alignment horizontal="center" vertical="center"/>
    </xf>
    <xf numFmtId="165" fontId="10" fillId="25" borderId="9" xfId="0" applyNumberFormat="1" applyFont="1" applyFill="1" applyBorder="1"/>
    <xf numFmtId="165" fontId="37" fillId="25" borderId="0" xfId="0" applyNumberFormat="1" applyFont="1" applyFill="1" applyAlignment="1">
      <alignment horizontal="left" vertical="center"/>
    </xf>
    <xf numFmtId="165" fontId="37" fillId="25" borderId="0" xfId="0" applyNumberFormat="1" applyFont="1" applyFill="1" applyAlignment="1">
      <alignment vertical="center"/>
    </xf>
    <xf numFmtId="0" fontId="37" fillId="25" borderId="0" xfId="0" applyFont="1" applyFill="1"/>
    <xf numFmtId="165" fontId="37" fillId="26" borderId="0" xfId="0" applyNumberFormat="1" applyFont="1" applyFill="1" applyAlignment="1">
      <alignment horizontal="left" vertical="center"/>
    </xf>
    <xf numFmtId="165" fontId="37" fillId="26" borderId="0" xfId="0" applyNumberFormat="1" applyFont="1" applyFill="1" applyAlignment="1">
      <alignment vertical="center"/>
    </xf>
    <xf numFmtId="166" fontId="4" fillId="27" borderId="9" xfId="28" applyFont="1" applyFill="1" applyBorder="1" applyAlignment="1">
      <alignment horizontal="center" vertical="center"/>
    </xf>
    <xf numFmtId="1" fontId="76" fillId="27" borderId="9" xfId="0" applyNumberFormat="1" applyFont="1" applyFill="1" applyBorder="1" applyAlignment="1">
      <alignment horizontal="center"/>
    </xf>
    <xf numFmtId="165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5" fontId="10" fillId="27" borderId="9" xfId="0" applyNumberFormat="1" applyFont="1" applyFill="1" applyBorder="1"/>
    <xf numFmtId="165" fontId="37" fillId="27" borderId="0" xfId="0" applyNumberFormat="1" applyFont="1" applyFill="1" applyAlignment="1">
      <alignment horizontal="left" vertical="center"/>
    </xf>
    <xf numFmtId="165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3" fontId="49" fillId="0" borderId="9" xfId="71" applyNumberFormat="1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shrinkToFit="1"/>
    </xf>
    <xf numFmtId="1" fontId="77" fillId="0" borderId="0" xfId="0" applyNumberFormat="1" applyFont="1" applyAlignment="1">
      <alignment horizontal="center"/>
    </xf>
    <xf numFmtId="49" fontId="77" fillId="0" borderId="9" xfId="0" applyNumberFormat="1" applyFont="1" applyBorder="1" applyAlignment="1">
      <alignment horizontal="center"/>
    </xf>
    <xf numFmtId="166" fontId="10" fillId="0" borderId="9" xfId="28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49" fontId="77" fillId="0" borderId="9" xfId="0" applyNumberFormat="1" applyFont="1" applyBorder="1"/>
    <xf numFmtId="37" fontId="10" fillId="0" borderId="9" xfId="62" applyNumberFormat="1" applyFont="1" applyFill="1" applyBorder="1" applyAlignment="1">
      <alignment horizontal="center" vertical="center" shrinkToFit="1"/>
    </xf>
    <xf numFmtId="49" fontId="50" fillId="0" borderId="9" xfId="0" applyNumberFormat="1" applyFont="1" applyBorder="1" applyAlignment="1">
      <alignment horizontal="left" vertical="center" wrapText="1"/>
    </xf>
    <xf numFmtId="2" fontId="50" fillId="0" borderId="9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3" fontId="50" fillId="0" borderId="9" xfId="62" applyNumberFormat="1" applyFont="1" applyFill="1" applyBorder="1" applyAlignment="1">
      <alignment horizontal="center" vertical="center" shrinkToFit="1"/>
    </xf>
    <xf numFmtId="0" fontId="58" fillId="0" borderId="0" xfId="0" applyFont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 wrapText="1"/>
    </xf>
    <xf numFmtId="14" fontId="7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4" fillId="0" borderId="9" xfId="0" applyNumberFormat="1" applyFont="1" applyBorder="1" applyAlignment="1">
      <alignment horizontal="center" vertical="center"/>
    </xf>
    <xf numFmtId="173" fontId="60" fillId="0" borderId="9" xfId="28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left" vertical="top" wrapText="1"/>
    </xf>
    <xf numFmtId="0" fontId="45" fillId="0" borderId="18" xfId="0" applyFont="1" applyBorder="1" applyAlignment="1">
      <alignment horizontal="left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9" fillId="0" borderId="9" xfId="0" applyFont="1" applyBorder="1" applyAlignment="1">
      <alignment horizontal="left" vertical="top" wrapText="1"/>
    </xf>
    <xf numFmtId="0" fontId="49" fillId="0" borderId="9" xfId="0" applyFont="1" applyBorder="1" applyAlignment="1">
      <alignment horizontal="center" vertical="top" wrapText="1"/>
    </xf>
    <xf numFmtId="173" fontId="49" fillId="0" borderId="9" xfId="28" applyNumberFormat="1" applyFont="1" applyFill="1" applyBorder="1" applyAlignment="1">
      <alignment horizontal="left" vertical="top" wrapText="1"/>
    </xf>
    <xf numFmtId="0" fontId="49" fillId="0" borderId="18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1" fontId="77" fillId="0" borderId="9" xfId="0" applyNumberFormat="1" applyFont="1" applyBorder="1" applyAlignment="1">
      <alignment horizontal="center"/>
    </xf>
    <xf numFmtId="49" fontId="60" fillId="0" borderId="9" xfId="0" applyNumberFormat="1" applyFont="1" applyBorder="1" applyAlignment="1">
      <alignment horizontal="center" vertical="center"/>
    </xf>
    <xf numFmtId="0" fontId="60" fillId="0" borderId="9" xfId="0" applyFont="1" applyBorder="1" applyAlignment="1">
      <alignment vertical="center"/>
    </xf>
    <xf numFmtId="0" fontId="60" fillId="0" borderId="9" xfId="0" applyFont="1" applyBorder="1" applyAlignment="1">
      <alignment horizontal="center" vertical="center"/>
    </xf>
    <xf numFmtId="3" fontId="49" fillId="0" borderId="9" xfId="71" applyNumberFormat="1" applyFont="1" applyBorder="1" applyAlignment="1">
      <alignment horizontal="center" vertical="center" wrapText="1" shrinkToFit="1"/>
    </xf>
    <xf numFmtId="3" fontId="60" fillId="0" borderId="9" xfId="0" applyNumberFormat="1" applyFont="1" applyBorder="1" applyAlignment="1">
      <alignment vertical="center"/>
    </xf>
    <xf numFmtId="0" fontId="37" fillId="0" borderId="9" xfId="0" applyFont="1" applyBorder="1" applyAlignment="1">
      <alignment horizontal="left" vertical="top" wrapText="1"/>
    </xf>
    <xf numFmtId="0" fontId="37" fillId="0" borderId="18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center" vertical="top" wrapText="1"/>
    </xf>
    <xf numFmtId="0" fontId="45" fillId="0" borderId="9" xfId="0" applyFont="1" applyBorder="1" applyAlignment="1">
      <alignment horizontal="center" vertical="center" wrapText="1" shrinkToFit="1"/>
    </xf>
    <xf numFmtId="3" fontId="49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9" fillId="0" borderId="0" xfId="0" applyNumberFormat="1" applyFont="1" applyAlignment="1">
      <alignment vertical="center"/>
    </xf>
    <xf numFmtId="0" fontId="74" fillId="0" borderId="9" xfId="0" applyFont="1" applyBorder="1" applyAlignment="1">
      <alignment horizontal="left" vertical="top"/>
    </xf>
    <xf numFmtId="173" fontId="37" fillId="0" borderId="9" xfId="28" applyNumberFormat="1" applyFont="1" applyFill="1" applyBorder="1" applyAlignment="1">
      <alignment horizontal="left" vertical="center" wrapText="1"/>
    </xf>
    <xf numFmtId="0" fontId="45" fillId="0" borderId="9" xfId="0" applyFont="1" applyBorder="1" applyAlignment="1">
      <alignment horizontal="left" vertical="center" wrapText="1"/>
    </xf>
    <xf numFmtId="173" fontId="45" fillId="0" borderId="9" xfId="28" applyNumberFormat="1" applyFont="1" applyFill="1" applyBorder="1" applyAlignment="1">
      <alignment horizontal="left" vertical="center" wrapText="1"/>
    </xf>
    <xf numFmtId="0" fontId="37" fillId="0" borderId="9" xfId="71" applyFont="1" applyBorder="1" applyAlignment="1">
      <alignment horizontal="center" vertical="center"/>
    </xf>
    <xf numFmtId="0" fontId="37" fillId="0" borderId="9" xfId="71" applyFont="1" applyBorder="1" applyAlignment="1">
      <alignment horizontal="center" vertical="center" wrapText="1"/>
    </xf>
    <xf numFmtId="3" fontId="44" fillId="0" borderId="0" xfId="28" applyNumberFormat="1" applyFont="1" applyFill="1" applyBorder="1" applyAlignment="1">
      <alignment horizontal="left"/>
    </xf>
    <xf numFmtId="0" fontId="44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60" fillId="0" borderId="9" xfId="0" applyFont="1" applyBorder="1" applyAlignment="1">
      <alignment vertical="center" wrapText="1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4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6" fontId="3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6" fontId="44" fillId="0" borderId="0" xfId="28" applyFont="1" applyAlignment="1">
      <alignment horizontal="center"/>
    </xf>
    <xf numFmtId="0" fontId="65" fillId="0" borderId="0" xfId="0" applyFont="1" applyAlignment="1">
      <alignment horizontal="center"/>
    </xf>
    <xf numFmtId="166" fontId="65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6" fontId="50" fillId="0" borderId="0" xfId="28" applyFont="1" applyAlignment="1">
      <alignment horizontal="center" vertical="center"/>
    </xf>
    <xf numFmtId="166" fontId="57" fillId="0" borderId="0" xfId="28" applyFont="1" applyAlignment="1">
      <alignment horizontal="center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5" fillId="0" borderId="0" xfId="0" applyNumberFormat="1" applyFont="1" applyAlignment="1">
      <alignment horizontal="center" vertical="center"/>
    </xf>
    <xf numFmtId="166" fontId="5" fillId="0" borderId="0" xfId="28" applyFont="1" applyAlignment="1">
      <alignment horizontal="center" vertical="center" shrinkToFit="1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66" fontId="63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6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6" fontId="12" fillId="0" borderId="0" xfId="29" applyFont="1" applyAlignment="1">
      <alignment horizontal="center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7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6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6" fontId="57" fillId="0" borderId="0" xfId="28" applyFont="1" applyAlignment="1">
      <alignment horizontal="center" shrinkToFit="1"/>
    </xf>
    <xf numFmtId="165" fontId="10" fillId="0" borderId="19" xfId="0" applyNumberFormat="1" applyFont="1" applyBorder="1" applyAlignment="1">
      <alignment horizontal="center" vertical="center" shrinkToFit="1"/>
    </xf>
    <xf numFmtId="165" fontId="10" fillId="0" borderId="20" xfId="0" applyNumberFormat="1" applyFont="1" applyBorder="1" applyAlignment="1">
      <alignment horizontal="center" vertical="center" shrinkToFit="1"/>
    </xf>
    <xf numFmtId="165" fontId="10" fillId="0" borderId="18" xfId="0" applyNumberFormat="1" applyFont="1" applyBorder="1" applyAlignment="1">
      <alignment horizontal="center" vertical="center" shrinkToFit="1"/>
    </xf>
    <xf numFmtId="166" fontId="10" fillId="0" borderId="0" xfId="28" applyFont="1" applyAlignment="1">
      <alignment horizontal="center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0" fontId="74" fillId="0" borderId="9" xfId="0" applyFont="1" applyBorder="1" applyAlignment="1">
      <alignment vertical="center" shrinkToFit="1"/>
    </xf>
    <xf numFmtId="0" fontId="78" fillId="0" borderId="9" xfId="0" applyFont="1" applyBorder="1" applyAlignment="1">
      <alignment vertical="center" shrinkToFit="1"/>
    </xf>
    <xf numFmtId="166" fontId="74" fillId="0" borderId="9" xfId="0" applyNumberFormat="1" applyFont="1" applyBorder="1" applyAlignment="1">
      <alignment vertical="center" shrinkToFit="1"/>
    </xf>
    <xf numFmtId="166" fontId="74" fillId="0" borderId="9" xfId="0" applyNumberFormat="1" applyFont="1" applyBorder="1" applyAlignment="1">
      <alignment horizontal="center" vertical="center" shrinkToFit="1"/>
    </xf>
    <xf numFmtId="3" fontId="74" fillId="0" borderId="9" xfId="28" applyNumberFormat="1" applyFont="1" applyFill="1" applyBorder="1" applyAlignment="1">
      <alignment horizontal="center" vertical="center" shrinkToFit="1"/>
    </xf>
    <xf numFmtId="3" fontId="74" fillId="0" borderId="9" xfId="28" applyNumberFormat="1" applyFont="1" applyFill="1" applyBorder="1" applyAlignment="1">
      <alignment horizontal="left" vertical="center" shrinkToFit="1"/>
    </xf>
    <xf numFmtId="3" fontId="74" fillId="0" borderId="9" xfId="0" applyNumberFormat="1" applyFont="1" applyBorder="1" applyAlignment="1">
      <alignment vertical="center" shrinkToFit="1"/>
    </xf>
    <xf numFmtId="0" fontId="45" fillId="0" borderId="0" xfId="0" applyFont="1" applyAlignment="1">
      <alignment vertical="center" shrinkToFi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EEEE3EC9-2F79-463A-AACE-305B744CA0D7}"/>
    <cellStyle name="Comma 3" xfId="62" xr:uid="{00000000-0005-0000-0000-00001C000000}"/>
    <cellStyle name="Comma 3 2" xfId="72" xr:uid="{62B19156-1EE2-4F8D-A4FB-B7E13CDA85A3}"/>
    <cellStyle name="Comma 4" xfId="63" xr:uid="{2E40234C-35C5-4DA1-BD6C-4DC357CE6B21}"/>
    <cellStyle name="Comma0" xfId="30" xr:uid="{00000000-0005-0000-0000-00001D000000}"/>
    <cellStyle name="Comma0 2" xfId="65" xr:uid="{AD3A8F31-C0F6-49EC-AF4F-DC40655A1899}"/>
    <cellStyle name="Currency0" xfId="31" xr:uid="{00000000-0005-0000-0000-00001E000000}"/>
    <cellStyle name="Currency0 2" xfId="66" xr:uid="{E6834E57-4504-4423-9510-1624EC7ED038}"/>
    <cellStyle name="Check Cell" xfId="27" builtinId="23" customBuiltin="1"/>
    <cellStyle name="Date" xfId="32" xr:uid="{00000000-0005-0000-0000-000020000000}"/>
    <cellStyle name="Date 2" xfId="67" xr:uid="{586E5136-6382-487E-96CE-ACBD86BEFC3C}"/>
    <cellStyle name="Explanatory Text" xfId="33" builtinId="53" customBuiltin="1"/>
    <cellStyle name="Fixed" xfId="34" xr:uid="{00000000-0005-0000-0000-000022000000}"/>
    <cellStyle name="Fixed 2" xfId="68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9" xr:uid="{74551A7F-3681-4C57-892F-9FE823749A4C}"/>
    <cellStyle name="Normal 3" xfId="61" xr:uid="{00000000-0005-0000-0000-00002D000000}"/>
    <cellStyle name="Normal 3 2" xfId="71" xr:uid="{740C27F8-73F5-4531-B504-F6A6B2DC6C2C}"/>
    <cellStyle name="Normal_GOI_NGOAI 8_22013" xfId="44" xr:uid="{00000000-0005-0000-0000-00002E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E2048853-1894-464F-893A-A24ABA5D3252}"/>
    <cellStyle name="Warning Text" xfId="49" builtinId="11" customBuiltin="1"/>
    <cellStyle name="똿뗦먛귟 [0.00]_PRODUCT DETAIL Q1" xfId="50" xr:uid="{00000000-0005-0000-0000-000034000000}"/>
    <cellStyle name="똿뗦먛귟_PRODUCT DETAIL Q1" xfId="51" xr:uid="{00000000-0005-0000-0000-000035000000}"/>
    <cellStyle name="믅됞 [0.00]_PRODUCT DETAIL Q1" xfId="52" xr:uid="{00000000-0005-0000-0000-000036000000}"/>
    <cellStyle name="믅됞_PRODUCT DETAIL Q1" xfId="53" xr:uid="{00000000-0005-0000-0000-000037000000}"/>
    <cellStyle name="백분율_HOBONG" xfId="54" xr:uid="{00000000-0005-0000-0000-000038000000}"/>
    <cellStyle name="뷭?_BOOKSHIP" xfId="55" xr:uid="{00000000-0005-0000-0000-000039000000}"/>
    <cellStyle name="콤마 [0]_1202" xfId="56" xr:uid="{00000000-0005-0000-0000-00003A000000}"/>
    <cellStyle name="콤마_1202" xfId="57" xr:uid="{00000000-0005-0000-0000-00003B000000}"/>
    <cellStyle name="통화 [0]_1202" xfId="58" xr:uid="{00000000-0005-0000-0000-00003C000000}"/>
    <cellStyle name="통화_1202" xfId="59" xr:uid="{00000000-0005-0000-0000-00003D000000}"/>
    <cellStyle name="표준_(정보부문)월별인원계획" xfId="60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19050</xdr:rowOff>
    </xdr:from>
    <xdr:to>
      <xdr:col>2</xdr:col>
      <xdr:colOff>133350</xdr:colOff>
      <xdr:row>2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V="1">
          <a:off x="1266825" y="438150"/>
          <a:ext cx="7524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13"/>
  <sheetViews>
    <sheetView zoomScaleNormal="100" zoomScaleSheetLayoutView="100" workbookViewId="0">
      <pane xSplit="7" ySplit="6" topLeftCell="H97" activePane="bottomRight" state="frozen"/>
      <selection pane="topRight" activeCell="H1" sqref="H1"/>
      <selection pane="bottomLeft" activeCell="A7" sqref="A7"/>
      <selection pane="bottomRight" activeCell="R100" sqref="R100"/>
    </sheetView>
  </sheetViews>
  <sheetFormatPr defaultColWidth="3.42578125" defaultRowHeight="12.75"/>
  <cols>
    <col min="1" max="1" width="4.5703125" style="37" customWidth="1"/>
    <col min="2" max="2" width="11" style="151" customWidth="1"/>
    <col min="3" max="3" width="20.5703125" style="147" customWidth="1"/>
    <col min="4" max="4" width="5.140625" style="148" customWidth="1"/>
    <col min="5" max="5" width="4.7109375" style="148" customWidth="1"/>
    <col min="6" max="6" width="24.42578125" style="147" customWidth="1"/>
    <col min="7" max="7" width="6.7109375" style="154" customWidth="1"/>
    <col min="8" max="8" width="11.85546875" style="351" customWidth="1"/>
    <col min="9" max="9" width="10.42578125" style="37" bestFit="1" customWidth="1"/>
    <col min="10" max="10" width="10.5703125" style="85" customWidth="1"/>
    <col min="11" max="11" width="9.7109375" style="266" customWidth="1"/>
    <col min="12" max="12" width="10.42578125" style="85" customWidth="1"/>
    <col min="13" max="13" width="9.7109375" style="154" customWidth="1"/>
    <col min="14" max="14" width="10.140625" style="85" customWidth="1"/>
    <col min="15" max="15" width="9.7109375" style="264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437" t="s">
        <v>0</v>
      </c>
      <c r="B1" s="437"/>
      <c r="C1" s="437"/>
      <c r="D1" s="437"/>
      <c r="E1" s="437"/>
      <c r="F1" s="152"/>
      <c r="G1" s="152"/>
      <c r="H1" s="346"/>
      <c r="I1" s="89"/>
      <c r="J1" s="89"/>
      <c r="K1" s="153"/>
      <c r="L1" s="89"/>
      <c r="M1" s="145"/>
      <c r="N1" s="89"/>
      <c r="O1" s="145"/>
      <c r="P1" s="89"/>
      <c r="Q1" s="89"/>
      <c r="R1" s="89"/>
      <c r="S1" s="89"/>
      <c r="T1" s="89"/>
      <c r="U1" s="89"/>
      <c r="V1" s="89"/>
    </row>
    <row r="2" spans="1:22" ht="16.5">
      <c r="A2" s="438" t="s">
        <v>97</v>
      </c>
      <c r="B2" s="438"/>
      <c r="C2" s="438"/>
      <c r="D2" s="438"/>
      <c r="E2" s="438"/>
      <c r="F2" s="182"/>
      <c r="G2" s="145"/>
      <c r="H2" s="347"/>
      <c r="I2" s="89"/>
      <c r="J2" s="89"/>
      <c r="K2" s="153"/>
      <c r="L2" s="196"/>
      <c r="M2" s="145"/>
      <c r="N2" s="89"/>
      <c r="O2" s="145"/>
      <c r="P2" s="89"/>
      <c r="Q2" s="89"/>
      <c r="R2" s="89"/>
      <c r="S2" s="89"/>
      <c r="T2" s="89"/>
      <c r="U2" s="89"/>
      <c r="V2" s="89"/>
    </row>
    <row r="3" spans="1:22" ht="22.5">
      <c r="A3" s="439" t="s">
        <v>1</v>
      </c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89"/>
      <c r="T3" s="89"/>
      <c r="U3" s="89"/>
      <c r="V3" s="89"/>
    </row>
    <row r="4" spans="1:22" ht="20.25">
      <c r="A4" s="440" t="s">
        <v>360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89"/>
      <c r="T4" s="89"/>
      <c r="U4" s="89"/>
      <c r="V4" s="89"/>
    </row>
    <row r="5" spans="1:22" ht="20.25">
      <c r="A5" s="165"/>
      <c r="B5" s="165"/>
      <c r="C5" s="327"/>
      <c r="D5" s="165"/>
      <c r="E5" s="165"/>
      <c r="F5" s="202"/>
      <c r="G5" s="198"/>
      <c r="H5" s="165"/>
      <c r="I5" s="432"/>
      <c r="J5" s="165"/>
      <c r="K5" s="168"/>
      <c r="L5" s="166"/>
      <c r="M5" s="262"/>
      <c r="N5" s="165"/>
      <c r="O5" s="262"/>
      <c r="P5" s="165"/>
      <c r="Q5" s="165"/>
      <c r="R5" s="166"/>
      <c r="S5" s="89"/>
      <c r="T5" s="89"/>
      <c r="U5" s="89"/>
      <c r="V5" s="89"/>
    </row>
    <row r="6" spans="1:22" s="288" customFormat="1" ht="38.25">
      <c r="A6" s="122" t="s">
        <v>2</v>
      </c>
      <c r="B6" s="122" t="s">
        <v>12</v>
      </c>
      <c r="C6" s="122" t="s">
        <v>107</v>
      </c>
      <c r="D6" s="122" t="s">
        <v>42</v>
      </c>
      <c r="E6" s="122" t="s">
        <v>43</v>
      </c>
      <c r="F6" s="122" t="s">
        <v>5</v>
      </c>
      <c r="G6" s="122" t="s">
        <v>105</v>
      </c>
      <c r="H6" s="178" t="s">
        <v>36</v>
      </c>
      <c r="I6" s="122" t="s">
        <v>6</v>
      </c>
      <c r="J6" s="336" t="s">
        <v>7</v>
      </c>
      <c r="K6" s="122" t="s">
        <v>8</v>
      </c>
      <c r="L6" s="336" t="s">
        <v>7</v>
      </c>
      <c r="M6" s="122" t="s">
        <v>9</v>
      </c>
      <c r="N6" s="336" t="s">
        <v>7</v>
      </c>
      <c r="O6" s="336" t="s">
        <v>95</v>
      </c>
      <c r="P6" s="336" t="s">
        <v>7</v>
      </c>
      <c r="Q6" s="336" t="s">
        <v>10</v>
      </c>
      <c r="R6" s="337" t="s">
        <v>106</v>
      </c>
      <c r="S6" s="338"/>
      <c r="T6" s="338"/>
      <c r="U6" s="338"/>
      <c r="V6" s="338"/>
    </row>
    <row r="7" spans="1:22" s="181" customFormat="1" ht="45.75" customHeight="1">
      <c r="A7" s="175">
        <v>1</v>
      </c>
      <c r="B7" s="408" t="s">
        <v>274</v>
      </c>
      <c r="C7" s="409" t="s">
        <v>460</v>
      </c>
      <c r="D7" s="410">
        <v>51</v>
      </c>
      <c r="E7" s="410"/>
      <c r="F7" s="431" t="s">
        <v>284</v>
      </c>
      <c r="G7" s="410" t="s">
        <v>162</v>
      </c>
      <c r="H7" s="412">
        <v>2128200</v>
      </c>
      <c r="I7" s="426" t="s">
        <v>155</v>
      </c>
      <c r="J7" s="176">
        <f>R7-L7-N7-P7-Q7</f>
        <v>244743</v>
      </c>
      <c r="K7" s="379" t="s">
        <v>281</v>
      </c>
      <c r="L7" s="176">
        <f>IF(K7="-",0,H7*0.03)</f>
        <v>63846</v>
      </c>
      <c r="M7" s="379" t="s">
        <v>292</v>
      </c>
      <c r="N7" s="176">
        <f>IF(M7="-",0,H7*0.02)</f>
        <v>42564</v>
      </c>
      <c r="O7" s="379" t="s">
        <v>56</v>
      </c>
      <c r="P7" s="176">
        <f>IF(O7="-",0,H7*0.01)</f>
        <v>0</v>
      </c>
      <c r="Q7" s="177">
        <f>H7*0.005</f>
        <v>10641</v>
      </c>
      <c r="R7" s="177">
        <f>IF(I7="V.Tân",H7*0.1375,IF(I7="nguyện",H7*0.1375,IF(I7="TOẢN",H7*0.1375,H7*0.17)))</f>
        <v>361794</v>
      </c>
      <c r="S7" s="180"/>
      <c r="T7" s="180"/>
      <c r="U7" s="180"/>
      <c r="V7" s="180"/>
    </row>
    <row r="8" spans="1:22" s="181" customFormat="1" ht="45.75" customHeight="1">
      <c r="A8" s="175">
        <v>2</v>
      </c>
      <c r="B8" s="408" t="s">
        <v>275</v>
      </c>
      <c r="C8" s="409" t="s">
        <v>460</v>
      </c>
      <c r="D8" s="410">
        <v>51</v>
      </c>
      <c r="E8" s="410"/>
      <c r="F8" s="431" t="s">
        <v>284</v>
      </c>
      <c r="G8" s="410" t="s">
        <v>162</v>
      </c>
      <c r="H8" s="412">
        <v>2128200</v>
      </c>
      <c r="I8" s="426" t="s">
        <v>155</v>
      </c>
      <c r="J8" s="176">
        <f t="shared" ref="J8:J99" si="0">R8-L8-N8-P8-Q8</f>
        <v>223461</v>
      </c>
      <c r="K8" s="379" t="s">
        <v>281</v>
      </c>
      <c r="L8" s="176">
        <f t="shared" ref="L8:L99" si="1">IF(K8="-",0,H8*0.03)</f>
        <v>63846</v>
      </c>
      <c r="M8" s="379" t="s">
        <v>159</v>
      </c>
      <c r="N8" s="176">
        <f t="shared" ref="N8:N99" si="2">IF(M8="-",0,H8*0.02)</f>
        <v>42564</v>
      </c>
      <c r="O8" s="379" t="s">
        <v>290</v>
      </c>
      <c r="P8" s="176">
        <f t="shared" ref="P8:P99" si="3">IF(O8="-",0,H8*0.01)</f>
        <v>21282</v>
      </c>
      <c r="Q8" s="177">
        <f t="shared" ref="Q8:Q99" si="4">H8*0.005</f>
        <v>10641</v>
      </c>
      <c r="R8" s="177">
        <f t="shared" ref="R8:R99" si="5">IF(I8="V.Tân",H8*0.1375,IF(I8="nguyện",H8*0.1375,IF(I8="TOẢN",H8*0.1375,H8*0.17)))</f>
        <v>361794</v>
      </c>
      <c r="S8" s="180"/>
      <c r="T8" s="180"/>
      <c r="U8" s="180"/>
      <c r="V8" s="180"/>
    </row>
    <row r="9" spans="1:22" s="181" customFormat="1" ht="45.75" customHeight="1">
      <c r="A9" s="175">
        <v>3</v>
      </c>
      <c r="B9" s="408" t="s">
        <v>276</v>
      </c>
      <c r="C9" s="409" t="s">
        <v>461</v>
      </c>
      <c r="D9" s="410">
        <v>72</v>
      </c>
      <c r="E9" s="410"/>
      <c r="F9" s="431" t="s">
        <v>285</v>
      </c>
      <c r="G9" s="410" t="s">
        <v>162</v>
      </c>
      <c r="H9" s="412">
        <v>2760100</v>
      </c>
      <c r="I9" s="427" t="s">
        <v>151</v>
      </c>
      <c r="J9" s="176">
        <f t="shared" si="0"/>
        <v>227708.25000000006</v>
      </c>
      <c r="K9" s="379" t="s">
        <v>157</v>
      </c>
      <c r="L9" s="176">
        <f t="shared" si="1"/>
        <v>82803</v>
      </c>
      <c r="M9" s="379" t="s">
        <v>160</v>
      </c>
      <c r="N9" s="176">
        <f t="shared" si="2"/>
        <v>55202</v>
      </c>
      <c r="O9" s="379" t="s">
        <v>56</v>
      </c>
      <c r="P9" s="176">
        <f t="shared" si="3"/>
        <v>0</v>
      </c>
      <c r="Q9" s="177">
        <f t="shared" si="4"/>
        <v>13800.5</v>
      </c>
      <c r="R9" s="177">
        <f t="shared" si="5"/>
        <v>379513.75000000006</v>
      </c>
      <c r="S9" s="197"/>
      <c r="T9" s="180"/>
      <c r="U9" s="180"/>
      <c r="V9" s="180"/>
    </row>
    <row r="10" spans="1:22" s="181" customFormat="1" ht="45.75" customHeight="1">
      <c r="A10" s="175">
        <v>4</v>
      </c>
      <c r="B10" s="408" t="s">
        <v>279</v>
      </c>
      <c r="C10" s="409" t="s">
        <v>368</v>
      </c>
      <c r="D10" s="410"/>
      <c r="E10" s="410">
        <v>60</v>
      </c>
      <c r="F10" s="431" t="s">
        <v>147</v>
      </c>
      <c r="G10" s="410" t="s">
        <v>143</v>
      </c>
      <c r="H10" s="412">
        <v>4497500</v>
      </c>
      <c r="I10" s="426" t="s">
        <v>156</v>
      </c>
      <c r="J10" s="176">
        <f t="shared" si="0"/>
        <v>472237.5</v>
      </c>
      <c r="K10" s="379" t="s">
        <v>152</v>
      </c>
      <c r="L10" s="176">
        <f t="shared" si="1"/>
        <v>134925</v>
      </c>
      <c r="M10" s="379" t="s">
        <v>173</v>
      </c>
      <c r="N10" s="176">
        <f t="shared" si="2"/>
        <v>89950</v>
      </c>
      <c r="O10" s="379" t="s">
        <v>280</v>
      </c>
      <c r="P10" s="176">
        <f t="shared" si="3"/>
        <v>44975</v>
      </c>
      <c r="Q10" s="177">
        <f t="shared" si="4"/>
        <v>22487.5</v>
      </c>
      <c r="R10" s="177">
        <f t="shared" si="5"/>
        <v>764575</v>
      </c>
      <c r="S10" s="180"/>
      <c r="T10" s="180"/>
      <c r="U10" s="180"/>
      <c r="V10" s="180"/>
    </row>
    <row r="11" spans="1:22" s="181" customFormat="1" ht="45.75" customHeight="1">
      <c r="A11" s="175">
        <v>5</v>
      </c>
      <c r="B11" s="408" t="s">
        <v>279</v>
      </c>
      <c r="C11" s="409" t="s">
        <v>515</v>
      </c>
      <c r="D11" s="410">
        <v>26</v>
      </c>
      <c r="E11" s="410"/>
      <c r="F11" s="431" t="s">
        <v>147</v>
      </c>
      <c r="G11" s="410" t="s">
        <v>166</v>
      </c>
      <c r="H11" s="412">
        <v>9972000</v>
      </c>
      <c r="I11" s="426" t="s">
        <v>154</v>
      </c>
      <c r="J11" s="176">
        <f t="shared" si="0"/>
        <v>722970</v>
      </c>
      <c r="K11" s="379" t="s">
        <v>173</v>
      </c>
      <c r="L11" s="176">
        <f t="shared" si="1"/>
        <v>299160</v>
      </c>
      <c r="M11" s="379" t="s">
        <v>280</v>
      </c>
      <c r="N11" s="176">
        <f t="shared" si="2"/>
        <v>199440</v>
      </c>
      <c r="O11" s="379" t="s">
        <v>282</v>
      </c>
      <c r="P11" s="176">
        <f t="shared" si="3"/>
        <v>99720</v>
      </c>
      <c r="Q11" s="177">
        <f t="shared" si="4"/>
        <v>49860</v>
      </c>
      <c r="R11" s="177">
        <f t="shared" si="5"/>
        <v>1371150</v>
      </c>
      <c r="S11" s="180"/>
      <c r="T11" s="180"/>
      <c r="U11" s="180"/>
      <c r="V11" s="180"/>
    </row>
    <row r="12" spans="1:22" s="181" customFormat="1" ht="45.75" customHeight="1">
      <c r="A12" s="175">
        <v>6</v>
      </c>
      <c r="B12" s="408" t="s">
        <v>279</v>
      </c>
      <c r="C12" s="409" t="s">
        <v>515</v>
      </c>
      <c r="D12" s="410">
        <v>26</v>
      </c>
      <c r="E12" s="410"/>
      <c r="F12" s="431" t="s">
        <v>516</v>
      </c>
      <c r="G12" s="410" t="s">
        <v>166</v>
      </c>
      <c r="H12" s="412">
        <v>3000000</v>
      </c>
      <c r="I12" s="426" t="s">
        <v>154</v>
      </c>
      <c r="J12" s="176">
        <f t="shared" si="0"/>
        <v>217500.00000000006</v>
      </c>
      <c r="K12" s="379" t="s">
        <v>173</v>
      </c>
      <c r="L12" s="176">
        <f t="shared" si="1"/>
        <v>90000</v>
      </c>
      <c r="M12" s="379" t="s">
        <v>280</v>
      </c>
      <c r="N12" s="176">
        <f t="shared" si="2"/>
        <v>60000</v>
      </c>
      <c r="O12" s="379" t="s">
        <v>282</v>
      </c>
      <c r="P12" s="176">
        <f t="shared" si="3"/>
        <v>30000</v>
      </c>
      <c r="Q12" s="177">
        <f t="shared" si="4"/>
        <v>15000</v>
      </c>
      <c r="R12" s="177">
        <f t="shared" si="5"/>
        <v>412500.00000000006</v>
      </c>
      <c r="S12" s="180"/>
      <c r="T12" s="180"/>
      <c r="U12" s="180"/>
      <c r="V12" s="180"/>
    </row>
    <row r="13" spans="1:22" s="181" customFormat="1" ht="45.75" customHeight="1">
      <c r="A13" s="175">
        <v>7</v>
      </c>
      <c r="B13" s="408" t="s">
        <v>294</v>
      </c>
      <c r="C13" s="409" t="s">
        <v>462</v>
      </c>
      <c r="D13" s="410">
        <v>40</v>
      </c>
      <c r="E13" s="410"/>
      <c r="F13" s="431" t="s">
        <v>269</v>
      </c>
      <c r="G13" s="410" t="s">
        <v>162</v>
      </c>
      <c r="H13" s="412">
        <v>2128200</v>
      </c>
      <c r="I13" s="426" t="s">
        <v>154</v>
      </c>
      <c r="J13" s="176">
        <f t="shared" si="0"/>
        <v>154294.5</v>
      </c>
      <c r="K13" s="379" t="s">
        <v>157</v>
      </c>
      <c r="L13" s="176">
        <f t="shared" si="1"/>
        <v>63846</v>
      </c>
      <c r="M13" s="379" t="s">
        <v>281</v>
      </c>
      <c r="N13" s="176">
        <f t="shared" si="2"/>
        <v>42564</v>
      </c>
      <c r="O13" s="379" t="s">
        <v>290</v>
      </c>
      <c r="P13" s="176">
        <f t="shared" si="3"/>
        <v>21282</v>
      </c>
      <c r="Q13" s="177">
        <f t="shared" si="4"/>
        <v>10641</v>
      </c>
      <c r="R13" s="177">
        <f t="shared" si="5"/>
        <v>292627.5</v>
      </c>
      <c r="S13" s="180"/>
      <c r="T13" s="180"/>
      <c r="U13" s="180"/>
      <c r="V13" s="180"/>
    </row>
    <row r="14" spans="1:22" s="149" customFormat="1" ht="45.75" customHeight="1">
      <c r="A14" s="175">
        <v>8</v>
      </c>
      <c r="B14" s="408" t="s">
        <v>294</v>
      </c>
      <c r="C14" s="409" t="s">
        <v>372</v>
      </c>
      <c r="D14" s="410">
        <v>56</v>
      </c>
      <c r="E14" s="410"/>
      <c r="F14" s="431" t="s">
        <v>165</v>
      </c>
      <c r="G14" s="410" t="s">
        <v>143</v>
      </c>
      <c r="H14" s="412">
        <v>4497500</v>
      </c>
      <c r="I14" s="426" t="s">
        <v>153</v>
      </c>
      <c r="J14" s="176">
        <f t="shared" si="0"/>
        <v>472237.5</v>
      </c>
      <c r="K14" s="379" t="s">
        <v>159</v>
      </c>
      <c r="L14" s="176">
        <f t="shared" si="1"/>
        <v>134925</v>
      </c>
      <c r="M14" s="379" t="s">
        <v>158</v>
      </c>
      <c r="N14" s="176">
        <f t="shared" si="2"/>
        <v>89950</v>
      </c>
      <c r="O14" s="379" t="s">
        <v>282</v>
      </c>
      <c r="P14" s="176">
        <f t="shared" si="3"/>
        <v>44975</v>
      </c>
      <c r="Q14" s="177">
        <f t="shared" si="4"/>
        <v>22487.5</v>
      </c>
      <c r="R14" s="177">
        <f t="shared" si="5"/>
        <v>764575</v>
      </c>
      <c r="S14" s="182"/>
      <c r="T14" s="182"/>
      <c r="U14" s="182"/>
      <c r="V14" s="182"/>
    </row>
    <row r="15" spans="1:22" s="149" customFormat="1" ht="45.75" customHeight="1">
      <c r="A15" s="175">
        <v>9</v>
      </c>
      <c r="B15" s="408" t="s">
        <v>294</v>
      </c>
      <c r="C15" s="409" t="s">
        <v>463</v>
      </c>
      <c r="D15" s="410">
        <v>62</v>
      </c>
      <c r="E15" s="410"/>
      <c r="F15" s="431" t="s">
        <v>269</v>
      </c>
      <c r="G15" s="410" t="s">
        <v>162</v>
      </c>
      <c r="H15" s="412">
        <v>2128200</v>
      </c>
      <c r="I15" s="426" t="s">
        <v>152</v>
      </c>
      <c r="J15" s="176">
        <f t="shared" si="0"/>
        <v>175576.5</v>
      </c>
      <c r="K15" s="379" t="s">
        <v>158</v>
      </c>
      <c r="L15" s="176">
        <f t="shared" si="1"/>
        <v>63846</v>
      </c>
      <c r="M15" s="379" t="s">
        <v>292</v>
      </c>
      <c r="N15" s="176">
        <f t="shared" si="2"/>
        <v>42564</v>
      </c>
      <c r="O15" s="379" t="s">
        <v>56</v>
      </c>
      <c r="P15" s="176">
        <f t="shared" si="3"/>
        <v>0</v>
      </c>
      <c r="Q15" s="177">
        <f t="shared" si="4"/>
        <v>10641</v>
      </c>
      <c r="R15" s="177">
        <f t="shared" si="5"/>
        <v>292627.5</v>
      </c>
      <c r="S15" s="182"/>
      <c r="T15" s="182"/>
      <c r="U15" s="182"/>
      <c r="V15" s="182"/>
    </row>
    <row r="16" spans="1:22" s="149" customFormat="1" ht="45.75" customHeight="1">
      <c r="A16" s="175">
        <v>10</v>
      </c>
      <c r="B16" s="408" t="s">
        <v>294</v>
      </c>
      <c r="C16" s="409" t="s">
        <v>460</v>
      </c>
      <c r="D16" s="410">
        <v>51</v>
      </c>
      <c r="E16" s="410"/>
      <c r="F16" s="431" t="s">
        <v>464</v>
      </c>
      <c r="G16" s="410" t="s">
        <v>162</v>
      </c>
      <c r="H16" s="412">
        <v>1955100</v>
      </c>
      <c r="I16" s="426" t="s">
        <v>155</v>
      </c>
      <c r="J16" s="176">
        <f t="shared" si="0"/>
        <v>224836.5</v>
      </c>
      <c r="K16" s="379" t="s">
        <v>161</v>
      </c>
      <c r="L16" s="176">
        <f t="shared" si="1"/>
        <v>58653</v>
      </c>
      <c r="M16" s="379" t="s">
        <v>282</v>
      </c>
      <c r="N16" s="176">
        <f t="shared" si="2"/>
        <v>39102</v>
      </c>
      <c r="O16" s="379" t="s">
        <v>56</v>
      </c>
      <c r="P16" s="176">
        <f t="shared" si="3"/>
        <v>0</v>
      </c>
      <c r="Q16" s="177">
        <f t="shared" si="4"/>
        <v>9775.5</v>
      </c>
      <c r="R16" s="177">
        <f t="shared" si="5"/>
        <v>332367</v>
      </c>
      <c r="S16" s="182"/>
      <c r="T16" s="182"/>
      <c r="U16" s="182"/>
      <c r="V16" s="182"/>
    </row>
    <row r="17" spans="1:22" s="149" customFormat="1" ht="45.75" customHeight="1">
      <c r="A17" s="175">
        <v>11</v>
      </c>
      <c r="B17" s="408" t="s">
        <v>294</v>
      </c>
      <c r="C17" s="409" t="s">
        <v>373</v>
      </c>
      <c r="D17" s="410">
        <v>59</v>
      </c>
      <c r="E17" s="410"/>
      <c r="F17" s="431" t="s">
        <v>165</v>
      </c>
      <c r="G17" s="410" t="s">
        <v>143</v>
      </c>
      <c r="H17" s="412">
        <v>4497500</v>
      </c>
      <c r="I17" s="426" t="s">
        <v>155</v>
      </c>
      <c r="J17" s="176">
        <f t="shared" si="0"/>
        <v>472237.5</v>
      </c>
      <c r="K17" s="379" t="s">
        <v>159</v>
      </c>
      <c r="L17" s="176">
        <f t="shared" si="1"/>
        <v>134925</v>
      </c>
      <c r="M17" s="379" t="s">
        <v>158</v>
      </c>
      <c r="N17" s="176">
        <f t="shared" si="2"/>
        <v>89950</v>
      </c>
      <c r="O17" s="379" t="s">
        <v>161</v>
      </c>
      <c r="P17" s="176">
        <f t="shared" si="3"/>
        <v>44975</v>
      </c>
      <c r="Q17" s="177">
        <f t="shared" si="4"/>
        <v>22487.5</v>
      </c>
      <c r="R17" s="177">
        <f t="shared" si="5"/>
        <v>764575</v>
      </c>
      <c r="S17" s="182"/>
      <c r="T17" s="182"/>
      <c r="U17" s="182"/>
      <c r="V17" s="182"/>
    </row>
    <row r="18" spans="1:22" s="149" customFormat="1" ht="45.75" customHeight="1">
      <c r="A18" s="175">
        <v>12</v>
      </c>
      <c r="B18" s="408" t="s">
        <v>374</v>
      </c>
      <c r="C18" s="409" t="s">
        <v>375</v>
      </c>
      <c r="D18" s="410">
        <v>38</v>
      </c>
      <c r="E18" s="410"/>
      <c r="F18" s="431" t="s">
        <v>165</v>
      </c>
      <c r="G18" s="410" t="s">
        <v>143</v>
      </c>
      <c r="H18" s="412">
        <v>4497500</v>
      </c>
      <c r="I18" s="426" t="s">
        <v>155</v>
      </c>
      <c r="J18" s="176">
        <f t="shared" si="0"/>
        <v>472237.5</v>
      </c>
      <c r="K18" s="379" t="s">
        <v>157</v>
      </c>
      <c r="L18" s="176">
        <f t="shared" si="1"/>
        <v>134925</v>
      </c>
      <c r="M18" s="379" t="s">
        <v>280</v>
      </c>
      <c r="N18" s="176">
        <f t="shared" si="2"/>
        <v>89950</v>
      </c>
      <c r="O18" s="379" t="s">
        <v>291</v>
      </c>
      <c r="P18" s="176">
        <f t="shared" si="3"/>
        <v>44975</v>
      </c>
      <c r="Q18" s="177">
        <f t="shared" si="4"/>
        <v>22487.5</v>
      </c>
      <c r="R18" s="177">
        <f t="shared" si="5"/>
        <v>764575</v>
      </c>
      <c r="S18" s="182"/>
      <c r="T18" s="182"/>
      <c r="U18" s="182"/>
      <c r="V18" s="182"/>
    </row>
    <row r="19" spans="1:22" s="149" customFormat="1" ht="45.75" customHeight="1">
      <c r="A19" s="175">
        <v>13</v>
      </c>
      <c r="B19" s="408" t="s">
        <v>374</v>
      </c>
      <c r="C19" s="409" t="s">
        <v>375</v>
      </c>
      <c r="D19" s="410">
        <v>38</v>
      </c>
      <c r="E19" s="410"/>
      <c r="F19" s="431" t="s">
        <v>165</v>
      </c>
      <c r="G19" s="410" t="s">
        <v>143</v>
      </c>
      <c r="H19" s="412">
        <v>2248750</v>
      </c>
      <c r="I19" s="426" t="s">
        <v>155</v>
      </c>
      <c r="J19" s="176">
        <f t="shared" si="0"/>
        <v>258606.25</v>
      </c>
      <c r="K19" s="379" t="s">
        <v>154</v>
      </c>
      <c r="L19" s="176">
        <f t="shared" si="1"/>
        <v>67462.5</v>
      </c>
      <c r="M19" s="379" t="s">
        <v>161</v>
      </c>
      <c r="N19" s="176">
        <f t="shared" si="2"/>
        <v>44975</v>
      </c>
      <c r="O19" s="379" t="s">
        <v>56</v>
      </c>
      <c r="P19" s="176">
        <f t="shared" si="3"/>
        <v>0</v>
      </c>
      <c r="Q19" s="177">
        <f t="shared" si="4"/>
        <v>11243.75</v>
      </c>
      <c r="R19" s="177">
        <f t="shared" si="5"/>
        <v>382287.5</v>
      </c>
      <c r="S19" s="182"/>
      <c r="T19" s="182"/>
      <c r="U19" s="182"/>
      <c r="V19" s="182"/>
    </row>
    <row r="20" spans="1:22" s="149" customFormat="1" ht="45.75" customHeight="1">
      <c r="A20" s="175">
        <v>14</v>
      </c>
      <c r="B20" s="408" t="s">
        <v>374</v>
      </c>
      <c r="C20" s="409" t="s">
        <v>517</v>
      </c>
      <c r="D20" s="410">
        <v>36</v>
      </c>
      <c r="E20" s="410"/>
      <c r="F20" s="431" t="s">
        <v>165</v>
      </c>
      <c r="G20" s="410" t="s">
        <v>166</v>
      </c>
      <c r="H20" s="412">
        <v>9972000</v>
      </c>
      <c r="I20" s="426" t="s">
        <v>156</v>
      </c>
      <c r="J20" s="176">
        <f t="shared" si="0"/>
        <v>1047060.0000000002</v>
      </c>
      <c r="K20" s="379" t="s">
        <v>151</v>
      </c>
      <c r="L20" s="176">
        <f t="shared" si="1"/>
        <v>299160</v>
      </c>
      <c r="M20" s="379" t="s">
        <v>154</v>
      </c>
      <c r="N20" s="176">
        <f t="shared" si="2"/>
        <v>199440</v>
      </c>
      <c r="O20" s="379" t="s">
        <v>158</v>
      </c>
      <c r="P20" s="176">
        <f t="shared" si="3"/>
        <v>99720</v>
      </c>
      <c r="Q20" s="177">
        <f t="shared" si="4"/>
        <v>49860</v>
      </c>
      <c r="R20" s="177">
        <f t="shared" si="5"/>
        <v>1695240.0000000002</v>
      </c>
      <c r="S20" s="182"/>
      <c r="T20" s="182"/>
      <c r="U20" s="182"/>
      <c r="V20" s="182"/>
    </row>
    <row r="21" spans="1:22" s="149" customFormat="1" ht="45.75" customHeight="1">
      <c r="A21" s="175">
        <v>15</v>
      </c>
      <c r="B21" s="408" t="s">
        <v>374</v>
      </c>
      <c r="C21" s="409" t="s">
        <v>288</v>
      </c>
      <c r="D21" s="410"/>
      <c r="E21" s="410">
        <v>73</v>
      </c>
      <c r="F21" s="431" t="s">
        <v>174</v>
      </c>
      <c r="G21" s="410" t="s">
        <v>162</v>
      </c>
      <c r="H21" s="412">
        <v>1947600</v>
      </c>
      <c r="I21" s="426" t="s">
        <v>152</v>
      </c>
      <c r="J21" s="176">
        <f t="shared" si="0"/>
        <v>160677</v>
      </c>
      <c r="K21" s="379" t="s">
        <v>160</v>
      </c>
      <c r="L21" s="176">
        <f t="shared" si="1"/>
        <v>58428</v>
      </c>
      <c r="M21" s="379" t="s">
        <v>158</v>
      </c>
      <c r="N21" s="176">
        <f t="shared" si="2"/>
        <v>38952</v>
      </c>
      <c r="O21" s="379" t="s">
        <v>56</v>
      </c>
      <c r="P21" s="176">
        <f t="shared" si="3"/>
        <v>0</v>
      </c>
      <c r="Q21" s="177">
        <f t="shared" si="4"/>
        <v>9738</v>
      </c>
      <c r="R21" s="177">
        <f t="shared" si="5"/>
        <v>267795</v>
      </c>
      <c r="S21" s="182"/>
      <c r="T21" s="182"/>
      <c r="U21" s="182"/>
      <c r="V21" s="182"/>
    </row>
    <row r="22" spans="1:22" s="149" customFormat="1" ht="45.75" customHeight="1">
      <c r="A22" s="175">
        <v>16</v>
      </c>
      <c r="B22" s="408" t="s">
        <v>374</v>
      </c>
      <c r="C22" s="409" t="s">
        <v>465</v>
      </c>
      <c r="D22" s="410">
        <v>24</v>
      </c>
      <c r="E22" s="410"/>
      <c r="F22" s="431" t="s">
        <v>466</v>
      </c>
      <c r="G22" s="410" t="s">
        <v>162</v>
      </c>
      <c r="H22" s="412">
        <v>2559100</v>
      </c>
      <c r="I22" s="426" t="s">
        <v>152</v>
      </c>
      <c r="J22" s="176">
        <f t="shared" si="0"/>
        <v>185534.75</v>
      </c>
      <c r="K22" s="379" t="s">
        <v>158</v>
      </c>
      <c r="L22" s="176">
        <f t="shared" si="1"/>
        <v>76773</v>
      </c>
      <c r="M22" s="379" t="s">
        <v>160</v>
      </c>
      <c r="N22" s="176">
        <f t="shared" si="2"/>
        <v>51182</v>
      </c>
      <c r="O22" s="379" t="s">
        <v>282</v>
      </c>
      <c r="P22" s="176">
        <f t="shared" si="3"/>
        <v>25591</v>
      </c>
      <c r="Q22" s="177">
        <f t="shared" si="4"/>
        <v>12795.5</v>
      </c>
      <c r="R22" s="177">
        <f t="shared" si="5"/>
        <v>351876.25</v>
      </c>
      <c r="S22" s="182"/>
      <c r="T22" s="182"/>
      <c r="U22" s="182"/>
      <c r="V22" s="182"/>
    </row>
    <row r="23" spans="1:22" s="149" customFormat="1" ht="45.75" customHeight="1">
      <c r="A23" s="175">
        <v>17</v>
      </c>
      <c r="B23" s="408" t="s">
        <v>374</v>
      </c>
      <c r="C23" s="409" t="s">
        <v>518</v>
      </c>
      <c r="D23" s="410"/>
      <c r="E23" s="410">
        <v>60</v>
      </c>
      <c r="F23" s="431" t="s">
        <v>165</v>
      </c>
      <c r="G23" s="410" t="s">
        <v>166</v>
      </c>
      <c r="H23" s="412">
        <v>9972000</v>
      </c>
      <c r="I23" s="426" t="s">
        <v>152</v>
      </c>
      <c r="J23" s="176">
        <f t="shared" si="0"/>
        <v>822690</v>
      </c>
      <c r="K23" s="379" t="s">
        <v>157</v>
      </c>
      <c r="L23" s="176">
        <f t="shared" si="1"/>
        <v>299160</v>
      </c>
      <c r="M23" s="379" t="s">
        <v>280</v>
      </c>
      <c r="N23" s="176">
        <f t="shared" si="2"/>
        <v>199440</v>
      </c>
      <c r="O23" s="379" t="s">
        <v>56</v>
      </c>
      <c r="P23" s="176">
        <f t="shared" si="3"/>
        <v>0</v>
      </c>
      <c r="Q23" s="177">
        <f t="shared" si="4"/>
        <v>49860</v>
      </c>
      <c r="R23" s="177">
        <f t="shared" si="5"/>
        <v>1371150</v>
      </c>
      <c r="S23" s="182"/>
      <c r="T23" s="182"/>
      <c r="U23" s="182"/>
      <c r="V23" s="182"/>
    </row>
    <row r="24" spans="1:22" s="149" customFormat="1" ht="15">
      <c r="A24" s="175">
        <v>18</v>
      </c>
      <c r="B24" s="408" t="s">
        <v>374</v>
      </c>
      <c r="C24" s="409" t="s">
        <v>468</v>
      </c>
      <c r="D24" s="410"/>
      <c r="E24" s="410">
        <v>22</v>
      </c>
      <c r="F24" s="431" t="s">
        <v>466</v>
      </c>
      <c r="G24" s="410" t="s">
        <v>162</v>
      </c>
      <c r="H24" s="412">
        <v>2559100</v>
      </c>
      <c r="I24" s="426" t="s">
        <v>155</v>
      </c>
      <c r="J24" s="176">
        <f t="shared" si="0"/>
        <v>268705.50000000006</v>
      </c>
      <c r="K24" s="379" t="s">
        <v>157</v>
      </c>
      <c r="L24" s="176">
        <f t="shared" si="1"/>
        <v>76773</v>
      </c>
      <c r="M24" s="379" t="s">
        <v>281</v>
      </c>
      <c r="N24" s="176">
        <f t="shared" si="2"/>
        <v>51182</v>
      </c>
      <c r="O24" s="379" t="s">
        <v>282</v>
      </c>
      <c r="P24" s="176">
        <f t="shared" si="3"/>
        <v>25591</v>
      </c>
      <c r="Q24" s="177">
        <f t="shared" si="4"/>
        <v>12795.5</v>
      </c>
      <c r="R24" s="177">
        <f t="shared" si="5"/>
        <v>435047.00000000006</v>
      </c>
      <c r="S24" s="182"/>
      <c r="T24" s="182"/>
      <c r="U24" s="182"/>
      <c r="V24" s="182"/>
    </row>
    <row r="25" spans="1:22" s="149" customFormat="1" ht="45.75" customHeight="1">
      <c r="A25" s="175">
        <v>19</v>
      </c>
      <c r="B25" s="408" t="s">
        <v>374</v>
      </c>
      <c r="C25" s="409" t="s">
        <v>376</v>
      </c>
      <c r="D25" s="410">
        <v>45</v>
      </c>
      <c r="E25" s="410"/>
      <c r="F25" s="431" t="s">
        <v>289</v>
      </c>
      <c r="G25" s="410" t="s">
        <v>146</v>
      </c>
      <c r="H25" s="412">
        <v>795400</v>
      </c>
      <c r="I25" s="426" t="s">
        <v>152</v>
      </c>
      <c r="J25" s="176">
        <f t="shared" si="0"/>
        <v>57666.500000000015</v>
      </c>
      <c r="K25" s="379" t="s">
        <v>173</v>
      </c>
      <c r="L25" s="176">
        <f t="shared" si="1"/>
        <v>23862</v>
      </c>
      <c r="M25" s="379" t="s">
        <v>159</v>
      </c>
      <c r="N25" s="176">
        <f t="shared" si="2"/>
        <v>15908</v>
      </c>
      <c r="O25" s="379" t="s">
        <v>292</v>
      </c>
      <c r="P25" s="176">
        <f t="shared" si="3"/>
        <v>7954</v>
      </c>
      <c r="Q25" s="177">
        <f t="shared" si="4"/>
        <v>3977</v>
      </c>
      <c r="R25" s="177">
        <f t="shared" si="5"/>
        <v>109367.50000000001</v>
      </c>
      <c r="S25" s="182"/>
      <c r="T25" s="182"/>
      <c r="U25" s="182"/>
      <c r="V25" s="182"/>
    </row>
    <row r="26" spans="1:22" s="149" customFormat="1" ht="45.75" customHeight="1">
      <c r="A26" s="175">
        <v>20</v>
      </c>
      <c r="B26" s="408" t="s">
        <v>374</v>
      </c>
      <c r="C26" s="409" t="s">
        <v>469</v>
      </c>
      <c r="D26" s="410"/>
      <c r="E26" s="410">
        <v>74</v>
      </c>
      <c r="F26" s="431" t="s">
        <v>269</v>
      </c>
      <c r="G26" s="410" t="s">
        <v>162</v>
      </c>
      <c r="H26" s="412">
        <v>2127400</v>
      </c>
      <c r="I26" s="426" t="s">
        <v>153</v>
      </c>
      <c r="J26" s="176">
        <f t="shared" si="0"/>
        <v>244651</v>
      </c>
      <c r="K26" s="379" t="s">
        <v>158</v>
      </c>
      <c r="L26" s="176">
        <f t="shared" si="1"/>
        <v>63822</v>
      </c>
      <c r="M26" s="379" t="s">
        <v>160</v>
      </c>
      <c r="N26" s="176">
        <f t="shared" si="2"/>
        <v>42548</v>
      </c>
      <c r="O26" s="379" t="s">
        <v>56</v>
      </c>
      <c r="P26" s="176">
        <f t="shared" si="3"/>
        <v>0</v>
      </c>
      <c r="Q26" s="177">
        <f t="shared" si="4"/>
        <v>10637</v>
      </c>
      <c r="R26" s="177">
        <f t="shared" si="5"/>
        <v>361658</v>
      </c>
      <c r="S26" s="182"/>
      <c r="T26" s="182"/>
      <c r="U26" s="182"/>
      <c r="V26" s="182"/>
    </row>
    <row r="27" spans="1:22" s="149" customFormat="1" ht="45.75" customHeight="1">
      <c r="A27" s="175">
        <v>21</v>
      </c>
      <c r="B27" s="408" t="s">
        <v>377</v>
      </c>
      <c r="C27" s="409" t="s">
        <v>378</v>
      </c>
      <c r="D27" s="410"/>
      <c r="E27" s="410">
        <v>67</v>
      </c>
      <c r="F27" s="431" t="s">
        <v>165</v>
      </c>
      <c r="G27" s="410" t="s">
        <v>143</v>
      </c>
      <c r="H27" s="412">
        <v>4497500</v>
      </c>
      <c r="I27" s="426" t="s">
        <v>152</v>
      </c>
      <c r="J27" s="176">
        <f t="shared" si="0"/>
        <v>326068.75</v>
      </c>
      <c r="K27" s="379" t="s">
        <v>155</v>
      </c>
      <c r="L27" s="176">
        <f t="shared" si="1"/>
        <v>134925</v>
      </c>
      <c r="M27" s="379" t="s">
        <v>157</v>
      </c>
      <c r="N27" s="176">
        <f t="shared" si="2"/>
        <v>89950</v>
      </c>
      <c r="O27" s="379" t="s">
        <v>281</v>
      </c>
      <c r="P27" s="176">
        <f t="shared" si="3"/>
        <v>44975</v>
      </c>
      <c r="Q27" s="177">
        <f t="shared" si="4"/>
        <v>22487.5</v>
      </c>
      <c r="R27" s="177">
        <f t="shared" si="5"/>
        <v>618406.25</v>
      </c>
      <c r="S27" s="182"/>
      <c r="T27" s="182"/>
      <c r="U27" s="182"/>
      <c r="V27" s="182"/>
    </row>
    <row r="28" spans="1:22" s="149" customFormat="1" ht="45.75" customHeight="1">
      <c r="A28" s="175">
        <v>22</v>
      </c>
      <c r="B28" s="408" t="s">
        <v>377</v>
      </c>
      <c r="C28" s="409" t="s">
        <v>470</v>
      </c>
      <c r="D28" s="410">
        <v>49</v>
      </c>
      <c r="E28" s="410"/>
      <c r="F28" s="431" t="s">
        <v>269</v>
      </c>
      <c r="G28" s="410" t="s">
        <v>162</v>
      </c>
      <c r="H28" s="412">
        <v>2128200</v>
      </c>
      <c r="I28" s="426" t="s">
        <v>154</v>
      </c>
      <c r="J28" s="176">
        <f t="shared" si="0"/>
        <v>175576.5</v>
      </c>
      <c r="K28" s="379" t="s">
        <v>157</v>
      </c>
      <c r="L28" s="176">
        <f t="shared" si="1"/>
        <v>63846</v>
      </c>
      <c r="M28" s="379" t="s">
        <v>158</v>
      </c>
      <c r="N28" s="176">
        <f t="shared" si="2"/>
        <v>42564</v>
      </c>
      <c r="O28" s="379" t="s">
        <v>56</v>
      </c>
      <c r="P28" s="176">
        <f t="shared" si="3"/>
        <v>0</v>
      </c>
      <c r="Q28" s="177">
        <f t="shared" si="4"/>
        <v>10641</v>
      </c>
      <c r="R28" s="177">
        <f t="shared" si="5"/>
        <v>292627.5</v>
      </c>
      <c r="S28" s="182"/>
      <c r="T28" s="182"/>
      <c r="U28" s="182"/>
      <c r="V28" s="182"/>
    </row>
    <row r="29" spans="1:22" s="149" customFormat="1" ht="45.75" customHeight="1">
      <c r="A29" s="175">
        <v>23</v>
      </c>
      <c r="B29" s="408" t="s">
        <v>377</v>
      </c>
      <c r="C29" s="409" t="s">
        <v>379</v>
      </c>
      <c r="D29" s="410"/>
      <c r="E29" s="410">
        <v>88</v>
      </c>
      <c r="F29" s="431" t="s">
        <v>165</v>
      </c>
      <c r="G29" s="410" t="s">
        <v>143</v>
      </c>
      <c r="H29" s="412">
        <v>4497500</v>
      </c>
      <c r="I29" s="426" t="s">
        <v>153</v>
      </c>
      <c r="J29" s="176">
        <f t="shared" si="0"/>
        <v>472237.5</v>
      </c>
      <c r="K29" s="379" t="s">
        <v>157</v>
      </c>
      <c r="L29" s="176">
        <f t="shared" si="1"/>
        <v>134925</v>
      </c>
      <c r="M29" s="379" t="s">
        <v>280</v>
      </c>
      <c r="N29" s="176">
        <f t="shared" si="2"/>
        <v>89950</v>
      </c>
      <c r="O29" s="379" t="s">
        <v>159</v>
      </c>
      <c r="P29" s="176">
        <f t="shared" si="3"/>
        <v>44975</v>
      </c>
      <c r="Q29" s="177">
        <f t="shared" si="4"/>
        <v>22487.5</v>
      </c>
      <c r="R29" s="177">
        <f t="shared" si="5"/>
        <v>764575</v>
      </c>
      <c r="S29" s="182"/>
      <c r="T29" s="182"/>
      <c r="U29" s="182"/>
      <c r="V29" s="182"/>
    </row>
    <row r="30" spans="1:22" s="149" customFormat="1" ht="45.75" customHeight="1">
      <c r="A30" s="175">
        <v>24</v>
      </c>
      <c r="B30" s="408" t="s">
        <v>377</v>
      </c>
      <c r="C30" s="409" t="s">
        <v>471</v>
      </c>
      <c r="D30" s="410"/>
      <c r="E30" s="410">
        <v>31</v>
      </c>
      <c r="F30" s="431" t="s">
        <v>472</v>
      </c>
      <c r="G30" s="410" t="s">
        <v>162</v>
      </c>
      <c r="H30" s="412">
        <v>2559100</v>
      </c>
      <c r="I30" s="426" t="s">
        <v>155</v>
      </c>
      <c r="J30" s="176">
        <f t="shared" si="0"/>
        <v>268705.50000000006</v>
      </c>
      <c r="K30" s="379" t="s">
        <v>157</v>
      </c>
      <c r="L30" s="176">
        <f t="shared" si="1"/>
        <v>76773</v>
      </c>
      <c r="M30" s="379" t="s">
        <v>281</v>
      </c>
      <c r="N30" s="176">
        <f t="shared" si="2"/>
        <v>51182</v>
      </c>
      <c r="O30" s="379" t="s">
        <v>282</v>
      </c>
      <c r="P30" s="176">
        <f t="shared" si="3"/>
        <v>25591</v>
      </c>
      <c r="Q30" s="177">
        <f t="shared" si="4"/>
        <v>12795.5</v>
      </c>
      <c r="R30" s="177">
        <f t="shared" si="5"/>
        <v>435047.00000000006</v>
      </c>
      <c r="S30" s="182"/>
      <c r="T30" s="182"/>
      <c r="U30" s="182"/>
      <c r="V30" s="182"/>
    </row>
    <row r="31" spans="1:22" s="149" customFormat="1" ht="45.75" customHeight="1">
      <c r="A31" s="175">
        <v>25</v>
      </c>
      <c r="B31" s="408" t="s">
        <v>380</v>
      </c>
      <c r="C31" s="409" t="s">
        <v>371</v>
      </c>
      <c r="D31" s="410">
        <v>42</v>
      </c>
      <c r="E31" s="410"/>
      <c r="F31" s="431" t="s">
        <v>165</v>
      </c>
      <c r="G31" s="410" t="s">
        <v>143</v>
      </c>
      <c r="H31" s="412">
        <v>4497500</v>
      </c>
      <c r="I31" s="426" t="s">
        <v>155</v>
      </c>
      <c r="J31" s="176">
        <f t="shared" si="0"/>
        <v>472237.5</v>
      </c>
      <c r="K31" s="379" t="s">
        <v>157</v>
      </c>
      <c r="L31" s="176">
        <f t="shared" si="1"/>
        <v>134925</v>
      </c>
      <c r="M31" s="379" t="s">
        <v>159</v>
      </c>
      <c r="N31" s="176">
        <f t="shared" si="2"/>
        <v>89950</v>
      </c>
      <c r="O31" s="379" t="s">
        <v>161</v>
      </c>
      <c r="P31" s="176">
        <f t="shared" si="3"/>
        <v>44975</v>
      </c>
      <c r="Q31" s="177">
        <f t="shared" si="4"/>
        <v>22487.5</v>
      </c>
      <c r="R31" s="177">
        <f t="shared" si="5"/>
        <v>764575</v>
      </c>
      <c r="S31" s="182"/>
      <c r="T31" s="182"/>
      <c r="U31" s="182"/>
      <c r="V31" s="182"/>
    </row>
    <row r="32" spans="1:22" s="149" customFormat="1" ht="45.75" customHeight="1">
      <c r="A32" s="175">
        <v>26</v>
      </c>
      <c r="B32" s="408" t="s">
        <v>380</v>
      </c>
      <c r="C32" s="409" t="s">
        <v>519</v>
      </c>
      <c r="D32" s="410"/>
      <c r="E32" s="410">
        <v>23</v>
      </c>
      <c r="F32" s="431" t="s">
        <v>520</v>
      </c>
      <c r="G32" s="410" t="s">
        <v>166</v>
      </c>
      <c r="H32" s="412">
        <v>6000000</v>
      </c>
      <c r="I32" s="426" t="s">
        <v>152</v>
      </c>
      <c r="J32" s="176">
        <f t="shared" si="0"/>
        <v>435000.00000000012</v>
      </c>
      <c r="K32" s="379" t="s">
        <v>157</v>
      </c>
      <c r="L32" s="176">
        <f t="shared" si="1"/>
        <v>180000</v>
      </c>
      <c r="M32" s="379" t="s">
        <v>173</v>
      </c>
      <c r="N32" s="176">
        <f t="shared" si="2"/>
        <v>120000</v>
      </c>
      <c r="O32" s="379" t="s">
        <v>159</v>
      </c>
      <c r="P32" s="176">
        <f t="shared" si="3"/>
        <v>60000</v>
      </c>
      <c r="Q32" s="177">
        <f t="shared" si="4"/>
        <v>30000</v>
      </c>
      <c r="R32" s="177">
        <f t="shared" si="5"/>
        <v>825000.00000000012</v>
      </c>
      <c r="S32" s="182"/>
      <c r="T32" s="182"/>
      <c r="U32" s="182"/>
      <c r="V32" s="182"/>
    </row>
    <row r="33" spans="1:22" s="149" customFormat="1" ht="15">
      <c r="A33" s="175">
        <v>27</v>
      </c>
      <c r="B33" s="408" t="s">
        <v>380</v>
      </c>
      <c r="C33" s="409" t="s">
        <v>473</v>
      </c>
      <c r="D33" s="410">
        <v>27</v>
      </c>
      <c r="E33" s="410"/>
      <c r="F33" s="431" t="s">
        <v>466</v>
      </c>
      <c r="G33" s="410" t="s">
        <v>162</v>
      </c>
      <c r="H33" s="412">
        <v>2559100</v>
      </c>
      <c r="I33" s="426" t="s">
        <v>153</v>
      </c>
      <c r="J33" s="176">
        <f t="shared" si="0"/>
        <v>294296.50000000006</v>
      </c>
      <c r="K33" s="379" t="s">
        <v>161</v>
      </c>
      <c r="L33" s="176">
        <f t="shared" si="1"/>
        <v>76773</v>
      </c>
      <c r="M33" s="379" t="s">
        <v>290</v>
      </c>
      <c r="N33" s="176">
        <f t="shared" si="2"/>
        <v>51182</v>
      </c>
      <c r="O33" s="379" t="s">
        <v>56</v>
      </c>
      <c r="P33" s="176">
        <f t="shared" si="3"/>
        <v>0</v>
      </c>
      <c r="Q33" s="177">
        <f t="shared" si="4"/>
        <v>12795.5</v>
      </c>
      <c r="R33" s="177">
        <f t="shared" si="5"/>
        <v>435047.00000000006</v>
      </c>
      <c r="S33" s="182"/>
      <c r="T33" s="182"/>
      <c r="U33" s="182"/>
      <c r="V33" s="182"/>
    </row>
    <row r="34" spans="1:22" s="149" customFormat="1" ht="45.75" customHeight="1">
      <c r="A34" s="175">
        <v>28</v>
      </c>
      <c r="B34" s="408" t="s">
        <v>382</v>
      </c>
      <c r="C34" s="409" t="s">
        <v>469</v>
      </c>
      <c r="D34" s="410"/>
      <c r="E34" s="410">
        <v>74</v>
      </c>
      <c r="F34" s="431" t="s">
        <v>269</v>
      </c>
      <c r="G34" s="410" t="s">
        <v>162</v>
      </c>
      <c r="H34" s="412">
        <v>2127400</v>
      </c>
      <c r="I34" s="426" t="s">
        <v>152</v>
      </c>
      <c r="J34" s="176">
        <f t="shared" si="0"/>
        <v>175510.5</v>
      </c>
      <c r="K34" s="379" t="s">
        <v>158</v>
      </c>
      <c r="L34" s="176">
        <f t="shared" si="1"/>
        <v>63822</v>
      </c>
      <c r="M34" s="379" t="s">
        <v>281</v>
      </c>
      <c r="N34" s="176">
        <f t="shared" si="2"/>
        <v>42548</v>
      </c>
      <c r="O34" s="379" t="s">
        <v>56</v>
      </c>
      <c r="P34" s="176">
        <f t="shared" si="3"/>
        <v>0</v>
      </c>
      <c r="Q34" s="177">
        <f t="shared" si="4"/>
        <v>10637</v>
      </c>
      <c r="R34" s="177">
        <f t="shared" si="5"/>
        <v>292517.5</v>
      </c>
      <c r="S34" s="182"/>
      <c r="T34" s="182"/>
      <c r="U34" s="182"/>
      <c r="V34" s="182"/>
    </row>
    <row r="35" spans="1:22" s="149" customFormat="1" ht="45.75" customHeight="1">
      <c r="A35" s="175">
        <v>29</v>
      </c>
      <c r="B35" s="408" t="s">
        <v>385</v>
      </c>
      <c r="C35" s="409" t="s">
        <v>386</v>
      </c>
      <c r="D35" s="410"/>
      <c r="E35" s="410">
        <v>88</v>
      </c>
      <c r="F35" s="431" t="s">
        <v>145</v>
      </c>
      <c r="G35" s="410" t="s">
        <v>146</v>
      </c>
      <c r="H35" s="412">
        <v>3897500</v>
      </c>
      <c r="I35" s="426" t="s">
        <v>156</v>
      </c>
      <c r="J35" s="176">
        <f t="shared" si="0"/>
        <v>409237.5</v>
      </c>
      <c r="K35" s="379" t="s">
        <v>151</v>
      </c>
      <c r="L35" s="176">
        <f t="shared" si="1"/>
        <v>116925</v>
      </c>
      <c r="M35" s="379" t="s">
        <v>157</v>
      </c>
      <c r="N35" s="176">
        <f t="shared" si="2"/>
        <v>77950</v>
      </c>
      <c r="O35" s="379" t="s">
        <v>160</v>
      </c>
      <c r="P35" s="176">
        <f t="shared" si="3"/>
        <v>38975</v>
      </c>
      <c r="Q35" s="177">
        <f t="shared" si="4"/>
        <v>19487.5</v>
      </c>
      <c r="R35" s="177">
        <f t="shared" si="5"/>
        <v>662575</v>
      </c>
      <c r="S35" s="182"/>
      <c r="T35" s="182"/>
      <c r="U35" s="182"/>
      <c r="V35" s="182"/>
    </row>
    <row r="36" spans="1:22" s="149" customFormat="1" ht="45.75" customHeight="1">
      <c r="A36" s="175">
        <v>30</v>
      </c>
      <c r="B36" s="408" t="s">
        <v>387</v>
      </c>
      <c r="C36" s="409" t="s">
        <v>388</v>
      </c>
      <c r="D36" s="410"/>
      <c r="E36" s="410">
        <v>72</v>
      </c>
      <c r="F36" s="431" t="s">
        <v>389</v>
      </c>
      <c r="G36" s="410" t="s">
        <v>146</v>
      </c>
      <c r="H36" s="412">
        <v>1859300</v>
      </c>
      <c r="I36" s="426" t="s">
        <v>153</v>
      </c>
      <c r="J36" s="176">
        <f t="shared" si="0"/>
        <v>213819.5</v>
      </c>
      <c r="K36" s="379" t="s">
        <v>280</v>
      </c>
      <c r="L36" s="176">
        <f t="shared" si="1"/>
        <v>55779</v>
      </c>
      <c r="M36" s="379" t="s">
        <v>158</v>
      </c>
      <c r="N36" s="176">
        <f t="shared" si="2"/>
        <v>37186</v>
      </c>
      <c r="O36" s="379" t="s">
        <v>56</v>
      </c>
      <c r="P36" s="176">
        <f t="shared" si="3"/>
        <v>0</v>
      </c>
      <c r="Q36" s="177">
        <f t="shared" si="4"/>
        <v>9296.5</v>
      </c>
      <c r="R36" s="177">
        <f t="shared" si="5"/>
        <v>316081</v>
      </c>
      <c r="S36" s="182"/>
      <c r="T36" s="182"/>
      <c r="U36" s="182"/>
      <c r="V36" s="182"/>
    </row>
    <row r="37" spans="1:22" s="149" customFormat="1" ht="21.75" customHeight="1">
      <c r="A37" s="175">
        <v>31</v>
      </c>
      <c r="B37" s="408" t="s">
        <v>390</v>
      </c>
      <c r="C37" s="409" t="s">
        <v>393</v>
      </c>
      <c r="D37" s="410">
        <v>97</v>
      </c>
      <c r="E37" s="410"/>
      <c r="F37" s="431" t="s">
        <v>145</v>
      </c>
      <c r="G37" s="410" t="s">
        <v>146</v>
      </c>
      <c r="H37" s="412">
        <v>3897500</v>
      </c>
      <c r="I37" s="427" t="s">
        <v>151</v>
      </c>
      <c r="J37" s="176">
        <f t="shared" si="0"/>
        <v>282568.75</v>
      </c>
      <c r="K37" s="379" t="s">
        <v>159</v>
      </c>
      <c r="L37" s="176">
        <f t="shared" si="1"/>
        <v>116925</v>
      </c>
      <c r="M37" s="379" t="s">
        <v>281</v>
      </c>
      <c r="N37" s="176">
        <f t="shared" si="2"/>
        <v>77950</v>
      </c>
      <c r="O37" s="379" t="s">
        <v>292</v>
      </c>
      <c r="P37" s="176">
        <f t="shared" si="3"/>
        <v>38975</v>
      </c>
      <c r="Q37" s="177">
        <f t="shared" si="4"/>
        <v>19487.5</v>
      </c>
      <c r="R37" s="177">
        <f t="shared" si="5"/>
        <v>535906.25</v>
      </c>
      <c r="S37" s="182"/>
      <c r="T37" s="182"/>
      <c r="U37" s="182"/>
      <c r="V37" s="182"/>
    </row>
    <row r="38" spans="1:22" s="149" customFormat="1" ht="30">
      <c r="A38" s="175">
        <v>32</v>
      </c>
      <c r="B38" s="408" t="s">
        <v>390</v>
      </c>
      <c r="C38" s="409" t="s">
        <v>394</v>
      </c>
      <c r="D38" s="410"/>
      <c r="E38" s="410">
        <v>32</v>
      </c>
      <c r="F38" s="431" t="s">
        <v>395</v>
      </c>
      <c r="G38" s="410" t="s">
        <v>143</v>
      </c>
      <c r="H38" s="412">
        <v>4497500</v>
      </c>
      <c r="I38" s="426" t="s">
        <v>154</v>
      </c>
      <c r="J38" s="176">
        <f t="shared" si="0"/>
        <v>326068.75</v>
      </c>
      <c r="K38" s="379" t="s">
        <v>281</v>
      </c>
      <c r="L38" s="176">
        <f t="shared" si="1"/>
        <v>134925</v>
      </c>
      <c r="M38" s="379" t="s">
        <v>159</v>
      </c>
      <c r="N38" s="176">
        <f t="shared" si="2"/>
        <v>89950</v>
      </c>
      <c r="O38" s="379" t="s">
        <v>292</v>
      </c>
      <c r="P38" s="176">
        <f t="shared" si="3"/>
        <v>44975</v>
      </c>
      <c r="Q38" s="177">
        <f t="shared" si="4"/>
        <v>22487.5</v>
      </c>
      <c r="R38" s="177">
        <f t="shared" si="5"/>
        <v>618406.25</v>
      </c>
      <c r="S38" s="182"/>
      <c r="T38" s="182"/>
      <c r="U38" s="182"/>
      <c r="V38" s="182"/>
    </row>
    <row r="39" spans="1:22" s="149" customFormat="1" ht="45.75" customHeight="1">
      <c r="A39" s="175">
        <v>33</v>
      </c>
      <c r="B39" s="408" t="s">
        <v>396</v>
      </c>
      <c r="C39" s="409" t="s">
        <v>397</v>
      </c>
      <c r="D39" s="410"/>
      <c r="E39" s="410">
        <v>73</v>
      </c>
      <c r="F39" s="431" t="s">
        <v>398</v>
      </c>
      <c r="G39" s="410" t="s">
        <v>143</v>
      </c>
      <c r="H39" s="412">
        <v>3525500</v>
      </c>
      <c r="I39" s="426" t="s">
        <v>156</v>
      </c>
      <c r="J39" s="176">
        <f t="shared" si="0"/>
        <v>370177.5</v>
      </c>
      <c r="K39" s="379" t="s">
        <v>154</v>
      </c>
      <c r="L39" s="176">
        <f t="shared" si="1"/>
        <v>105765</v>
      </c>
      <c r="M39" s="379" t="s">
        <v>157</v>
      </c>
      <c r="N39" s="176">
        <f t="shared" si="2"/>
        <v>70510</v>
      </c>
      <c r="O39" s="379" t="s">
        <v>173</v>
      </c>
      <c r="P39" s="176">
        <f t="shared" si="3"/>
        <v>35255</v>
      </c>
      <c r="Q39" s="177">
        <f t="shared" si="4"/>
        <v>17627.5</v>
      </c>
      <c r="R39" s="177">
        <f t="shared" si="5"/>
        <v>599335</v>
      </c>
      <c r="S39" s="182"/>
      <c r="T39" s="182"/>
      <c r="U39" s="182"/>
      <c r="V39" s="182"/>
    </row>
    <row r="40" spans="1:22" s="149" customFormat="1" ht="45.75" customHeight="1">
      <c r="A40" s="175">
        <v>34</v>
      </c>
      <c r="B40" s="408" t="s">
        <v>396</v>
      </c>
      <c r="C40" s="409" t="s">
        <v>399</v>
      </c>
      <c r="D40" s="410"/>
      <c r="E40" s="410">
        <v>40</v>
      </c>
      <c r="F40" s="431" t="s">
        <v>400</v>
      </c>
      <c r="G40" s="410" t="s">
        <v>146</v>
      </c>
      <c r="H40" s="412">
        <v>2301200</v>
      </c>
      <c r="I40" s="426" t="s">
        <v>154</v>
      </c>
      <c r="J40" s="176">
        <f t="shared" si="0"/>
        <v>189849</v>
      </c>
      <c r="K40" s="379" t="s">
        <v>160</v>
      </c>
      <c r="L40" s="176">
        <f t="shared" si="1"/>
        <v>69036</v>
      </c>
      <c r="M40" s="379" t="s">
        <v>158</v>
      </c>
      <c r="N40" s="176">
        <f t="shared" si="2"/>
        <v>46024</v>
      </c>
      <c r="O40" s="379" t="s">
        <v>56</v>
      </c>
      <c r="P40" s="176">
        <f t="shared" si="3"/>
        <v>0</v>
      </c>
      <c r="Q40" s="177">
        <f t="shared" si="4"/>
        <v>11506</v>
      </c>
      <c r="R40" s="177">
        <f t="shared" si="5"/>
        <v>316415</v>
      </c>
      <c r="S40" s="182"/>
      <c r="T40" s="182"/>
      <c r="U40" s="182"/>
      <c r="V40" s="182"/>
    </row>
    <row r="41" spans="1:22" s="149" customFormat="1" ht="45.75" customHeight="1">
      <c r="A41" s="175">
        <v>35</v>
      </c>
      <c r="B41" s="408" t="s">
        <v>396</v>
      </c>
      <c r="C41" s="409" t="s">
        <v>474</v>
      </c>
      <c r="D41" s="410">
        <v>44</v>
      </c>
      <c r="E41" s="410"/>
      <c r="F41" s="431" t="s">
        <v>269</v>
      </c>
      <c r="G41" s="410" t="s">
        <v>162</v>
      </c>
      <c r="H41" s="412">
        <v>2128200</v>
      </c>
      <c r="I41" s="426" t="s">
        <v>152</v>
      </c>
      <c r="J41" s="176">
        <f t="shared" si="0"/>
        <v>175576.5</v>
      </c>
      <c r="K41" s="379" t="s">
        <v>281</v>
      </c>
      <c r="L41" s="176">
        <f t="shared" si="1"/>
        <v>63846</v>
      </c>
      <c r="M41" s="379" t="s">
        <v>158</v>
      </c>
      <c r="N41" s="176">
        <f t="shared" si="2"/>
        <v>42564</v>
      </c>
      <c r="O41" s="379" t="s">
        <v>56</v>
      </c>
      <c r="P41" s="176">
        <f t="shared" si="3"/>
        <v>0</v>
      </c>
      <c r="Q41" s="177">
        <f t="shared" si="4"/>
        <v>10641</v>
      </c>
      <c r="R41" s="177">
        <f t="shared" si="5"/>
        <v>292627.5</v>
      </c>
      <c r="S41" s="182"/>
      <c r="T41" s="182"/>
      <c r="U41" s="182"/>
      <c r="V41" s="182"/>
    </row>
    <row r="42" spans="1:22" s="149" customFormat="1" ht="45.75" customHeight="1">
      <c r="A42" s="175">
        <v>36</v>
      </c>
      <c r="B42" s="408" t="s">
        <v>396</v>
      </c>
      <c r="C42" s="409" t="s">
        <v>401</v>
      </c>
      <c r="D42" s="410">
        <v>28</v>
      </c>
      <c r="E42" s="410"/>
      <c r="F42" s="431" t="s">
        <v>402</v>
      </c>
      <c r="G42" s="410" t="s">
        <v>146</v>
      </c>
      <c r="H42" s="412">
        <v>3796000</v>
      </c>
      <c r="I42" s="426" t="s">
        <v>155</v>
      </c>
      <c r="J42" s="176">
        <f t="shared" si="0"/>
        <v>398580</v>
      </c>
      <c r="K42" s="379" t="s">
        <v>159</v>
      </c>
      <c r="L42" s="176">
        <f t="shared" si="1"/>
        <v>113880</v>
      </c>
      <c r="M42" s="379" t="s">
        <v>160</v>
      </c>
      <c r="N42" s="176">
        <f t="shared" si="2"/>
        <v>75920</v>
      </c>
      <c r="O42" s="379" t="s">
        <v>158</v>
      </c>
      <c r="P42" s="176">
        <f t="shared" si="3"/>
        <v>37960</v>
      </c>
      <c r="Q42" s="177">
        <f t="shared" si="4"/>
        <v>18980</v>
      </c>
      <c r="R42" s="177">
        <f t="shared" si="5"/>
        <v>645320</v>
      </c>
      <c r="S42" s="182"/>
      <c r="T42" s="182"/>
      <c r="U42" s="182"/>
      <c r="V42" s="182"/>
    </row>
    <row r="43" spans="1:22" s="149" customFormat="1" ht="45.75" customHeight="1">
      <c r="A43" s="175">
        <v>37</v>
      </c>
      <c r="B43" s="408" t="s">
        <v>396</v>
      </c>
      <c r="C43" s="409" t="s">
        <v>403</v>
      </c>
      <c r="D43" s="410">
        <v>54</v>
      </c>
      <c r="E43" s="410"/>
      <c r="F43" s="431" t="s">
        <v>395</v>
      </c>
      <c r="G43" s="410" t="s">
        <v>143</v>
      </c>
      <c r="H43" s="412">
        <v>4497500</v>
      </c>
      <c r="I43" s="426" t="s">
        <v>152</v>
      </c>
      <c r="J43" s="176">
        <f t="shared" si="0"/>
        <v>326068.75</v>
      </c>
      <c r="K43" s="379" t="s">
        <v>157</v>
      </c>
      <c r="L43" s="176">
        <f t="shared" si="1"/>
        <v>134925</v>
      </c>
      <c r="M43" s="379" t="s">
        <v>159</v>
      </c>
      <c r="N43" s="176">
        <f t="shared" si="2"/>
        <v>89950</v>
      </c>
      <c r="O43" s="379" t="s">
        <v>280</v>
      </c>
      <c r="P43" s="176">
        <f t="shared" si="3"/>
        <v>44975</v>
      </c>
      <c r="Q43" s="177">
        <f t="shared" si="4"/>
        <v>22487.5</v>
      </c>
      <c r="R43" s="177">
        <f t="shared" si="5"/>
        <v>618406.25</v>
      </c>
      <c r="S43" s="182"/>
      <c r="T43" s="182"/>
      <c r="U43" s="182"/>
      <c r="V43" s="182"/>
    </row>
    <row r="44" spans="1:22" s="149" customFormat="1" ht="45.75" customHeight="1">
      <c r="A44" s="175">
        <v>38</v>
      </c>
      <c r="B44" s="408" t="s">
        <v>396</v>
      </c>
      <c r="C44" s="409" t="s">
        <v>404</v>
      </c>
      <c r="D44" s="410">
        <v>71</v>
      </c>
      <c r="E44" s="410"/>
      <c r="F44" s="431" t="s">
        <v>395</v>
      </c>
      <c r="G44" s="410" t="s">
        <v>143</v>
      </c>
      <c r="H44" s="412">
        <v>4497500</v>
      </c>
      <c r="I44" s="427" t="s">
        <v>151</v>
      </c>
      <c r="J44" s="176">
        <f t="shared" si="0"/>
        <v>326068.75</v>
      </c>
      <c r="K44" s="379" t="s">
        <v>152</v>
      </c>
      <c r="L44" s="176">
        <f t="shared" si="1"/>
        <v>134925</v>
      </c>
      <c r="M44" s="379" t="s">
        <v>280</v>
      </c>
      <c r="N44" s="176">
        <f t="shared" si="2"/>
        <v>89950</v>
      </c>
      <c r="O44" s="379" t="s">
        <v>159</v>
      </c>
      <c r="P44" s="176">
        <f t="shared" si="3"/>
        <v>44975</v>
      </c>
      <c r="Q44" s="177">
        <f t="shared" si="4"/>
        <v>22487.5</v>
      </c>
      <c r="R44" s="177">
        <f t="shared" si="5"/>
        <v>618406.25</v>
      </c>
      <c r="S44" s="182"/>
      <c r="T44" s="182"/>
      <c r="U44" s="182"/>
      <c r="V44" s="182"/>
    </row>
    <row r="45" spans="1:22" s="149" customFormat="1" ht="45.75" customHeight="1">
      <c r="A45" s="175">
        <v>39</v>
      </c>
      <c r="B45" s="408" t="s">
        <v>396</v>
      </c>
      <c r="C45" s="409" t="s">
        <v>404</v>
      </c>
      <c r="D45" s="410">
        <v>71</v>
      </c>
      <c r="E45" s="410"/>
      <c r="F45" s="431" t="s">
        <v>405</v>
      </c>
      <c r="G45" s="410" t="s">
        <v>143</v>
      </c>
      <c r="H45" s="412">
        <v>3598000</v>
      </c>
      <c r="I45" s="426" t="s">
        <v>155</v>
      </c>
      <c r="J45" s="176">
        <f t="shared" si="0"/>
        <v>377790</v>
      </c>
      <c r="K45" s="379" t="s">
        <v>157</v>
      </c>
      <c r="L45" s="176">
        <f t="shared" si="1"/>
        <v>107940</v>
      </c>
      <c r="M45" s="379" t="s">
        <v>158</v>
      </c>
      <c r="N45" s="176">
        <f t="shared" si="2"/>
        <v>71960</v>
      </c>
      <c r="O45" s="379" t="s">
        <v>160</v>
      </c>
      <c r="P45" s="176">
        <f t="shared" si="3"/>
        <v>35980</v>
      </c>
      <c r="Q45" s="177">
        <f t="shared" si="4"/>
        <v>17990</v>
      </c>
      <c r="R45" s="177">
        <f t="shared" si="5"/>
        <v>611660</v>
      </c>
      <c r="S45" s="182"/>
      <c r="T45" s="182"/>
      <c r="U45" s="182"/>
      <c r="V45" s="182"/>
    </row>
    <row r="46" spans="1:22" s="149" customFormat="1" ht="45.75" customHeight="1">
      <c r="A46" s="175">
        <v>40</v>
      </c>
      <c r="B46" s="408" t="s">
        <v>396</v>
      </c>
      <c r="C46" s="409" t="s">
        <v>406</v>
      </c>
      <c r="D46" s="410"/>
      <c r="E46" s="410">
        <v>19</v>
      </c>
      <c r="F46" s="431" t="s">
        <v>395</v>
      </c>
      <c r="G46" s="410" t="s">
        <v>143</v>
      </c>
      <c r="H46" s="412">
        <v>4497500</v>
      </c>
      <c r="I46" s="426" t="s">
        <v>155</v>
      </c>
      <c r="J46" s="176">
        <f t="shared" si="0"/>
        <v>472237.5</v>
      </c>
      <c r="K46" s="379" t="s">
        <v>173</v>
      </c>
      <c r="L46" s="176">
        <f t="shared" si="1"/>
        <v>134925</v>
      </c>
      <c r="M46" s="379" t="s">
        <v>281</v>
      </c>
      <c r="N46" s="176">
        <f t="shared" si="2"/>
        <v>89950</v>
      </c>
      <c r="O46" s="379" t="s">
        <v>292</v>
      </c>
      <c r="P46" s="176">
        <f t="shared" si="3"/>
        <v>44975</v>
      </c>
      <c r="Q46" s="177">
        <f t="shared" si="4"/>
        <v>22487.5</v>
      </c>
      <c r="R46" s="177">
        <f t="shared" si="5"/>
        <v>764575</v>
      </c>
      <c r="S46" s="182"/>
      <c r="T46" s="182"/>
      <c r="U46" s="182"/>
      <c r="V46" s="182"/>
    </row>
    <row r="47" spans="1:22" s="149" customFormat="1" ht="45.75" customHeight="1">
      <c r="A47" s="175">
        <v>41</v>
      </c>
      <c r="B47" s="408" t="s">
        <v>407</v>
      </c>
      <c r="C47" s="409" t="s">
        <v>475</v>
      </c>
      <c r="D47" s="410"/>
      <c r="E47" s="410">
        <v>83</v>
      </c>
      <c r="F47" s="431" t="s">
        <v>476</v>
      </c>
      <c r="G47" s="410" t="s">
        <v>162</v>
      </c>
      <c r="H47" s="412">
        <v>1773300</v>
      </c>
      <c r="I47" s="426" t="s">
        <v>153</v>
      </c>
      <c r="J47" s="176">
        <f t="shared" si="0"/>
        <v>239395.5</v>
      </c>
      <c r="K47" s="379" t="s">
        <v>161</v>
      </c>
      <c r="L47" s="176">
        <f t="shared" si="1"/>
        <v>53199</v>
      </c>
      <c r="M47" s="379" t="s">
        <v>56</v>
      </c>
      <c r="N47" s="176">
        <f t="shared" si="2"/>
        <v>0</v>
      </c>
      <c r="O47" s="379" t="s">
        <v>56</v>
      </c>
      <c r="P47" s="176">
        <f t="shared" si="3"/>
        <v>0</v>
      </c>
      <c r="Q47" s="177">
        <f t="shared" si="4"/>
        <v>8866.5</v>
      </c>
      <c r="R47" s="177">
        <f t="shared" si="5"/>
        <v>301461</v>
      </c>
      <c r="S47" s="182"/>
      <c r="T47" s="182"/>
      <c r="U47" s="182"/>
      <c r="V47" s="182"/>
    </row>
    <row r="48" spans="1:22" s="149" customFormat="1" ht="45.75" customHeight="1">
      <c r="A48" s="175">
        <v>42</v>
      </c>
      <c r="B48" s="408" t="s">
        <v>407</v>
      </c>
      <c r="C48" s="409" t="s">
        <v>408</v>
      </c>
      <c r="D48" s="410"/>
      <c r="E48" s="410">
        <v>72</v>
      </c>
      <c r="F48" s="431" t="s">
        <v>395</v>
      </c>
      <c r="G48" s="410" t="s">
        <v>143</v>
      </c>
      <c r="H48" s="412">
        <v>4497500</v>
      </c>
      <c r="I48" s="426" t="s">
        <v>153</v>
      </c>
      <c r="J48" s="176">
        <f t="shared" si="0"/>
        <v>472237.5</v>
      </c>
      <c r="K48" s="379" t="s">
        <v>157</v>
      </c>
      <c r="L48" s="176">
        <f t="shared" si="1"/>
        <v>134925</v>
      </c>
      <c r="M48" s="379" t="s">
        <v>280</v>
      </c>
      <c r="N48" s="176">
        <f t="shared" si="2"/>
        <v>89950</v>
      </c>
      <c r="O48" s="379" t="s">
        <v>158</v>
      </c>
      <c r="P48" s="176">
        <f t="shared" si="3"/>
        <v>44975</v>
      </c>
      <c r="Q48" s="177">
        <f t="shared" si="4"/>
        <v>22487.5</v>
      </c>
      <c r="R48" s="177">
        <f t="shared" si="5"/>
        <v>764575</v>
      </c>
      <c r="S48" s="182"/>
      <c r="T48" s="182"/>
      <c r="U48" s="182"/>
      <c r="V48" s="182"/>
    </row>
    <row r="49" spans="1:22" s="149" customFormat="1" ht="45.75" customHeight="1">
      <c r="A49" s="175">
        <v>43</v>
      </c>
      <c r="B49" s="408" t="s">
        <v>407</v>
      </c>
      <c r="C49" s="409" t="s">
        <v>410</v>
      </c>
      <c r="D49" s="410">
        <v>43</v>
      </c>
      <c r="E49" s="410"/>
      <c r="F49" s="431" t="s">
        <v>289</v>
      </c>
      <c r="G49" s="410" t="s">
        <v>146</v>
      </c>
      <c r="H49" s="412">
        <v>796000</v>
      </c>
      <c r="I49" s="426" t="s">
        <v>154</v>
      </c>
      <c r="J49" s="176">
        <f t="shared" si="0"/>
        <v>57710.000000000015</v>
      </c>
      <c r="K49" s="379" t="s">
        <v>159</v>
      </c>
      <c r="L49" s="176">
        <f t="shared" si="1"/>
        <v>23880</v>
      </c>
      <c r="M49" s="379" t="s">
        <v>160</v>
      </c>
      <c r="N49" s="176">
        <f t="shared" si="2"/>
        <v>15920</v>
      </c>
      <c r="O49" s="379" t="s">
        <v>282</v>
      </c>
      <c r="P49" s="176">
        <f t="shared" si="3"/>
        <v>7960</v>
      </c>
      <c r="Q49" s="177">
        <f t="shared" si="4"/>
        <v>3980</v>
      </c>
      <c r="R49" s="177">
        <f t="shared" si="5"/>
        <v>109450.00000000001</v>
      </c>
      <c r="S49" s="182"/>
      <c r="T49" s="182"/>
      <c r="U49" s="182"/>
      <c r="V49" s="182"/>
    </row>
    <row r="50" spans="1:22" s="149" customFormat="1" ht="15">
      <c r="A50" s="175">
        <v>44</v>
      </c>
      <c r="B50" s="408" t="s">
        <v>477</v>
      </c>
      <c r="C50" s="409" t="s">
        <v>286</v>
      </c>
      <c r="D50" s="410">
        <v>86</v>
      </c>
      <c r="E50" s="410"/>
      <c r="F50" s="431" t="s">
        <v>174</v>
      </c>
      <c r="G50" s="410" t="s">
        <v>162</v>
      </c>
      <c r="H50" s="412">
        <v>1947600</v>
      </c>
      <c r="I50" s="426" t="s">
        <v>152</v>
      </c>
      <c r="J50" s="176">
        <f t="shared" si="0"/>
        <v>160677</v>
      </c>
      <c r="K50" s="379" t="s">
        <v>157</v>
      </c>
      <c r="L50" s="176">
        <f t="shared" si="1"/>
        <v>58428</v>
      </c>
      <c r="M50" s="379" t="s">
        <v>281</v>
      </c>
      <c r="N50" s="176">
        <f t="shared" si="2"/>
        <v>38952</v>
      </c>
      <c r="O50" s="379" t="s">
        <v>56</v>
      </c>
      <c r="P50" s="176">
        <f t="shared" si="3"/>
        <v>0</v>
      </c>
      <c r="Q50" s="177">
        <f t="shared" si="4"/>
        <v>9738</v>
      </c>
      <c r="R50" s="177">
        <f t="shared" si="5"/>
        <v>267795</v>
      </c>
      <c r="S50" s="182"/>
      <c r="T50" s="182"/>
      <c r="U50" s="182"/>
      <c r="V50" s="182"/>
    </row>
    <row r="51" spans="1:22" s="149" customFormat="1" ht="45.75" customHeight="1">
      <c r="A51" s="175">
        <v>45</v>
      </c>
      <c r="B51" s="408" t="s">
        <v>477</v>
      </c>
      <c r="C51" s="409" t="s">
        <v>478</v>
      </c>
      <c r="D51" s="410"/>
      <c r="E51" s="410">
        <v>21</v>
      </c>
      <c r="F51" s="431" t="s">
        <v>466</v>
      </c>
      <c r="G51" s="410" t="s">
        <v>162</v>
      </c>
      <c r="H51" s="412">
        <v>2559100</v>
      </c>
      <c r="I51" s="426" t="s">
        <v>152</v>
      </c>
      <c r="J51" s="176">
        <f t="shared" si="0"/>
        <v>211125.75</v>
      </c>
      <c r="K51" s="379" t="s">
        <v>281</v>
      </c>
      <c r="L51" s="176">
        <f t="shared" si="1"/>
        <v>76773</v>
      </c>
      <c r="M51" s="379" t="s">
        <v>159</v>
      </c>
      <c r="N51" s="176">
        <f t="shared" si="2"/>
        <v>51182</v>
      </c>
      <c r="O51" s="379" t="s">
        <v>56</v>
      </c>
      <c r="P51" s="176">
        <f t="shared" si="3"/>
        <v>0</v>
      </c>
      <c r="Q51" s="177">
        <f t="shared" si="4"/>
        <v>12795.5</v>
      </c>
      <c r="R51" s="177">
        <f t="shared" si="5"/>
        <v>351876.25</v>
      </c>
      <c r="S51" s="182"/>
      <c r="T51" s="182"/>
      <c r="U51" s="182"/>
      <c r="V51" s="182"/>
    </row>
    <row r="52" spans="1:22" s="149" customFormat="1" ht="45.75" customHeight="1">
      <c r="A52" s="175">
        <v>46</v>
      </c>
      <c r="B52" s="408" t="s">
        <v>411</v>
      </c>
      <c r="C52" s="409" t="s">
        <v>479</v>
      </c>
      <c r="D52" s="410">
        <v>22</v>
      </c>
      <c r="E52" s="410"/>
      <c r="F52" s="431" t="s">
        <v>480</v>
      </c>
      <c r="G52" s="410" t="s">
        <v>162</v>
      </c>
      <c r="H52" s="412">
        <v>1687900</v>
      </c>
      <c r="I52" s="426" t="s">
        <v>155</v>
      </c>
      <c r="J52" s="176">
        <f t="shared" si="0"/>
        <v>194108.5</v>
      </c>
      <c r="K52" s="379" t="s">
        <v>159</v>
      </c>
      <c r="L52" s="176">
        <f t="shared" si="1"/>
        <v>50637</v>
      </c>
      <c r="M52" s="379" t="s">
        <v>291</v>
      </c>
      <c r="N52" s="176">
        <f t="shared" si="2"/>
        <v>33758</v>
      </c>
      <c r="O52" s="379" t="s">
        <v>56</v>
      </c>
      <c r="P52" s="176">
        <f t="shared" si="3"/>
        <v>0</v>
      </c>
      <c r="Q52" s="177">
        <f t="shared" si="4"/>
        <v>8439.5</v>
      </c>
      <c r="R52" s="177">
        <f t="shared" si="5"/>
        <v>286943</v>
      </c>
      <c r="S52" s="182"/>
      <c r="T52" s="182"/>
      <c r="U52" s="182"/>
      <c r="V52" s="182"/>
    </row>
    <row r="53" spans="1:22" s="149" customFormat="1" ht="45.75" customHeight="1">
      <c r="A53" s="175">
        <v>47</v>
      </c>
      <c r="B53" s="408" t="s">
        <v>411</v>
      </c>
      <c r="C53" s="409" t="s">
        <v>412</v>
      </c>
      <c r="D53" s="410"/>
      <c r="E53" s="410">
        <v>67</v>
      </c>
      <c r="F53" s="431" t="s">
        <v>398</v>
      </c>
      <c r="G53" s="410" t="s">
        <v>143</v>
      </c>
      <c r="H53" s="412">
        <v>3525500</v>
      </c>
      <c r="I53" s="426" t="s">
        <v>156</v>
      </c>
      <c r="J53" s="176">
        <f t="shared" si="0"/>
        <v>370177.5</v>
      </c>
      <c r="K53" s="379" t="s">
        <v>151</v>
      </c>
      <c r="L53" s="176">
        <f t="shared" si="1"/>
        <v>105765</v>
      </c>
      <c r="M53" s="379" t="s">
        <v>281</v>
      </c>
      <c r="N53" s="176">
        <f t="shared" si="2"/>
        <v>70510</v>
      </c>
      <c r="O53" s="379" t="s">
        <v>280</v>
      </c>
      <c r="P53" s="176">
        <f t="shared" si="3"/>
        <v>35255</v>
      </c>
      <c r="Q53" s="177">
        <f t="shared" si="4"/>
        <v>17627.5</v>
      </c>
      <c r="R53" s="177">
        <f t="shared" si="5"/>
        <v>599335</v>
      </c>
      <c r="S53" s="182"/>
      <c r="T53" s="182"/>
      <c r="U53" s="182"/>
      <c r="V53" s="182"/>
    </row>
    <row r="54" spans="1:22" s="149" customFormat="1" ht="45.75" customHeight="1">
      <c r="A54" s="175">
        <v>48</v>
      </c>
      <c r="B54" s="408" t="s">
        <v>411</v>
      </c>
      <c r="C54" s="409" t="s">
        <v>413</v>
      </c>
      <c r="D54" s="410">
        <v>45</v>
      </c>
      <c r="E54" s="410"/>
      <c r="F54" s="431" t="s">
        <v>149</v>
      </c>
      <c r="G54" s="410" t="s">
        <v>143</v>
      </c>
      <c r="H54" s="412">
        <v>3405500</v>
      </c>
      <c r="I54" s="426" t="s">
        <v>154</v>
      </c>
      <c r="J54" s="176">
        <f t="shared" si="0"/>
        <v>246898.75000000006</v>
      </c>
      <c r="K54" s="379" t="s">
        <v>157</v>
      </c>
      <c r="L54" s="176">
        <f t="shared" si="1"/>
        <v>102165</v>
      </c>
      <c r="M54" s="379" t="s">
        <v>173</v>
      </c>
      <c r="N54" s="176">
        <f t="shared" si="2"/>
        <v>68110</v>
      </c>
      <c r="O54" s="379" t="s">
        <v>281</v>
      </c>
      <c r="P54" s="176">
        <f t="shared" si="3"/>
        <v>34055</v>
      </c>
      <c r="Q54" s="177">
        <f t="shared" si="4"/>
        <v>17027.5</v>
      </c>
      <c r="R54" s="177">
        <f t="shared" si="5"/>
        <v>468256.25000000006</v>
      </c>
      <c r="S54" s="182"/>
      <c r="T54" s="182"/>
      <c r="U54" s="182"/>
      <c r="V54" s="182"/>
    </row>
    <row r="55" spans="1:22" s="149" customFormat="1" ht="45.75" customHeight="1">
      <c r="A55" s="175">
        <v>49</v>
      </c>
      <c r="B55" s="408" t="s">
        <v>411</v>
      </c>
      <c r="C55" s="409" t="s">
        <v>414</v>
      </c>
      <c r="D55" s="410"/>
      <c r="E55" s="410">
        <v>63</v>
      </c>
      <c r="F55" s="431" t="s">
        <v>415</v>
      </c>
      <c r="G55" s="410" t="s">
        <v>143</v>
      </c>
      <c r="H55" s="412">
        <v>5397500</v>
      </c>
      <c r="I55" s="426" t="s">
        <v>154</v>
      </c>
      <c r="J55" s="176">
        <f t="shared" si="0"/>
        <v>391318.75000000012</v>
      </c>
      <c r="K55" s="379" t="s">
        <v>157</v>
      </c>
      <c r="L55" s="176">
        <f t="shared" si="1"/>
        <v>161925</v>
      </c>
      <c r="M55" s="379" t="s">
        <v>173</v>
      </c>
      <c r="N55" s="176">
        <f t="shared" si="2"/>
        <v>107950</v>
      </c>
      <c r="O55" s="379" t="s">
        <v>281</v>
      </c>
      <c r="P55" s="176">
        <f t="shared" si="3"/>
        <v>53975</v>
      </c>
      <c r="Q55" s="177">
        <f t="shared" si="4"/>
        <v>26987.5</v>
      </c>
      <c r="R55" s="177">
        <f t="shared" si="5"/>
        <v>742156.25000000012</v>
      </c>
      <c r="S55" s="182"/>
      <c r="T55" s="182"/>
      <c r="U55" s="182"/>
      <c r="V55" s="182"/>
    </row>
    <row r="56" spans="1:22" s="149" customFormat="1" ht="45.75" customHeight="1">
      <c r="A56" s="175">
        <v>50</v>
      </c>
      <c r="B56" s="408" t="s">
        <v>411</v>
      </c>
      <c r="C56" s="409" t="s">
        <v>286</v>
      </c>
      <c r="D56" s="410">
        <v>86</v>
      </c>
      <c r="E56" s="410"/>
      <c r="F56" s="431" t="s">
        <v>269</v>
      </c>
      <c r="G56" s="410" t="s">
        <v>162</v>
      </c>
      <c r="H56" s="412">
        <v>2128200</v>
      </c>
      <c r="I56" s="426" t="s">
        <v>153</v>
      </c>
      <c r="J56" s="176">
        <f t="shared" si="0"/>
        <v>223461</v>
      </c>
      <c r="K56" s="379" t="s">
        <v>280</v>
      </c>
      <c r="L56" s="176">
        <f t="shared" si="1"/>
        <v>63846</v>
      </c>
      <c r="M56" s="379" t="s">
        <v>161</v>
      </c>
      <c r="N56" s="176">
        <f t="shared" si="2"/>
        <v>42564</v>
      </c>
      <c r="O56" s="379" t="s">
        <v>290</v>
      </c>
      <c r="P56" s="176">
        <f t="shared" si="3"/>
        <v>21282</v>
      </c>
      <c r="Q56" s="177">
        <f t="shared" si="4"/>
        <v>10641</v>
      </c>
      <c r="R56" s="177">
        <f t="shared" si="5"/>
        <v>361794</v>
      </c>
      <c r="S56" s="182"/>
      <c r="T56" s="182"/>
      <c r="U56" s="182"/>
      <c r="V56" s="182"/>
    </row>
    <row r="57" spans="1:22" s="149" customFormat="1" ht="45.75" customHeight="1">
      <c r="A57" s="175">
        <v>51</v>
      </c>
      <c r="B57" s="408" t="s">
        <v>419</v>
      </c>
      <c r="C57" s="409" t="s">
        <v>482</v>
      </c>
      <c r="D57" s="410">
        <v>71</v>
      </c>
      <c r="E57" s="410"/>
      <c r="F57" s="431" t="s">
        <v>269</v>
      </c>
      <c r="G57" s="410" t="s">
        <v>162</v>
      </c>
      <c r="H57" s="412">
        <v>2127400</v>
      </c>
      <c r="I57" s="426" t="s">
        <v>150</v>
      </c>
      <c r="J57" s="176">
        <f t="shared" si="0"/>
        <v>223377</v>
      </c>
      <c r="K57" s="379" t="s">
        <v>152</v>
      </c>
      <c r="L57" s="176">
        <f t="shared" si="1"/>
        <v>63822</v>
      </c>
      <c r="M57" s="379" t="s">
        <v>151</v>
      </c>
      <c r="N57" s="176">
        <f t="shared" si="2"/>
        <v>42548</v>
      </c>
      <c r="O57" s="379" t="s">
        <v>161</v>
      </c>
      <c r="P57" s="176">
        <f t="shared" si="3"/>
        <v>21274</v>
      </c>
      <c r="Q57" s="177">
        <f t="shared" si="4"/>
        <v>10637</v>
      </c>
      <c r="R57" s="177">
        <f t="shared" si="5"/>
        <v>361658</v>
      </c>
      <c r="S57" s="182"/>
      <c r="T57" s="182"/>
      <c r="U57" s="182"/>
      <c r="V57" s="182"/>
    </row>
    <row r="58" spans="1:22" s="149" customFormat="1" ht="45.75" customHeight="1">
      <c r="A58" s="175">
        <v>52</v>
      </c>
      <c r="B58" s="408" t="s">
        <v>419</v>
      </c>
      <c r="C58" s="409" t="s">
        <v>474</v>
      </c>
      <c r="D58" s="410">
        <v>44</v>
      </c>
      <c r="E58" s="410"/>
      <c r="F58" s="431" t="s">
        <v>483</v>
      </c>
      <c r="G58" s="410" t="s">
        <v>162</v>
      </c>
      <c r="H58" s="412">
        <v>2934400</v>
      </c>
      <c r="I58" s="426" t="s">
        <v>152</v>
      </c>
      <c r="J58" s="176">
        <f t="shared" si="0"/>
        <v>242088.00000000006</v>
      </c>
      <c r="K58" s="379" t="s">
        <v>280</v>
      </c>
      <c r="L58" s="176">
        <f t="shared" si="1"/>
        <v>88032</v>
      </c>
      <c r="M58" s="379" t="s">
        <v>159</v>
      </c>
      <c r="N58" s="176">
        <f t="shared" si="2"/>
        <v>58688</v>
      </c>
      <c r="O58" s="379" t="s">
        <v>56</v>
      </c>
      <c r="P58" s="176">
        <f t="shared" si="3"/>
        <v>0</v>
      </c>
      <c r="Q58" s="177">
        <f t="shared" si="4"/>
        <v>14672</v>
      </c>
      <c r="R58" s="177">
        <f t="shared" si="5"/>
        <v>403480.00000000006</v>
      </c>
      <c r="S58" s="182"/>
      <c r="T58" s="182"/>
      <c r="U58" s="182"/>
      <c r="V58" s="182"/>
    </row>
    <row r="59" spans="1:22" s="149" customFormat="1" ht="45.75" customHeight="1">
      <c r="A59" s="175">
        <v>53</v>
      </c>
      <c r="B59" s="408" t="s">
        <v>419</v>
      </c>
      <c r="C59" s="409" t="s">
        <v>521</v>
      </c>
      <c r="D59" s="410"/>
      <c r="E59" s="410">
        <v>73</v>
      </c>
      <c r="F59" s="431" t="s">
        <v>145</v>
      </c>
      <c r="G59" s="410" t="s">
        <v>166</v>
      </c>
      <c r="H59" s="412">
        <v>8000000</v>
      </c>
      <c r="I59" s="427" t="s">
        <v>151</v>
      </c>
      <c r="J59" s="176">
        <f t="shared" si="0"/>
        <v>580000</v>
      </c>
      <c r="K59" s="379" t="s">
        <v>154</v>
      </c>
      <c r="L59" s="176">
        <f t="shared" si="1"/>
        <v>240000</v>
      </c>
      <c r="M59" s="379" t="s">
        <v>157</v>
      </c>
      <c r="N59" s="176">
        <f t="shared" si="2"/>
        <v>160000</v>
      </c>
      <c r="O59" s="379" t="s">
        <v>160</v>
      </c>
      <c r="P59" s="176">
        <f t="shared" si="3"/>
        <v>80000</v>
      </c>
      <c r="Q59" s="177">
        <f t="shared" si="4"/>
        <v>40000</v>
      </c>
      <c r="R59" s="177">
        <f t="shared" si="5"/>
        <v>1100000</v>
      </c>
      <c r="S59" s="182"/>
      <c r="T59" s="182"/>
      <c r="U59" s="182"/>
      <c r="V59" s="182"/>
    </row>
    <row r="60" spans="1:22" s="149" customFormat="1" ht="45.75" customHeight="1">
      <c r="A60" s="175">
        <v>54</v>
      </c>
      <c r="B60" s="408" t="s">
        <v>419</v>
      </c>
      <c r="C60" s="409" t="s">
        <v>421</v>
      </c>
      <c r="D60" s="410">
        <v>29</v>
      </c>
      <c r="E60" s="410"/>
      <c r="F60" s="431" t="s">
        <v>273</v>
      </c>
      <c r="G60" s="410" t="s">
        <v>146</v>
      </c>
      <c r="H60" s="412">
        <v>2697300</v>
      </c>
      <c r="I60" s="426" t="s">
        <v>155</v>
      </c>
      <c r="J60" s="176">
        <f t="shared" si="0"/>
        <v>283216.50000000006</v>
      </c>
      <c r="K60" s="379" t="s">
        <v>173</v>
      </c>
      <c r="L60" s="176">
        <f t="shared" si="1"/>
        <v>80919</v>
      </c>
      <c r="M60" s="379" t="s">
        <v>160</v>
      </c>
      <c r="N60" s="176">
        <f t="shared" si="2"/>
        <v>53946</v>
      </c>
      <c r="O60" s="379" t="s">
        <v>282</v>
      </c>
      <c r="P60" s="176">
        <f t="shared" si="3"/>
        <v>26973</v>
      </c>
      <c r="Q60" s="177">
        <f t="shared" si="4"/>
        <v>13486.5</v>
      </c>
      <c r="R60" s="177">
        <f t="shared" si="5"/>
        <v>458541.00000000006</v>
      </c>
      <c r="S60" s="182"/>
      <c r="T60" s="182"/>
      <c r="U60" s="182"/>
      <c r="V60" s="182"/>
    </row>
    <row r="61" spans="1:22" s="149" customFormat="1" ht="45.75" customHeight="1">
      <c r="A61" s="175">
        <v>55</v>
      </c>
      <c r="B61" s="408" t="s">
        <v>423</v>
      </c>
      <c r="C61" s="409" t="s">
        <v>522</v>
      </c>
      <c r="D61" s="410"/>
      <c r="E61" s="410">
        <v>64</v>
      </c>
      <c r="F61" s="431" t="s">
        <v>523</v>
      </c>
      <c r="G61" s="410" t="s">
        <v>166</v>
      </c>
      <c r="H61" s="412">
        <v>3000000</v>
      </c>
      <c r="I61" s="426" t="s">
        <v>154</v>
      </c>
      <c r="J61" s="176">
        <f t="shared" si="0"/>
        <v>217500.00000000006</v>
      </c>
      <c r="K61" s="379" t="s">
        <v>159</v>
      </c>
      <c r="L61" s="176">
        <f t="shared" si="1"/>
        <v>90000</v>
      </c>
      <c r="M61" s="379" t="s">
        <v>160</v>
      </c>
      <c r="N61" s="176">
        <f t="shared" si="2"/>
        <v>60000</v>
      </c>
      <c r="O61" s="379" t="s">
        <v>291</v>
      </c>
      <c r="P61" s="176">
        <f t="shared" si="3"/>
        <v>30000</v>
      </c>
      <c r="Q61" s="177">
        <f t="shared" si="4"/>
        <v>15000</v>
      </c>
      <c r="R61" s="177">
        <f t="shared" si="5"/>
        <v>412500.00000000006</v>
      </c>
      <c r="S61" s="182"/>
      <c r="T61" s="182"/>
      <c r="U61" s="182"/>
      <c r="V61" s="182"/>
    </row>
    <row r="62" spans="1:22" s="149" customFormat="1" ht="45.75" customHeight="1">
      <c r="A62" s="175">
        <v>56</v>
      </c>
      <c r="B62" s="408" t="s">
        <v>423</v>
      </c>
      <c r="C62" s="409" t="s">
        <v>424</v>
      </c>
      <c r="D62" s="410">
        <v>42</v>
      </c>
      <c r="E62" s="410"/>
      <c r="F62" s="431" t="s">
        <v>172</v>
      </c>
      <c r="G62" s="410" t="s">
        <v>143</v>
      </c>
      <c r="H62" s="412">
        <v>3525500</v>
      </c>
      <c r="I62" s="426" t="s">
        <v>156</v>
      </c>
      <c r="J62" s="176">
        <f t="shared" si="0"/>
        <v>370177.5</v>
      </c>
      <c r="K62" s="379" t="s">
        <v>154</v>
      </c>
      <c r="L62" s="176">
        <f t="shared" si="1"/>
        <v>105765</v>
      </c>
      <c r="M62" s="379" t="s">
        <v>157</v>
      </c>
      <c r="N62" s="176">
        <f t="shared" si="2"/>
        <v>70510</v>
      </c>
      <c r="O62" s="379" t="s">
        <v>281</v>
      </c>
      <c r="P62" s="176">
        <f t="shared" si="3"/>
        <v>35255</v>
      </c>
      <c r="Q62" s="177">
        <f t="shared" si="4"/>
        <v>17627.5</v>
      </c>
      <c r="R62" s="177">
        <f t="shared" si="5"/>
        <v>599335</v>
      </c>
      <c r="S62" s="182"/>
      <c r="T62" s="182"/>
      <c r="U62" s="182"/>
      <c r="V62" s="182"/>
    </row>
    <row r="63" spans="1:22" s="149" customFormat="1" ht="45.75" customHeight="1">
      <c r="A63" s="175">
        <v>57</v>
      </c>
      <c r="B63" s="408" t="s">
        <v>423</v>
      </c>
      <c r="C63" s="409" t="s">
        <v>424</v>
      </c>
      <c r="D63" s="410">
        <v>42</v>
      </c>
      <c r="E63" s="410"/>
      <c r="F63" s="431" t="s">
        <v>425</v>
      </c>
      <c r="G63" s="410" t="s">
        <v>143</v>
      </c>
      <c r="H63" s="412">
        <v>1762750</v>
      </c>
      <c r="I63" s="426" t="s">
        <v>156</v>
      </c>
      <c r="J63" s="176">
        <f t="shared" si="0"/>
        <v>185088.75</v>
      </c>
      <c r="K63" s="379" t="s">
        <v>154</v>
      </c>
      <c r="L63" s="176">
        <f t="shared" si="1"/>
        <v>52882.5</v>
      </c>
      <c r="M63" s="379" t="s">
        <v>157</v>
      </c>
      <c r="N63" s="176">
        <f t="shared" si="2"/>
        <v>35255</v>
      </c>
      <c r="O63" s="379" t="s">
        <v>281</v>
      </c>
      <c r="P63" s="176">
        <f t="shared" si="3"/>
        <v>17627.5</v>
      </c>
      <c r="Q63" s="177">
        <f t="shared" si="4"/>
        <v>8813.75</v>
      </c>
      <c r="R63" s="177">
        <f t="shared" si="5"/>
        <v>299667.5</v>
      </c>
      <c r="S63" s="182"/>
      <c r="T63" s="182"/>
      <c r="U63" s="182"/>
      <c r="V63" s="182"/>
    </row>
    <row r="64" spans="1:22" s="149" customFormat="1" ht="45.75" customHeight="1">
      <c r="A64" s="175">
        <v>58</v>
      </c>
      <c r="B64" s="408" t="s">
        <v>423</v>
      </c>
      <c r="C64" s="409" t="s">
        <v>485</v>
      </c>
      <c r="D64" s="410">
        <v>60</v>
      </c>
      <c r="E64" s="410"/>
      <c r="F64" s="431" t="s">
        <v>466</v>
      </c>
      <c r="G64" s="410" t="s">
        <v>162</v>
      </c>
      <c r="H64" s="412">
        <v>2559100</v>
      </c>
      <c r="I64" s="426" t="s">
        <v>152</v>
      </c>
      <c r="J64" s="176">
        <f t="shared" si="0"/>
        <v>185534.75</v>
      </c>
      <c r="K64" s="379" t="s">
        <v>173</v>
      </c>
      <c r="L64" s="176">
        <f t="shared" si="1"/>
        <v>76773</v>
      </c>
      <c r="M64" s="379" t="s">
        <v>161</v>
      </c>
      <c r="N64" s="176">
        <f t="shared" si="2"/>
        <v>51182</v>
      </c>
      <c r="O64" s="379" t="s">
        <v>290</v>
      </c>
      <c r="P64" s="176">
        <f t="shared" si="3"/>
        <v>25591</v>
      </c>
      <c r="Q64" s="177">
        <f t="shared" si="4"/>
        <v>12795.5</v>
      </c>
      <c r="R64" s="177">
        <f t="shared" si="5"/>
        <v>351876.25</v>
      </c>
      <c r="S64" s="182"/>
      <c r="T64" s="182"/>
      <c r="U64" s="182"/>
      <c r="V64" s="182"/>
    </row>
    <row r="65" spans="1:22" s="149" customFormat="1" ht="45.75" customHeight="1">
      <c r="A65" s="175">
        <v>59</v>
      </c>
      <c r="B65" s="408" t="s">
        <v>423</v>
      </c>
      <c r="C65" s="409" t="s">
        <v>486</v>
      </c>
      <c r="D65" s="410"/>
      <c r="E65" s="410">
        <v>39</v>
      </c>
      <c r="F65" s="431" t="s">
        <v>466</v>
      </c>
      <c r="G65" s="410" t="s">
        <v>162</v>
      </c>
      <c r="H65" s="412">
        <v>2559100</v>
      </c>
      <c r="I65" s="426" t="s">
        <v>153</v>
      </c>
      <c r="J65" s="176">
        <f t="shared" si="0"/>
        <v>268705.50000000006</v>
      </c>
      <c r="K65" s="379" t="s">
        <v>173</v>
      </c>
      <c r="L65" s="176">
        <f t="shared" si="1"/>
        <v>76773</v>
      </c>
      <c r="M65" s="379" t="s">
        <v>161</v>
      </c>
      <c r="N65" s="176">
        <f t="shared" si="2"/>
        <v>51182</v>
      </c>
      <c r="O65" s="379" t="s">
        <v>290</v>
      </c>
      <c r="P65" s="176">
        <f t="shared" si="3"/>
        <v>25591</v>
      </c>
      <c r="Q65" s="177">
        <f t="shared" si="4"/>
        <v>12795.5</v>
      </c>
      <c r="R65" s="177">
        <f t="shared" si="5"/>
        <v>435047.00000000006</v>
      </c>
      <c r="S65" s="182"/>
      <c r="T65" s="182"/>
      <c r="U65" s="182"/>
      <c r="V65" s="182"/>
    </row>
    <row r="66" spans="1:22" s="149" customFormat="1" ht="45.75" customHeight="1">
      <c r="A66" s="175">
        <v>60</v>
      </c>
      <c r="B66" s="408" t="s">
        <v>423</v>
      </c>
      <c r="C66" s="409" t="s">
        <v>487</v>
      </c>
      <c r="D66" s="410"/>
      <c r="E66" s="410">
        <v>60</v>
      </c>
      <c r="F66" s="431" t="s">
        <v>466</v>
      </c>
      <c r="G66" s="410" t="s">
        <v>162</v>
      </c>
      <c r="H66" s="412">
        <v>2559100</v>
      </c>
      <c r="I66" s="426" t="s">
        <v>152</v>
      </c>
      <c r="J66" s="176">
        <f t="shared" si="0"/>
        <v>185534.75</v>
      </c>
      <c r="K66" s="379" t="s">
        <v>161</v>
      </c>
      <c r="L66" s="176">
        <f t="shared" si="1"/>
        <v>76773</v>
      </c>
      <c r="M66" s="379" t="s">
        <v>281</v>
      </c>
      <c r="N66" s="176">
        <f t="shared" si="2"/>
        <v>51182</v>
      </c>
      <c r="O66" s="379" t="s">
        <v>159</v>
      </c>
      <c r="P66" s="176">
        <f t="shared" si="3"/>
        <v>25591</v>
      </c>
      <c r="Q66" s="177">
        <f t="shared" si="4"/>
        <v>12795.5</v>
      </c>
      <c r="R66" s="177">
        <f t="shared" si="5"/>
        <v>351876.25</v>
      </c>
      <c r="S66" s="182"/>
      <c r="T66" s="182"/>
      <c r="U66" s="182"/>
      <c r="V66" s="182"/>
    </row>
    <row r="67" spans="1:22" s="149" customFormat="1" ht="45.75" customHeight="1">
      <c r="A67" s="175">
        <v>61</v>
      </c>
      <c r="B67" s="408" t="s">
        <v>423</v>
      </c>
      <c r="C67" s="409" t="s">
        <v>426</v>
      </c>
      <c r="D67" s="410">
        <v>23</v>
      </c>
      <c r="E67" s="410"/>
      <c r="F67" s="431" t="s">
        <v>395</v>
      </c>
      <c r="G67" s="410" t="s">
        <v>143</v>
      </c>
      <c r="H67" s="412">
        <v>4497500</v>
      </c>
      <c r="I67" s="426" t="s">
        <v>155</v>
      </c>
      <c r="J67" s="176">
        <f t="shared" si="0"/>
        <v>472237.5</v>
      </c>
      <c r="K67" s="379" t="s">
        <v>157</v>
      </c>
      <c r="L67" s="176">
        <f t="shared" si="1"/>
        <v>134925</v>
      </c>
      <c r="M67" s="379" t="s">
        <v>280</v>
      </c>
      <c r="N67" s="176">
        <f t="shared" si="2"/>
        <v>89950</v>
      </c>
      <c r="O67" s="379" t="s">
        <v>158</v>
      </c>
      <c r="P67" s="176">
        <f t="shared" si="3"/>
        <v>44975</v>
      </c>
      <c r="Q67" s="177">
        <f t="shared" si="4"/>
        <v>22487.5</v>
      </c>
      <c r="R67" s="177">
        <f t="shared" si="5"/>
        <v>764575</v>
      </c>
      <c r="S67" s="182"/>
      <c r="T67" s="182"/>
      <c r="U67" s="182"/>
      <c r="V67" s="182"/>
    </row>
    <row r="68" spans="1:22" s="149" customFormat="1" ht="45.75" customHeight="1">
      <c r="A68" s="175">
        <v>62</v>
      </c>
      <c r="B68" s="408" t="s">
        <v>428</v>
      </c>
      <c r="C68" s="409" t="s">
        <v>429</v>
      </c>
      <c r="D68" s="410">
        <v>44</v>
      </c>
      <c r="E68" s="410"/>
      <c r="F68" s="431" t="s">
        <v>273</v>
      </c>
      <c r="G68" s="410" t="s">
        <v>146</v>
      </c>
      <c r="H68" s="412">
        <v>2697300</v>
      </c>
      <c r="I68" s="426" t="s">
        <v>155</v>
      </c>
      <c r="J68" s="176">
        <f t="shared" si="0"/>
        <v>283216.50000000006</v>
      </c>
      <c r="K68" s="379" t="s">
        <v>157</v>
      </c>
      <c r="L68" s="176">
        <f t="shared" si="1"/>
        <v>80919</v>
      </c>
      <c r="M68" s="379" t="s">
        <v>159</v>
      </c>
      <c r="N68" s="176">
        <f t="shared" si="2"/>
        <v>53946</v>
      </c>
      <c r="O68" s="379" t="s">
        <v>281</v>
      </c>
      <c r="P68" s="176">
        <f t="shared" si="3"/>
        <v>26973</v>
      </c>
      <c r="Q68" s="177">
        <f t="shared" si="4"/>
        <v>13486.5</v>
      </c>
      <c r="R68" s="177">
        <f t="shared" si="5"/>
        <v>458541.00000000006</v>
      </c>
      <c r="S68" s="182"/>
      <c r="T68" s="182"/>
      <c r="U68" s="182"/>
      <c r="V68" s="182"/>
    </row>
    <row r="69" spans="1:22" s="149" customFormat="1" ht="45.75" customHeight="1">
      <c r="A69" s="175">
        <v>63</v>
      </c>
      <c r="B69" s="408" t="s">
        <v>428</v>
      </c>
      <c r="C69" s="409" t="s">
        <v>488</v>
      </c>
      <c r="D69" s="410">
        <v>70</v>
      </c>
      <c r="E69" s="410"/>
      <c r="F69" s="431" t="s">
        <v>489</v>
      </c>
      <c r="G69" s="410" t="s">
        <v>162</v>
      </c>
      <c r="H69" s="412">
        <v>1773300</v>
      </c>
      <c r="I69" s="426" t="s">
        <v>153</v>
      </c>
      <c r="J69" s="176">
        <f t="shared" si="0"/>
        <v>203929.5</v>
      </c>
      <c r="K69" s="379" t="s">
        <v>173</v>
      </c>
      <c r="L69" s="176">
        <f t="shared" si="1"/>
        <v>53199</v>
      </c>
      <c r="M69" s="379" t="s">
        <v>290</v>
      </c>
      <c r="N69" s="176">
        <f t="shared" si="2"/>
        <v>35466</v>
      </c>
      <c r="O69" s="379" t="s">
        <v>56</v>
      </c>
      <c r="P69" s="176">
        <f t="shared" si="3"/>
        <v>0</v>
      </c>
      <c r="Q69" s="177">
        <f t="shared" si="4"/>
        <v>8866.5</v>
      </c>
      <c r="R69" s="177">
        <f t="shared" si="5"/>
        <v>301461</v>
      </c>
      <c r="S69" s="182"/>
      <c r="T69" s="182"/>
      <c r="U69" s="182"/>
      <c r="V69" s="182"/>
    </row>
    <row r="70" spans="1:22" s="149" customFormat="1" ht="45.75" customHeight="1">
      <c r="A70" s="175">
        <v>64</v>
      </c>
      <c r="B70" s="408" t="s">
        <v>428</v>
      </c>
      <c r="C70" s="409" t="s">
        <v>490</v>
      </c>
      <c r="D70" s="410">
        <v>75</v>
      </c>
      <c r="E70" s="410"/>
      <c r="F70" s="431" t="s">
        <v>269</v>
      </c>
      <c r="G70" s="410" t="s">
        <v>162</v>
      </c>
      <c r="H70" s="412">
        <v>2128200</v>
      </c>
      <c r="I70" s="426" t="s">
        <v>153</v>
      </c>
      <c r="J70" s="176">
        <f t="shared" si="0"/>
        <v>223461</v>
      </c>
      <c r="K70" s="379" t="s">
        <v>157</v>
      </c>
      <c r="L70" s="176">
        <f t="shared" si="1"/>
        <v>63846</v>
      </c>
      <c r="M70" s="379" t="s">
        <v>158</v>
      </c>
      <c r="N70" s="176">
        <f t="shared" si="2"/>
        <v>42564</v>
      </c>
      <c r="O70" s="379" t="s">
        <v>290</v>
      </c>
      <c r="P70" s="176">
        <f t="shared" si="3"/>
        <v>21282</v>
      </c>
      <c r="Q70" s="177">
        <f t="shared" si="4"/>
        <v>10641</v>
      </c>
      <c r="R70" s="177">
        <f t="shared" si="5"/>
        <v>361794</v>
      </c>
      <c r="S70" s="182"/>
      <c r="T70" s="182"/>
      <c r="U70" s="182"/>
      <c r="V70" s="182"/>
    </row>
    <row r="71" spans="1:22" s="149" customFormat="1" ht="45.75" customHeight="1">
      <c r="A71" s="175">
        <v>65</v>
      </c>
      <c r="B71" s="408" t="s">
        <v>428</v>
      </c>
      <c r="C71" s="409" t="s">
        <v>524</v>
      </c>
      <c r="D71" s="410">
        <v>50</v>
      </c>
      <c r="E71" s="410"/>
      <c r="F71" s="431" t="s">
        <v>525</v>
      </c>
      <c r="G71" s="410" t="s">
        <v>166</v>
      </c>
      <c r="H71" s="412">
        <v>4253000</v>
      </c>
      <c r="I71" s="426" t="s">
        <v>153</v>
      </c>
      <c r="J71" s="176">
        <f t="shared" si="0"/>
        <v>446565</v>
      </c>
      <c r="K71" s="379" t="s">
        <v>173</v>
      </c>
      <c r="L71" s="176">
        <f t="shared" si="1"/>
        <v>127590</v>
      </c>
      <c r="M71" s="379" t="s">
        <v>280</v>
      </c>
      <c r="N71" s="176">
        <f t="shared" si="2"/>
        <v>85060</v>
      </c>
      <c r="O71" s="379" t="s">
        <v>290</v>
      </c>
      <c r="P71" s="176">
        <f t="shared" si="3"/>
        <v>42530</v>
      </c>
      <c r="Q71" s="177">
        <f t="shared" si="4"/>
        <v>21265</v>
      </c>
      <c r="R71" s="177">
        <f t="shared" si="5"/>
        <v>723010</v>
      </c>
      <c r="S71" s="182"/>
      <c r="T71" s="182"/>
      <c r="U71" s="182"/>
      <c r="V71" s="182"/>
    </row>
    <row r="72" spans="1:22" s="149" customFormat="1" ht="45.75" customHeight="1">
      <c r="A72" s="175">
        <v>66</v>
      </c>
      <c r="B72" s="408" t="s">
        <v>430</v>
      </c>
      <c r="C72" s="409" t="s">
        <v>431</v>
      </c>
      <c r="D72" s="410">
        <v>28</v>
      </c>
      <c r="E72" s="410"/>
      <c r="F72" s="431" t="s">
        <v>432</v>
      </c>
      <c r="G72" s="410" t="s">
        <v>143</v>
      </c>
      <c r="H72" s="412">
        <v>1795400</v>
      </c>
      <c r="I72" s="427" t="s">
        <v>151</v>
      </c>
      <c r="J72" s="176">
        <f t="shared" si="0"/>
        <v>130166.50000000003</v>
      </c>
      <c r="K72" s="379" t="s">
        <v>157</v>
      </c>
      <c r="L72" s="176">
        <f t="shared" si="1"/>
        <v>53862</v>
      </c>
      <c r="M72" s="379" t="s">
        <v>159</v>
      </c>
      <c r="N72" s="176">
        <f t="shared" si="2"/>
        <v>35908</v>
      </c>
      <c r="O72" s="379" t="s">
        <v>282</v>
      </c>
      <c r="P72" s="176">
        <f t="shared" si="3"/>
        <v>17954</v>
      </c>
      <c r="Q72" s="177">
        <f t="shared" si="4"/>
        <v>8977</v>
      </c>
      <c r="R72" s="177">
        <f t="shared" si="5"/>
        <v>246867.50000000003</v>
      </c>
      <c r="S72" s="182"/>
      <c r="T72" s="182"/>
      <c r="U72" s="182"/>
      <c r="V72" s="182"/>
    </row>
    <row r="73" spans="1:22" s="149" customFormat="1" ht="45.75" customHeight="1">
      <c r="A73" s="175">
        <v>67</v>
      </c>
      <c r="B73" s="408" t="s">
        <v>430</v>
      </c>
      <c r="C73" s="409" t="s">
        <v>492</v>
      </c>
      <c r="D73" s="410">
        <v>49</v>
      </c>
      <c r="E73" s="410"/>
      <c r="F73" s="431" t="s">
        <v>269</v>
      </c>
      <c r="G73" s="410" t="s">
        <v>162</v>
      </c>
      <c r="H73" s="412">
        <v>2128200</v>
      </c>
      <c r="I73" s="426" t="s">
        <v>152</v>
      </c>
      <c r="J73" s="176">
        <f t="shared" si="0"/>
        <v>281986.5</v>
      </c>
      <c r="K73" s="379" t="s">
        <v>56</v>
      </c>
      <c r="L73" s="176">
        <f t="shared" si="1"/>
        <v>0</v>
      </c>
      <c r="M73" s="379" t="s">
        <v>56</v>
      </c>
      <c r="N73" s="176">
        <f t="shared" si="2"/>
        <v>0</v>
      </c>
      <c r="O73" s="379" t="s">
        <v>56</v>
      </c>
      <c r="P73" s="176">
        <f t="shared" si="3"/>
        <v>0</v>
      </c>
      <c r="Q73" s="177">
        <f t="shared" si="4"/>
        <v>10641</v>
      </c>
      <c r="R73" s="177">
        <f t="shared" si="5"/>
        <v>292627.5</v>
      </c>
      <c r="S73" s="182"/>
      <c r="T73" s="182"/>
      <c r="U73" s="182"/>
      <c r="V73" s="182"/>
    </row>
    <row r="74" spans="1:22" s="149" customFormat="1" ht="45.75" customHeight="1">
      <c r="A74" s="175">
        <v>68</v>
      </c>
      <c r="B74" s="408" t="s">
        <v>430</v>
      </c>
      <c r="C74" s="409" t="s">
        <v>287</v>
      </c>
      <c r="D74" s="410">
        <v>60</v>
      </c>
      <c r="E74" s="410"/>
      <c r="F74" s="431" t="s">
        <v>269</v>
      </c>
      <c r="G74" s="410" t="s">
        <v>162</v>
      </c>
      <c r="H74" s="412">
        <v>2128200</v>
      </c>
      <c r="I74" s="426" t="s">
        <v>153</v>
      </c>
      <c r="J74" s="176">
        <f t="shared" si="0"/>
        <v>351153</v>
      </c>
      <c r="K74" s="379" t="s">
        <v>56</v>
      </c>
      <c r="L74" s="176">
        <f t="shared" si="1"/>
        <v>0</v>
      </c>
      <c r="M74" s="379" t="s">
        <v>56</v>
      </c>
      <c r="N74" s="176">
        <f t="shared" si="2"/>
        <v>0</v>
      </c>
      <c r="O74" s="379" t="s">
        <v>56</v>
      </c>
      <c r="P74" s="176">
        <f t="shared" si="3"/>
        <v>0</v>
      </c>
      <c r="Q74" s="177">
        <f t="shared" si="4"/>
        <v>10641</v>
      </c>
      <c r="R74" s="177">
        <f t="shared" si="5"/>
        <v>361794</v>
      </c>
      <c r="S74" s="182"/>
      <c r="T74" s="182"/>
      <c r="U74" s="182"/>
      <c r="V74" s="182"/>
    </row>
    <row r="75" spans="1:22" s="149" customFormat="1" ht="45.75" customHeight="1">
      <c r="A75" s="175">
        <v>69</v>
      </c>
      <c r="B75" s="408" t="s">
        <v>433</v>
      </c>
      <c r="C75" s="409" t="s">
        <v>434</v>
      </c>
      <c r="D75" s="410">
        <v>37</v>
      </c>
      <c r="E75" s="410"/>
      <c r="F75" s="431" t="s">
        <v>165</v>
      </c>
      <c r="G75" s="410" t="s">
        <v>143</v>
      </c>
      <c r="H75" s="412">
        <v>4497500</v>
      </c>
      <c r="I75" s="427" t="s">
        <v>151</v>
      </c>
      <c r="J75" s="176">
        <f t="shared" si="0"/>
        <v>326068.75</v>
      </c>
      <c r="K75" s="379" t="s">
        <v>157</v>
      </c>
      <c r="L75" s="176">
        <f t="shared" si="1"/>
        <v>134925</v>
      </c>
      <c r="M75" s="379" t="s">
        <v>159</v>
      </c>
      <c r="N75" s="176">
        <f t="shared" si="2"/>
        <v>89950</v>
      </c>
      <c r="O75" s="379" t="s">
        <v>282</v>
      </c>
      <c r="P75" s="176">
        <f t="shared" si="3"/>
        <v>44975</v>
      </c>
      <c r="Q75" s="177">
        <f t="shared" si="4"/>
        <v>22487.5</v>
      </c>
      <c r="R75" s="177">
        <f t="shared" si="5"/>
        <v>618406.25</v>
      </c>
      <c r="S75" s="182"/>
      <c r="T75" s="182"/>
      <c r="U75" s="182"/>
      <c r="V75" s="182"/>
    </row>
    <row r="76" spans="1:22" s="149" customFormat="1" ht="45.75" customHeight="1">
      <c r="A76" s="175">
        <v>70</v>
      </c>
      <c r="B76" s="408" t="s">
        <v>493</v>
      </c>
      <c r="C76" s="409" t="s">
        <v>494</v>
      </c>
      <c r="D76" s="410">
        <v>35</v>
      </c>
      <c r="E76" s="410"/>
      <c r="F76" s="431" t="s">
        <v>285</v>
      </c>
      <c r="G76" s="410" t="s">
        <v>162</v>
      </c>
      <c r="H76" s="412">
        <v>2760300</v>
      </c>
      <c r="I76" s="426" t="s">
        <v>156</v>
      </c>
      <c r="J76" s="176">
        <f t="shared" si="0"/>
        <v>289831.50000000006</v>
      </c>
      <c r="K76" s="379" t="s">
        <v>151</v>
      </c>
      <c r="L76" s="176">
        <f t="shared" si="1"/>
        <v>82809</v>
      </c>
      <c r="M76" s="379" t="s">
        <v>154</v>
      </c>
      <c r="N76" s="176">
        <f t="shared" si="2"/>
        <v>55206</v>
      </c>
      <c r="O76" s="379" t="s">
        <v>157</v>
      </c>
      <c r="P76" s="176">
        <f t="shared" si="3"/>
        <v>27603</v>
      </c>
      <c r="Q76" s="177">
        <f t="shared" si="4"/>
        <v>13801.5</v>
      </c>
      <c r="R76" s="177">
        <f t="shared" si="5"/>
        <v>469251.00000000006</v>
      </c>
      <c r="S76" s="182"/>
      <c r="T76" s="182"/>
      <c r="U76" s="182"/>
      <c r="V76" s="182"/>
    </row>
    <row r="77" spans="1:22" s="149" customFormat="1" ht="45.75" customHeight="1">
      <c r="A77" s="175">
        <v>71</v>
      </c>
      <c r="B77" s="408" t="s">
        <v>493</v>
      </c>
      <c r="C77" s="409" t="s">
        <v>526</v>
      </c>
      <c r="D77" s="410">
        <v>28</v>
      </c>
      <c r="E77" s="410"/>
      <c r="F77" s="431" t="s">
        <v>527</v>
      </c>
      <c r="G77" s="410" t="s">
        <v>166</v>
      </c>
      <c r="H77" s="412">
        <v>10000000</v>
      </c>
      <c r="I77" s="427" t="s">
        <v>151</v>
      </c>
      <c r="J77" s="176">
        <f t="shared" si="0"/>
        <v>725000</v>
      </c>
      <c r="K77" s="379" t="s">
        <v>157</v>
      </c>
      <c r="L77" s="176">
        <f t="shared" si="1"/>
        <v>300000</v>
      </c>
      <c r="M77" s="379" t="s">
        <v>160</v>
      </c>
      <c r="N77" s="176">
        <f t="shared" si="2"/>
        <v>200000</v>
      </c>
      <c r="O77" s="379" t="s">
        <v>281</v>
      </c>
      <c r="P77" s="176">
        <f t="shared" si="3"/>
        <v>100000</v>
      </c>
      <c r="Q77" s="177">
        <f t="shared" si="4"/>
        <v>50000</v>
      </c>
      <c r="R77" s="177">
        <f t="shared" si="5"/>
        <v>1375000</v>
      </c>
      <c r="S77" s="182"/>
      <c r="T77" s="182"/>
      <c r="U77" s="182"/>
      <c r="V77" s="182"/>
    </row>
    <row r="78" spans="1:22" s="149" customFormat="1" ht="45.75" customHeight="1">
      <c r="A78" s="175">
        <v>72</v>
      </c>
      <c r="B78" s="408" t="s">
        <v>437</v>
      </c>
      <c r="C78" s="409" t="s">
        <v>495</v>
      </c>
      <c r="D78" s="410"/>
      <c r="E78" s="410">
        <v>63</v>
      </c>
      <c r="F78" s="431" t="s">
        <v>496</v>
      </c>
      <c r="G78" s="410" t="s">
        <v>162</v>
      </c>
      <c r="H78" s="412">
        <v>2559100</v>
      </c>
      <c r="I78" s="426" t="s">
        <v>156</v>
      </c>
      <c r="J78" s="176">
        <f t="shared" si="0"/>
        <v>268705.50000000006</v>
      </c>
      <c r="K78" s="379" t="s">
        <v>151</v>
      </c>
      <c r="L78" s="176">
        <f t="shared" si="1"/>
        <v>76773</v>
      </c>
      <c r="M78" s="379" t="s">
        <v>157</v>
      </c>
      <c r="N78" s="176">
        <f t="shared" si="2"/>
        <v>51182</v>
      </c>
      <c r="O78" s="379" t="s">
        <v>160</v>
      </c>
      <c r="P78" s="176">
        <f t="shared" si="3"/>
        <v>25591</v>
      </c>
      <c r="Q78" s="177">
        <f t="shared" si="4"/>
        <v>12795.5</v>
      </c>
      <c r="R78" s="177">
        <f t="shared" si="5"/>
        <v>435047.00000000006</v>
      </c>
      <c r="S78" s="182"/>
      <c r="T78" s="182"/>
      <c r="U78" s="182"/>
      <c r="V78" s="182"/>
    </row>
    <row r="79" spans="1:22" s="149" customFormat="1" ht="45.75" customHeight="1">
      <c r="A79" s="175">
        <v>74</v>
      </c>
      <c r="B79" s="408" t="s">
        <v>437</v>
      </c>
      <c r="C79" s="409" t="s">
        <v>438</v>
      </c>
      <c r="D79" s="410"/>
      <c r="E79" s="410">
        <v>88</v>
      </c>
      <c r="F79" s="431" t="s">
        <v>171</v>
      </c>
      <c r="G79" s="410" t="s">
        <v>146</v>
      </c>
      <c r="H79" s="412">
        <v>3897500</v>
      </c>
      <c r="I79" s="427" t="s">
        <v>151</v>
      </c>
      <c r="J79" s="176">
        <f t="shared" si="0"/>
        <v>282568.75</v>
      </c>
      <c r="K79" s="379" t="s">
        <v>157</v>
      </c>
      <c r="L79" s="176">
        <f t="shared" si="1"/>
        <v>116925</v>
      </c>
      <c r="M79" s="379" t="s">
        <v>280</v>
      </c>
      <c r="N79" s="176">
        <f t="shared" si="2"/>
        <v>77950</v>
      </c>
      <c r="O79" s="379" t="s">
        <v>290</v>
      </c>
      <c r="P79" s="176">
        <f t="shared" si="3"/>
        <v>38975</v>
      </c>
      <c r="Q79" s="177">
        <f t="shared" si="4"/>
        <v>19487.5</v>
      </c>
      <c r="R79" s="177">
        <f t="shared" si="5"/>
        <v>535906.25</v>
      </c>
      <c r="S79" s="182"/>
      <c r="T79" s="182"/>
      <c r="U79" s="182"/>
      <c r="V79" s="182"/>
    </row>
    <row r="80" spans="1:22" s="149" customFormat="1" ht="45.75" customHeight="1">
      <c r="A80" s="175">
        <v>75</v>
      </c>
      <c r="B80" s="408" t="s">
        <v>437</v>
      </c>
      <c r="C80" s="409" t="s">
        <v>528</v>
      </c>
      <c r="D80" s="410">
        <v>51</v>
      </c>
      <c r="E80" s="410"/>
      <c r="F80" s="431" t="s">
        <v>395</v>
      </c>
      <c r="G80" s="410" t="s">
        <v>166</v>
      </c>
      <c r="H80" s="412">
        <v>9972000</v>
      </c>
      <c r="I80" s="426" t="s">
        <v>155</v>
      </c>
      <c r="J80" s="176">
        <f t="shared" si="0"/>
        <v>1645380.0000000002</v>
      </c>
      <c r="K80" s="379" t="s">
        <v>56</v>
      </c>
      <c r="L80" s="176">
        <f t="shared" si="1"/>
        <v>0</v>
      </c>
      <c r="M80" s="379" t="s">
        <v>56</v>
      </c>
      <c r="N80" s="176">
        <f t="shared" si="2"/>
        <v>0</v>
      </c>
      <c r="O80" s="379" t="s">
        <v>56</v>
      </c>
      <c r="P80" s="176">
        <f t="shared" si="3"/>
        <v>0</v>
      </c>
      <c r="Q80" s="177">
        <f t="shared" si="4"/>
        <v>49860</v>
      </c>
      <c r="R80" s="177">
        <f t="shared" si="5"/>
        <v>1695240.0000000002</v>
      </c>
      <c r="S80" s="182"/>
      <c r="T80" s="182"/>
      <c r="U80" s="182"/>
      <c r="V80" s="182"/>
    </row>
    <row r="81" spans="1:22" s="149" customFormat="1" ht="45.75" customHeight="1">
      <c r="A81" s="175">
        <v>76</v>
      </c>
      <c r="B81" s="408" t="s">
        <v>437</v>
      </c>
      <c r="C81" s="409" t="s">
        <v>439</v>
      </c>
      <c r="D81" s="410"/>
      <c r="E81" s="410">
        <v>61</v>
      </c>
      <c r="F81" s="431" t="s">
        <v>395</v>
      </c>
      <c r="G81" s="410" t="s">
        <v>143</v>
      </c>
      <c r="H81" s="412">
        <v>4497500</v>
      </c>
      <c r="I81" s="426" t="s">
        <v>154</v>
      </c>
      <c r="J81" s="176">
        <f t="shared" si="0"/>
        <v>595918.75</v>
      </c>
      <c r="K81" s="379" t="s">
        <v>56</v>
      </c>
      <c r="L81" s="176">
        <f t="shared" si="1"/>
        <v>0</v>
      </c>
      <c r="M81" s="379" t="s">
        <v>56</v>
      </c>
      <c r="N81" s="176">
        <f t="shared" si="2"/>
        <v>0</v>
      </c>
      <c r="O81" s="379" t="s">
        <v>56</v>
      </c>
      <c r="P81" s="176">
        <f t="shared" si="3"/>
        <v>0</v>
      </c>
      <c r="Q81" s="177">
        <f t="shared" si="4"/>
        <v>22487.5</v>
      </c>
      <c r="R81" s="177">
        <f t="shared" si="5"/>
        <v>618406.25</v>
      </c>
      <c r="S81" s="182"/>
      <c r="T81" s="182"/>
      <c r="U81" s="182"/>
      <c r="V81" s="182"/>
    </row>
    <row r="82" spans="1:22" s="149" customFormat="1" ht="45.75" customHeight="1">
      <c r="A82" s="175">
        <v>77</v>
      </c>
      <c r="B82" s="408" t="s">
        <v>437</v>
      </c>
      <c r="C82" s="409" t="s">
        <v>497</v>
      </c>
      <c r="D82" s="410">
        <v>77</v>
      </c>
      <c r="E82" s="410"/>
      <c r="F82" s="431" t="s">
        <v>498</v>
      </c>
      <c r="G82" s="410" t="s">
        <v>162</v>
      </c>
      <c r="H82" s="412">
        <v>859300</v>
      </c>
      <c r="I82" s="426" t="s">
        <v>152</v>
      </c>
      <c r="J82" s="176">
        <f t="shared" si="0"/>
        <v>113857.25000000001</v>
      </c>
      <c r="K82" s="379" t="s">
        <v>56</v>
      </c>
      <c r="L82" s="176">
        <f t="shared" si="1"/>
        <v>0</v>
      </c>
      <c r="M82" s="379" t="s">
        <v>56</v>
      </c>
      <c r="N82" s="176">
        <f t="shared" si="2"/>
        <v>0</v>
      </c>
      <c r="O82" s="379" t="s">
        <v>56</v>
      </c>
      <c r="P82" s="176">
        <f t="shared" si="3"/>
        <v>0</v>
      </c>
      <c r="Q82" s="177">
        <f t="shared" si="4"/>
        <v>4296.5</v>
      </c>
      <c r="R82" s="177">
        <f t="shared" si="5"/>
        <v>118153.75000000001</v>
      </c>
      <c r="S82" s="182"/>
      <c r="T82" s="182"/>
      <c r="U82" s="182"/>
      <c r="V82" s="182"/>
    </row>
    <row r="83" spans="1:22" s="149" customFormat="1" ht="45.75" customHeight="1">
      <c r="A83" s="175">
        <v>78</v>
      </c>
      <c r="B83" s="408" t="s">
        <v>437</v>
      </c>
      <c r="C83" s="409" t="s">
        <v>440</v>
      </c>
      <c r="D83" s="410"/>
      <c r="E83" s="410">
        <v>60</v>
      </c>
      <c r="F83" s="431" t="s">
        <v>441</v>
      </c>
      <c r="G83" s="410" t="s">
        <v>146</v>
      </c>
      <c r="H83" s="412">
        <v>2697300</v>
      </c>
      <c r="I83" s="426" t="s">
        <v>155</v>
      </c>
      <c r="J83" s="176">
        <f t="shared" si="0"/>
        <v>310189.50000000006</v>
      </c>
      <c r="K83" s="379" t="s">
        <v>158</v>
      </c>
      <c r="L83" s="176">
        <f t="shared" si="1"/>
        <v>80919</v>
      </c>
      <c r="M83" s="379" t="s">
        <v>290</v>
      </c>
      <c r="N83" s="176">
        <f t="shared" si="2"/>
        <v>53946</v>
      </c>
      <c r="O83" s="379" t="s">
        <v>56</v>
      </c>
      <c r="P83" s="176">
        <f t="shared" si="3"/>
        <v>0</v>
      </c>
      <c r="Q83" s="177">
        <f t="shared" si="4"/>
        <v>13486.5</v>
      </c>
      <c r="R83" s="177">
        <f t="shared" si="5"/>
        <v>458541.00000000006</v>
      </c>
      <c r="S83" s="182"/>
      <c r="T83" s="182"/>
      <c r="U83" s="182"/>
      <c r="V83" s="182"/>
    </row>
    <row r="84" spans="1:22" s="149" customFormat="1" ht="45.75" customHeight="1">
      <c r="A84" s="175">
        <v>79</v>
      </c>
      <c r="B84" s="408" t="s">
        <v>437</v>
      </c>
      <c r="C84" s="409" t="s">
        <v>442</v>
      </c>
      <c r="D84" s="410"/>
      <c r="E84" s="410">
        <v>51</v>
      </c>
      <c r="F84" s="431" t="s">
        <v>271</v>
      </c>
      <c r="G84" s="410" t="s">
        <v>143</v>
      </c>
      <c r="H84" s="412">
        <v>4201900</v>
      </c>
      <c r="I84" s="427" t="s">
        <v>151</v>
      </c>
      <c r="J84" s="176">
        <f t="shared" si="0"/>
        <v>304637.75</v>
      </c>
      <c r="K84" s="379" t="s">
        <v>157</v>
      </c>
      <c r="L84" s="176">
        <f t="shared" si="1"/>
        <v>126057</v>
      </c>
      <c r="M84" s="379" t="s">
        <v>160</v>
      </c>
      <c r="N84" s="176">
        <f t="shared" si="2"/>
        <v>84038</v>
      </c>
      <c r="O84" s="379" t="s">
        <v>280</v>
      </c>
      <c r="P84" s="176">
        <f t="shared" si="3"/>
        <v>42019</v>
      </c>
      <c r="Q84" s="177">
        <f t="shared" si="4"/>
        <v>21009.5</v>
      </c>
      <c r="R84" s="177">
        <f t="shared" si="5"/>
        <v>577761.25</v>
      </c>
      <c r="S84" s="182"/>
      <c r="T84" s="182"/>
      <c r="U84" s="182"/>
      <c r="V84" s="182"/>
    </row>
    <row r="85" spans="1:22" s="149" customFormat="1" ht="45.75" customHeight="1">
      <c r="A85" s="175">
        <v>80</v>
      </c>
      <c r="B85" s="408" t="s">
        <v>437</v>
      </c>
      <c r="C85" s="409" t="s">
        <v>287</v>
      </c>
      <c r="D85" s="410">
        <v>65</v>
      </c>
      <c r="E85" s="410"/>
      <c r="F85" s="431" t="s">
        <v>499</v>
      </c>
      <c r="G85" s="410" t="s">
        <v>162</v>
      </c>
      <c r="H85" s="412">
        <v>3128200</v>
      </c>
      <c r="I85" s="426" t="s">
        <v>153</v>
      </c>
      <c r="J85" s="176">
        <f t="shared" si="0"/>
        <v>359743</v>
      </c>
      <c r="K85" s="379" t="s">
        <v>160</v>
      </c>
      <c r="L85" s="176">
        <f t="shared" si="1"/>
        <v>93846</v>
      </c>
      <c r="M85" s="379" t="s">
        <v>291</v>
      </c>
      <c r="N85" s="176">
        <f t="shared" si="2"/>
        <v>62564</v>
      </c>
      <c r="O85" s="379" t="s">
        <v>56</v>
      </c>
      <c r="P85" s="176">
        <f t="shared" si="3"/>
        <v>0</v>
      </c>
      <c r="Q85" s="177">
        <f t="shared" si="4"/>
        <v>15641</v>
      </c>
      <c r="R85" s="177">
        <f t="shared" si="5"/>
        <v>531794</v>
      </c>
      <c r="S85" s="182"/>
      <c r="T85" s="182"/>
      <c r="U85" s="182"/>
      <c r="V85" s="182"/>
    </row>
    <row r="86" spans="1:22" s="149" customFormat="1" ht="45.75" customHeight="1">
      <c r="A86" s="175">
        <v>81</v>
      </c>
      <c r="B86" s="408" t="s">
        <v>443</v>
      </c>
      <c r="C86" s="409" t="s">
        <v>529</v>
      </c>
      <c r="D86" s="410">
        <v>44</v>
      </c>
      <c r="E86" s="410"/>
      <c r="F86" s="431" t="s">
        <v>530</v>
      </c>
      <c r="G86" s="410" t="s">
        <v>166</v>
      </c>
      <c r="H86" s="412">
        <v>1500000</v>
      </c>
      <c r="I86" s="427" t="s">
        <v>151</v>
      </c>
      <c r="J86" s="176">
        <f t="shared" si="0"/>
        <v>198750.00000000003</v>
      </c>
      <c r="K86" s="379" t="s">
        <v>56</v>
      </c>
      <c r="L86" s="176">
        <f t="shared" si="1"/>
        <v>0</v>
      </c>
      <c r="M86" s="379" t="s">
        <v>56</v>
      </c>
      <c r="N86" s="176">
        <f t="shared" si="2"/>
        <v>0</v>
      </c>
      <c r="O86" s="379" t="s">
        <v>56</v>
      </c>
      <c r="P86" s="176">
        <f t="shared" si="3"/>
        <v>0</v>
      </c>
      <c r="Q86" s="177">
        <f t="shared" si="4"/>
        <v>7500</v>
      </c>
      <c r="R86" s="177">
        <f t="shared" si="5"/>
        <v>206250.00000000003</v>
      </c>
      <c r="S86" s="182"/>
      <c r="T86" s="182"/>
      <c r="U86" s="182"/>
      <c r="V86" s="182"/>
    </row>
    <row r="87" spans="1:22" s="149" customFormat="1" ht="45.75" customHeight="1">
      <c r="A87" s="175">
        <v>82</v>
      </c>
      <c r="B87" s="408" t="s">
        <v>443</v>
      </c>
      <c r="C87" s="409" t="s">
        <v>447</v>
      </c>
      <c r="D87" s="410"/>
      <c r="E87" s="410">
        <v>70</v>
      </c>
      <c r="F87" s="431" t="s">
        <v>448</v>
      </c>
      <c r="G87" s="410" t="s">
        <v>143</v>
      </c>
      <c r="H87" s="412">
        <v>3525500</v>
      </c>
      <c r="I87" s="426" t="s">
        <v>156</v>
      </c>
      <c r="J87" s="176">
        <f t="shared" si="0"/>
        <v>370177.5</v>
      </c>
      <c r="K87" s="379" t="s">
        <v>154</v>
      </c>
      <c r="L87" s="176">
        <f t="shared" si="1"/>
        <v>105765</v>
      </c>
      <c r="M87" s="379" t="s">
        <v>157</v>
      </c>
      <c r="N87" s="176">
        <f t="shared" si="2"/>
        <v>70510</v>
      </c>
      <c r="O87" s="379" t="s">
        <v>158</v>
      </c>
      <c r="P87" s="176">
        <f t="shared" si="3"/>
        <v>35255</v>
      </c>
      <c r="Q87" s="177">
        <f t="shared" si="4"/>
        <v>17627.5</v>
      </c>
      <c r="R87" s="177">
        <f t="shared" si="5"/>
        <v>599335</v>
      </c>
      <c r="S87" s="182"/>
      <c r="T87" s="182"/>
      <c r="U87" s="182"/>
      <c r="V87" s="182"/>
    </row>
    <row r="88" spans="1:22" s="149" customFormat="1" ht="45.75" customHeight="1">
      <c r="A88" s="175">
        <v>83</v>
      </c>
      <c r="B88" s="408" t="s">
        <v>443</v>
      </c>
      <c r="C88" s="409" t="s">
        <v>503</v>
      </c>
      <c r="D88" s="410">
        <v>35</v>
      </c>
      <c r="E88" s="410"/>
      <c r="F88" s="431" t="s">
        <v>164</v>
      </c>
      <c r="G88" s="410" t="s">
        <v>162</v>
      </c>
      <c r="H88" s="412">
        <v>2559100</v>
      </c>
      <c r="I88" s="426" t="s">
        <v>153</v>
      </c>
      <c r="J88" s="176">
        <f t="shared" si="0"/>
        <v>294296.50000000006</v>
      </c>
      <c r="K88" s="411" t="s">
        <v>158</v>
      </c>
      <c r="L88" s="176">
        <f t="shared" si="1"/>
        <v>76773</v>
      </c>
      <c r="M88" s="379" t="s">
        <v>161</v>
      </c>
      <c r="N88" s="176">
        <f t="shared" si="2"/>
        <v>51182</v>
      </c>
      <c r="O88" s="379" t="s">
        <v>56</v>
      </c>
      <c r="P88" s="176">
        <f t="shared" si="3"/>
        <v>0</v>
      </c>
      <c r="Q88" s="177">
        <f t="shared" si="4"/>
        <v>12795.5</v>
      </c>
      <c r="R88" s="177">
        <f t="shared" si="5"/>
        <v>435047.00000000006</v>
      </c>
      <c r="S88" s="182"/>
      <c r="T88" s="182"/>
      <c r="U88" s="182"/>
      <c r="V88" s="182"/>
    </row>
    <row r="89" spans="1:22" s="149" customFormat="1" ht="45.75" customHeight="1">
      <c r="A89" s="175">
        <v>84</v>
      </c>
      <c r="B89" s="408" t="s">
        <v>449</v>
      </c>
      <c r="C89" s="409" t="s">
        <v>531</v>
      </c>
      <c r="D89" s="410"/>
      <c r="E89" s="410">
        <v>49</v>
      </c>
      <c r="F89" s="431" t="s">
        <v>395</v>
      </c>
      <c r="G89" s="410" t="s">
        <v>166</v>
      </c>
      <c r="H89" s="412">
        <v>9972000</v>
      </c>
      <c r="I89" s="426" t="s">
        <v>155</v>
      </c>
      <c r="J89" s="176">
        <f t="shared" si="0"/>
        <v>1047060.0000000002</v>
      </c>
      <c r="K89" s="379" t="s">
        <v>157</v>
      </c>
      <c r="L89" s="176">
        <f t="shared" si="1"/>
        <v>299160</v>
      </c>
      <c r="M89" s="379" t="s">
        <v>280</v>
      </c>
      <c r="N89" s="176">
        <f t="shared" si="2"/>
        <v>199440</v>
      </c>
      <c r="O89" s="379" t="s">
        <v>159</v>
      </c>
      <c r="P89" s="176">
        <f t="shared" si="3"/>
        <v>99720</v>
      </c>
      <c r="Q89" s="177">
        <f t="shared" si="4"/>
        <v>49860</v>
      </c>
      <c r="R89" s="177">
        <f t="shared" si="5"/>
        <v>1695240.0000000002</v>
      </c>
      <c r="S89" s="182"/>
      <c r="T89" s="182"/>
      <c r="U89" s="182"/>
      <c r="V89" s="182"/>
    </row>
    <row r="90" spans="1:22" s="149" customFormat="1" ht="45.75" customHeight="1">
      <c r="A90" s="175">
        <v>85</v>
      </c>
      <c r="B90" s="408" t="s">
        <v>451</v>
      </c>
      <c r="C90" s="409" t="s">
        <v>452</v>
      </c>
      <c r="D90" s="410">
        <v>50</v>
      </c>
      <c r="E90" s="410"/>
      <c r="F90" s="431" t="s">
        <v>453</v>
      </c>
      <c r="G90" s="410" t="s">
        <v>143</v>
      </c>
      <c r="H90" s="412">
        <v>1795400</v>
      </c>
      <c r="I90" s="426" t="s">
        <v>154</v>
      </c>
      <c r="J90" s="176">
        <f t="shared" si="0"/>
        <v>130166.50000000003</v>
      </c>
      <c r="K90" s="379" t="s">
        <v>280</v>
      </c>
      <c r="L90" s="176">
        <f t="shared" si="1"/>
        <v>53862</v>
      </c>
      <c r="M90" s="379" t="s">
        <v>161</v>
      </c>
      <c r="N90" s="176">
        <f t="shared" si="2"/>
        <v>35908</v>
      </c>
      <c r="O90" s="379" t="s">
        <v>292</v>
      </c>
      <c r="P90" s="176">
        <f t="shared" si="3"/>
        <v>17954</v>
      </c>
      <c r="Q90" s="177">
        <f t="shared" si="4"/>
        <v>8977</v>
      </c>
      <c r="R90" s="177">
        <f t="shared" si="5"/>
        <v>246867.50000000003</v>
      </c>
      <c r="S90" s="182"/>
      <c r="T90" s="182"/>
      <c r="U90" s="182"/>
      <c r="V90" s="182"/>
    </row>
    <row r="91" spans="1:22" s="149" customFormat="1" ht="45.75" customHeight="1">
      <c r="A91" s="175">
        <v>86</v>
      </c>
      <c r="B91" s="408" t="s">
        <v>454</v>
      </c>
      <c r="C91" s="409" t="s">
        <v>505</v>
      </c>
      <c r="D91" s="410">
        <v>35</v>
      </c>
      <c r="E91" s="410"/>
      <c r="F91" s="431" t="s">
        <v>164</v>
      </c>
      <c r="G91" s="410" t="s">
        <v>162</v>
      </c>
      <c r="H91" s="412">
        <v>2559100</v>
      </c>
      <c r="I91" s="426" t="s">
        <v>155</v>
      </c>
      <c r="J91" s="176">
        <f t="shared" si="0"/>
        <v>268705.50000000006</v>
      </c>
      <c r="K91" s="379" t="s">
        <v>160</v>
      </c>
      <c r="L91" s="176">
        <f t="shared" si="1"/>
        <v>76773</v>
      </c>
      <c r="M91" s="379" t="s">
        <v>158</v>
      </c>
      <c r="N91" s="176">
        <f t="shared" si="2"/>
        <v>51182</v>
      </c>
      <c r="O91" s="379" t="s">
        <v>281</v>
      </c>
      <c r="P91" s="176">
        <f t="shared" si="3"/>
        <v>25591</v>
      </c>
      <c r="Q91" s="177">
        <f t="shared" si="4"/>
        <v>12795.5</v>
      </c>
      <c r="R91" s="177">
        <f t="shared" si="5"/>
        <v>435047.00000000006</v>
      </c>
      <c r="S91" s="182"/>
      <c r="T91" s="182"/>
      <c r="U91" s="182"/>
      <c r="V91" s="182"/>
    </row>
    <row r="92" spans="1:22" s="149" customFormat="1" ht="45.75" customHeight="1">
      <c r="A92" s="175">
        <v>87</v>
      </c>
      <c r="B92" s="408" t="s">
        <v>454</v>
      </c>
      <c r="C92" s="409" t="s">
        <v>455</v>
      </c>
      <c r="D92" s="410">
        <v>26</v>
      </c>
      <c r="E92" s="410"/>
      <c r="F92" s="431" t="s">
        <v>456</v>
      </c>
      <c r="G92" s="410" t="s">
        <v>143</v>
      </c>
      <c r="H92" s="412">
        <v>3405500</v>
      </c>
      <c r="I92" s="426" t="s">
        <v>154</v>
      </c>
      <c r="J92" s="176">
        <f t="shared" si="0"/>
        <v>246898.75000000006</v>
      </c>
      <c r="K92" s="379" t="s">
        <v>157</v>
      </c>
      <c r="L92" s="176">
        <f t="shared" si="1"/>
        <v>102165</v>
      </c>
      <c r="M92" s="379" t="s">
        <v>158</v>
      </c>
      <c r="N92" s="176">
        <f t="shared" si="2"/>
        <v>68110</v>
      </c>
      <c r="O92" s="379" t="s">
        <v>291</v>
      </c>
      <c r="P92" s="176">
        <f t="shared" si="3"/>
        <v>34055</v>
      </c>
      <c r="Q92" s="177">
        <f t="shared" si="4"/>
        <v>17027.5</v>
      </c>
      <c r="R92" s="177">
        <f t="shared" si="5"/>
        <v>468256.25000000006</v>
      </c>
      <c r="S92" s="182"/>
      <c r="T92" s="182"/>
      <c r="U92" s="182"/>
      <c r="V92" s="182"/>
    </row>
    <row r="93" spans="1:22" s="149" customFormat="1" ht="45.75" customHeight="1">
      <c r="A93" s="175">
        <v>88</v>
      </c>
      <c r="B93" s="408" t="s">
        <v>454</v>
      </c>
      <c r="C93" s="409" t="s">
        <v>457</v>
      </c>
      <c r="D93" s="410">
        <v>28</v>
      </c>
      <c r="E93" s="410"/>
      <c r="F93" s="431" t="s">
        <v>458</v>
      </c>
      <c r="G93" s="410" t="s">
        <v>146</v>
      </c>
      <c r="H93" s="412">
        <v>3397500</v>
      </c>
      <c r="I93" s="426" t="s">
        <v>154</v>
      </c>
      <c r="J93" s="176">
        <f t="shared" si="0"/>
        <v>246318.75000000006</v>
      </c>
      <c r="K93" s="379" t="s">
        <v>155</v>
      </c>
      <c r="L93" s="176">
        <f t="shared" si="1"/>
        <v>101925</v>
      </c>
      <c r="M93" s="379" t="s">
        <v>157</v>
      </c>
      <c r="N93" s="176">
        <f t="shared" si="2"/>
        <v>67950</v>
      </c>
      <c r="O93" s="379" t="s">
        <v>281</v>
      </c>
      <c r="P93" s="176">
        <f t="shared" si="3"/>
        <v>33975</v>
      </c>
      <c r="Q93" s="177">
        <f t="shared" si="4"/>
        <v>16987.5</v>
      </c>
      <c r="R93" s="177">
        <f t="shared" si="5"/>
        <v>467156.25000000006</v>
      </c>
      <c r="S93" s="182"/>
      <c r="T93" s="182"/>
      <c r="U93" s="182"/>
      <c r="V93" s="182"/>
    </row>
    <row r="94" spans="1:22" s="149" customFormat="1" ht="45.75" customHeight="1">
      <c r="A94" s="175">
        <v>89</v>
      </c>
      <c r="B94" s="408" t="s">
        <v>454</v>
      </c>
      <c r="C94" s="409" t="s">
        <v>459</v>
      </c>
      <c r="D94" s="410">
        <v>28</v>
      </c>
      <c r="E94" s="410"/>
      <c r="F94" s="431" t="s">
        <v>456</v>
      </c>
      <c r="G94" s="410" t="s">
        <v>143</v>
      </c>
      <c r="H94" s="412">
        <v>3405500</v>
      </c>
      <c r="I94" s="426" t="s">
        <v>154</v>
      </c>
      <c r="J94" s="176">
        <f t="shared" si="0"/>
        <v>246898.75000000006</v>
      </c>
      <c r="K94" s="379" t="s">
        <v>157</v>
      </c>
      <c r="L94" s="176">
        <f t="shared" si="1"/>
        <v>102165</v>
      </c>
      <c r="M94" s="379" t="s">
        <v>158</v>
      </c>
      <c r="N94" s="176">
        <f t="shared" si="2"/>
        <v>68110</v>
      </c>
      <c r="O94" s="379" t="s">
        <v>281</v>
      </c>
      <c r="P94" s="176">
        <f t="shared" si="3"/>
        <v>34055</v>
      </c>
      <c r="Q94" s="177">
        <f t="shared" si="4"/>
        <v>17027.5</v>
      </c>
      <c r="R94" s="177">
        <f t="shared" si="5"/>
        <v>468256.25000000006</v>
      </c>
      <c r="S94" s="182"/>
      <c r="T94" s="182"/>
      <c r="U94" s="182"/>
      <c r="V94" s="182"/>
    </row>
    <row r="95" spans="1:22" s="149" customFormat="1" ht="45.75" customHeight="1">
      <c r="A95" s="175">
        <v>90</v>
      </c>
      <c r="B95" s="408" t="s">
        <v>454</v>
      </c>
      <c r="C95" s="409" t="s">
        <v>506</v>
      </c>
      <c r="D95" s="410">
        <v>39</v>
      </c>
      <c r="E95" s="410"/>
      <c r="F95" s="431" t="s">
        <v>164</v>
      </c>
      <c r="G95" s="410" t="s">
        <v>162</v>
      </c>
      <c r="H95" s="412">
        <v>2559100</v>
      </c>
      <c r="I95" s="426" t="s">
        <v>155</v>
      </c>
      <c r="J95" s="176">
        <f t="shared" si="0"/>
        <v>268705.50000000006</v>
      </c>
      <c r="K95" s="379" t="s">
        <v>160</v>
      </c>
      <c r="L95" s="176">
        <f t="shared" si="1"/>
        <v>76773</v>
      </c>
      <c r="M95" s="379" t="s">
        <v>158</v>
      </c>
      <c r="N95" s="176">
        <f t="shared" si="2"/>
        <v>51182</v>
      </c>
      <c r="O95" s="379" t="s">
        <v>281</v>
      </c>
      <c r="P95" s="176">
        <f t="shared" si="3"/>
        <v>25591</v>
      </c>
      <c r="Q95" s="177">
        <f t="shared" si="4"/>
        <v>12795.5</v>
      </c>
      <c r="R95" s="177">
        <f t="shared" si="5"/>
        <v>435047.00000000006</v>
      </c>
      <c r="S95" s="182"/>
      <c r="T95" s="182"/>
      <c r="U95" s="182"/>
      <c r="V95" s="182"/>
    </row>
    <row r="96" spans="1:22" s="149" customFormat="1" ht="45.75" customHeight="1">
      <c r="A96" s="175">
        <v>91</v>
      </c>
      <c r="B96" s="408" t="s">
        <v>454</v>
      </c>
      <c r="C96" s="409" t="s">
        <v>507</v>
      </c>
      <c r="D96" s="410"/>
      <c r="E96" s="410">
        <v>49</v>
      </c>
      <c r="F96" s="431" t="s">
        <v>269</v>
      </c>
      <c r="G96" s="410" t="s">
        <v>162</v>
      </c>
      <c r="H96" s="412">
        <v>2128200</v>
      </c>
      <c r="I96" s="426" t="s">
        <v>155</v>
      </c>
      <c r="J96" s="176">
        <f t="shared" si="0"/>
        <v>244743</v>
      </c>
      <c r="K96" s="379" t="s">
        <v>291</v>
      </c>
      <c r="L96" s="176">
        <f t="shared" si="1"/>
        <v>63846</v>
      </c>
      <c r="M96" s="379" t="s">
        <v>160</v>
      </c>
      <c r="N96" s="176">
        <f t="shared" si="2"/>
        <v>42564</v>
      </c>
      <c r="O96" s="379" t="s">
        <v>56</v>
      </c>
      <c r="P96" s="176">
        <f t="shared" si="3"/>
        <v>0</v>
      </c>
      <c r="Q96" s="177">
        <f t="shared" si="4"/>
        <v>10641</v>
      </c>
      <c r="R96" s="177">
        <f t="shared" si="5"/>
        <v>361794</v>
      </c>
      <c r="S96" s="182"/>
      <c r="T96" s="182"/>
      <c r="U96" s="182"/>
      <c r="V96" s="182"/>
    </row>
    <row r="97" spans="1:22" s="149" customFormat="1" ht="45.75" customHeight="1">
      <c r="A97" s="175">
        <v>92</v>
      </c>
      <c r="B97" s="408" t="s">
        <v>532</v>
      </c>
      <c r="C97" s="409" t="s">
        <v>533</v>
      </c>
      <c r="D97" s="410">
        <v>28</v>
      </c>
      <c r="E97" s="410"/>
      <c r="F97" s="431" t="s">
        <v>534</v>
      </c>
      <c r="G97" s="410" t="s">
        <v>166</v>
      </c>
      <c r="H97" s="412">
        <v>6000000</v>
      </c>
      <c r="I97" s="426" t="s">
        <v>153</v>
      </c>
      <c r="J97" s="176">
        <f t="shared" si="0"/>
        <v>630000.00000000012</v>
      </c>
      <c r="K97" s="379" t="s">
        <v>281</v>
      </c>
      <c r="L97" s="176">
        <f t="shared" si="1"/>
        <v>180000</v>
      </c>
      <c r="M97" s="379" t="s">
        <v>160</v>
      </c>
      <c r="N97" s="176">
        <f t="shared" si="2"/>
        <v>120000</v>
      </c>
      <c r="O97" s="379" t="s">
        <v>291</v>
      </c>
      <c r="P97" s="176">
        <f t="shared" si="3"/>
        <v>60000</v>
      </c>
      <c r="Q97" s="177">
        <f t="shared" si="4"/>
        <v>30000</v>
      </c>
      <c r="R97" s="177">
        <f t="shared" si="5"/>
        <v>1020000.0000000001</v>
      </c>
      <c r="S97" s="182"/>
      <c r="T97" s="182"/>
      <c r="U97" s="182"/>
      <c r="V97" s="182"/>
    </row>
    <row r="98" spans="1:22" s="149" customFormat="1" ht="45.75" customHeight="1">
      <c r="A98" s="175">
        <v>93</v>
      </c>
      <c r="B98" s="408" t="s">
        <v>508</v>
      </c>
      <c r="C98" s="409" t="s">
        <v>509</v>
      </c>
      <c r="D98" s="410"/>
      <c r="E98" s="410">
        <v>75</v>
      </c>
      <c r="F98" s="431" t="s">
        <v>510</v>
      </c>
      <c r="G98" s="410" t="s">
        <v>511</v>
      </c>
      <c r="H98" s="412">
        <v>2543300</v>
      </c>
      <c r="I98" s="426" t="s">
        <v>155</v>
      </c>
      <c r="J98" s="176">
        <f t="shared" si="0"/>
        <v>292479.50000000006</v>
      </c>
      <c r="K98" s="379" t="s">
        <v>158</v>
      </c>
      <c r="L98" s="176">
        <f t="shared" si="1"/>
        <v>76299</v>
      </c>
      <c r="M98" s="379" t="s">
        <v>161</v>
      </c>
      <c r="N98" s="176">
        <f t="shared" si="2"/>
        <v>50866</v>
      </c>
      <c r="O98" s="379" t="s">
        <v>56</v>
      </c>
      <c r="P98" s="176">
        <f t="shared" si="3"/>
        <v>0</v>
      </c>
      <c r="Q98" s="177">
        <f t="shared" si="4"/>
        <v>12716.5</v>
      </c>
      <c r="R98" s="177">
        <f t="shared" si="5"/>
        <v>432361.00000000006</v>
      </c>
      <c r="S98" s="182"/>
      <c r="T98" s="182"/>
      <c r="U98" s="182"/>
      <c r="V98" s="182"/>
    </row>
    <row r="99" spans="1:22" s="149" customFormat="1" ht="45.75" customHeight="1">
      <c r="A99" s="175">
        <v>94</v>
      </c>
      <c r="B99" s="408" t="s">
        <v>512</v>
      </c>
      <c r="C99" s="409" t="s">
        <v>513</v>
      </c>
      <c r="D99" s="410"/>
      <c r="E99" s="410">
        <v>43</v>
      </c>
      <c r="F99" s="431" t="s">
        <v>514</v>
      </c>
      <c r="G99" s="410" t="s">
        <v>162</v>
      </c>
      <c r="H99" s="412">
        <v>859300</v>
      </c>
      <c r="I99" s="426" t="s">
        <v>152</v>
      </c>
      <c r="J99" s="176">
        <f t="shared" si="0"/>
        <v>62299.250000000015</v>
      </c>
      <c r="K99" s="379" t="s">
        <v>173</v>
      </c>
      <c r="L99" s="176">
        <f t="shared" si="1"/>
        <v>25779</v>
      </c>
      <c r="M99" s="379" t="s">
        <v>158</v>
      </c>
      <c r="N99" s="176">
        <f t="shared" si="2"/>
        <v>17186</v>
      </c>
      <c r="O99" s="379" t="s">
        <v>291</v>
      </c>
      <c r="P99" s="176">
        <f t="shared" si="3"/>
        <v>8593</v>
      </c>
      <c r="Q99" s="177">
        <f t="shared" si="4"/>
        <v>4296.5</v>
      </c>
      <c r="R99" s="177">
        <f t="shared" si="5"/>
        <v>118153.75000000001</v>
      </c>
      <c r="S99" s="182"/>
      <c r="T99" s="182"/>
      <c r="U99" s="182"/>
      <c r="V99" s="182"/>
    </row>
    <row r="100" spans="1:22" s="174" customFormat="1" ht="24" customHeight="1">
      <c r="A100" s="199"/>
      <c r="B100" s="200"/>
      <c r="C100" s="443" t="s">
        <v>28</v>
      </c>
      <c r="D100" s="443"/>
      <c r="E100" s="443"/>
      <c r="F100" s="443"/>
      <c r="G100" s="201"/>
      <c r="H100" s="348">
        <f>SUBTOTAL(9,H7:H99)</f>
        <v>324354800</v>
      </c>
      <c r="I100" s="348"/>
      <c r="J100" s="348">
        <f>SUBTOTAL(9,J7:J99)</f>
        <v>31083754.75</v>
      </c>
      <c r="K100" s="348"/>
      <c r="L100" s="348">
        <f>SUBTOTAL(9,L7:L99)</f>
        <v>9098088</v>
      </c>
      <c r="M100" s="348"/>
      <c r="N100" s="348">
        <f>SUBTOTAL(9,N7:N99)</f>
        <v>6029926</v>
      </c>
      <c r="O100" s="348"/>
      <c r="P100" s="348">
        <f>SUBTOTAL(9,P7:P99)</f>
        <v>2391671.5</v>
      </c>
      <c r="Q100" s="348">
        <f>SUBTOTAL(9,Q7:Q99)</f>
        <v>1621774</v>
      </c>
      <c r="R100" s="348">
        <f>SUBTOTAL(9,R7:R99)</f>
        <v>50225214.25</v>
      </c>
    </row>
    <row r="101" spans="1:22" ht="20.25" customHeight="1">
      <c r="B101" s="149"/>
      <c r="C101" s="148"/>
      <c r="F101" s="148"/>
      <c r="G101" s="149"/>
      <c r="H101" s="349"/>
      <c r="J101" s="83"/>
      <c r="M101" s="149"/>
      <c r="N101" s="441" t="s">
        <v>789</v>
      </c>
      <c r="O101" s="441"/>
      <c r="P101" s="441"/>
      <c r="Q101" s="441"/>
      <c r="R101" s="441"/>
    </row>
    <row r="102" spans="1:22" ht="18.75">
      <c r="B102" s="436" t="s">
        <v>35</v>
      </c>
      <c r="C102" s="436"/>
      <c r="D102" s="146"/>
      <c r="E102" s="146"/>
      <c r="F102" s="146"/>
      <c r="G102" s="150"/>
      <c r="H102" s="350"/>
      <c r="J102" s="129"/>
      <c r="K102" s="158"/>
      <c r="L102" s="39"/>
      <c r="M102" s="265"/>
      <c r="N102" s="442" t="s">
        <v>21</v>
      </c>
      <c r="O102" s="442"/>
      <c r="P102" s="442"/>
      <c r="Q102" s="442"/>
      <c r="R102" s="442"/>
      <c r="S102" s="126"/>
    </row>
    <row r="103" spans="1:22" ht="18.75">
      <c r="B103" s="150"/>
      <c r="C103" s="146"/>
      <c r="D103" s="146"/>
      <c r="E103" s="146"/>
      <c r="F103" s="146"/>
      <c r="G103" s="150"/>
      <c r="H103" s="350"/>
      <c r="J103" s="129"/>
      <c r="K103" s="158"/>
      <c r="L103" s="129"/>
      <c r="M103" s="150"/>
      <c r="N103" s="130"/>
      <c r="O103" s="265"/>
      <c r="P103" s="130"/>
      <c r="Q103" s="130"/>
    </row>
    <row r="104" spans="1:22" ht="18.75">
      <c r="B104" s="150"/>
      <c r="C104" s="146"/>
      <c r="D104" s="146"/>
      <c r="E104" s="146"/>
      <c r="F104" s="146"/>
      <c r="G104" s="150"/>
      <c r="H104" s="350"/>
      <c r="J104" s="129"/>
      <c r="K104" s="158"/>
      <c r="L104" s="129"/>
      <c r="M104" s="150"/>
      <c r="N104" s="129"/>
      <c r="O104" s="263"/>
      <c r="P104" s="129"/>
      <c r="Q104" s="129"/>
      <c r="R104" s="131"/>
    </row>
    <row r="105" spans="1:22" ht="18.75">
      <c r="B105" s="150"/>
      <c r="C105" s="146"/>
      <c r="D105" s="146"/>
      <c r="E105" s="146"/>
      <c r="F105" s="146"/>
      <c r="G105" s="150"/>
      <c r="H105" s="350"/>
      <c r="J105" s="129"/>
      <c r="K105" s="158"/>
      <c r="L105" s="129"/>
      <c r="M105" s="150"/>
      <c r="N105" s="129"/>
      <c r="O105" s="263"/>
      <c r="P105" s="129"/>
      <c r="Q105" s="129"/>
      <c r="R105" s="131"/>
    </row>
    <row r="106" spans="1:22" ht="18.75">
      <c r="B106" s="435" t="s">
        <v>96</v>
      </c>
      <c r="C106" s="435"/>
      <c r="D106" s="146"/>
      <c r="E106" s="146"/>
      <c r="F106" s="146"/>
      <c r="G106" s="150"/>
      <c r="H106" s="350"/>
      <c r="J106" s="129"/>
      <c r="K106" s="158"/>
      <c r="L106" s="129"/>
      <c r="M106" s="150"/>
      <c r="N106" s="442" t="s">
        <v>262</v>
      </c>
      <c r="O106" s="442"/>
      <c r="P106" s="442"/>
      <c r="Q106" s="442"/>
      <c r="R106" s="442"/>
    </row>
    <row r="107" spans="1:22" ht="18.75">
      <c r="B107" s="150"/>
      <c r="C107" s="146"/>
      <c r="D107" s="146"/>
      <c r="E107" s="146"/>
      <c r="F107" s="146"/>
      <c r="G107" s="150"/>
      <c r="H107" s="350"/>
      <c r="J107" s="129"/>
      <c r="K107" s="158"/>
      <c r="L107" s="129"/>
      <c r="M107" s="150"/>
      <c r="N107" s="129"/>
      <c r="O107" s="263"/>
      <c r="P107" s="129"/>
      <c r="Q107" s="129"/>
      <c r="R107" s="131"/>
    </row>
    <row r="108" spans="1:22" ht="15">
      <c r="C108" s="255"/>
      <c r="D108" s="255"/>
      <c r="E108" s="255"/>
      <c r="F108" s="255"/>
    </row>
    <row r="109" spans="1:22" ht="15">
      <c r="C109" s="255"/>
      <c r="D109" s="255"/>
      <c r="E109" s="255"/>
      <c r="F109" s="255"/>
    </row>
    <row r="110" spans="1:22" ht="15">
      <c r="C110" s="255"/>
      <c r="D110" s="255"/>
      <c r="E110" s="255"/>
      <c r="F110" s="255"/>
    </row>
    <row r="113" spans="9:9">
      <c r="I113" s="433"/>
    </row>
  </sheetData>
  <autoFilter ref="A6:WWO102" xr:uid="{00000000-0009-0000-0000-000000000000}"/>
  <sortState xmlns:xlrd2="http://schemas.microsoft.com/office/spreadsheetml/2017/richdata2" ref="A7:U42">
    <sortCondition ref="G7:G42"/>
  </sortState>
  <mergeCells count="10">
    <mergeCell ref="B106:C106"/>
    <mergeCell ref="B102:C102"/>
    <mergeCell ref="A1:E1"/>
    <mergeCell ref="A2:E2"/>
    <mergeCell ref="A3:R3"/>
    <mergeCell ref="A4:R4"/>
    <mergeCell ref="N101:R101"/>
    <mergeCell ref="N102:R102"/>
    <mergeCell ref="N106:R106"/>
    <mergeCell ref="C100:F100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view="pageLayout" topLeftCell="A20" zoomScaleNormal="100" workbookViewId="0">
      <selection activeCell="D36" sqref="D36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445" t="s">
        <v>0</v>
      </c>
      <c r="B1" s="445"/>
    </row>
    <row r="2" spans="1:7" ht="16.5">
      <c r="A2" s="444" t="s">
        <v>44</v>
      </c>
      <c r="B2" s="444"/>
    </row>
    <row r="3" spans="1:7" ht="20.25">
      <c r="B3" s="435" t="s">
        <v>786</v>
      </c>
      <c r="C3" s="435"/>
      <c r="D3" s="435"/>
      <c r="G3" s="2"/>
    </row>
    <row r="4" spans="1:7" ht="20.25">
      <c r="B4" s="39"/>
      <c r="C4" s="124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2">
        <v>1</v>
      </c>
      <c r="B7" s="62" t="s">
        <v>23</v>
      </c>
      <c r="C7" s="55" t="s">
        <v>26</v>
      </c>
      <c r="D7" s="86">
        <f>SUM(SUMIF(phauthuat!$I$7:$I$102,"TRIỀU",phauthuat!$J$7:$J$102),SUMIF(phauthuat!$K$7:$K$102,"TRIỀU",phauthuat!$L$7:$L$102),SUMIF(phauthuat!$M$7:$M$102,"TRIỀU",phauthuat!$N$7:$N$102),SUMIF(phauthuat!$O$7:$O$102,"TRIỀU",phauthuat!$P$7:$P$102))</f>
        <v>223377</v>
      </c>
      <c r="E7" s="53"/>
      <c r="G7" s="41"/>
    </row>
    <row r="8" spans="1:7" ht="16.5">
      <c r="A8" s="112">
        <v>2</v>
      </c>
      <c r="B8" s="62" t="s">
        <v>18</v>
      </c>
      <c r="C8" s="55" t="s">
        <v>26</v>
      </c>
      <c r="D8" s="86">
        <f>SUM(SUMIF(phauthuat!$I$7:$I$102,"TẤN",phauthuat!$J$7:$J$102),SUMIF(phauthuat!$K$7:$K$102,"TẤN",phauthuat!$L$7:$L$102),SUMIF(phauthuat!$M$7:$M$102,"TẤN",phauthuat!$N$7:$N$102),SUMIF(phauthuat!$O$7:$O$102,"TẤN",phauthuat!$P$7:$P$102))</f>
        <v>4152870.75</v>
      </c>
      <c r="E8" s="53"/>
      <c r="G8" s="41"/>
    </row>
    <row r="9" spans="1:7" ht="16.5">
      <c r="A9" s="112">
        <v>3</v>
      </c>
      <c r="B9" s="62" t="s">
        <v>17</v>
      </c>
      <c r="C9" s="191" t="s">
        <v>26</v>
      </c>
      <c r="D9" s="220">
        <f>SUM(SUMIF(phauthuat!$I$7:$I$102,"HOAN",phauthuat!$J$7:$J$102),SUMIF(phauthuat!$K$7:$K$102,"HOAN",phauthuat!$L$7:$L$102),SUMIF(phauthuat!$M$7:$M$102,"HOAN",phauthuat!$N$7:$N$102),SUMIF(phauthuat!$O$7:$O$102,"TẤN",phauthuat!$P$7:$P$102))</f>
        <v>0</v>
      </c>
      <c r="E9" s="192"/>
      <c r="G9" s="41"/>
    </row>
    <row r="10" spans="1:7" ht="16.5">
      <c r="A10" s="112">
        <v>4</v>
      </c>
      <c r="B10" s="62" t="s">
        <v>74</v>
      </c>
      <c r="C10" s="55" t="s">
        <v>26</v>
      </c>
      <c r="D10" s="86">
        <f>SUM(SUMIF(phauthuat!$I$7:$I$102,"NGUYỆN",phauthuat!$J$7:$J$102),SUMIF(phauthuat!$K$7:$K$102,"NGUYỆN",phauthuat!$L$7:$L$102),SUMIF(phauthuat!$M$7:$M$102,"NGUYỆN",phauthuat!$N$7:$N$102),SUMIF(phauthuat!$O$7:$O$102,"NGUYỆN",phauthuat!$P$7:$P$102))</f>
        <v>4107517.5</v>
      </c>
      <c r="E10" s="53"/>
      <c r="F10" s="41"/>
      <c r="G10" s="41"/>
    </row>
    <row r="11" spans="1:7" ht="16.5">
      <c r="A11" s="112">
        <v>5</v>
      </c>
      <c r="B11" s="62" t="s">
        <v>94</v>
      </c>
      <c r="C11" s="55" t="s">
        <v>66</v>
      </c>
      <c r="D11" s="86">
        <f>SUM(SUMIF(phauthuat!$I$7:$I$102,"GIÀU",phauthuat!$J$7:$J$102),SUMIF(phauthuat!$K$7:$K$102,"GIÀU",phauthuat!$L$7:$L$102),SUMIF(phauthuat!$M$7:$M$102,"GIÀU",phauthuat!$N$7:$N$102),SUMIF(phauthuat!$O$7:$O$102,"GIÀU",phauthuat!$P$7:$P$102))</f>
        <v>9701269.75</v>
      </c>
      <c r="E11" s="53"/>
      <c r="F11" s="41"/>
      <c r="G11" s="41"/>
    </row>
    <row r="12" spans="1:7" ht="16.5">
      <c r="A12" s="112">
        <v>6</v>
      </c>
      <c r="B12" s="62" t="s">
        <v>72</v>
      </c>
      <c r="C12" s="55" t="s">
        <v>77</v>
      </c>
      <c r="D12" s="86">
        <f>SUM(SUMIF(phauthuat!$I$7:$I$102,"ĐIỀN",phauthuat!$J$7:$J$102),SUMIF(phauthuat!$K$7:$K$102,"ĐIỀN",phauthuat!$L$7:$L$102),SUMIF(phauthuat!$M$7:$M$102,"ĐIỀN",phauthuat!$N$7:$N$102),SUMIF(phauthuat!$O$7:$O$102,"ĐIỀN",phauthuat!$P$7:$P$102))</f>
        <v>5410189.5</v>
      </c>
      <c r="E12" s="53"/>
      <c r="F12" s="41"/>
      <c r="G12" s="41"/>
    </row>
    <row r="13" spans="1:7" ht="16.5">
      <c r="A13" s="112">
        <v>7</v>
      </c>
      <c r="B13" s="62" t="s">
        <v>113</v>
      </c>
      <c r="C13" s="55" t="s">
        <v>77</v>
      </c>
      <c r="D13" s="86">
        <f>SUM(SUMIF(phauthuat!$I$7:$I$102,"TOẢN",phauthuat!$J$7:$J$102),SUMIF(phauthuat!$K$7:$K$102,"TOẢN",phauthuat!$L$7:$L$102),SUMIF(phauthuat!$M$7:$M$102,"TOẢN",phauthuat!$N$7:$N$102),SUMIF(phauthuat!$O$7:$O$102,"TOẢN",phauthuat!$P$7:$P$102))</f>
        <v>5098173.75</v>
      </c>
      <c r="E13" s="53"/>
      <c r="F13" s="41"/>
      <c r="G13" s="41"/>
    </row>
    <row r="14" spans="1:7" ht="16.5">
      <c r="A14" s="112">
        <v>8</v>
      </c>
      <c r="B14" s="62" t="s">
        <v>84</v>
      </c>
      <c r="C14" s="55" t="s">
        <v>77</v>
      </c>
      <c r="D14" s="86">
        <f>SUM(SUMIF(phauthuat!$I$7:$I$102,"V.TÂN",phauthuat!$J$7:$J$102),SUMIF(phauthuat!$K$7:$K$102,"V.TÂN",phauthuat!$L$7:$L$102),SUMIF(phauthuat!$M$7:$M$102,"V.TÂN",phauthuat!$N$7:$N$102),SUMIF(phauthuat!$O$7:$O$102,"V.TÂN",phauthuat!$P$7:$P$102))</f>
        <v>4617144.5</v>
      </c>
      <c r="E14" s="53"/>
      <c r="F14" s="41"/>
      <c r="G14" s="41"/>
    </row>
    <row r="15" spans="1:7" ht="16.5">
      <c r="A15" s="112">
        <v>9</v>
      </c>
      <c r="B15" s="62" t="s">
        <v>68</v>
      </c>
      <c r="C15" s="55" t="s">
        <v>77</v>
      </c>
      <c r="D15" s="86">
        <f>SUM(SUMIF(phauthuat!$I$7:$I$102,"MINH",phauthuat!$J$7:$J$102),SUMIF(phauthuat!$K$7:$K$102,"MINH",phauthuat!$L$7:$L$102),SUMIF(phauthuat!$M$7:$M$102,"MINH",phauthuat!$N$7:$N$102),SUMIF(phauthuat!$O$7:$O$102,"MINH",phauthuat!$P$7:$P$102))</f>
        <v>0</v>
      </c>
      <c r="E15" s="53"/>
      <c r="F15" s="41"/>
      <c r="G15" s="41"/>
    </row>
    <row r="16" spans="1:7" ht="16.5">
      <c r="A16" s="112">
        <v>10</v>
      </c>
      <c r="B16" s="62" t="s">
        <v>131</v>
      </c>
      <c r="C16" s="55" t="s">
        <v>77</v>
      </c>
      <c r="D16" s="86">
        <f>SUM(SUMIF(phauthuat!$I$7:$I$102,"TUẤN",phauthuat!$J$7:$J$102),SUMIF(phauthuat!$K$7:$K$102,"TUẤN",phauthuat!$L$7:$L$102),SUMIF(phauthuat!$M$7:$M$102,"TUẤN",phauthuat!$N$7:$N$102),SUMIF(phauthuat!$O$7:$O$102,"TUẤN",phauthuat!$P$7:$P$102))</f>
        <v>4184653</v>
      </c>
      <c r="E16" s="53"/>
      <c r="F16" s="41"/>
      <c r="G16" s="41"/>
    </row>
    <row r="17" spans="1:8" ht="16.5">
      <c r="A17" s="112">
        <v>11</v>
      </c>
      <c r="B17" s="62" t="s">
        <v>132</v>
      </c>
      <c r="C17" s="55" t="s">
        <v>77</v>
      </c>
      <c r="D17" s="86">
        <f>SUM(SUMIF(phauthuat!$I$7:$I$102,"Đạt",phauthuat!$J$7:$J$102),SUMIF(phauthuat!$K$7:$K$102,"Đạt",phauthuat!$L$7:$L$102),SUMIF(phauthuat!$M$7:$M$102,"Đạt",phauthuat!$N$7:$N$102),SUMIF(phauthuat!$O$7:$O$102,"Đạt",phauthuat!$P$7:$P$102))</f>
        <v>1410245</v>
      </c>
      <c r="E17" s="53"/>
      <c r="F17" s="41"/>
      <c r="G17" s="41"/>
    </row>
    <row r="18" spans="1:8" ht="16.5">
      <c r="A18" s="112">
        <v>12</v>
      </c>
      <c r="B18" s="107" t="s">
        <v>135</v>
      </c>
      <c r="C18" s="249" t="s">
        <v>60</v>
      </c>
      <c r="D18" s="86">
        <f>SUM(SUMIF(phauthuat!$I$7:$I$102,"thái",phauthuat!$J$7:$J$102),SUMIF(phauthuat!$K$7:$K$102,"thái",phauthuat!$L$7:$L$102),SUMIF(phauthuat!$M$7:$M$102,"thái",phauthuat!$N$7:$N$102),SUMIF(phauthuat!$O$7:$O$102,"thái",phauthuat!$P$7:$P$102))</f>
        <v>1356722</v>
      </c>
      <c r="E18" s="53"/>
      <c r="F18" s="41"/>
      <c r="G18" s="41"/>
    </row>
    <row r="19" spans="1:8" ht="16.5">
      <c r="A19" s="112">
        <v>13</v>
      </c>
      <c r="B19" s="107" t="s">
        <v>136</v>
      </c>
      <c r="C19" s="249" t="s">
        <v>60</v>
      </c>
      <c r="D19" s="86">
        <f>SUM(SUMIF(phauthuat!$I$7:$I$102,"tùng",phauthuat!$J$7:$J$102),SUMIF(phauthuat!$K$7:$K$102,"tùng",phauthuat!$L$7:$L$102),SUMIF(phauthuat!$M$7:$M$102,"tùng",phauthuat!$N$7:$N$102),SUMIF(phauthuat!$O$7:$O$102,"tùng",phauthuat!$P$7:$P$102))</f>
        <v>1558429</v>
      </c>
      <c r="E19" s="53"/>
      <c r="F19" s="41"/>
      <c r="G19" s="41"/>
    </row>
    <row r="20" spans="1:8" ht="16.5">
      <c r="A20" s="112">
        <v>14</v>
      </c>
      <c r="B20" s="107" t="s">
        <v>137</v>
      </c>
      <c r="C20" s="249" t="s">
        <v>60</v>
      </c>
      <c r="D20" s="86">
        <f>SUM(SUMIF(phauthuat!$I$7:$I$102,"khén",phauthuat!$J$7:$J$102),SUMIF(phauthuat!$K$7:$K$102,"khén",phauthuat!$L$7:$L$102),SUMIF(phauthuat!$M$7:$M$102,"khén",phauthuat!$N$7:$N$102),SUMIF(phauthuat!$O$7:$O$102,"khén",phauthuat!$P$7:$P$102))</f>
        <v>1522623</v>
      </c>
      <c r="E20" s="53"/>
      <c r="F20" s="41"/>
      <c r="G20" s="41"/>
    </row>
    <row r="21" spans="1:8" ht="16.5">
      <c r="A21" s="112">
        <v>15</v>
      </c>
      <c r="B21" s="107" t="s">
        <v>138</v>
      </c>
      <c r="C21" s="249" t="s">
        <v>60</v>
      </c>
      <c r="D21" s="86">
        <f>SUM(SUMIF(phauthuat!$I$7:$I$102,"t.hưởng",phauthuat!$J$7:$J$102),SUMIF(phauthuat!$K$7:$K$102,"t.hưởng",phauthuat!$L$7:$L$102),SUMIF(phauthuat!$M$7:$M$102,"t.hưởng",phauthuat!$N$7:$N$102),SUMIF(phauthuat!$O$7:$O$102,"t.hưởng",phauthuat!$P$7:$P$102))</f>
        <v>1699823</v>
      </c>
      <c r="E21" s="53"/>
      <c r="F21" s="41"/>
      <c r="G21" s="41"/>
    </row>
    <row r="22" spans="1:8" ht="16.5">
      <c r="A22" s="112">
        <v>16</v>
      </c>
      <c r="B22" s="107" t="s">
        <v>139</v>
      </c>
      <c r="C22" s="249" t="s">
        <v>60</v>
      </c>
      <c r="D22" s="86">
        <f>SUM(SUMIF(phauthuat!$I$7:$I$102,"đ.khang",phauthuat!$J$7:$J$102),SUMIF(phauthuat!$K$7:$K$102,"đ.khang",phauthuat!$L$7:$L$102),SUMIF(phauthuat!$M$7:$M$102,"đ.khang",phauthuat!$N$7:$N$102),SUMIF(phauthuat!$O$7:$O$102,"đ.khang",phauthuat!$P$7:$P$102))</f>
        <v>1531328.5</v>
      </c>
      <c r="E22" s="53"/>
      <c r="F22" s="41"/>
      <c r="G22" s="41"/>
    </row>
    <row r="23" spans="1:8" ht="16.5">
      <c r="A23" s="112">
        <v>17</v>
      </c>
      <c r="B23" s="107" t="s">
        <v>140</v>
      </c>
      <c r="C23" s="249" t="s">
        <v>60</v>
      </c>
      <c r="D23" s="86">
        <f>SUM(SUMIF(phauthuat!$I$7:$I$102,"luật",phauthuat!$J$7:$J$102),SUMIF(phauthuat!$K$7:$K$102,"luật",phauthuat!$L$7:$L$102),SUMIF(phauthuat!$M$7:$M$102,"luật",phauthuat!$N$7:$N$102),SUMIF(phauthuat!$O$7:$O$102,"luật",phauthuat!$P$7:$P$102))</f>
        <v>704481</v>
      </c>
      <c r="E23" s="53"/>
      <c r="F23" s="41"/>
      <c r="G23" s="41"/>
    </row>
    <row r="24" spans="1:8" ht="16.5">
      <c r="A24" s="112">
        <v>18</v>
      </c>
      <c r="B24" s="107" t="s">
        <v>354</v>
      </c>
      <c r="C24" s="249" t="s">
        <v>60</v>
      </c>
      <c r="D24" s="86">
        <f>SUM(SUMIF(phauthuat!$I$7:$I$102,"nhị",phauthuat!$J$7:$J$102),SUMIF(phauthuat!$K$7:$K$102,"nhị",phauthuat!$L$7:$L$102),SUMIF(phauthuat!$M$7:$M$102,"nhị",phauthuat!$N$7:$N$102),SUMIF(phauthuat!$O$7:$O$102,"nhị",phauthuat!$P$7:$P$102))</f>
        <v>239961</v>
      </c>
      <c r="E24" s="53"/>
      <c r="F24" s="41"/>
      <c r="G24" s="41"/>
    </row>
    <row r="25" spans="1:8" ht="16.5">
      <c r="A25" s="112">
        <v>19</v>
      </c>
      <c r="B25" s="107" t="s">
        <v>355</v>
      </c>
      <c r="C25" s="249" t="s">
        <v>60</v>
      </c>
      <c r="D25" s="86">
        <f>SUM(SUMIF(phauthuat!$I$7:$I$102,"nghĩa",phauthuat!$J$7:$J$102),SUMIF(phauthuat!$K$7:$K$102,"nghĩa",phauthuat!$L$7:$L$102),SUMIF(phauthuat!$M$7:$M$102,"nghĩa",phauthuat!$N$7:$N$102),SUMIF(phauthuat!$O$7:$O$102,"nghĩa",phauthuat!$P$7:$P$102))</f>
        <v>358409</v>
      </c>
      <c r="E25" s="53"/>
      <c r="F25" s="41"/>
      <c r="G25" s="41"/>
    </row>
    <row r="26" spans="1:8" ht="16.5">
      <c r="A26" s="112">
        <v>20</v>
      </c>
      <c r="B26" s="107" t="s">
        <v>356</v>
      </c>
      <c r="C26" s="249" t="s">
        <v>60</v>
      </c>
      <c r="D26" s="86">
        <f>SUM(SUMIF(phauthuat!$I$7:$I$102,"n.khang",phauthuat!$J$7:$J$102),SUMIF(phauthuat!$K$7:$K$102,"n.khang",phauthuat!$L$7:$L$102),SUMIF(phauthuat!$M$7:$M$102,"n.khang",phauthuat!$N$7:$N$102),SUMIF(phauthuat!$O$7:$O$102,"n.khang",phauthuat!$P$7:$P$102))</f>
        <v>337791</v>
      </c>
      <c r="E26" s="53"/>
      <c r="F26" s="41"/>
      <c r="G26" s="41"/>
    </row>
    <row r="27" spans="1:8" ht="16.5">
      <c r="A27" s="112">
        <v>21</v>
      </c>
      <c r="B27" s="107" t="s">
        <v>357</v>
      </c>
      <c r="C27" s="249" t="s">
        <v>60</v>
      </c>
      <c r="D27" s="86">
        <f>SUM(SUMIF(phauthuat!$I$7:$I$102,"v.hưởng",phauthuat!$J$7:$J$102),SUMIF(phauthuat!$K$7:$K$102,"v.hưởng",phauthuat!$L$7:$L$102),SUMIF(phauthuat!$M$7:$M$102,"v.hưởng",phauthuat!$N$7:$N$102),SUMIF(phauthuat!$O$7:$O$102,"v.hưởng",phauthuat!$P$7:$P$102))</f>
        <v>388432</v>
      </c>
      <c r="E27" s="53"/>
      <c r="F27" s="41"/>
      <c r="G27" s="41"/>
    </row>
    <row r="28" spans="1:8" ht="16.5">
      <c r="A28" s="112">
        <v>22</v>
      </c>
      <c r="B28" s="62" t="s">
        <v>45</v>
      </c>
      <c r="C28" s="55" t="s">
        <v>27</v>
      </c>
      <c r="D28" s="86">
        <f>phauthuat!Q100/8</f>
        <v>202721.75</v>
      </c>
      <c r="E28" s="54"/>
      <c r="F28" s="48"/>
      <c r="G28" s="41"/>
      <c r="H28" s="41"/>
    </row>
    <row r="29" spans="1:8" ht="16.5">
      <c r="A29" s="112">
        <v>23</v>
      </c>
      <c r="B29" s="62" t="s">
        <v>65</v>
      </c>
      <c r="C29" s="55" t="s">
        <v>27</v>
      </c>
      <c r="D29" s="86">
        <f>D28</f>
        <v>202721.75</v>
      </c>
      <c r="E29" s="54"/>
      <c r="F29" s="48"/>
    </row>
    <row r="30" spans="1:8" ht="16.5">
      <c r="A30" s="112">
        <v>24</v>
      </c>
      <c r="B30" s="62" t="s">
        <v>82</v>
      </c>
      <c r="C30" s="55" t="s">
        <v>27</v>
      </c>
      <c r="D30" s="86">
        <f t="shared" ref="D30:D35" si="0">D29</f>
        <v>202721.75</v>
      </c>
      <c r="E30" s="54"/>
      <c r="F30" s="48"/>
    </row>
    <row r="31" spans="1:8" ht="16.5">
      <c r="A31" s="112">
        <v>25</v>
      </c>
      <c r="B31" s="62" t="s">
        <v>70</v>
      </c>
      <c r="C31" s="55" t="s">
        <v>27</v>
      </c>
      <c r="D31" s="86">
        <f t="shared" si="0"/>
        <v>202721.75</v>
      </c>
      <c r="E31" s="54"/>
      <c r="F31" s="48"/>
    </row>
    <row r="32" spans="1:8" ht="16.5">
      <c r="A32" s="112">
        <v>26</v>
      </c>
      <c r="B32" s="62" t="s">
        <v>46</v>
      </c>
      <c r="C32" s="55" t="s">
        <v>27</v>
      </c>
      <c r="D32" s="86">
        <f t="shared" si="0"/>
        <v>202721.75</v>
      </c>
      <c r="E32" s="54"/>
      <c r="F32" s="48"/>
    </row>
    <row r="33" spans="1:7" ht="16.5">
      <c r="A33" s="112">
        <v>27</v>
      </c>
      <c r="B33" s="62" t="s">
        <v>114</v>
      </c>
      <c r="C33" s="55" t="s">
        <v>27</v>
      </c>
      <c r="D33" s="86">
        <f t="shared" si="0"/>
        <v>202721.75</v>
      </c>
      <c r="E33" s="54"/>
      <c r="F33" s="48"/>
    </row>
    <row r="34" spans="1:7" ht="16.5">
      <c r="A34" s="112">
        <v>28</v>
      </c>
      <c r="B34" s="62" t="s">
        <v>93</v>
      </c>
      <c r="C34" s="55" t="s">
        <v>27</v>
      </c>
      <c r="D34" s="86">
        <f t="shared" si="0"/>
        <v>202721.75</v>
      </c>
      <c r="E34" s="54"/>
      <c r="F34" s="48"/>
    </row>
    <row r="35" spans="1:7" ht="16.5">
      <c r="A35" s="112">
        <v>29</v>
      </c>
      <c r="B35" s="62" t="s">
        <v>73</v>
      </c>
      <c r="C35" s="55" t="s">
        <v>27</v>
      </c>
      <c r="D35" s="86">
        <f t="shared" si="0"/>
        <v>202721.75</v>
      </c>
      <c r="E35" s="54"/>
      <c r="F35" s="48"/>
    </row>
    <row r="36" spans="1:7" ht="16.5">
      <c r="A36" s="66"/>
      <c r="B36" s="67" t="s">
        <v>28</v>
      </c>
      <c r="C36" s="68"/>
      <c r="D36" s="69">
        <f>SUM(D7:D35)</f>
        <v>50225214.25</v>
      </c>
      <c r="E36" s="64"/>
      <c r="F36" s="49"/>
      <c r="G36" s="43"/>
    </row>
    <row r="37" spans="1:7">
      <c r="B37" s="43"/>
      <c r="E37" s="43"/>
    </row>
    <row r="38" spans="1:7">
      <c r="D38" s="448" t="s">
        <v>787</v>
      </c>
      <c r="E38" s="448"/>
    </row>
    <row r="39" spans="1:7" ht="15.75">
      <c r="A39" s="447" t="s">
        <v>20</v>
      </c>
      <c r="B39" s="447"/>
      <c r="D39" s="446" t="s">
        <v>21</v>
      </c>
      <c r="E39" s="446"/>
    </row>
    <row r="42" spans="1:7">
      <c r="E42" s="41"/>
    </row>
    <row r="43" spans="1:7">
      <c r="C43" s="46"/>
    </row>
  </sheetData>
  <mergeCells count="6">
    <mergeCell ref="A2:B2"/>
    <mergeCell ref="B3:D3"/>
    <mergeCell ref="A1:B1"/>
    <mergeCell ref="D39:E39"/>
    <mergeCell ref="A39:B39"/>
    <mergeCell ref="D38:E38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abSelected="1" workbookViewId="0">
      <selection activeCell="H18" sqref="H18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7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445" t="s">
        <v>0</v>
      </c>
      <c r="B1" s="445"/>
    </row>
    <row r="2" spans="1:7" ht="16.5">
      <c r="A2" s="444" t="s">
        <v>44</v>
      </c>
      <c r="B2" s="444"/>
    </row>
    <row r="3" spans="1:7" ht="20.25">
      <c r="A3" s="451" t="s">
        <v>353</v>
      </c>
      <c r="B3" s="451"/>
      <c r="C3" s="451"/>
      <c r="D3" s="451"/>
      <c r="E3" s="451"/>
      <c r="G3" s="2"/>
    </row>
    <row r="4" spans="1:7" ht="21" customHeight="1">
      <c r="A4" s="452" t="s">
        <v>76</v>
      </c>
      <c r="B4" s="452"/>
      <c r="C4" s="452"/>
      <c r="D4" s="452"/>
      <c r="E4" s="452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6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v>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>
        <f>17600000*0.25</f>
        <v>4400000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17600000*0.25</f>
        <v>4400000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91" t="s">
        <v>26</v>
      </c>
      <c r="D14" s="70">
        <f>17600000*0.0625</f>
        <v>1100000</v>
      </c>
      <c r="E14" s="192"/>
      <c r="F14" s="41"/>
      <c r="G14" s="41"/>
    </row>
    <row r="15" spans="1:7" ht="16.5">
      <c r="A15" s="65">
        <v>9</v>
      </c>
      <c r="B15" s="62" t="s">
        <v>94</v>
      </c>
      <c r="C15" s="55" t="s">
        <v>26</v>
      </c>
      <c r="D15" s="70">
        <f>17600000*0.125</f>
        <v>2200000</v>
      </c>
      <c r="E15" s="53"/>
      <c r="F15" s="41"/>
      <c r="G15" s="41"/>
    </row>
    <row r="16" spans="1:7" ht="16.5">
      <c r="A16" s="65">
        <v>10</v>
      </c>
      <c r="B16" s="62" t="s">
        <v>113</v>
      </c>
      <c r="C16" s="55" t="s">
        <v>26</v>
      </c>
      <c r="D16" s="70">
        <f>17600000*0.0625</f>
        <v>1100000</v>
      </c>
      <c r="E16" s="53"/>
      <c r="F16" s="41"/>
      <c r="G16" s="41"/>
    </row>
    <row r="17" spans="1:7" ht="16.5">
      <c r="A17" s="65">
        <v>11</v>
      </c>
      <c r="B17" s="62" t="s">
        <v>132</v>
      </c>
      <c r="C17" s="55" t="s">
        <v>26</v>
      </c>
      <c r="D17" s="70">
        <f>17600000*0.125</f>
        <v>2200000</v>
      </c>
      <c r="E17" s="53"/>
      <c r="F17" s="41"/>
      <c r="G17" s="41"/>
    </row>
    <row r="18" spans="1:7" ht="16.5">
      <c r="A18" s="65">
        <v>12</v>
      </c>
      <c r="B18" s="62" t="s">
        <v>133</v>
      </c>
      <c r="C18" s="55" t="s">
        <v>26</v>
      </c>
      <c r="D18" s="70">
        <f>17600000*0.125</f>
        <v>2200000</v>
      </c>
      <c r="E18" s="53"/>
      <c r="F18" s="41"/>
      <c r="G18" s="41"/>
    </row>
    <row r="19" spans="1:7" ht="16.5">
      <c r="A19" s="66"/>
      <c r="B19" s="67" t="s">
        <v>28</v>
      </c>
      <c r="C19" s="68"/>
      <c r="D19" s="70">
        <f>SUM(D7:D18)</f>
        <v>17600000</v>
      </c>
      <c r="E19" s="64"/>
      <c r="F19" s="49"/>
      <c r="G19" s="43"/>
    </row>
    <row r="20" spans="1:7">
      <c r="B20" s="43"/>
    </row>
    <row r="21" spans="1:7">
      <c r="D21" s="448" t="s">
        <v>125</v>
      </c>
      <c r="E21" s="448"/>
    </row>
    <row r="22" spans="1:7">
      <c r="A22" s="449" t="s">
        <v>20</v>
      </c>
      <c r="B22" s="449"/>
      <c r="D22" s="450" t="s">
        <v>21</v>
      </c>
      <c r="E22" s="450"/>
    </row>
    <row r="25" spans="1:7">
      <c r="E25" s="41"/>
    </row>
    <row r="26" spans="1:7">
      <c r="C26" s="46"/>
    </row>
  </sheetData>
  <mergeCells count="7">
    <mergeCell ref="D21:E21"/>
    <mergeCell ref="A22:B22"/>
    <mergeCell ref="D22:E22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topLeftCell="A13" workbookViewId="0">
      <selection activeCell="D29" sqref="D29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" style="37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445" t="s">
        <v>0</v>
      </c>
      <c r="B1" s="445"/>
    </row>
    <row r="2" spans="1:7" ht="16.5">
      <c r="A2" s="444" t="s">
        <v>44</v>
      </c>
      <c r="B2" s="444"/>
    </row>
    <row r="3" spans="1:7" ht="20.25">
      <c r="B3" s="453" t="s">
        <v>353</v>
      </c>
      <c r="C3" s="453"/>
      <c r="D3" s="453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5">
      <c r="A19" s="65"/>
      <c r="B19" s="76"/>
      <c r="C19" s="55"/>
      <c r="D19" s="56"/>
      <c r="E19" s="54"/>
      <c r="F19" s="48"/>
      <c r="G19" s="41">
        <f>274748+3211497+202722+75000</f>
        <v>3763967</v>
      </c>
    </row>
    <row r="20" spans="1:9" ht="18" customHeight="1">
      <c r="A20" s="65">
        <v>1</v>
      </c>
      <c r="B20" s="76" t="s">
        <v>45</v>
      </c>
      <c r="C20" s="55" t="s">
        <v>27</v>
      </c>
      <c r="D20" s="56">
        <f>G22+7560</f>
        <v>3177216.4210526315</v>
      </c>
      <c r="E20" s="54"/>
      <c r="G20" s="41">
        <f>G19*8</f>
        <v>30111736</v>
      </c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3177216.4210526315</v>
      </c>
      <c r="E21" s="54"/>
      <c r="F21" s="48"/>
      <c r="G21" s="43">
        <f>G20/19</f>
        <v>1584828.2105263157</v>
      </c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3177216.4210526315</v>
      </c>
      <c r="E22" s="54"/>
      <c r="F22" s="48"/>
      <c r="G22" s="43">
        <f>G21*2</f>
        <v>3169656.4210526315</v>
      </c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3177216.4210526315</v>
      </c>
      <c r="E23" s="54"/>
      <c r="F23" s="48"/>
      <c r="G23" s="43"/>
      <c r="H23" s="41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3177216.4210526315</v>
      </c>
      <c r="E24" s="54"/>
      <c r="F24" s="48"/>
      <c r="G24" s="43"/>
      <c r="H24" s="41"/>
    </row>
    <row r="25" spans="1:9" ht="16.5">
      <c r="A25" s="65">
        <v>6</v>
      </c>
      <c r="B25" s="76" t="s">
        <v>114</v>
      </c>
      <c r="C25" s="55" t="s">
        <v>27</v>
      </c>
      <c r="D25" s="56">
        <f>D20</f>
        <v>3177216.4210526315</v>
      </c>
      <c r="E25" s="54"/>
      <c r="F25" s="48"/>
      <c r="G25" s="43"/>
      <c r="H25" s="41"/>
    </row>
    <row r="26" spans="1:9" ht="16.5">
      <c r="A26" s="65">
        <v>7</v>
      </c>
      <c r="B26" s="76" t="s">
        <v>93</v>
      </c>
      <c r="C26" s="55" t="s">
        <v>27</v>
      </c>
      <c r="D26" s="56">
        <f>D20</f>
        <v>3177216.4210526315</v>
      </c>
      <c r="E26" s="54"/>
      <c r="F26" s="48"/>
      <c r="G26" s="43"/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3177216.4210526315</v>
      </c>
      <c r="E27" s="54"/>
      <c r="F27" s="48"/>
      <c r="G27" s="43"/>
      <c r="H27" s="41"/>
    </row>
    <row r="28" spans="1:9" ht="16.5">
      <c r="A28" s="65">
        <v>9</v>
      </c>
      <c r="B28" s="76" t="s">
        <v>264</v>
      </c>
      <c r="C28" s="55" t="s">
        <v>27</v>
      </c>
      <c r="D28" s="56">
        <f>G21+7563</f>
        <v>1592391.2105263157</v>
      </c>
      <c r="E28" s="54"/>
      <c r="F28" s="48"/>
      <c r="G28" s="43">
        <f>'TONG LANH'!E44/11</f>
        <v>0</v>
      </c>
      <c r="H28" s="41"/>
    </row>
    <row r="29" spans="1:9" ht="16.5">
      <c r="A29" s="65">
        <v>10</v>
      </c>
      <c r="B29" s="76" t="s">
        <v>265</v>
      </c>
      <c r="C29" s="55" t="s">
        <v>27</v>
      </c>
      <c r="D29" s="56">
        <f>D28</f>
        <v>1592391.2105263157</v>
      </c>
      <c r="E29" s="54"/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D29</f>
        <v>1592391.2105263157</v>
      </c>
      <c r="E30" s="54"/>
      <c r="F30" s="48"/>
      <c r="G30" s="41"/>
      <c r="H30" s="41"/>
    </row>
    <row r="31" spans="1:9" ht="16.5">
      <c r="A31" s="66"/>
      <c r="B31" s="67" t="s">
        <v>28</v>
      </c>
      <c r="C31" s="68"/>
      <c r="D31" s="56">
        <f>SUM(D20:D30)</f>
        <v>30194905.000000004</v>
      </c>
      <c r="E31" s="64"/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448" t="s">
        <v>69</v>
      </c>
      <c r="E34" s="448"/>
    </row>
    <row r="35" spans="1:5">
      <c r="A35" s="449" t="s">
        <v>20</v>
      </c>
      <c r="B35" s="449"/>
      <c r="D35" s="450" t="s">
        <v>21</v>
      </c>
      <c r="E35" s="450"/>
    </row>
    <row r="38" spans="1:5">
      <c r="E38" s="41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32"/>
  <sheetViews>
    <sheetView zoomScaleNormal="100" zoomScaleSheetLayoutView="100" workbookViewId="0">
      <pane xSplit="7" ySplit="7" topLeftCell="H113" activePane="bottomRight" state="frozen"/>
      <selection pane="topRight" activeCell="H1" sqref="H1"/>
      <selection pane="bottomLeft" activeCell="A8" sqref="A8"/>
      <selection pane="bottomRight" activeCell="N121" sqref="N121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7" customWidth="1"/>
    <col min="4" max="4" width="5.5703125" style="82" customWidth="1"/>
    <col min="5" max="5" width="4.5703125" style="82" customWidth="1"/>
    <col min="6" max="6" width="40.5703125" style="185" customWidth="1"/>
    <col min="7" max="7" width="7.42578125" style="84" customWidth="1"/>
    <col min="8" max="8" width="10.140625" style="430" customWidth="1"/>
    <col min="9" max="9" width="12.5703125" style="93" customWidth="1"/>
    <col min="10" max="10" width="10.140625" style="206" customWidth="1"/>
    <col min="11" max="11" width="12.28515625" style="93" customWidth="1"/>
    <col min="12" max="12" width="10.140625" style="144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454" t="s">
        <v>0</v>
      </c>
      <c r="B1" s="454"/>
      <c r="C1" s="454"/>
      <c r="D1" s="454"/>
      <c r="E1" s="454"/>
      <c r="F1" s="88"/>
      <c r="G1" s="88"/>
      <c r="H1" s="96"/>
      <c r="I1" s="89"/>
      <c r="J1" s="20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455" t="s">
        <v>86</v>
      </c>
      <c r="B2" s="455"/>
      <c r="C2" s="455"/>
      <c r="D2" s="455"/>
      <c r="E2" s="455"/>
      <c r="F2" s="92"/>
      <c r="G2" s="89"/>
      <c r="H2" s="96"/>
      <c r="I2" s="89"/>
      <c r="J2" s="20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456" t="s">
        <v>63</v>
      </c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  <c r="N3" s="456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457" t="s">
        <v>360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82"/>
      <c r="D5" s="91"/>
      <c r="E5" s="91"/>
      <c r="F5" s="184"/>
      <c r="G5" s="91"/>
      <c r="H5" s="96"/>
      <c r="I5" s="91"/>
      <c r="J5" s="20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82"/>
      <c r="D6" s="89"/>
      <c r="E6" s="89"/>
      <c r="F6" s="92"/>
      <c r="G6" s="89"/>
      <c r="H6" s="96"/>
      <c r="I6" s="89"/>
      <c r="J6" s="20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3" t="s">
        <v>2</v>
      </c>
      <c r="B7" s="123" t="s">
        <v>12</v>
      </c>
      <c r="C7" s="123" t="s">
        <v>3</v>
      </c>
      <c r="D7" s="123" t="s">
        <v>42</v>
      </c>
      <c r="E7" s="123" t="s">
        <v>43</v>
      </c>
      <c r="F7" s="123" t="s">
        <v>5</v>
      </c>
      <c r="G7" s="203" t="s">
        <v>38</v>
      </c>
      <c r="H7" s="122" t="s">
        <v>6</v>
      </c>
      <c r="I7" s="207" t="s">
        <v>7</v>
      </c>
      <c r="J7" s="286" t="s">
        <v>8</v>
      </c>
      <c r="K7" s="207" t="s">
        <v>7</v>
      </c>
      <c r="L7" s="203" t="s">
        <v>9</v>
      </c>
      <c r="M7" s="207" t="s">
        <v>7</v>
      </c>
      <c r="N7" s="208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8" customFormat="1" ht="21.75" customHeight="1">
      <c r="A8" s="186">
        <v>1</v>
      </c>
      <c r="B8" s="408" t="s">
        <v>277</v>
      </c>
      <c r="C8" s="409" t="s">
        <v>361</v>
      </c>
      <c r="D8" s="410">
        <v>53</v>
      </c>
      <c r="E8" s="410"/>
      <c r="F8" s="409" t="s">
        <v>147</v>
      </c>
      <c r="G8" s="410" t="s">
        <v>148</v>
      </c>
      <c r="H8" s="426" t="s">
        <v>154</v>
      </c>
      <c r="I8" s="187">
        <f t="shared" ref="I8:I39" si="0">IF(G8="DTDB",420000,IF(G8="TTDB",420000,IF(G8="DT1",187500,IF(G8="TT1",187500,IF(G8="DT2",97500,IF(G8="TT2",97500,IF(G8="DT3",75000,75000)))))))</f>
        <v>420000</v>
      </c>
      <c r="J8" s="379" t="s">
        <v>173</v>
      </c>
      <c r="K8" s="190">
        <f t="shared" ref="K8:K39" si="1">IF(G8="DTDB",300000,IF(G8="TTDB",300000,IF(G8="DT1",135000,IF(G8="TT1",135000,IF(G8="DT2",75000,IF(G8="TT2",75000,IF(G8="DT3",45000,45000)))))))</f>
        <v>300000</v>
      </c>
      <c r="L8" s="379" t="s">
        <v>280</v>
      </c>
      <c r="M8" s="188">
        <f t="shared" ref="M8:M39" si="2">IF(L8="-",0,IF(G8="DTDB",300000,IF(G8="TTDB",300000,IF(G8="DT1",135000,IF(G8="TT1",135000,IF(G8="DT2",75000,IF(G8="TT2",75000,IF(G8="DT3",45000,45000))))))))</f>
        <v>300000</v>
      </c>
      <c r="N8" s="188">
        <f t="shared" ref="N8:N39" si="3">I8+K8+M8</f>
        <v>1020000</v>
      </c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2"/>
      <c r="CK8" s="182"/>
      <c r="CL8" s="182"/>
      <c r="CM8" s="182"/>
      <c r="CN8" s="182"/>
      <c r="CO8" s="182"/>
      <c r="CP8" s="182"/>
      <c r="CQ8" s="182"/>
      <c r="CR8" s="182"/>
      <c r="CS8" s="182"/>
      <c r="CT8" s="182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  <c r="DI8" s="182"/>
      <c r="DJ8" s="182"/>
      <c r="DK8" s="182"/>
      <c r="DL8" s="182"/>
      <c r="DM8" s="182"/>
      <c r="DN8" s="182"/>
      <c r="DO8" s="182"/>
      <c r="DP8" s="182"/>
      <c r="DQ8" s="182"/>
      <c r="DR8" s="182"/>
      <c r="DS8" s="182"/>
      <c r="DT8" s="182"/>
      <c r="DU8" s="182"/>
      <c r="DV8" s="182"/>
      <c r="DW8" s="182"/>
      <c r="DX8" s="182"/>
      <c r="DY8" s="182"/>
      <c r="DZ8" s="182"/>
      <c r="EA8" s="182"/>
      <c r="EB8" s="182"/>
      <c r="EC8" s="182"/>
      <c r="ED8" s="182"/>
      <c r="EE8" s="182"/>
      <c r="EF8" s="182"/>
      <c r="EG8" s="182"/>
      <c r="EH8" s="182"/>
      <c r="EI8" s="182"/>
      <c r="EJ8" s="182"/>
      <c r="EK8" s="182"/>
      <c r="EL8" s="182"/>
      <c r="EM8" s="182"/>
      <c r="EN8" s="182"/>
      <c r="EO8" s="182"/>
      <c r="EP8" s="182"/>
      <c r="EQ8" s="182"/>
      <c r="ER8" s="182"/>
      <c r="ES8" s="182"/>
      <c r="ET8" s="182"/>
      <c r="EU8" s="182"/>
      <c r="EV8" s="182"/>
      <c r="EW8" s="182"/>
      <c r="EX8" s="182"/>
      <c r="EY8" s="182"/>
      <c r="EZ8" s="182"/>
      <c r="FA8" s="182"/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2"/>
      <c r="FN8" s="182"/>
      <c r="FO8" s="182"/>
      <c r="FP8" s="182"/>
      <c r="FQ8" s="182"/>
      <c r="FR8" s="182"/>
      <c r="FS8" s="182"/>
      <c r="FT8" s="182"/>
      <c r="FU8" s="182"/>
      <c r="FV8" s="182"/>
      <c r="FW8" s="182"/>
      <c r="FX8" s="182"/>
      <c r="FY8" s="182"/>
      <c r="FZ8" s="182"/>
      <c r="GA8" s="182"/>
      <c r="GB8" s="182"/>
      <c r="GC8" s="182"/>
      <c r="GD8" s="182"/>
      <c r="GE8" s="182"/>
      <c r="GF8" s="182"/>
      <c r="GG8" s="182"/>
      <c r="GH8" s="182"/>
      <c r="GI8" s="182"/>
      <c r="GJ8" s="182"/>
      <c r="GK8" s="182"/>
      <c r="GL8" s="182"/>
      <c r="GM8" s="182"/>
      <c r="GN8" s="182"/>
      <c r="GO8" s="182"/>
      <c r="GP8" s="182"/>
      <c r="GQ8" s="182"/>
      <c r="GR8" s="182"/>
      <c r="GS8" s="182"/>
      <c r="GT8" s="182"/>
      <c r="GU8" s="182"/>
      <c r="GV8" s="182"/>
      <c r="GW8" s="182"/>
      <c r="GX8" s="182"/>
      <c r="GY8" s="182"/>
      <c r="GZ8" s="182"/>
      <c r="HA8" s="182"/>
      <c r="HB8" s="182"/>
      <c r="HC8" s="182"/>
      <c r="HD8" s="182"/>
      <c r="HE8" s="182"/>
      <c r="HF8" s="182"/>
      <c r="HG8" s="182"/>
      <c r="HH8" s="182"/>
      <c r="HI8" s="182"/>
      <c r="HJ8" s="182"/>
      <c r="HK8" s="182"/>
      <c r="HL8" s="182"/>
      <c r="HM8" s="182"/>
      <c r="HN8" s="182"/>
      <c r="HO8" s="182"/>
      <c r="HP8" s="182"/>
      <c r="HQ8" s="182"/>
      <c r="HR8" s="182"/>
      <c r="HS8" s="182"/>
      <c r="HT8" s="182"/>
      <c r="HU8" s="182"/>
      <c r="HV8" s="182"/>
      <c r="HW8" s="182"/>
      <c r="HX8" s="182"/>
      <c r="HY8" s="182"/>
      <c r="HZ8" s="182"/>
      <c r="IA8" s="182"/>
      <c r="IB8" s="182"/>
      <c r="IC8" s="182"/>
      <c r="ID8" s="182"/>
      <c r="IE8" s="182"/>
      <c r="IF8" s="182"/>
      <c r="IG8" s="182"/>
      <c r="IH8" s="182"/>
      <c r="II8" s="182"/>
      <c r="IJ8" s="182"/>
      <c r="IK8" s="182"/>
      <c r="IL8" s="182"/>
      <c r="IM8" s="182"/>
      <c r="IN8" s="182"/>
      <c r="IO8" s="182"/>
      <c r="IP8" s="182"/>
      <c r="IQ8" s="182"/>
    </row>
    <row r="9" spans="1:251" s="148" customFormat="1" ht="21.75" customHeight="1">
      <c r="A9" s="186">
        <v>2</v>
      </c>
      <c r="B9" s="408" t="s">
        <v>277</v>
      </c>
      <c r="C9" s="409" t="s">
        <v>362</v>
      </c>
      <c r="D9" s="410">
        <v>59</v>
      </c>
      <c r="E9" s="410"/>
      <c r="F9" s="409" t="s">
        <v>363</v>
      </c>
      <c r="G9" s="410" t="s">
        <v>148</v>
      </c>
      <c r="H9" s="426" t="s">
        <v>154</v>
      </c>
      <c r="I9" s="187">
        <f t="shared" si="0"/>
        <v>420000</v>
      </c>
      <c r="J9" s="379" t="s">
        <v>280</v>
      </c>
      <c r="K9" s="190">
        <f t="shared" si="1"/>
        <v>300000</v>
      </c>
      <c r="L9" s="379" t="s">
        <v>161</v>
      </c>
      <c r="M9" s="188">
        <f t="shared" si="2"/>
        <v>300000</v>
      </c>
      <c r="N9" s="188">
        <f t="shared" si="3"/>
        <v>1020000</v>
      </c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2"/>
      <c r="DL9" s="182"/>
      <c r="DM9" s="182"/>
      <c r="DN9" s="182"/>
      <c r="DO9" s="182"/>
      <c r="DP9" s="182"/>
      <c r="DQ9" s="182"/>
      <c r="DR9" s="182"/>
      <c r="DS9" s="182"/>
      <c r="DT9" s="182"/>
      <c r="DU9" s="182"/>
      <c r="DV9" s="182"/>
      <c r="DW9" s="182"/>
      <c r="DX9" s="182"/>
      <c r="DY9" s="182"/>
      <c r="DZ9" s="182"/>
      <c r="EA9" s="182"/>
      <c r="EB9" s="182"/>
      <c r="EC9" s="182"/>
      <c r="ED9" s="182"/>
      <c r="EE9" s="182"/>
      <c r="EF9" s="182"/>
      <c r="EG9" s="182"/>
      <c r="EH9" s="182"/>
      <c r="EI9" s="182"/>
      <c r="EJ9" s="182"/>
      <c r="EK9" s="182"/>
      <c r="EL9" s="182"/>
      <c r="EM9" s="182"/>
      <c r="EN9" s="182"/>
      <c r="EO9" s="182"/>
      <c r="EP9" s="182"/>
      <c r="EQ9" s="182"/>
      <c r="ER9" s="182"/>
      <c r="ES9" s="182"/>
      <c r="ET9" s="182"/>
      <c r="EU9" s="182"/>
      <c r="EV9" s="182"/>
      <c r="EW9" s="182"/>
      <c r="EX9" s="182"/>
      <c r="EY9" s="182"/>
      <c r="EZ9" s="182"/>
      <c r="FA9" s="182"/>
      <c r="FB9" s="182"/>
      <c r="FC9" s="182"/>
      <c r="FD9" s="182"/>
      <c r="FE9" s="182"/>
      <c r="FF9" s="182"/>
      <c r="FG9" s="182"/>
      <c r="FH9" s="182"/>
      <c r="FI9" s="182"/>
      <c r="FJ9" s="182"/>
      <c r="FK9" s="182"/>
      <c r="FL9" s="182"/>
      <c r="FM9" s="182"/>
      <c r="FN9" s="182"/>
      <c r="FO9" s="182"/>
      <c r="FP9" s="182"/>
      <c r="FQ9" s="182"/>
      <c r="FR9" s="182"/>
      <c r="FS9" s="182"/>
      <c r="FT9" s="182"/>
      <c r="FU9" s="182"/>
      <c r="FV9" s="182"/>
      <c r="FW9" s="182"/>
      <c r="FX9" s="182"/>
      <c r="FY9" s="182"/>
      <c r="FZ9" s="182"/>
      <c r="GA9" s="182"/>
      <c r="GB9" s="182"/>
      <c r="GC9" s="182"/>
      <c r="GD9" s="182"/>
      <c r="GE9" s="182"/>
      <c r="GF9" s="182"/>
      <c r="GG9" s="182"/>
      <c r="GH9" s="182"/>
      <c r="GI9" s="182"/>
      <c r="GJ9" s="182"/>
      <c r="GK9" s="182"/>
      <c r="GL9" s="182"/>
      <c r="GM9" s="182"/>
      <c r="GN9" s="182"/>
      <c r="GO9" s="182"/>
      <c r="GP9" s="182"/>
      <c r="GQ9" s="182"/>
      <c r="GR9" s="182"/>
      <c r="GS9" s="182"/>
      <c r="GT9" s="182"/>
      <c r="GU9" s="182"/>
      <c r="GV9" s="182"/>
      <c r="GW9" s="182"/>
      <c r="GX9" s="182"/>
      <c r="GY9" s="182"/>
      <c r="GZ9" s="182"/>
      <c r="HA9" s="182"/>
      <c r="HB9" s="182"/>
      <c r="HC9" s="182"/>
      <c r="HD9" s="182"/>
      <c r="HE9" s="182"/>
      <c r="HF9" s="182"/>
      <c r="HG9" s="182"/>
      <c r="HH9" s="182"/>
      <c r="HI9" s="182"/>
      <c r="HJ9" s="182"/>
      <c r="HK9" s="182"/>
      <c r="HL9" s="182"/>
      <c r="HM9" s="182"/>
      <c r="HN9" s="182"/>
      <c r="HO9" s="182"/>
      <c r="HP9" s="182"/>
      <c r="HQ9" s="182"/>
      <c r="HR9" s="182"/>
      <c r="HS9" s="182"/>
      <c r="HT9" s="182"/>
      <c r="HU9" s="182"/>
      <c r="HV9" s="182"/>
      <c r="HW9" s="182"/>
      <c r="HX9" s="182"/>
      <c r="HY9" s="182"/>
      <c r="HZ9" s="182"/>
      <c r="IA9" s="182"/>
      <c r="IB9" s="182"/>
      <c r="IC9" s="182"/>
      <c r="ID9" s="182"/>
      <c r="IE9" s="182"/>
      <c r="IF9" s="182"/>
      <c r="IG9" s="182"/>
      <c r="IH9" s="182"/>
      <c r="II9" s="182"/>
      <c r="IJ9" s="182"/>
      <c r="IK9" s="182"/>
      <c r="IL9" s="182"/>
      <c r="IM9" s="182"/>
      <c r="IN9" s="182"/>
      <c r="IO9" s="182"/>
      <c r="IP9" s="182"/>
      <c r="IQ9" s="182"/>
    </row>
    <row r="10" spans="1:251" s="148" customFormat="1" ht="21.75" customHeight="1">
      <c r="A10" s="186">
        <v>3</v>
      </c>
      <c r="B10" s="408" t="s">
        <v>278</v>
      </c>
      <c r="C10" s="409" t="s">
        <v>364</v>
      </c>
      <c r="D10" s="410">
        <v>44</v>
      </c>
      <c r="E10" s="410"/>
      <c r="F10" s="409" t="s">
        <v>365</v>
      </c>
      <c r="G10" s="410" t="s">
        <v>148</v>
      </c>
      <c r="H10" s="426" t="s">
        <v>156</v>
      </c>
      <c r="I10" s="187">
        <f t="shared" si="0"/>
        <v>420000</v>
      </c>
      <c r="J10" s="379" t="s">
        <v>151</v>
      </c>
      <c r="K10" s="190">
        <f t="shared" si="1"/>
        <v>300000</v>
      </c>
      <c r="L10" s="379" t="s">
        <v>159</v>
      </c>
      <c r="M10" s="188">
        <f t="shared" si="2"/>
        <v>300000</v>
      </c>
      <c r="N10" s="188">
        <f t="shared" si="3"/>
        <v>1020000</v>
      </c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2"/>
      <c r="ED10" s="182"/>
      <c r="EE10" s="182"/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2"/>
      <c r="FN10" s="182"/>
      <c r="FO10" s="182"/>
      <c r="FP10" s="182"/>
      <c r="FQ10" s="182"/>
      <c r="FR10" s="182"/>
      <c r="FS10" s="182"/>
      <c r="FT10" s="182"/>
      <c r="FU10" s="182"/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/>
      <c r="GJ10" s="182"/>
      <c r="GK10" s="182"/>
      <c r="GL10" s="182"/>
      <c r="GM10" s="182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182"/>
      <c r="HQ10" s="182"/>
      <c r="HR10" s="182"/>
      <c r="HS10" s="182"/>
      <c r="HT10" s="182"/>
      <c r="HU10" s="182"/>
      <c r="HV10" s="182"/>
      <c r="HW10" s="182"/>
      <c r="HX10" s="182"/>
      <c r="HY10" s="182"/>
      <c r="HZ10" s="182"/>
      <c r="IA10" s="182"/>
      <c r="IB10" s="182"/>
      <c r="IC10" s="182"/>
      <c r="ID10" s="182"/>
      <c r="IE10" s="182"/>
      <c r="IF10" s="182"/>
      <c r="IG10" s="182"/>
      <c r="IH10" s="182"/>
      <c r="II10" s="182"/>
      <c r="IJ10" s="182"/>
      <c r="IK10" s="182"/>
      <c r="IL10" s="182"/>
      <c r="IM10" s="182"/>
      <c r="IN10" s="182"/>
      <c r="IO10" s="182"/>
      <c r="IP10" s="182"/>
      <c r="IQ10" s="182"/>
    </row>
    <row r="11" spans="1:251" s="148" customFormat="1" ht="21.75" customHeight="1">
      <c r="A11" s="186">
        <v>4</v>
      </c>
      <c r="B11" s="408" t="s">
        <v>279</v>
      </c>
      <c r="C11" s="409" t="s">
        <v>366</v>
      </c>
      <c r="D11" s="410">
        <v>71</v>
      </c>
      <c r="E11" s="410"/>
      <c r="F11" s="409" t="s">
        <v>367</v>
      </c>
      <c r="G11" s="410" t="s">
        <v>144</v>
      </c>
      <c r="H11" s="426" t="s">
        <v>154</v>
      </c>
      <c r="I11" s="187">
        <f t="shared" si="0"/>
        <v>187500</v>
      </c>
      <c r="J11" s="379" t="s">
        <v>281</v>
      </c>
      <c r="K11" s="190">
        <f t="shared" si="1"/>
        <v>135000</v>
      </c>
      <c r="L11" s="379" t="s">
        <v>291</v>
      </c>
      <c r="M11" s="188">
        <f t="shared" si="2"/>
        <v>135000</v>
      </c>
      <c r="N11" s="188">
        <f t="shared" si="3"/>
        <v>457500</v>
      </c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2"/>
      <c r="CS11" s="182"/>
      <c r="CT11" s="182"/>
      <c r="CU11" s="182"/>
      <c r="CV11" s="182"/>
      <c r="CW11" s="182"/>
      <c r="CX11" s="182"/>
      <c r="CY11" s="182"/>
      <c r="CZ11" s="182"/>
      <c r="DA11" s="182"/>
      <c r="DB11" s="182"/>
      <c r="DC11" s="182"/>
      <c r="DD11" s="182"/>
      <c r="DE11" s="182"/>
      <c r="DF11" s="182"/>
      <c r="DG11" s="182"/>
      <c r="DH11" s="182"/>
      <c r="DI11" s="182"/>
      <c r="DJ11" s="182"/>
      <c r="DK11" s="182"/>
      <c r="DL11" s="182"/>
      <c r="DM11" s="182"/>
      <c r="DN11" s="182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82"/>
      <c r="EH11" s="182"/>
      <c r="EI11" s="182"/>
      <c r="EJ11" s="182"/>
      <c r="EK11" s="182"/>
      <c r="EL11" s="182"/>
      <c r="EM11" s="182"/>
      <c r="EN11" s="182"/>
      <c r="EO11" s="182"/>
      <c r="EP11" s="182"/>
      <c r="EQ11" s="182"/>
      <c r="ER11" s="182"/>
      <c r="ES11" s="182"/>
      <c r="ET11" s="182"/>
      <c r="EU11" s="182"/>
      <c r="EV11" s="182"/>
      <c r="EW11" s="182"/>
      <c r="EX11" s="182"/>
      <c r="EY11" s="182"/>
      <c r="EZ11" s="182"/>
      <c r="FA11" s="182"/>
      <c r="FB11" s="182"/>
      <c r="FC11" s="182"/>
      <c r="FD11" s="182"/>
      <c r="FE11" s="182"/>
      <c r="FF11" s="182"/>
      <c r="FG11" s="182"/>
      <c r="FH11" s="182"/>
      <c r="FI11" s="182"/>
      <c r="FJ11" s="182"/>
      <c r="FK11" s="182"/>
      <c r="FL11" s="182"/>
      <c r="FM11" s="182"/>
      <c r="FN11" s="182"/>
      <c r="FO11" s="182"/>
      <c r="FP11" s="182"/>
      <c r="FQ11" s="182"/>
      <c r="FR11" s="182"/>
      <c r="FS11" s="182"/>
      <c r="FT11" s="182"/>
      <c r="FU11" s="182"/>
      <c r="FV11" s="182"/>
      <c r="FW11" s="182"/>
      <c r="FX11" s="182"/>
      <c r="FY11" s="182"/>
      <c r="FZ11" s="182"/>
      <c r="GA11" s="182"/>
      <c r="GB11" s="182"/>
      <c r="GC11" s="182"/>
      <c r="GD11" s="182"/>
      <c r="GE11" s="182"/>
      <c r="GF11" s="182"/>
      <c r="GG11" s="182"/>
      <c r="GH11" s="182"/>
      <c r="GI11" s="182"/>
      <c r="GJ11" s="182"/>
      <c r="GK11" s="182"/>
      <c r="GL11" s="182"/>
      <c r="GM11" s="182"/>
      <c r="GN11" s="182"/>
      <c r="GO11" s="182"/>
      <c r="GP11" s="182"/>
      <c r="GQ11" s="182"/>
      <c r="GR11" s="182"/>
      <c r="GS11" s="182"/>
      <c r="GT11" s="182"/>
      <c r="GU11" s="182"/>
      <c r="GV11" s="182"/>
      <c r="GW11" s="182"/>
      <c r="GX11" s="182"/>
      <c r="GY11" s="182"/>
      <c r="GZ11" s="182"/>
      <c r="HA11" s="182"/>
      <c r="HB11" s="182"/>
      <c r="HC11" s="182"/>
      <c r="HD11" s="182"/>
      <c r="HE11" s="182"/>
      <c r="HF11" s="182"/>
      <c r="HG11" s="182"/>
      <c r="HH11" s="182"/>
      <c r="HI11" s="182"/>
      <c r="HJ11" s="182"/>
      <c r="HK11" s="182"/>
      <c r="HL11" s="182"/>
      <c r="HM11" s="182"/>
      <c r="HN11" s="182"/>
      <c r="HO11" s="182"/>
      <c r="HP11" s="182"/>
      <c r="HQ11" s="182"/>
      <c r="HR11" s="182"/>
      <c r="HS11" s="182"/>
      <c r="HT11" s="182"/>
      <c r="HU11" s="182"/>
      <c r="HV11" s="182"/>
      <c r="HW11" s="182"/>
      <c r="HX11" s="182"/>
      <c r="HY11" s="182"/>
      <c r="HZ11" s="182"/>
      <c r="IA11" s="182"/>
      <c r="IB11" s="182"/>
      <c r="IC11" s="182"/>
      <c r="ID11" s="182"/>
      <c r="IE11" s="182"/>
      <c r="IF11" s="182"/>
      <c r="IG11" s="182"/>
      <c r="IH11" s="182"/>
      <c r="II11" s="182"/>
      <c r="IJ11" s="182"/>
      <c r="IK11" s="182"/>
      <c r="IL11" s="182"/>
      <c r="IM11" s="182"/>
      <c r="IN11" s="182"/>
      <c r="IO11" s="182"/>
      <c r="IP11" s="182"/>
      <c r="IQ11" s="182"/>
    </row>
    <row r="12" spans="1:251" s="148" customFormat="1" ht="21.75" customHeight="1">
      <c r="A12" s="186">
        <v>5</v>
      </c>
      <c r="B12" s="408" t="s">
        <v>279</v>
      </c>
      <c r="C12" s="409" t="s">
        <v>368</v>
      </c>
      <c r="D12" s="410"/>
      <c r="E12" s="410">
        <v>60</v>
      </c>
      <c r="F12" s="409" t="s">
        <v>147</v>
      </c>
      <c r="G12" s="410" t="s">
        <v>143</v>
      </c>
      <c r="H12" s="426" t="s">
        <v>156</v>
      </c>
      <c r="I12" s="187">
        <f t="shared" si="0"/>
        <v>420000</v>
      </c>
      <c r="J12" s="379" t="s">
        <v>152</v>
      </c>
      <c r="K12" s="190">
        <f t="shared" si="1"/>
        <v>300000</v>
      </c>
      <c r="L12" s="379" t="s">
        <v>173</v>
      </c>
      <c r="M12" s="188">
        <f t="shared" si="2"/>
        <v>300000</v>
      </c>
      <c r="N12" s="188">
        <f t="shared" si="3"/>
        <v>1020000</v>
      </c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  <c r="BM12" s="182"/>
      <c r="BN12" s="182"/>
      <c r="BO12" s="182"/>
      <c r="BP12" s="182"/>
      <c r="BQ12" s="182"/>
      <c r="BR12" s="182"/>
      <c r="BS12" s="182"/>
      <c r="BT12" s="182"/>
      <c r="BU12" s="182"/>
      <c r="BV12" s="182"/>
      <c r="BW12" s="182"/>
      <c r="BX12" s="182"/>
      <c r="BY12" s="182"/>
      <c r="BZ12" s="182"/>
      <c r="CA12" s="182"/>
      <c r="CB12" s="182"/>
      <c r="CC12" s="182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2"/>
      <c r="CO12" s="182"/>
      <c r="CP12" s="182"/>
      <c r="CQ12" s="182"/>
      <c r="CR12" s="182"/>
      <c r="CS12" s="182"/>
      <c r="CT12" s="182"/>
      <c r="CU12" s="182"/>
      <c r="CV12" s="182"/>
      <c r="CW12" s="182"/>
      <c r="CX12" s="182"/>
      <c r="CY12" s="182"/>
      <c r="CZ12" s="182"/>
      <c r="DA12" s="182"/>
      <c r="DB12" s="182"/>
      <c r="DC12" s="182"/>
      <c r="DD12" s="182"/>
      <c r="DE12" s="182"/>
      <c r="DF12" s="182"/>
      <c r="DG12" s="182"/>
      <c r="DH12" s="182"/>
      <c r="DI12" s="182"/>
      <c r="DJ12" s="182"/>
      <c r="DK12" s="182"/>
      <c r="DL12" s="182"/>
      <c r="DM12" s="182"/>
      <c r="DN12" s="182"/>
      <c r="DO12" s="182"/>
      <c r="DP12" s="182"/>
      <c r="DQ12" s="182"/>
      <c r="DR12" s="182"/>
      <c r="DS12" s="182"/>
      <c r="DT12" s="182"/>
      <c r="DU12" s="182"/>
      <c r="DV12" s="182"/>
      <c r="DW12" s="182"/>
      <c r="DX12" s="182"/>
      <c r="DY12" s="182"/>
      <c r="DZ12" s="182"/>
      <c r="EA12" s="182"/>
      <c r="EB12" s="182"/>
      <c r="EC12" s="182"/>
      <c r="ED12" s="182"/>
      <c r="EE12" s="182"/>
      <c r="EF12" s="182"/>
      <c r="EG12" s="182"/>
      <c r="EH12" s="182"/>
      <c r="EI12" s="182"/>
      <c r="EJ12" s="182"/>
      <c r="EK12" s="182"/>
      <c r="EL12" s="182"/>
      <c r="EM12" s="182"/>
      <c r="EN12" s="182"/>
      <c r="EO12" s="182"/>
      <c r="EP12" s="182"/>
      <c r="EQ12" s="182"/>
      <c r="ER12" s="182"/>
      <c r="ES12" s="182"/>
      <c r="ET12" s="182"/>
      <c r="EU12" s="182"/>
      <c r="EV12" s="182"/>
      <c r="EW12" s="182"/>
      <c r="EX12" s="182"/>
      <c r="EY12" s="182"/>
      <c r="EZ12" s="182"/>
      <c r="FA12" s="182"/>
      <c r="FB12" s="182"/>
      <c r="FC12" s="182"/>
      <c r="FD12" s="182"/>
      <c r="FE12" s="182"/>
      <c r="FF12" s="182"/>
      <c r="FG12" s="182"/>
      <c r="FH12" s="182"/>
      <c r="FI12" s="182"/>
      <c r="FJ12" s="182"/>
      <c r="FK12" s="182"/>
      <c r="FL12" s="182"/>
      <c r="FM12" s="182"/>
      <c r="FN12" s="182"/>
      <c r="FO12" s="182"/>
      <c r="FP12" s="182"/>
      <c r="FQ12" s="182"/>
      <c r="FR12" s="182"/>
      <c r="FS12" s="182"/>
      <c r="FT12" s="182"/>
      <c r="FU12" s="182"/>
      <c r="FV12" s="182"/>
      <c r="FW12" s="182"/>
      <c r="FX12" s="182"/>
      <c r="FY12" s="182"/>
      <c r="FZ12" s="182"/>
      <c r="GA12" s="182"/>
      <c r="GB12" s="182"/>
      <c r="GC12" s="182"/>
      <c r="GD12" s="182"/>
      <c r="GE12" s="182"/>
      <c r="GF12" s="182"/>
      <c r="GG12" s="182"/>
      <c r="GH12" s="182"/>
      <c r="GI12" s="182"/>
      <c r="GJ12" s="182"/>
      <c r="GK12" s="182"/>
      <c r="GL12" s="182"/>
      <c r="GM12" s="182"/>
      <c r="GN12" s="182"/>
      <c r="GO12" s="182"/>
      <c r="GP12" s="182"/>
      <c r="GQ12" s="182"/>
      <c r="GR12" s="182"/>
      <c r="GS12" s="182"/>
      <c r="GT12" s="182"/>
      <c r="GU12" s="182"/>
      <c r="GV12" s="182"/>
      <c r="GW12" s="182"/>
      <c r="GX12" s="182"/>
      <c r="GY12" s="182"/>
      <c r="GZ12" s="182"/>
      <c r="HA12" s="182"/>
      <c r="HB12" s="182"/>
      <c r="HC12" s="182"/>
      <c r="HD12" s="182"/>
      <c r="HE12" s="182"/>
      <c r="HF12" s="182"/>
      <c r="HG12" s="182"/>
      <c r="HH12" s="182"/>
      <c r="HI12" s="182"/>
      <c r="HJ12" s="182"/>
      <c r="HK12" s="182"/>
      <c r="HL12" s="182"/>
      <c r="HM12" s="182"/>
      <c r="HN12" s="182"/>
      <c r="HO12" s="182"/>
      <c r="HP12" s="182"/>
      <c r="HQ12" s="182"/>
      <c r="HR12" s="182"/>
      <c r="HS12" s="182"/>
      <c r="HT12" s="182"/>
      <c r="HU12" s="182"/>
      <c r="HV12" s="182"/>
      <c r="HW12" s="182"/>
      <c r="HX12" s="182"/>
      <c r="HY12" s="182"/>
      <c r="HZ12" s="182"/>
      <c r="IA12" s="182"/>
      <c r="IB12" s="182"/>
      <c r="IC12" s="182"/>
      <c r="ID12" s="182"/>
      <c r="IE12" s="182"/>
      <c r="IF12" s="182"/>
      <c r="IG12" s="182"/>
      <c r="IH12" s="182"/>
      <c r="II12" s="182"/>
      <c r="IJ12" s="182"/>
      <c r="IK12" s="182"/>
      <c r="IL12" s="182"/>
      <c r="IM12" s="182"/>
      <c r="IN12" s="182"/>
      <c r="IO12" s="182"/>
      <c r="IP12" s="182"/>
      <c r="IQ12" s="182"/>
    </row>
    <row r="13" spans="1:251" s="148" customFormat="1" ht="21.75" customHeight="1">
      <c r="A13" s="186">
        <v>6</v>
      </c>
      <c r="B13" s="408" t="s">
        <v>369</v>
      </c>
      <c r="C13" s="409" t="s">
        <v>370</v>
      </c>
      <c r="D13" s="410">
        <v>66</v>
      </c>
      <c r="E13" s="410"/>
      <c r="F13" s="409" t="s">
        <v>289</v>
      </c>
      <c r="G13" s="410" t="s">
        <v>144</v>
      </c>
      <c r="H13" s="426" t="s">
        <v>155</v>
      </c>
      <c r="I13" s="187">
        <f t="shared" si="0"/>
        <v>187500</v>
      </c>
      <c r="J13" s="379" t="s">
        <v>173</v>
      </c>
      <c r="K13" s="190">
        <f t="shared" si="1"/>
        <v>135000</v>
      </c>
      <c r="L13" s="379" t="s">
        <v>280</v>
      </c>
      <c r="M13" s="188">
        <f t="shared" si="2"/>
        <v>135000</v>
      </c>
      <c r="N13" s="188">
        <f t="shared" si="3"/>
        <v>457500</v>
      </c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2"/>
      <c r="EK13" s="182"/>
      <c r="EL13" s="182"/>
      <c r="EM13" s="182"/>
      <c r="EN13" s="182"/>
      <c r="EO13" s="182"/>
      <c r="EP13" s="182"/>
      <c r="EQ13" s="182"/>
      <c r="ER13" s="182"/>
      <c r="ES13" s="182"/>
      <c r="ET13" s="182"/>
      <c r="EU13" s="182"/>
      <c r="EV13" s="182"/>
      <c r="EW13" s="182"/>
      <c r="EX13" s="182"/>
      <c r="EY13" s="182"/>
      <c r="EZ13" s="182"/>
      <c r="FA13" s="182"/>
      <c r="FB13" s="182"/>
      <c r="FC13" s="182"/>
      <c r="FD13" s="182"/>
      <c r="FE13" s="182"/>
      <c r="FF13" s="182"/>
      <c r="FG13" s="182"/>
      <c r="FH13" s="182"/>
      <c r="FI13" s="182"/>
      <c r="FJ13" s="182"/>
      <c r="FK13" s="182"/>
      <c r="FL13" s="182"/>
      <c r="FM13" s="182"/>
      <c r="FN13" s="182"/>
      <c r="FO13" s="182"/>
      <c r="FP13" s="182"/>
      <c r="FQ13" s="182"/>
      <c r="FR13" s="182"/>
      <c r="FS13" s="182"/>
      <c r="FT13" s="182"/>
      <c r="FU13" s="182"/>
      <c r="FV13" s="182"/>
      <c r="FW13" s="182"/>
      <c r="FX13" s="182"/>
      <c r="FY13" s="182"/>
      <c r="FZ13" s="182"/>
      <c r="GA13" s="182"/>
      <c r="GB13" s="182"/>
      <c r="GC13" s="182"/>
      <c r="GD13" s="182"/>
      <c r="GE13" s="182"/>
      <c r="GF13" s="182"/>
      <c r="GG13" s="182"/>
      <c r="GH13" s="182"/>
      <c r="GI13" s="182"/>
      <c r="GJ13" s="182"/>
      <c r="GK13" s="182"/>
      <c r="GL13" s="182"/>
      <c r="GM13" s="182"/>
      <c r="GN13" s="182"/>
      <c r="GO13" s="182"/>
      <c r="GP13" s="182"/>
      <c r="GQ13" s="182"/>
      <c r="GR13" s="182"/>
      <c r="GS13" s="182"/>
      <c r="GT13" s="182"/>
      <c r="GU13" s="182"/>
      <c r="GV13" s="182"/>
      <c r="GW13" s="182"/>
      <c r="GX13" s="182"/>
      <c r="GY13" s="182"/>
      <c r="GZ13" s="182"/>
      <c r="HA13" s="182"/>
      <c r="HB13" s="182"/>
      <c r="HC13" s="182"/>
      <c r="HD13" s="182"/>
      <c r="HE13" s="182"/>
      <c r="HF13" s="182"/>
      <c r="HG13" s="182"/>
      <c r="HH13" s="182"/>
      <c r="HI13" s="182"/>
      <c r="HJ13" s="182"/>
      <c r="HK13" s="182"/>
      <c r="HL13" s="182"/>
      <c r="HM13" s="182"/>
      <c r="HN13" s="182"/>
      <c r="HO13" s="182"/>
      <c r="HP13" s="182"/>
      <c r="HQ13" s="182"/>
      <c r="HR13" s="182"/>
      <c r="HS13" s="182"/>
      <c r="HT13" s="182"/>
      <c r="HU13" s="182"/>
      <c r="HV13" s="182"/>
      <c r="HW13" s="182"/>
      <c r="HX13" s="182"/>
      <c r="HY13" s="182"/>
      <c r="HZ13" s="182"/>
      <c r="IA13" s="182"/>
      <c r="IB13" s="182"/>
      <c r="IC13" s="182"/>
      <c r="ID13" s="182"/>
      <c r="IE13" s="182"/>
      <c r="IF13" s="182"/>
      <c r="IG13" s="182"/>
      <c r="IH13" s="182"/>
      <c r="II13" s="182"/>
      <c r="IJ13" s="182"/>
      <c r="IK13" s="182"/>
      <c r="IL13" s="182"/>
      <c r="IM13" s="182"/>
      <c r="IN13" s="182"/>
      <c r="IO13" s="182"/>
      <c r="IP13" s="182"/>
      <c r="IQ13" s="182"/>
    </row>
    <row r="14" spans="1:251" s="148" customFormat="1" ht="21.75" customHeight="1">
      <c r="A14" s="186">
        <v>7</v>
      </c>
      <c r="B14" s="408" t="s">
        <v>294</v>
      </c>
      <c r="C14" s="409" t="s">
        <v>371</v>
      </c>
      <c r="D14" s="410">
        <v>42</v>
      </c>
      <c r="E14" s="410"/>
      <c r="F14" s="409" t="s">
        <v>289</v>
      </c>
      <c r="G14" s="410" t="s">
        <v>144</v>
      </c>
      <c r="H14" s="426" t="s">
        <v>155</v>
      </c>
      <c r="I14" s="187">
        <f t="shared" si="0"/>
        <v>187500</v>
      </c>
      <c r="J14" s="379" t="s">
        <v>173</v>
      </c>
      <c r="K14" s="190">
        <f t="shared" si="1"/>
        <v>135000</v>
      </c>
      <c r="L14" s="379" t="s">
        <v>157</v>
      </c>
      <c r="M14" s="188">
        <f t="shared" si="2"/>
        <v>135000</v>
      </c>
      <c r="N14" s="188">
        <f t="shared" si="3"/>
        <v>457500</v>
      </c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  <c r="GK14" s="182"/>
      <c r="GL14" s="182"/>
      <c r="GM14" s="182"/>
      <c r="GN14" s="182"/>
      <c r="GO14" s="182"/>
      <c r="GP14" s="182"/>
      <c r="GQ14" s="182"/>
      <c r="GR14" s="182"/>
      <c r="GS14" s="182"/>
      <c r="GT14" s="182"/>
      <c r="GU14" s="182"/>
      <c r="GV14" s="182"/>
      <c r="GW14" s="182"/>
      <c r="GX14" s="182"/>
      <c r="GY14" s="182"/>
      <c r="GZ14" s="182"/>
      <c r="HA14" s="182"/>
      <c r="HB14" s="182"/>
      <c r="HC14" s="182"/>
      <c r="HD14" s="182"/>
      <c r="HE14" s="182"/>
      <c r="HF14" s="182"/>
      <c r="HG14" s="182"/>
      <c r="HH14" s="182"/>
      <c r="HI14" s="182"/>
      <c r="HJ14" s="182"/>
      <c r="HK14" s="182"/>
      <c r="HL14" s="182"/>
      <c r="HM14" s="182"/>
      <c r="HN14" s="182"/>
      <c r="HO14" s="182"/>
      <c r="HP14" s="182"/>
      <c r="HQ14" s="182"/>
      <c r="HR14" s="182"/>
      <c r="HS14" s="182"/>
      <c r="HT14" s="182"/>
      <c r="HU14" s="182"/>
      <c r="HV14" s="182"/>
      <c r="HW14" s="182"/>
      <c r="HX14" s="182"/>
      <c r="HY14" s="182"/>
      <c r="HZ14" s="182"/>
      <c r="IA14" s="182"/>
      <c r="IB14" s="182"/>
      <c r="IC14" s="182"/>
      <c r="ID14" s="182"/>
      <c r="IE14" s="182"/>
      <c r="IF14" s="182"/>
      <c r="IG14" s="182"/>
      <c r="IH14" s="182"/>
      <c r="II14" s="182"/>
      <c r="IJ14" s="182"/>
      <c r="IK14" s="182"/>
      <c r="IL14" s="182"/>
      <c r="IM14" s="182"/>
      <c r="IN14" s="182"/>
      <c r="IO14" s="182"/>
      <c r="IP14" s="182"/>
      <c r="IQ14" s="182"/>
    </row>
    <row r="15" spans="1:251" s="148" customFormat="1" ht="21.75" customHeight="1">
      <c r="A15" s="186">
        <v>8</v>
      </c>
      <c r="B15" s="408" t="s">
        <v>294</v>
      </c>
      <c r="C15" s="409" t="s">
        <v>372</v>
      </c>
      <c r="D15" s="410">
        <v>56</v>
      </c>
      <c r="E15" s="410"/>
      <c r="F15" s="409" t="s">
        <v>165</v>
      </c>
      <c r="G15" s="410" t="s">
        <v>143</v>
      </c>
      <c r="H15" s="426" t="s">
        <v>153</v>
      </c>
      <c r="I15" s="187">
        <f t="shared" si="0"/>
        <v>420000</v>
      </c>
      <c r="J15" s="379" t="s">
        <v>159</v>
      </c>
      <c r="K15" s="190">
        <f t="shared" si="1"/>
        <v>300000</v>
      </c>
      <c r="L15" s="379" t="s">
        <v>158</v>
      </c>
      <c r="M15" s="188">
        <f t="shared" si="2"/>
        <v>300000</v>
      </c>
      <c r="N15" s="188">
        <f t="shared" si="3"/>
        <v>1020000</v>
      </c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182"/>
      <c r="BU15" s="182"/>
      <c r="BV15" s="182"/>
      <c r="BW15" s="182"/>
      <c r="BX15" s="182"/>
      <c r="BY15" s="182"/>
      <c r="BZ15" s="182"/>
      <c r="CA15" s="182"/>
      <c r="CB15" s="182"/>
      <c r="CC15" s="182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2"/>
      <c r="CO15" s="182"/>
      <c r="CP15" s="182"/>
      <c r="CQ15" s="182"/>
      <c r="CR15" s="182"/>
      <c r="CS15" s="182"/>
      <c r="CT15" s="182"/>
      <c r="CU15" s="182"/>
      <c r="CV15" s="182"/>
      <c r="CW15" s="182"/>
      <c r="CX15" s="182"/>
      <c r="CY15" s="182"/>
      <c r="CZ15" s="182"/>
      <c r="DA15" s="182"/>
      <c r="DB15" s="182"/>
      <c r="DC15" s="182"/>
      <c r="DD15" s="182"/>
      <c r="DE15" s="182"/>
      <c r="DF15" s="182"/>
      <c r="DG15" s="182"/>
      <c r="DH15" s="182"/>
      <c r="DI15" s="182"/>
      <c r="DJ15" s="182"/>
      <c r="DK15" s="182"/>
      <c r="DL15" s="182"/>
      <c r="DM15" s="182"/>
      <c r="DN15" s="182"/>
      <c r="DO15" s="182"/>
      <c r="DP15" s="182"/>
      <c r="DQ15" s="182"/>
      <c r="DR15" s="182"/>
      <c r="DS15" s="182"/>
      <c r="DT15" s="182"/>
      <c r="DU15" s="182"/>
      <c r="DV15" s="182"/>
      <c r="DW15" s="182"/>
      <c r="DX15" s="182"/>
      <c r="DY15" s="182"/>
      <c r="DZ15" s="182"/>
      <c r="EA15" s="182"/>
      <c r="EB15" s="182"/>
      <c r="EC15" s="182"/>
      <c r="ED15" s="182"/>
      <c r="EE15" s="182"/>
      <c r="EF15" s="182"/>
      <c r="EG15" s="182"/>
      <c r="EH15" s="182"/>
      <c r="EI15" s="182"/>
      <c r="EJ15" s="182"/>
      <c r="EK15" s="182"/>
      <c r="EL15" s="182"/>
      <c r="EM15" s="182"/>
      <c r="EN15" s="182"/>
      <c r="EO15" s="182"/>
      <c r="EP15" s="182"/>
      <c r="EQ15" s="182"/>
      <c r="ER15" s="182"/>
      <c r="ES15" s="182"/>
      <c r="ET15" s="182"/>
      <c r="EU15" s="182"/>
      <c r="EV15" s="182"/>
      <c r="EW15" s="182"/>
      <c r="EX15" s="182"/>
      <c r="EY15" s="182"/>
      <c r="EZ15" s="182"/>
      <c r="FA15" s="182"/>
      <c r="FB15" s="182"/>
      <c r="FC15" s="182"/>
      <c r="FD15" s="182"/>
      <c r="FE15" s="182"/>
      <c r="FF15" s="182"/>
      <c r="FG15" s="182"/>
      <c r="FH15" s="182"/>
      <c r="FI15" s="182"/>
      <c r="FJ15" s="182"/>
      <c r="FK15" s="182"/>
      <c r="FL15" s="182"/>
      <c r="FM15" s="182"/>
      <c r="FN15" s="182"/>
      <c r="FO15" s="182"/>
      <c r="FP15" s="182"/>
      <c r="FQ15" s="182"/>
      <c r="FR15" s="182"/>
      <c r="FS15" s="182"/>
      <c r="FT15" s="182"/>
      <c r="FU15" s="182"/>
      <c r="FV15" s="182"/>
      <c r="FW15" s="182"/>
      <c r="FX15" s="182"/>
      <c r="FY15" s="182"/>
      <c r="FZ15" s="182"/>
      <c r="GA15" s="182"/>
      <c r="GB15" s="182"/>
      <c r="GC15" s="182"/>
      <c r="GD15" s="182"/>
      <c r="GE15" s="182"/>
      <c r="GF15" s="182"/>
      <c r="GG15" s="182"/>
      <c r="GH15" s="182"/>
      <c r="GI15" s="182"/>
      <c r="GJ15" s="182"/>
      <c r="GK15" s="182"/>
      <c r="GL15" s="182"/>
      <c r="GM15" s="182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182"/>
      <c r="HQ15" s="182"/>
      <c r="HR15" s="182"/>
      <c r="HS15" s="182"/>
      <c r="HT15" s="182"/>
      <c r="HU15" s="182"/>
      <c r="HV15" s="182"/>
      <c r="HW15" s="182"/>
      <c r="HX15" s="182"/>
      <c r="HY15" s="182"/>
      <c r="HZ15" s="182"/>
      <c r="IA15" s="182"/>
      <c r="IB15" s="182"/>
      <c r="IC15" s="182"/>
      <c r="ID15" s="182"/>
      <c r="IE15" s="182"/>
      <c r="IF15" s="182"/>
      <c r="IG15" s="182"/>
      <c r="IH15" s="182"/>
      <c r="II15" s="182"/>
      <c r="IJ15" s="182"/>
      <c r="IK15" s="182"/>
      <c r="IL15" s="182"/>
      <c r="IM15" s="182"/>
      <c r="IN15" s="182"/>
      <c r="IO15" s="182"/>
      <c r="IP15" s="182"/>
      <c r="IQ15" s="182"/>
    </row>
    <row r="16" spans="1:251" s="148" customFormat="1" ht="21.75" customHeight="1">
      <c r="A16" s="186">
        <v>9</v>
      </c>
      <c r="B16" s="408" t="s">
        <v>294</v>
      </c>
      <c r="C16" s="409" t="s">
        <v>373</v>
      </c>
      <c r="D16" s="410">
        <v>59</v>
      </c>
      <c r="E16" s="410"/>
      <c r="F16" s="409" t="s">
        <v>165</v>
      </c>
      <c r="G16" s="410" t="s">
        <v>143</v>
      </c>
      <c r="H16" s="426" t="s">
        <v>155</v>
      </c>
      <c r="I16" s="187">
        <f t="shared" si="0"/>
        <v>420000</v>
      </c>
      <c r="J16" s="379" t="s">
        <v>159</v>
      </c>
      <c r="K16" s="190">
        <f t="shared" si="1"/>
        <v>300000</v>
      </c>
      <c r="L16" s="379" t="s">
        <v>158</v>
      </c>
      <c r="M16" s="188">
        <f t="shared" si="2"/>
        <v>300000</v>
      </c>
      <c r="N16" s="188">
        <f t="shared" si="3"/>
        <v>1020000</v>
      </c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82"/>
      <c r="DL16" s="182"/>
      <c r="DM16" s="182"/>
      <c r="DN16" s="182"/>
      <c r="DO16" s="182"/>
      <c r="DP16" s="182"/>
      <c r="DQ16" s="182"/>
      <c r="DR16" s="182"/>
      <c r="DS16" s="182"/>
      <c r="DT16" s="182"/>
      <c r="DU16" s="182"/>
      <c r="DV16" s="182"/>
      <c r="DW16" s="182"/>
      <c r="DX16" s="182"/>
      <c r="DY16" s="182"/>
      <c r="DZ16" s="182"/>
      <c r="EA16" s="182"/>
      <c r="EB16" s="182"/>
      <c r="EC16" s="182"/>
      <c r="ED16" s="182"/>
      <c r="EE16" s="182"/>
      <c r="EF16" s="182"/>
      <c r="EG16" s="182"/>
      <c r="EH16" s="182"/>
      <c r="EI16" s="182"/>
      <c r="EJ16" s="182"/>
      <c r="EK16" s="182"/>
      <c r="EL16" s="182"/>
      <c r="EM16" s="182"/>
      <c r="EN16" s="182"/>
      <c r="EO16" s="182"/>
      <c r="EP16" s="182"/>
      <c r="EQ16" s="182"/>
      <c r="ER16" s="182"/>
      <c r="ES16" s="182"/>
      <c r="ET16" s="182"/>
      <c r="EU16" s="182"/>
      <c r="EV16" s="182"/>
      <c r="EW16" s="182"/>
      <c r="EX16" s="182"/>
      <c r="EY16" s="182"/>
      <c r="EZ16" s="182"/>
      <c r="FA16" s="182"/>
      <c r="FB16" s="182"/>
      <c r="FC16" s="182"/>
      <c r="FD16" s="182"/>
      <c r="FE16" s="182"/>
      <c r="FF16" s="182"/>
      <c r="FG16" s="182"/>
      <c r="FH16" s="182"/>
      <c r="FI16" s="182"/>
      <c r="FJ16" s="182"/>
      <c r="FK16" s="182"/>
      <c r="FL16" s="182"/>
      <c r="FM16" s="182"/>
      <c r="FN16" s="182"/>
      <c r="FO16" s="182"/>
      <c r="FP16" s="182"/>
      <c r="FQ16" s="182"/>
      <c r="FR16" s="182"/>
      <c r="FS16" s="182"/>
      <c r="FT16" s="182"/>
      <c r="FU16" s="182"/>
      <c r="FV16" s="182"/>
      <c r="FW16" s="182"/>
      <c r="FX16" s="182"/>
      <c r="FY16" s="182"/>
      <c r="FZ16" s="182"/>
      <c r="GA16" s="182"/>
      <c r="GB16" s="182"/>
      <c r="GC16" s="182"/>
      <c r="GD16" s="182"/>
      <c r="GE16" s="182"/>
      <c r="GF16" s="182"/>
      <c r="GG16" s="182"/>
      <c r="GH16" s="182"/>
      <c r="GI16" s="182"/>
      <c r="GJ16" s="182"/>
      <c r="GK16" s="182"/>
      <c r="GL16" s="182"/>
      <c r="GM16" s="182"/>
      <c r="GN16" s="182"/>
      <c r="GO16" s="182"/>
      <c r="GP16" s="182"/>
      <c r="GQ16" s="182"/>
      <c r="GR16" s="182"/>
      <c r="GS16" s="182"/>
      <c r="GT16" s="182"/>
      <c r="GU16" s="182"/>
      <c r="GV16" s="182"/>
      <c r="GW16" s="182"/>
      <c r="GX16" s="182"/>
      <c r="GY16" s="182"/>
      <c r="GZ16" s="182"/>
      <c r="HA16" s="182"/>
      <c r="HB16" s="182"/>
      <c r="HC16" s="182"/>
      <c r="HD16" s="182"/>
      <c r="HE16" s="182"/>
      <c r="HF16" s="182"/>
      <c r="HG16" s="182"/>
      <c r="HH16" s="182"/>
      <c r="HI16" s="182"/>
      <c r="HJ16" s="182"/>
      <c r="HK16" s="182"/>
      <c r="HL16" s="182"/>
      <c r="HM16" s="182"/>
      <c r="HN16" s="182"/>
      <c r="HO16" s="182"/>
      <c r="HP16" s="182"/>
      <c r="HQ16" s="182"/>
      <c r="HR16" s="182"/>
      <c r="HS16" s="182"/>
      <c r="HT16" s="182"/>
      <c r="HU16" s="182"/>
      <c r="HV16" s="182"/>
      <c r="HW16" s="182"/>
      <c r="HX16" s="182"/>
      <c r="HY16" s="182"/>
      <c r="HZ16" s="182"/>
      <c r="IA16" s="182"/>
      <c r="IB16" s="182"/>
      <c r="IC16" s="182"/>
      <c r="ID16" s="182"/>
      <c r="IE16" s="182"/>
      <c r="IF16" s="182"/>
      <c r="IG16" s="182"/>
      <c r="IH16" s="182"/>
      <c r="II16" s="182"/>
      <c r="IJ16" s="182"/>
      <c r="IK16" s="182"/>
      <c r="IL16" s="182"/>
      <c r="IM16" s="182"/>
      <c r="IN16" s="182"/>
      <c r="IO16" s="182"/>
      <c r="IP16" s="182"/>
      <c r="IQ16" s="182"/>
    </row>
    <row r="17" spans="1:251" s="148" customFormat="1" ht="21.75" customHeight="1">
      <c r="A17" s="186">
        <v>10</v>
      </c>
      <c r="B17" s="408" t="s">
        <v>374</v>
      </c>
      <c r="C17" s="409" t="s">
        <v>375</v>
      </c>
      <c r="D17" s="410">
        <v>38</v>
      </c>
      <c r="E17" s="410"/>
      <c r="F17" s="409" t="s">
        <v>165</v>
      </c>
      <c r="G17" s="410" t="s">
        <v>143</v>
      </c>
      <c r="H17" s="426" t="s">
        <v>155</v>
      </c>
      <c r="I17" s="187">
        <f t="shared" si="0"/>
        <v>420000</v>
      </c>
      <c r="J17" s="379" t="s">
        <v>157</v>
      </c>
      <c r="K17" s="190">
        <f t="shared" si="1"/>
        <v>300000</v>
      </c>
      <c r="L17" s="379" t="s">
        <v>280</v>
      </c>
      <c r="M17" s="188">
        <f t="shared" si="2"/>
        <v>300000</v>
      </c>
      <c r="N17" s="188">
        <f t="shared" si="3"/>
        <v>1020000</v>
      </c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82"/>
      <c r="BU17" s="182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  <c r="CK17" s="182"/>
      <c r="CL17" s="182"/>
      <c r="CM17" s="182"/>
      <c r="CN17" s="182"/>
      <c r="CO17" s="182"/>
      <c r="CP17" s="182"/>
      <c r="CQ17" s="182"/>
      <c r="CR17" s="182"/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  <c r="DI17" s="182"/>
      <c r="DJ17" s="182"/>
      <c r="DK17" s="182"/>
      <c r="DL17" s="182"/>
      <c r="DM17" s="182"/>
      <c r="DN17" s="182"/>
      <c r="DO17" s="182"/>
      <c r="DP17" s="182"/>
      <c r="DQ17" s="182"/>
      <c r="DR17" s="182"/>
      <c r="DS17" s="182"/>
      <c r="DT17" s="182"/>
      <c r="DU17" s="182"/>
      <c r="DV17" s="182"/>
      <c r="DW17" s="182"/>
      <c r="DX17" s="182"/>
      <c r="DY17" s="182"/>
      <c r="DZ17" s="182"/>
      <c r="EA17" s="182"/>
      <c r="EB17" s="182"/>
      <c r="EC17" s="182"/>
      <c r="ED17" s="182"/>
      <c r="EE17" s="182"/>
      <c r="EF17" s="182"/>
      <c r="EG17" s="182"/>
      <c r="EH17" s="182"/>
      <c r="EI17" s="182"/>
      <c r="EJ17" s="182"/>
      <c r="EK17" s="182"/>
      <c r="EL17" s="182"/>
      <c r="EM17" s="182"/>
      <c r="EN17" s="182"/>
      <c r="EO17" s="182"/>
      <c r="EP17" s="182"/>
      <c r="EQ17" s="182"/>
      <c r="ER17" s="182"/>
      <c r="ES17" s="182"/>
      <c r="ET17" s="182"/>
      <c r="EU17" s="182"/>
      <c r="EV17" s="182"/>
      <c r="EW17" s="182"/>
      <c r="EX17" s="182"/>
      <c r="EY17" s="182"/>
      <c r="EZ17" s="182"/>
      <c r="FA17" s="182"/>
      <c r="FB17" s="18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2"/>
      <c r="FN17" s="182"/>
      <c r="FO17" s="182"/>
      <c r="FP17" s="182"/>
      <c r="FQ17" s="182"/>
      <c r="FR17" s="182"/>
      <c r="FS17" s="182"/>
      <c r="FT17" s="182"/>
      <c r="FU17" s="182"/>
      <c r="FV17" s="182"/>
      <c r="FW17" s="182"/>
      <c r="FX17" s="182"/>
      <c r="FY17" s="182"/>
      <c r="FZ17" s="182"/>
      <c r="GA17" s="182"/>
      <c r="GB17" s="182"/>
      <c r="GC17" s="182"/>
      <c r="GD17" s="182"/>
      <c r="GE17" s="182"/>
      <c r="GF17" s="182"/>
      <c r="GG17" s="182"/>
      <c r="GH17" s="182"/>
      <c r="GI17" s="182"/>
      <c r="GJ17" s="182"/>
      <c r="GK17" s="182"/>
      <c r="GL17" s="182"/>
      <c r="GM17" s="182"/>
      <c r="GN17" s="182"/>
      <c r="GO17" s="182"/>
      <c r="GP17" s="182"/>
      <c r="GQ17" s="182"/>
      <c r="GR17" s="182"/>
      <c r="GS17" s="182"/>
      <c r="GT17" s="182"/>
      <c r="GU17" s="182"/>
      <c r="GV17" s="182"/>
      <c r="GW17" s="182"/>
      <c r="GX17" s="182"/>
      <c r="GY17" s="182"/>
      <c r="GZ17" s="182"/>
      <c r="HA17" s="182"/>
      <c r="HB17" s="182"/>
      <c r="HC17" s="182"/>
      <c r="HD17" s="182"/>
      <c r="HE17" s="182"/>
      <c r="HF17" s="182"/>
      <c r="HG17" s="182"/>
      <c r="HH17" s="182"/>
      <c r="HI17" s="182"/>
      <c r="HJ17" s="182"/>
      <c r="HK17" s="182"/>
      <c r="HL17" s="182"/>
      <c r="HM17" s="182"/>
      <c r="HN17" s="182"/>
      <c r="HO17" s="182"/>
      <c r="HP17" s="182"/>
      <c r="HQ17" s="182"/>
      <c r="HR17" s="182"/>
      <c r="HS17" s="182"/>
      <c r="HT17" s="182"/>
      <c r="HU17" s="182"/>
      <c r="HV17" s="182"/>
      <c r="HW17" s="182"/>
      <c r="HX17" s="182"/>
      <c r="HY17" s="182"/>
      <c r="HZ17" s="182"/>
      <c r="IA17" s="182"/>
      <c r="IB17" s="182"/>
      <c r="IC17" s="182"/>
      <c r="ID17" s="182"/>
      <c r="IE17" s="182"/>
      <c r="IF17" s="182"/>
      <c r="IG17" s="182"/>
      <c r="IH17" s="182"/>
      <c r="II17" s="182"/>
      <c r="IJ17" s="182"/>
      <c r="IK17" s="182"/>
      <c r="IL17" s="182"/>
      <c r="IM17" s="182"/>
      <c r="IN17" s="182"/>
      <c r="IO17" s="182"/>
      <c r="IP17" s="182"/>
      <c r="IQ17" s="182"/>
    </row>
    <row r="18" spans="1:251" s="148" customFormat="1" ht="21.75" customHeight="1">
      <c r="A18" s="186">
        <v>11</v>
      </c>
      <c r="B18" s="408" t="s">
        <v>374</v>
      </c>
      <c r="C18" s="409" t="s">
        <v>375</v>
      </c>
      <c r="D18" s="410">
        <v>38</v>
      </c>
      <c r="E18" s="410"/>
      <c r="F18" s="409" t="s">
        <v>165</v>
      </c>
      <c r="G18" s="410" t="s">
        <v>143</v>
      </c>
      <c r="H18" s="426" t="s">
        <v>155</v>
      </c>
      <c r="I18" s="187">
        <f t="shared" si="0"/>
        <v>420000</v>
      </c>
      <c r="J18" s="379" t="s">
        <v>154</v>
      </c>
      <c r="K18" s="190">
        <f t="shared" si="1"/>
        <v>300000</v>
      </c>
      <c r="L18" s="379" t="s">
        <v>161</v>
      </c>
      <c r="M18" s="188">
        <f t="shared" si="2"/>
        <v>300000</v>
      </c>
      <c r="N18" s="188">
        <f t="shared" si="3"/>
        <v>1020000</v>
      </c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2"/>
      <c r="DN18" s="182"/>
      <c r="DO18" s="182"/>
      <c r="DP18" s="182"/>
      <c r="DQ18" s="182"/>
      <c r="DR18" s="182"/>
      <c r="DS18" s="182"/>
      <c r="DT18" s="182"/>
      <c r="DU18" s="182"/>
      <c r="DV18" s="182"/>
      <c r="DW18" s="182"/>
      <c r="DX18" s="182"/>
      <c r="DY18" s="182"/>
      <c r="DZ18" s="182"/>
      <c r="EA18" s="182"/>
      <c r="EB18" s="182"/>
      <c r="EC18" s="182"/>
      <c r="ED18" s="182"/>
      <c r="EE18" s="182"/>
      <c r="EF18" s="182"/>
      <c r="EG18" s="182"/>
      <c r="EH18" s="182"/>
      <c r="EI18" s="182"/>
      <c r="EJ18" s="182"/>
      <c r="EK18" s="182"/>
      <c r="EL18" s="182"/>
      <c r="EM18" s="182"/>
      <c r="EN18" s="182"/>
      <c r="EO18" s="182"/>
      <c r="EP18" s="182"/>
      <c r="EQ18" s="182"/>
      <c r="ER18" s="182"/>
      <c r="ES18" s="182"/>
      <c r="ET18" s="182"/>
      <c r="EU18" s="182"/>
      <c r="EV18" s="182"/>
      <c r="EW18" s="182"/>
      <c r="EX18" s="182"/>
      <c r="EY18" s="182"/>
      <c r="EZ18" s="182"/>
      <c r="FA18" s="182"/>
      <c r="FB18" s="182"/>
      <c r="FC18" s="182"/>
      <c r="FD18" s="182"/>
      <c r="FE18" s="182"/>
      <c r="FF18" s="182"/>
      <c r="FG18" s="182"/>
      <c r="FH18" s="182"/>
      <c r="FI18" s="182"/>
      <c r="FJ18" s="182"/>
      <c r="FK18" s="182"/>
      <c r="FL18" s="182"/>
      <c r="FM18" s="182"/>
      <c r="FN18" s="182"/>
      <c r="FO18" s="182"/>
      <c r="FP18" s="182"/>
      <c r="FQ18" s="182"/>
      <c r="FR18" s="182"/>
      <c r="FS18" s="182"/>
      <c r="FT18" s="182"/>
      <c r="FU18" s="182"/>
      <c r="FV18" s="182"/>
      <c r="FW18" s="182"/>
      <c r="FX18" s="182"/>
      <c r="FY18" s="182"/>
      <c r="FZ18" s="182"/>
      <c r="GA18" s="182"/>
      <c r="GB18" s="182"/>
      <c r="GC18" s="182"/>
      <c r="GD18" s="182"/>
      <c r="GE18" s="182"/>
      <c r="GF18" s="182"/>
      <c r="GG18" s="182"/>
      <c r="GH18" s="182"/>
      <c r="GI18" s="182"/>
      <c r="GJ18" s="182"/>
      <c r="GK18" s="182"/>
      <c r="GL18" s="182"/>
      <c r="GM18" s="182"/>
      <c r="GN18" s="182"/>
      <c r="GO18" s="182"/>
      <c r="GP18" s="182"/>
      <c r="GQ18" s="182"/>
      <c r="GR18" s="182"/>
      <c r="GS18" s="182"/>
      <c r="GT18" s="182"/>
      <c r="GU18" s="182"/>
      <c r="GV18" s="182"/>
      <c r="GW18" s="182"/>
      <c r="GX18" s="182"/>
      <c r="GY18" s="182"/>
      <c r="GZ18" s="182"/>
      <c r="HA18" s="182"/>
      <c r="HB18" s="182"/>
      <c r="HC18" s="182"/>
      <c r="HD18" s="182"/>
      <c r="HE18" s="182"/>
      <c r="HF18" s="182"/>
      <c r="HG18" s="182"/>
      <c r="HH18" s="182"/>
      <c r="HI18" s="182"/>
      <c r="HJ18" s="182"/>
      <c r="HK18" s="182"/>
      <c r="HL18" s="182"/>
      <c r="HM18" s="182"/>
      <c r="HN18" s="182"/>
      <c r="HO18" s="182"/>
      <c r="HP18" s="182"/>
      <c r="HQ18" s="182"/>
      <c r="HR18" s="182"/>
      <c r="HS18" s="182"/>
      <c r="HT18" s="182"/>
      <c r="HU18" s="182"/>
      <c r="HV18" s="182"/>
      <c r="HW18" s="182"/>
      <c r="HX18" s="182"/>
      <c r="HY18" s="182"/>
      <c r="HZ18" s="182"/>
      <c r="IA18" s="182"/>
      <c r="IB18" s="182"/>
      <c r="IC18" s="182"/>
      <c r="ID18" s="182"/>
      <c r="IE18" s="182"/>
      <c r="IF18" s="182"/>
      <c r="IG18" s="182"/>
      <c r="IH18" s="182"/>
      <c r="II18" s="182"/>
      <c r="IJ18" s="182"/>
      <c r="IK18" s="182"/>
      <c r="IL18" s="182"/>
      <c r="IM18" s="182"/>
      <c r="IN18" s="182"/>
      <c r="IO18" s="182"/>
      <c r="IP18" s="182"/>
      <c r="IQ18" s="182"/>
    </row>
    <row r="19" spans="1:251" s="148" customFormat="1" ht="21.75" customHeight="1">
      <c r="A19" s="186">
        <v>12</v>
      </c>
      <c r="B19" s="408" t="s">
        <v>374</v>
      </c>
      <c r="C19" s="409" t="s">
        <v>376</v>
      </c>
      <c r="D19" s="410">
        <v>45</v>
      </c>
      <c r="E19" s="410"/>
      <c r="F19" s="409" t="s">
        <v>289</v>
      </c>
      <c r="G19" s="410" t="s">
        <v>146</v>
      </c>
      <c r="H19" s="426" t="s">
        <v>152</v>
      </c>
      <c r="I19" s="187">
        <f t="shared" si="0"/>
        <v>187500</v>
      </c>
      <c r="J19" s="379" t="s">
        <v>173</v>
      </c>
      <c r="K19" s="190">
        <f t="shared" si="1"/>
        <v>135000</v>
      </c>
      <c r="L19" s="379" t="s">
        <v>159</v>
      </c>
      <c r="M19" s="188">
        <f t="shared" si="2"/>
        <v>135000</v>
      </c>
      <c r="N19" s="188">
        <f t="shared" si="3"/>
        <v>457500</v>
      </c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2"/>
      <c r="BH19" s="182"/>
      <c r="BI19" s="182"/>
      <c r="BJ19" s="182"/>
      <c r="BK19" s="182"/>
      <c r="BL19" s="182"/>
      <c r="BM19" s="182"/>
      <c r="BN19" s="182"/>
      <c r="BO19" s="182"/>
      <c r="BP19" s="182"/>
      <c r="BQ19" s="182"/>
      <c r="BR19" s="182"/>
      <c r="BS19" s="182"/>
      <c r="BT19" s="182"/>
      <c r="BU19" s="182"/>
      <c r="BV19" s="182"/>
      <c r="BW19" s="182"/>
      <c r="BX19" s="182"/>
      <c r="BY19" s="182"/>
      <c r="BZ19" s="182"/>
      <c r="CA19" s="182"/>
      <c r="CB19" s="182"/>
      <c r="CC19" s="182"/>
      <c r="CD19" s="182"/>
      <c r="CE19" s="182"/>
      <c r="CF19" s="182"/>
      <c r="CG19" s="182"/>
      <c r="CH19" s="182"/>
      <c r="CI19" s="182"/>
      <c r="CJ19" s="182"/>
      <c r="CK19" s="182"/>
      <c r="CL19" s="182"/>
      <c r="CM19" s="182"/>
      <c r="CN19" s="182"/>
      <c r="CO19" s="182"/>
      <c r="CP19" s="182"/>
      <c r="CQ19" s="182"/>
      <c r="CR19" s="182"/>
      <c r="CS19" s="182"/>
      <c r="CT19" s="182"/>
      <c r="CU19" s="182"/>
      <c r="CV19" s="182"/>
      <c r="CW19" s="182"/>
      <c r="CX19" s="182"/>
      <c r="CY19" s="182"/>
      <c r="CZ19" s="182"/>
      <c r="DA19" s="182"/>
      <c r="DB19" s="182"/>
      <c r="DC19" s="182"/>
      <c r="DD19" s="182"/>
      <c r="DE19" s="182"/>
      <c r="DF19" s="182"/>
      <c r="DG19" s="182"/>
      <c r="DH19" s="182"/>
      <c r="DI19" s="182"/>
      <c r="DJ19" s="182"/>
      <c r="DK19" s="182"/>
      <c r="DL19" s="182"/>
      <c r="DM19" s="182"/>
      <c r="DN19" s="182"/>
      <c r="DO19" s="182"/>
      <c r="DP19" s="182"/>
      <c r="DQ19" s="182"/>
      <c r="DR19" s="182"/>
      <c r="DS19" s="182"/>
      <c r="DT19" s="182"/>
      <c r="DU19" s="182"/>
      <c r="DV19" s="182"/>
      <c r="DW19" s="182"/>
      <c r="DX19" s="182"/>
      <c r="DY19" s="182"/>
      <c r="DZ19" s="182"/>
      <c r="EA19" s="182"/>
      <c r="EB19" s="182"/>
      <c r="EC19" s="182"/>
      <c r="ED19" s="182"/>
      <c r="EE19" s="182"/>
      <c r="EF19" s="182"/>
      <c r="EG19" s="182"/>
      <c r="EH19" s="182"/>
      <c r="EI19" s="182"/>
      <c r="EJ19" s="182"/>
      <c r="EK19" s="182"/>
      <c r="EL19" s="182"/>
      <c r="EM19" s="182"/>
      <c r="EN19" s="182"/>
      <c r="EO19" s="182"/>
      <c r="EP19" s="182"/>
      <c r="EQ19" s="182"/>
      <c r="ER19" s="182"/>
      <c r="ES19" s="182"/>
      <c r="ET19" s="182"/>
      <c r="EU19" s="182"/>
      <c r="EV19" s="182"/>
      <c r="EW19" s="182"/>
      <c r="EX19" s="182"/>
      <c r="EY19" s="182"/>
      <c r="EZ19" s="182"/>
      <c r="FA19" s="182"/>
      <c r="FB19" s="182"/>
      <c r="FC19" s="182"/>
      <c r="FD19" s="182"/>
      <c r="FE19" s="182"/>
      <c r="FF19" s="182"/>
      <c r="FG19" s="182"/>
      <c r="FH19" s="182"/>
      <c r="FI19" s="182"/>
      <c r="FJ19" s="182"/>
      <c r="FK19" s="182"/>
      <c r="FL19" s="182"/>
      <c r="FM19" s="182"/>
      <c r="FN19" s="182"/>
      <c r="FO19" s="182"/>
      <c r="FP19" s="182"/>
      <c r="FQ19" s="182"/>
      <c r="FR19" s="182"/>
      <c r="FS19" s="182"/>
      <c r="FT19" s="182"/>
      <c r="FU19" s="182"/>
      <c r="FV19" s="182"/>
      <c r="FW19" s="182"/>
      <c r="FX19" s="182"/>
      <c r="FY19" s="182"/>
      <c r="FZ19" s="182"/>
      <c r="GA19" s="182"/>
      <c r="GB19" s="182"/>
      <c r="GC19" s="182"/>
      <c r="GD19" s="182"/>
      <c r="GE19" s="182"/>
      <c r="GF19" s="182"/>
      <c r="GG19" s="182"/>
      <c r="GH19" s="182"/>
      <c r="GI19" s="182"/>
      <c r="GJ19" s="182"/>
      <c r="GK19" s="182"/>
      <c r="GL19" s="182"/>
      <c r="GM19" s="182"/>
      <c r="GN19" s="182"/>
      <c r="GO19" s="182"/>
      <c r="GP19" s="182"/>
      <c r="GQ19" s="182"/>
      <c r="GR19" s="182"/>
      <c r="GS19" s="182"/>
      <c r="GT19" s="182"/>
      <c r="GU19" s="182"/>
      <c r="GV19" s="182"/>
      <c r="GW19" s="182"/>
      <c r="GX19" s="182"/>
      <c r="GY19" s="182"/>
      <c r="GZ19" s="182"/>
      <c r="HA19" s="182"/>
      <c r="HB19" s="182"/>
      <c r="HC19" s="182"/>
      <c r="HD19" s="182"/>
      <c r="HE19" s="182"/>
      <c r="HF19" s="182"/>
      <c r="HG19" s="182"/>
      <c r="HH19" s="182"/>
      <c r="HI19" s="182"/>
      <c r="HJ19" s="182"/>
      <c r="HK19" s="182"/>
      <c r="HL19" s="182"/>
      <c r="HM19" s="182"/>
      <c r="HN19" s="182"/>
      <c r="HO19" s="182"/>
      <c r="HP19" s="182"/>
      <c r="HQ19" s="182"/>
      <c r="HR19" s="182"/>
      <c r="HS19" s="182"/>
      <c r="HT19" s="182"/>
      <c r="HU19" s="182"/>
      <c r="HV19" s="182"/>
      <c r="HW19" s="182"/>
      <c r="HX19" s="182"/>
      <c r="HY19" s="182"/>
      <c r="HZ19" s="182"/>
      <c r="IA19" s="182"/>
      <c r="IB19" s="182"/>
      <c r="IC19" s="182"/>
      <c r="ID19" s="182"/>
      <c r="IE19" s="182"/>
      <c r="IF19" s="182"/>
      <c r="IG19" s="182"/>
      <c r="IH19" s="182"/>
      <c r="II19" s="182"/>
      <c r="IJ19" s="182"/>
      <c r="IK19" s="182"/>
      <c r="IL19" s="182"/>
      <c r="IM19" s="182"/>
      <c r="IN19" s="182"/>
      <c r="IO19" s="182"/>
      <c r="IP19" s="182"/>
      <c r="IQ19" s="182"/>
    </row>
    <row r="20" spans="1:251" s="148" customFormat="1" ht="21.75" customHeight="1">
      <c r="A20" s="186">
        <v>13</v>
      </c>
      <c r="B20" s="408" t="s">
        <v>377</v>
      </c>
      <c r="C20" s="409" t="s">
        <v>378</v>
      </c>
      <c r="D20" s="410"/>
      <c r="E20" s="410">
        <v>67</v>
      </c>
      <c r="F20" s="409" t="s">
        <v>165</v>
      </c>
      <c r="G20" s="410" t="s">
        <v>143</v>
      </c>
      <c r="H20" s="426" t="s">
        <v>152</v>
      </c>
      <c r="I20" s="187">
        <f t="shared" si="0"/>
        <v>420000</v>
      </c>
      <c r="J20" s="379" t="s">
        <v>155</v>
      </c>
      <c r="K20" s="190">
        <f t="shared" si="1"/>
        <v>300000</v>
      </c>
      <c r="L20" s="379" t="s">
        <v>157</v>
      </c>
      <c r="M20" s="188">
        <f t="shared" si="2"/>
        <v>300000</v>
      </c>
      <c r="N20" s="188">
        <f t="shared" si="3"/>
        <v>1020000</v>
      </c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182"/>
      <c r="EM20" s="182"/>
      <c r="EN20" s="182"/>
      <c r="EO20" s="182"/>
      <c r="EP20" s="182"/>
      <c r="EQ20" s="182"/>
      <c r="ER20" s="182"/>
      <c r="ES20" s="182"/>
      <c r="ET20" s="182"/>
      <c r="EU20" s="182"/>
      <c r="EV20" s="182"/>
      <c r="EW20" s="182"/>
      <c r="EX20" s="182"/>
      <c r="EY20" s="182"/>
      <c r="EZ20" s="182"/>
      <c r="FA20" s="182"/>
      <c r="FB20" s="182"/>
      <c r="FC20" s="182"/>
      <c r="FD20" s="182"/>
      <c r="FE20" s="182"/>
      <c r="FF20" s="182"/>
      <c r="FG20" s="182"/>
      <c r="FH20" s="182"/>
      <c r="FI20" s="182"/>
      <c r="FJ20" s="182"/>
      <c r="FK20" s="182"/>
      <c r="FL20" s="182"/>
      <c r="FM20" s="182"/>
      <c r="FN20" s="182"/>
      <c r="FO20" s="182"/>
      <c r="FP20" s="182"/>
      <c r="FQ20" s="182"/>
      <c r="FR20" s="182"/>
      <c r="FS20" s="182"/>
      <c r="FT20" s="182"/>
      <c r="FU20" s="182"/>
      <c r="FV20" s="182"/>
      <c r="FW20" s="182"/>
      <c r="FX20" s="182"/>
      <c r="FY20" s="182"/>
      <c r="FZ20" s="182"/>
      <c r="GA20" s="182"/>
      <c r="GB20" s="182"/>
      <c r="GC20" s="182"/>
      <c r="GD20" s="182"/>
      <c r="GE20" s="182"/>
      <c r="GF20" s="182"/>
      <c r="GG20" s="182"/>
      <c r="GH20" s="182"/>
      <c r="GI20" s="182"/>
      <c r="GJ20" s="182"/>
      <c r="GK20" s="182"/>
      <c r="GL20" s="182"/>
      <c r="GM20" s="182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182"/>
      <c r="HQ20" s="182"/>
      <c r="HR20" s="182"/>
      <c r="HS20" s="182"/>
      <c r="HT20" s="182"/>
      <c r="HU20" s="182"/>
      <c r="HV20" s="182"/>
      <c r="HW20" s="182"/>
      <c r="HX20" s="182"/>
      <c r="HY20" s="182"/>
      <c r="HZ20" s="182"/>
      <c r="IA20" s="182"/>
      <c r="IB20" s="182"/>
      <c r="IC20" s="182"/>
      <c r="ID20" s="182"/>
      <c r="IE20" s="182"/>
      <c r="IF20" s="182"/>
      <c r="IG20" s="182"/>
      <c r="IH20" s="182"/>
      <c r="II20" s="182"/>
      <c r="IJ20" s="182"/>
      <c r="IK20" s="182"/>
      <c r="IL20" s="182"/>
      <c r="IM20" s="182"/>
      <c r="IN20" s="182"/>
      <c r="IO20" s="182"/>
      <c r="IP20" s="182"/>
      <c r="IQ20" s="182"/>
    </row>
    <row r="21" spans="1:251" s="148" customFormat="1" ht="21.75" customHeight="1">
      <c r="A21" s="186">
        <v>14</v>
      </c>
      <c r="B21" s="408" t="s">
        <v>377</v>
      </c>
      <c r="C21" s="409" t="s">
        <v>379</v>
      </c>
      <c r="D21" s="410"/>
      <c r="E21" s="410">
        <v>88</v>
      </c>
      <c r="F21" s="409" t="s">
        <v>165</v>
      </c>
      <c r="G21" s="410" t="s">
        <v>143</v>
      </c>
      <c r="H21" s="426" t="s">
        <v>153</v>
      </c>
      <c r="I21" s="187">
        <f t="shared" si="0"/>
        <v>420000</v>
      </c>
      <c r="J21" s="379" t="s">
        <v>157</v>
      </c>
      <c r="K21" s="190">
        <f t="shared" si="1"/>
        <v>300000</v>
      </c>
      <c r="L21" s="379" t="s">
        <v>280</v>
      </c>
      <c r="M21" s="188">
        <f t="shared" si="2"/>
        <v>300000</v>
      </c>
      <c r="N21" s="188">
        <f t="shared" si="3"/>
        <v>1020000</v>
      </c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182"/>
      <c r="EL21" s="182"/>
      <c r="EM21" s="182"/>
      <c r="EN21" s="182"/>
      <c r="EO21" s="182"/>
      <c r="EP21" s="182"/>
      <c r="EQ21" s="182"/>
      <c r="ER21" s="182"/>
      <c r="ES21" s="182"/>
      <c r="ET21" s="182"/>
      <c r="EU21" s="182"/>
      <c r="EV21" s="182"/>
      <c r="EW21" s="182"/>
      <c r="EX21" s="182"/>
      <c r="EY21" s="182"/>
      <c r="EZ21" s="182"/>
      <c r="FA21" s="182"/>
      <c r="FB21" s="182"/>
      <c r="FC21" s="182"/>
      <c r="FD21" s="182"/>
      <c r="FE21" s="182"/>
      <c r="FF21" s="182"/>
      <c r="FG21" s="182"/>
      <c r="FH21" s="182"/>
      <c r="FI21" s="182"/>
      <c r="FJ21" s="182"/>
      <c r="FK21" s="182"/>
      <c r="FL21" s="182"/>
      <c r="FM21" s="182"/>
      <c r="FN21" s="182"/>
      <c r="FO21" s="182"/>
      <c r="FP21" s="182"/>
      <c r="FQ21" s="182"/>
      <c r="FR21" s="182"/>
      <c r="FS21" s="182"/>
      <c r="FT21" s="182"/>
      <c r="FU21" s="182"/>
      <c r="FV21" s="182"/>
      <c r="FW21" s="182"/>
      <c r="FX21" s="182"/>
      <c r="FY21" s="182"/>
      <c r="FZ21" s="182"/>
      <c r="GA21" s="182"/>
      <c r="GB21" s="182"/>
      <c r="GC21" s="182"/>
      <c r="GD21" s="182"/>
      <c r="GE21" s="182"/>
      <c r="GF21" s="182"/>
      <c r="GG21" s="182"/>
      <c r="GH21" s="182"/>
      <c r="GI21" s="182"/>
      <c r="GJ21" s="182"/>
      <c r="GK21" s="182"/>
      <c r="GL21" s="182"/>
      <c r="GM21" s="182"/>
      <c r="GN21" s="182"/>
      <c r="GO21" s="182"/>
      <c r="GP21" s="182"/>
      <c r="GQ21" s="182"/>
      <c r="GR21" s="182"/>
      <c r="GS21" s="182"/>
      <c r="GT21" s="182"/>
      <c r="GU21" s="182"/>
      <c r="GV21" s="182"/>
      <c r="GW21" s="182"/>
      <c r="GX21" s="182"/>
      <c r="GY21" s="182"/>
      <c r="GZ21" s="182"/>
      <c r="HA21" s="182"/>
      <c r="HB21" s="182"/>
      <c r="HC21" s="182"/>
      <c r="HD21" s="182"/>
      <c r="HE21" s="182"/>
      <c r="HF21" s="182"/>
      <c r="HG21" s="182"/>
      <c r="HH21" s="182"/>
      <c r="HI21" s="182"/>
      <c r="HJ21" s="182"/>
      <c r="HK21" s="182"/>
      <c r="HL21" s="182"/>
      <c r="HM21" s="182"/>
      <c r="HN21" s="182"/>
      <c r="HO21" s="182"/>
      <c r="HP21" s="182"/>
      <c r="HQ21" s="182"/>
      <c r="HR21" s="182"/>
      <c r="HS21" s="182"/>
      <c r="HT21" s="182"/>
      <c r="HU21" s="182"/>
      <c r="HV21" s="182"/>
      <c r="HW21" s="182"/>
      <c r="HX21" s="182"/>
      <c r="HY21" s="182"/>
      <c r="HZ21" s="182"/>
      <c r="IA21" s="182"/>
      <c r="IB21" s="182"/>
      <c r="IC21" s="182"/>
      <c r="ID21" s="182"/>
      <c r="IE21" s="182"/>
      <c r="IF21" s="182"/>
      <c r="IG21" s="182"/>
      <c r="IH21" s="182"/>
      <c r="II21" s="182"/>
      <c r="IJ21" s="182"/>
      <c r="IK21" s="182"/>
      <c r="IL21" s="182"/>
      <c r="IM21" s="182"/>
      <c r="IN21" s="182"/>
      <c r="IO21" s="182"/>
      <c r="IP21" s="182"/>
      <c r="IQ21" s="182"/>
    </row>
    <row r="22" spans="1:251" s="148" customFormat="1" ht="21.75" customHeight="1">
      <c r="A22" s="186">
        <v>15</v>
      </c>
      <c r="B22" s="408" t="s">
        <v>380</v>
      </c>
      <c r="C22" s="409" t="s">
        <v>371</v>
      </c>
      <c r="D22" s="410">
        <v>42</v>
      </c>
      <c r="E22" s="410"/>
      <c r="F22" s="409" t="s">
        <v>165</v>
      </c>
      <c r="G22" s="410" t="s">
        <v>143</v>
      </c>
      <c r="H22" s="426" t="s">
        <v>155</v>
      </c>
      <c r="I22" s="187">
        <f t="shared" si="0"/>
        <v>420000</v>
      </c>
      <c r="J22" s="379" t="s">
        <v>157</v>
      </c>
      <c r="K22" s="190">
        <f t="shared" si="1"/>
        <v>300000</v>
      </c>
      <c r="L22" s="379" t="s">
        <v>159</v>
      </c>
      <c r="M22" s="188">
        <f t="shared" si="2"/>
        <v>300000</v>
      </c>
      <c r="N22" s="188">
        <f t="shared" si="3"/>
        <v>1020000</v>
      </c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182"/>
      <c r="CL22" s="182"/>
      <c r="CM22" s="182"/>
      <c r="CN22" s="182"/>
      <c r="CO22" s="182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  <c r="DI22" s="182"/>
      <c r="DJ22" s="182"/>
      <c r="DK22" s="182"/>
      <c r="DL22" s="182"/>
      <c r="DM22" s="182"/>
      <c r="DN22" s="182"/>
      <c r="DO22" s="182"/>
      <c r="DP22" s="182"/>
      <c r="DQ22" s="182"/>
      <c r="DR22" s="182"/>
      <c r="DS22" s="182"/>
      <c r="DT22" s="182"/>
      <c r="DU22" s="182"/>
      <c r="DV22" s="182"/>
      <c r="DW22" s="182"/>
      <c r="DX22" s="182"/>
      <c r="DY22" s="182"/>
      <c r="DZ22" s="182"/>
      <c r="EA22" s="182"/>
      <c r="EB22" s="182"/>
      <c r="EC22" s="182"/>
      <c r="ED22" s="182"/>
      <c r="EE22" s="182"/>
      <c r="EF22" s="182"/>
      <c r="EG22" s="182"/>
      <c r="EH22" s="182"/>
      <c r="EI22" s="182"/>
      <c r="EJ22" s="182"/>
      <c r="EK22" s="182"/>
      <c r="EL22" s="182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82"/>
      <c r="EX22" s="182"/>
      <c r="EY22" s="182"/>
      <c r="EZ22" s="182"/>
      <c r="FA22" s="182"/>
      <c r="FB22" s="182"/>
      <c r="FC22" s="182"/>
      <c r="FD22" s="182"/>
      <c r="FE22" s="182"/>
      <c r="FF22" s="182"/>
      <c r="FG22" s="182"/>
      <c r="FH22" s="182"/>
      <c r="FI22" s="182"/>
      <c r="FJ22" s="182"/>
      <c r="FK22" s="182"/>
      <c r="FL22" s="182"/>
      <c r="FM22" s="182"/>
      <c r="FN22" s="182"/>
      <c r="FO22" s="182"/>
      <c r="FP22" s="182"/>
      <c r="FQ22" s="182"/>
      <c r="FR22" s="182"/>
      <c r="FS22" s="182"/>
      <c r="FT22" s="182"/>
      <c r="FU22" s="182"/>
      <c r="FV22" s="182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82"/>
      <c r="GH22" s="182"/>
      <c r="GI22" s="182"/>
      <c r="GJ22" s="182"/>
      <c r="GK22" s="182"/>
      <c r="GL22" s="182"/>
      <c r="GM22" s="182"/>
      <c r="GN22" s="182"/>
      <c r="GO22" s="182"/>
      <c r="GP22" s="182"/>
      <c r="GQ22" s="182"/>
      <c r="GR22" s="182"/>
      <c r="GS22" s="182"/>
      <c r="GT22" s="182"/>
      <c r="GU22" s="182"/>
      <c r="GV22" s="182"/>
      <c r="GW22" s="182"/>
      <c r="GX22" s="182"/>
      <c r="GY22" s="182"/>
      <c r="GZ22" s="182"/>
      <c r="HA22" s="182"/>
      <c r="HB22" s="182"/>
      <c r="HC22" s="182"/>
      <c r="HD22" s="182"/>
      <c r="HE22" s="182"/>
      <c r="HF22" s="182"/>
      <c r="HG22" s="182"/>
      <c r="HH22" s="182"/>
      <c r="HI22" s="182"/>
      <c r="HJ22" s="182"/>
      <c r="HK22" s="182"/>
      <c r="HL22" s="182"/>
      <c r="HM22" s="182"/>
      <c r="HN22" s="182"/>
      <c r="HO22" s="182"/>
      <c r="HP22" s="182"/>
      <c r="HQ22" s="182"/>
      <c r="HR22" s="182"/>
      <c r="HS22" s="182"/>
      <c r="HT22" s="182"/>
      <c r="HU22" s="182"/>
      <c r="HV22" s="182"/>
      <c r="HW22" s="182"/>
      <c r="HX22" s="182"/>
      <c r="HY22" s="182"/>
      <c r="HZ22" s="182"/>
      <c r="IA22" s="182"/>
      <c r="IB22" s="182"/>
      <c r="IC22" s="182"/>
      <c r="ID22" s="182"/>
      <c r="IE22" s="182"/>
      <c r="IF22" s="182"/>
      <c r="IG22" s="182"/>
      <c r="IH22" s="182"/>
      <c r="II22" s="182"/>
      <c r="IJ22" s="182"/>
      <c r="IK22" s="182"/>
      <c r="IL22" s="182"/>
      <c r="IM22" s="182"/>
      <c r="IN22" s="182"/>
      <c r="IO22" s="182"/>
      <c r="IP22" s="182"/>
      <c r="IQ22" s="182"/>
    </row>
    <row r="23" spans="1:251" s="148" customFormat="1" ht="21.75" customHeight="1">
      <c r="A23" s="186">
        <v>16</v>
      </c>
      <c r="B23" s="408" t="s">
        <v>380</v>
      </c>
      <c r="C23" s="409" t="s">
        <v>373</v>
      </c>
      <c r="D23" s="410">
        <v>59</v>
      </c>
      <c r="E23" s="410"/>
      <c r="F23" s="409" t="s">
        <v>165</v>
      </c>
      <c r="G23" s="410" t="s">
        <v>148</v>
      </c>
      <c r="H23" s="426" t="s">
        <v>155</v>
      </c>
      <c r="I23" s="187">
        <f t="shared" si="0"/>
        <v>420000</v>
      </c>
      <c r="J23" s="379" t="s">
        <v>157</v>
      </c>
      <c r="K23" s="190">
        <f t="shared" si="1"/>
        <v>300000</v>
      </c>
      <c r="L23" s="379" t="s">
        <v>159</v>
      </c>
      <c r="M23" s="188">
        <f t="shared" si="2"/>
        <v>300000</v>
      </c>
      <c r="N23" s="188">
        <f t="shared" si="3"/>
        <v>1020000</v>
      </c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/>
      <c r="CP23" s="182"/>
      <c r="CQ23" s="182"/>
      <c r="CR23" s="182"/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2"/>
      <c r="DH23" s="182"/>
      <c r="DI23" s="182"/>
      <c r="DJ23" s="182"/>
      <c r="DK23" s="182"/>
      <c r="DL23" s="182"/>
      <c r="DM23" s="182"/>
      <c r="DN23" s="182"/>
      <c r="DO23" s="182"/>
      <c r="DP23" s="182"/>
      <c r="DQ23" s="182"/>
      <c r="DR23" s="182"/>
      <c r="DS23" s="182"/>
      <c r="DT23" s="182"/>
      <c r="DU23" s="182"/>
      <c r="DV23" s="182"/>
      <c r="DW23" s="182"/>
      <c r="DX23" s="182"/>
      <c r="DY23" s="182"/>
      <c r="DZ23" s="182"/>
      <c r="EA23" s="182"/>
      <c r="EB23" s="182"/>
      <c r="EC23" s="182"/>
      <c r="ED23" s="182"/>
      <c r="EE23" s="182"/>
      <c r="EF23" s="182"/>
      <c r="EG23" s="182"/>
      <c r="EH23" s="182"/>
      <c r="EI23" s="182"/>
      <c r="EJ23" s="182"/>
      <c r="EK23" s="182"/>
      <c r="EL23" s="182"/>
      <c r="EM23" s="182"/>
      <c r="EN23" s="182"/>
      <c r="EO23" s="182"/>
      <c r="EP23" s="182"/>
      <c r="EQ23" s="182"/>
      <c r="ER23" s="182"/>
      <c r="ES23" s="182"/>
      <c r="ET23" s="182"/>
      <c r="EU23" s="182"/>
      <c r="EV23" s="182"/>
      <c r="EW23" s="182"/>
      <c r="EX23" s="182"/>
      <c r="EY23" s="182"/>
      <c r="EZ23" s="182"/>
      <c r="FA23" s="182"/>
      <c r="FB23" s="182"/>
      <c r="FC23" s="182"/>
      <c r="FD23" s="182"/>
      <c r="FE23" s="182"/>
      <c r="FF23" s="182"/>
      <c r="FG23" s="182"/>
      <c r="FH23" s="182"/>
      <c r="FI23" s="182"/>
      <c r="FJ23" s="182"/>
      <c r="FK23" s="182"/>
      <c r="FL23" s="182"/>
      <c r="FM23" s="182"/>
      <c r="FN23" s="182"/>
      <c r="FO23" s="182"/>
      <c r="FP23" s="182"/>
      <c r="FQ23" s="182"/>
      <c r="FR23" s="182"/>
      <c r="FS23" s="182"/>
      <c r="FT23" s="182"/>
      <c r="FU23" s="182"/>
      <c r="FV23" s="182"/>
      <c r="FW23" s="182"/>
      <c r="FX23" s="182"/>
      <c r="FY23" s="182"/>
      <c r="FZ23" s="182"/>
      <c r="GA23" s="182"/>
      <c r="GB23" s="182"/>
      <c r="GC23" s="182"/>
      <c r="GD23" s="182"/>
      <c r="GE23" s="182"/>
      <c r="GF23" s="182"/>
      <c r="GG23" s="182"/>
      <c r="GH23" s="182"/>
      <c r="GI23" s="182"/>
      <c r="GJ23" s="182"/>
      <c r="GK23" s="182"/>
      <c r="GL23" s="182"/>
      <c r="GM23" s="182"/>
      <c r="GN23" s="182"/>
      <c r="GO23" s="182"/>
      <c r="GP23" s="182"/>
      <c r="GQ23" s="182"/>
      <c r="GR23" s="182"/>
      <c r="GS23" s="182"/>
      <c r="GT23" s="182"/>
      <c r="GU23" s="182"/>
      <c r="GV23" s="182"/>
      <c r="GW23" s="182"/>
      <c r="GX23" s="182"/>
      <c r="GY23" s="182"/>
      <c r="GZ23" s="182"/>
      <c r="HA23" s="182"/>
      <c r="HB23" s="182"/>
      <c r="HC23" s="182"/>
      <c r="HD23" s="182"/>
      <c r="HE23" s="182"/>
      <c r="HF23" s="182"/>
      <c r="HG23" s="182"/>
      <c r="HH23" s="182"/>
      <c r="HI23" s="182"/>
      <c r="HJ23" s="182"/>
      <c r="HK23" s="182"/>
      <c r="HL23" s="182"/>
      <c r="HM23" s="182"/>
      <c r="HN23" s="182"/>
      <c r="HO23" s="182"/>
      <c r="HP23" s="182"/>
      <c r="HQ23" s="182"/>
      <c r="HR23" s="182"/>
      <c r="HS23" s="182"/>
      <c r="HT23" s="182"/>
      <c r="HU23" s="182"/>
      <c r="HV23" s="182"/>
      <c r="HW23" s="182"/>
      <c r="HX23" s="182"/>
      <c r="HY23" s="182"/>
      <c r="HZ23" s="182"/>
      <c r="IA23" s="182"/>
      <c r="IB23" s="182"/>
      <c r="IC23" s="182"/>
      <c r="ID23" s="182"/>
      <c r="IE23" s="182"/>
      <c r="IF23" s="182"/>
      <c r="IG23" s="182"/>
      <c r="IH23" s="182"/>
      <c r="II23" s="182"/>
      <c r="IJ23" s="182"/>
      <c r="IK23" s="182"/>
      <c r="IL23" s="182"/>
      <c r="IM23" s="182"/>
      <c r="IN23" s="182"/>
      <c r="IO23" s="182"/>
      <c r="IP23" s="182"/>
      <c r="IQ23" s="182"/>
    </row>
    <row r="24" spans="1:251" s="148" customFormat="1" ht="21.75" customHeight="1">
      <c r="A24" s="186">
        <v>17</v>
      </c>
      <c r="B24" s="408" t="s">
        <v>380</v>
      </c>
      <c r="C24" s="409" t="s">
        <v>381</v>
      </c>
      <c r="D24" s="410">
        <v>46</v>
      </c>
      <c r="E24" s="410"/>
      <c r="F24" s="409" t="s">
        <v>165</v>
      </c>
      <c r="G24" s="410" t="s">
        <v>148</v>
      </c>
      <c r="H24" s="427" t="s">
        <v>151</v>
      </c>
      <c r="I24" s="187">
        <f t="shared" si="0"/>
        <v>420000</v>
      </c>
      <c r="J24" s="379" t="s">
        <v>154</v>
      </c>
      <c r="K24" s="190">
        <f t="shared" si="1"/>
        <v>300000</v>
      </c>
      <c r="L24" s="379" t="s">
        <v>157</v>
      </c>
      <c r="M24" s="188">
        <f t="shared" si="2"/>
        <v>300000</v>
      </c>
      <c r="N24" s="188">
        <f t="shared" si="3"/>
        <v>1020000</v>
      </c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  <c r="CN24" s="182"/>
      <c r="CO24" s="182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82"/>
      <c r="DL24" s="182"/>
      <c r="DM24" s="182"/>
      <c r="DN24" s="182"/>
      <c r="DO24" s="182"/>
      <c r="DP24" s="182"/>
      <c r="DQ24" s="182"/>
      <c r="DR24" s="182"/>
      <c r="DS24" s="182"/>
      <c r="DT24" s="182"/>
      <c r="DU24" s="182"/>
      <c r="DV24" s="182"/>
      <c r="DW24" s="182"/>
      <c r="DX24" s="182"/>
      <c r="DY24" s="182"/>
      <c r="DZ24" s="182"/>
      <c r="EA24" s="182"/>
      <c r="EB24" s="182"/>
      <c r="EC24" s="182"/>
      <c r="ED24" s="182"/>
      <c r="EE24" s="182"/>
      <c r="EF24" s="182"/>
      <c r="EG24" s="182"/>
      <c r="EH24" s="182"/>
      <c r="EI24" s="182"/>
      <c r="EJ24" s="182"/>
      <c r="EK24" s="182"/>
      <c r="EL24" s="182"/>
      <c r="EM24" s="182"/>
      <c r="EN24" s="182"/>
      <c r="EO24" s="182"/>
      <c r="EP24" s="182"/>
      <c r="EQ24" s="182"/>
      <c r="ER24" s="182"/>
      <c r="ES24" s="182"/>
      <c r="ET24" s="182"/>
      <c r="EU24" s="182"/>
      <c r="EV24" s="182"/>
      <c r="EW24" s="182"/>
      <c r="EX24" s="182"/>
      <c r="EY24" s="182"/>
      <c r="EZ24" s="182"/>
      <c r="FA24" s="182"/>
      <c r="FB24" s="182"/>
      <c r="FC24" s="182"/>
      <c r="FD24" s="182"/>
      <c r="FE24" s="182"/>
      <c r="FF24" s="182"/>
      <c r="FG24" s="182"/>
      <c r="FH24" s="182"/>
      <c r="FI24" s="182"/>
      <c r="FJ24" s="182"/>
      <c r="FK24" s="182"/>
      <c r="FL24" s="182"/>
      <c r="FM24" s="182"/>
      <c r="FN24" s="182"/>
      <c r="FO24" s="182"/>
      <c r="FP24" s="182"/>
      <c r="FQ24" s="182"/>
      <c r="FR24" s="182"/>
      <c r="FS24" s="182"/>
      <c r="FT24" s="182"/>
      <c r="FU24" s="182"/>
      <c r="FV24" s="182"/>
      <c r="FW24" s="182"/>
      <c r="FX24" s="182"/>
      <c r="FY24" s="182"/>
      <c r="FZ24" s="182"/>
      <c r="GA24" s="182"/>
      <c r="GB24" s="182"/>
      <c r="GC24" s="182"/>
      <c r="GD24" s="182"/>
      <c r="GE24" s="182"/>
      <c r="GF24" s="182"/>
      <c r="GG24" s="182"/>
      <c r="GH24" s="182"/>
      <c r="GI24" s="182"/>
      <c r="GJ24" s="182"/>
      <c r="GK24" s="182"/>
      <c r="GL24" s="182"/>
      <c r="GM24" s="182"/>
      <c r="GN24" s="182"/>
      <c r="GO24" s="182"/>
      <c r="GP24" s="182"/>
      <c r="GQ24" s="182"/>
      <c r="GR24" s="182"/>
      <c r="GS24" s="182"/>
      <c r="GT24" s="182"/>
      <c r="GU24" s="182"/>
      <c r="GV24" s="182"/>
      <c r="GW24" s="182"/>
      <c r="GX24" s="182"/>
      <c r="GY24" s="182"/>
      <c r="GZ24" s="182"/>
      <c r="HA24" s="182"/>
      <c r="HB24" s="182"/>
      <c r="HC24" s="182"/>
      <c r="HD24" s="182"/>
      <c r="HE24" s="182"/>
      <c r="HF24" s="182"/>
      <c r="HG24" s="182"/>
      <c r="HH24" s="182"/>
      <c r="HI24" s="182"/>
      <c r="HJ24" s="182"/>
      <c r="HK24" s="182"/>
      <c r="HL24" s="182"/>
      <c r="HM24" s="182"/>
      <c r="HN24" s="182"/>
      <c r="HO24" s="182"/>
      <c r="HP24" s="182"/>
      <c r="HQ24" s="182"/>
      <c r="HR24" s="182"/>
      <c r="HS24" s="182"/>
      <c r="HT24" s="182"/>
      <c r="HU24" s="182"/>
      <c r="HV24" s="182"/>
      <c r="HW24" s="182"/>
      <c r="HX24" s="182"/>
      <c r="HY24" s="182"/>
      <c r="HZ24" s="182"/>
      <c r="IA24" s="182"/>
      <c r="IB24" s="182"/>
      <c r="IC24" s="182"/>
      <c r="ID24" s="182"/>
      <c r="IE24" s="182"/>
      <c r="IF24" s="182"/>
      <c r="IG24" s="182"/>
      <c r="IH24" s="182"/>
      <c r="II24" s="182"/>
      <c r="IJ24" s="182"/>
      <c r="IK24" s="182"/>
      <c r="IL24" s="182"/>
      <c r="IM24" s="182"/>
      <c r="IN24" s="182"/>
      <c r="IO24" s="182"/>
      <c r="IP24" s="182"/>
      <c r="IQ24" s="182"/>
    </row>
    <row r="25" spans="1:251" s="148" customFormat="1" ht="21.75" customHeight="1">
      <c r="A25" s="186">
        <v>18</v>
      </c>
      <c r="B25" s="408" t="s">
        <v>382</v>
      </c>
      <c r="C25" s="409" t="s">
        <v>383</v>
      </c>
      <c r="D25" s="410">
        <v>71</v>
      </c>
      <c r="E25" s="410"/>
      <c r="F25" s="409" t="s">
        <v>384</v>
      </c>
      <c r="G25" s="410" t="s">
        <v>144</v>
      </c>
      <c r="H25" s="426" t="s">
        <v>152</v>
      </c>
      <c r="I25" s="187">
        <f t="shared" si="0"/>
        <v>187500</v>
      </c>
      <c r="J25" s="379" t="s">
        <v>157</v>
      </c>
      <c r="K25" s="190">
        <f t="shared" si="1"/>
        <v>135000</v>
      </c>
      <c r="L25" s="379" t="s">
        <v>161</v>
      </c>
      <c r="M25" s="188">
        <f t="shared" si="2"/>
        <v>135000</v>
      </c>
      <c r="N25" s="188">
        <f t="shared" si="3"/>
        <v>457500</v>
      </c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  <c r="DI25" s="182"/>
      <c r="DJ25" s="182"/>
      <c r="DK25" s="182"/>
      <c r="DL25" s="182"/>
      <c r="DM25" s="182"/>
      <c r="DN25" s="182"/>
      <c r="DO25" s="182"/>
      <c r="DP25" s="182"/>
      <c r="DQ25" s="182"/>
      <c r="DR25" s="182"/>
      <c r="DS25" s="182"/>
      <c r="DT25" s="182"/>
      <c r="DU25" s="182"/>
      <c r="DV25" s="182"/>
      <c r="DW25" s="182"/>
      <c r="DX25" s="182"/>
      <c r="DY25" s="182"/>
      <c r="DZ25" s="182"/>
      <c r="EA25" s="182"/>
      <c r="EB25" s="182"/>
      <c r="EC25" s="182"/>
      <c r="ED25" s="182"/>
      <c r="EE25" s="182"/>
      <c r="EF25" s="182"/>
      <c r="EG25" s="182"/>
      <c r="EH25" s="182"/>
      <c r="EI25" s="182"/>
      <c r="EJ25" s="182"/>
      <c r="EK25" s="182"/>
      <c r="EL25" s="182"/>
      <c r="EM25" s="182"/>
      <c r="EN25" s="182"/>
      <c r="EO25" s="182"/>
      <c r="EP25" s="182"/>
      <c r="EQ25" s="182"/>
      <c r="ER25" s="182"/>
      <c r="ES25" s="182"/>
      <c r="ET25" s="182"/>
      <c r="EU25" s="182"/>
      <c r="EV25" s="182"/>
      <c r="EW25" s="182"/>
      <c r="EX25" s="182"/>
      <c r="EY25" s="182"/>
      <c r="EZ25" s="182"/>
      <c r="FA25" s="182"/>
      <c r="FB25" s="182"/>
      <c r="FC25" s="182"/>
      <c r="FD25" s="182"/>
      <c r="FE25" s="182"/>
      <c r="FF25" s="182"/>
      <c r="FG25" s="182"/>
      <c r="FH25" s="182"/>
      <c r="FI25" s="182"/>
      <c r="FJ25" s="182"/>
      <c r="FK25" s="182"/>
      <c r="FL25" s="182"/>
      <c r="FM25" s="182"/>
      <c r="FN25" s="182"/>
      <c r="FO25" s="182"/>
      <c r="FP25" s="182"/>
      <c r="FQ25" s="182"/>
      <c r="FR25" s="182"/>
      <c r="FS25" s="182"/>
      <c r="FT25" s="182"/>
      <c r="FU25" s="182"/>
      <c r="FV25" s="182"/>
      <c r="FW25" s="182"/>
      <c r="FX25" s="182"/>
      <c r="FY25" s="182"/>
      <c r="FZ25" s="182"/>
      <c r="GA25" s="182"/>
      <c r="GB25" s="182"/>
      <c r="GC25" s="182"/>
      <c r="GD25" s="182"/>
      <c r="GE25" s="182"/>
      <c r="GF25" s="182"/>
      <c r="GG25" s="182"/>
      <c r="GH25" s="182"/>
      <c r="GI25" s="182"/>
      <c r="GJ25" s="182"/>
      <c r="GK25" s="182"/>
      <c r="GL25" s="182"/>
      <c r="GM25" s="182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182"/>
      <c r="HQ25" s="182"/>
      <c r="HR25" s="182"/>
      <c r="HS25" s="182"/>
      <c r="HT25" s="182"/>
      <c r="HU25" s="182"/>
      <c r="HV25" s="182"/>
      <c r="HW25" s="182"/>
      <c r="HX25" s="182"/>
      <c r="HY25" s="182"/>
      <c r="HZ25" s="182"/>
      <c r="IA25" s="182"/>
      <c r="IB25" s="182"/>
      <c r="IC25" s="182"/>
      <c r="ID25" s="182"/>
      <c r="IE25" s="182"/>
      <c r="IF25" s="182"/>
      <c r="IG25" s="182"/>
      <c r="IH25" s="182"/>
      <c r="II25" s="182"/>
      <c r="IJ25" s="182"/>
      <c r="IK25" s="182"/>
      <c r="IL25" s="182"/>
      <c r="IM25" s="182"/>
      <c r="IN25" s="182"/>
      <c r="IO25" s="182"/>
      <c r="IP25" s="182"/>
      <c r="IQ25" s="182"/>
    </row>
    <row r="26" spans="1:251" s="148" customFormat="1" ht="21.75" customHeight="1">
      <c r="A26" s="186">
        <v>19</v>
      </c>
      <c r="B26" s="408" t="s">
        <v>385</v>
      </c>
      <c r="C26" s="409" t="s">
        <v>386</v>
      </c>
      <c r="D26" s="410"/>
      <c r="E26" s="410">
        <v>88</v>
      </c>
      <c r="F26" s="409" t="s">
        <v>145</v>
      </c>
      <c r="G26" s="410" t="s">
        <v>146</v>
      </c>
      <c r="H26" s="426" t="s">
        <v>156</v>
      </c>
      <c r="I26" s="187">
        <f t="shared" si="0"/>
        <v>187500</v>
      </c>
      <c r="J26" s="379" t="s">
        <v>151</v>
      </c>
      <c r="K26" s="190">
        <f t="shared" si="1"/>
        <v>135000</v>
      </c>
      <c r="L26" s="379" t="s">
        <v>157</v>
      </c>
      <c r="M26" s="188">
        <f t="shared" si="2"/>
        <v>135000</v>
      </c>
      <c r="N26" s="188">
        <f t="shared" si="3"/>
        <v>457500</v>
      </c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182"/>
      <c r="BW26" s="182"/>
      <c r="BX26" s="182"/>
      <c r="BY26" s="182"/>
      <c r="BZ26" s="182"/>
      <c r="CA26" s="182"/>
      <c r="CB26" s="182"/>
      <c r="CC26" s="182"/>
      <c r="CD26" s="182"/>
      <c r="CE26" s="182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/>
      <c r="CP26" s="182"/>
      <c r="CQ26" s="182"/>
      <c r="CR26" s="182"/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2"/>
      <c r="DH26" s="182"/>
      <c r="DI26" s="182"/>
      <c r="DJ26" s="182"/>
      <c r="DK26" s="182"/>
      <c r="DL26" s="182"/>
      <c r="DM26" s="182"/>
      <c r="DN26" s="182"/>
      <c r="DO26" s="182"/>
      <c r="DP26" s="182"/>
      <c r="DQ26" s="182"/>
      <c r="DR26" s="182"/>
      <c r="DS26" s="182"/>
      <c r="DT26" s="182"/>
      <c r="DU26" s="182"/>
      <c r="DV26" s="182"/>
      <c r="DW26" s="182"/>
      <c r="DX26" s="182"/>
      <c r="DY26" s="182"/>
      <c r="DZ26" s="182"/>
      <c r="EA26" s="182"/>
      <c r="EB26" s="182"/>
      <c r="EC26" s="182"/>
      <c r="ED26" s="182"/>
      <c r="EE26" s="182"/>
      <c r="EF26" s="182"/>
      <c r="EG26" s="182"/>
      <c r="EH26" s="182"/>
      <c r="EI26" s="182"/>
      <c r="EJ26" s="182"/>
      <c r="EK26" s="182"/>
      <c r="EL26" s="182"/>
      <c r="EM26" s="182"/>
      <c r="EN26" s="182"/>
      <c r="EO26" s="182"/>
      <c r="EP26" s="182"/>
      <c r="EQ26" s="182"/>
      <c r="ER26" s="182"/>
      <c r="ES26" s="182"/>
      <c r="ET26" s="182"/>
      <c r="EU26" s="182"/>
      <c r="EV26" s="182"/>
      <c r="EW26" s="182"/>
      <c r="EX26" s="182"/>
      <c r="EY26" s="182"/>
      <c r="EZ26" s="182"/>
      <c r="FA26" s="182"/>
      <c r="FB26" s="182"/>
      <c r="FC26" s="182"/>
      <c r="FD26" s="182"/>
      <c r="FE26" s="182"/>
      <c r="FF26" s="182"/>
      <c r="FG26" s="182"/>
      <c r="FH26" s="182"/>
      <c r="FI26" s="182"/>
      <c r="FJ26" s="182"/>
      <c r="FK26" s="182"/>
      <c r="FL26" s="182"/>
      <c r="FM26" s="182"/>
      <c r="FN26" s="182"/>
      <c r="FO26" s="182"/>
      <c r="FP26" s="182"/>
      <c r="FQ26" s="182"/>
      <c r="FR26" s="182"/>
      <c r="FS26" s="182"/>
      <c r="FT26" s="182"/>
      <c r="FU26" s="182"/>
      <c r="FV26" s="182"/>
      <c r="FW26" s="182"/>
      <c r="FX26" s="182"/>
      <c r="FY26" s="182"/>
      <c r="FZ26" s="182"/>
      <c r="GA26" s="182"/>
      <c r="GB26" s="182"/>
      <c r="GC26" s="182"/>
      <c r="GD26" s="182"/>
      <c r="GE26" s="182"/>
      <c r="GF26" s="182"/>
      <c r="GG26" s="182"/>
      <c r="GH26" s="182"/>
      <c r="GI26" s="182"/>
      <c r="GJ26" s="182"/>
      <c r="GK26" s="182"/>
      <c r="GL26" s="182"/>
      <c r="GM26" s="182"/>
      <c r="GN26" s="182"/>
      <c r="GO26" s="182"/>
      <c r="GP26" s="182"/>
      <c r="GQ26" s="182"/>
      <c r="GR26" s="182"/>
      <c r="GS26" s="182"/>
      <c r="GT26" s="182"/>
      <c r="GU26" s="182"/>
      <c r="GV26" s="182"/>
      <c r="GW26" s="182"/>
      <c r="GX26" s="182"/>
      <c r="GY26" s="182"/>
      <c r="GZ26" s="182"/>
      <c r="HA26" s="182"/>
      <c r="HB26" s="182"/>
      <c r="HC26" s="182"/>
      <c r="HD26" s="182"/>
      <c r="HE26" s="182"/>
      <c r="HF26" s="182"/>
      <c r="HG26" s="182"/>
      <c r="HH26" s="182"/>
      <c r="HI26" s="182"/>
      <c r="HJ26" s="182"/>
      <c r="HK26" s="182"/>
      <c r="HL26" s="182"/>
      <c r="HM26" s="182"/>
      <c r="HN26" s="182"/>
      <c r="HO26" s="182"/>
      <c r="HP26" s="182"/>
      <c r="HQ26" s="182"/>
      <c r="HR26" s="182"/>
      <c r="HS26" s="182"/>
      <c r="HT26" s="182"/>
      <c r="HU26" s="182"/>
      <c r="HV26" s="182"/>
      <c r="HW26" s="182"/>
      <c r="HX26" s="182"/>
      <c r="HY26" s="182"/>
      <c r="HZ26" s="182"/>
      <c r="IA26" s="182"/>
      <c r="IB26" s="182"/>
      <c r="IC26" s="182"/>
      <c r="ID26" s="182"/>
      <c r="IE26" s="182"/>
      <c r="IF26" s="182"/>
      <c r="IG26" s="182"/>
      <c r="IH26" s="182"/>
      <c r="II26" s="182"/>
      <c r="IJ26" s="182"/>
      <c r="IK26" s="182"/>
      <c r="IL26" s="182"/>
      <c r="IM26" s="182"/>
      <c r="IN26" s="182"/>
      <c r="IO26" s="182"/>
      <c r="IP26" s="182"/>
      <c r="IQ26" s="182"/>
    </row>
    <row r="27" spans="1:251" s="148" customFormat="1" ht="21.75" customHeight="1">
      <c r="A27" s="186">
        <v>20</v>
      </c>
      <c r="B27" s="408" t="s">
        <v>387</v>
      </c>
      <c r="C27" s="409" t="s">
        <v>388</v>
      </c>
      <c r="D27" s="410"/>
      <c r="E27" s="410">
        <v>72</v>
      </c>
      <c r="F27" s="409" t="s">
        <v>389</v>
      </c>
      <c r="G27" s="410" t="s">
        <v>146</v>
      </c>
      <c r="H27" s="426" t="s">
        <v>153</v>
      </c>
      <c r="I27" s="187">
        <f t="shared" si="0"/>
        <v>187500</v>
      </c>
      <c r="J27" s="379" t="s">
        <v>280</v>
      </c>
      <c r="K27" s="190">
        <f t="shared" si="1"/>
        <v>135000</v>
      </c>
      <c r="L27" s="379" t="s">
        <v>158</v>
      </c>
      <c r="M27" s="188">
        <f t="shared" si="2"/>
        <v>135000</v>
      </c>
      <c r="N27" s="188">
        <f t="shared" si="3"/>
        <v>457500</v>
      </c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  <c r="CT27" s="182"/>
      <c r="CU27" s="182"/>
      <c r="CV27" s="182"/>
      <c r="CW27" s="182"/>
      <c r="CX27" s="182"/>
      <c r="CY27" s="182"/>
      <c r="CZ27" s="182"/>
      <c r="DA27" s="182"/>
      <c r="DB27" s="182"/>
      <c r="DC27" s="182"/>
      <c r="DD27" s="182"/>
      <c r="DE27" s="182"/>
      <c r="DF27" s="182"/>
      <c r="DG27" s="182"/>
      <c r="DH27" s="182"/>
      <c r="DI27" s="182"/>
      <c r="DJ27" s="182"/>
      <c r="DK27" s="182"/>
      <c r="DL27" s="182"/>
      <c r="DM27" s="182"/>
      <c r="DN27" s="182"/>
      <c r="DO27" s="182"/>
      <c r="DP27" s="182"/>
      <c r="DQ27" s="182"/>
      <c r="DR27" s="182"/>
      <c r="DS27" s="182"/>
      <c r="DT27" s="182"/>
      <c r="DU27" s="182"/>
      <c r="DV27" s="182"/>
      <c r="DW27" s="182"/>
      <c r="DX27" s="182"/>
      <c r="DY27" s="182"/>
      <c r="DZ27" s="182"/>
      <c r="EA27" s="182"/>
      <c r="EB27" s="182"/>
      <c r="EC27" s="182"/>
      <c r="ED27" s="182"/>
      <c r="EE27" s="182"/>
      <c r="EF27" s="182"/>
      <c r="EG27" s="182"/>
      <c r="EH27" s="182"/>
      <c r="EI27" s="182"/>
      <c r="EJ27" s="182"/>
      <c r="EK27" s="182"/>
      <c r="EL27" s="182"/>
      <c r="EM27" s="182"/>
      <c r="EN27" s="182"/>
      <c r="EO27" s="182"/>
      <c r="EP27" s="182"/>
      <c r="EQ27" s="182"/>
      <c r="ER27" s="182"/>
      <c r="ES27" s="182"/>
      <c r="ET27" s="182"/>
      <c r="EU27" s="182"/>
      <c r="EV27" s="182"/>
      <c r="EW27" s="182"/>
      <c r="EX27" s="182"/>
      <c r="EY27" s="182"/>
      <c r="EZ27" s="182"/>
      <c r="FA27" s="182"/>
      <c r="FB27" s="182"/>
      <c r="FC27" s="182"/>
      <c r="FD27" s="182"/>
      <c r="FE27" s="182"/>
      <c r="FF27" s="182"/>
      <c r="FG27" s="182"/>
      <c r="FH27" s="182"/>
      <c r="FI27" s="182"/>
      <c r="FJ27" s="182"/>
      <c r="FK27" s="182"/>
      <c r="FL27" s="182"/>
      <c r="FM27" s="182"/>
      <c r="FN27" s="182"/>
      <c r="FO27" s="182"/>
      <c r="FP27" s="182"/>
      <c r="FQ27" s="182"/>
      <c r="FR27" s="182"/>
      <c r="FS27" s="182"/>
      <c r="FT27" s="182"/>
      <c r="FU27" s="182"/>
      <c r="FV27" s="182"/>
      <c r="FW27" s="182"/>
      <c r="FX27" s="182"/>
      <c r="FY27" s="182"/>
      <c r="FZ27" s="182"/>
      <c r="GA27" s="182"/>
      <c r="GB27" s="182"/>
      <c r="GC27" s="182"/>
      <c r="GD27" s="182"/>
      <c r="GE27" s="182"/>
      <c r="GF27" s="182"/>
      <c r="GG27" s="182"/>
      <c r="GH27" s="182"/>
      <c r="GI27" s="182"/>
      <c r="GJ27" s="182"/>
      <c r="GK27" s="182"/>
      <c r="GL27" s="182"/>
      <c r="GM27" s="182"/>
      <c r="GN27" s="182"/>
      <c r="GO27" s="182"/>
      <c r="GP27" s="182"/>
      <c r="GQ27" s="182"/>
      <c r="GR27" s="182"/>
      <c r="GS27" s="182"/>
      <c r="GT27" s="182"/>
      <c r="GU27" s="182"/>
      <c r="GV27" s="182"/>
      <c r="GW27" s="182"/>
      <c r="GX27" s="182"/>
      <c r="GY27" s="182"/>
      <c r="GZ27" s="182"/>
      <c r="HA27" s="182"/>
      <c r="HB27" s="182"/>
      <c r="HC27" s="182"/>
      <c r="HD27" s="182"/>
      <c r="HE27" s="182"/>
      <c r="HF27" s="182"/>
      <c r="HG27" s="182"/>
      <c r="HH27" s="182"/>
      <c r="HI27" s="182"/>
      <c r="HJ27" s="182"/>
      <c r="HK27" s="182"/>
      <c r="HL27" s="182"/>
      <c r="HM27" s="182"/>
      <c r="HN27" s="182"/>
      <c r="HO27" s="182"/>
      <c r="HP27" s="182"/>
      <c r="HQ27" s="182"/>
      <c r="HR27" s="182"/>
      <c r="HS27" s="182"/>
      <c r="HT27" s="182"/>
      <c r="HU27" s="182"/>
      <c r="HV27" s="182"/>
      <c r="HW27" s="182"/>
      <c r="HX27" s="182"/>
      <c r="HY27" s="182"/>
      <c r="HZ27" s="182"/>
      <c r="IA27" s="182"/>
      <c r="IB27" s="182"/>
      <c r="IC27" s="182"/>
      <c r="ID27" s="182"/>
      <c r="IE27" s="182"/>
      <c r="IF27" s="182"/>
      <c r="IG27" s="182"/>
      <c r="IH27" s="182"/>
      <c r="II27" s="182"/>
      <c r="IJ27" s="182"/>
      <c r="IK27" s="182"/>
      <c r="IL27" s="182"/>
      <c r="IM27" s="182"/>
      <c r="IN27" s="182"/>
      <c r="IO27" s="182"/>
      <c r="IP27" s="182"/>
      <c r="IQ27" s="182"/>
    </row>
    <row r="28" spans="1:251" s="148" customFormat="1" ht="21.75" customHeight="1">
      <c r="A28" s="186">
        <v>21</v>
      </c>
      <c r="B28" s="408" t="s">
        <v>390</v>
      </c>
      <c r="C28" s="409" t="s">
        <v>391</v>
      </c>
      <c r="D28" s="410"/>
      <c r="E28" s="410">
        <v>57</v>
      </c>
      <c r="F28" s="409" t="s">
        <v>392</v>
      </c>
      <c r="G28" s="410" t="s">
        <v>144</v>
      </c>
      <c r="H28" s="427" t="s">
        <v>151</v>
      </c>
      <c r="I28" s="187">
        <f t="shared" si="0"/>
        <v>187500</v>
      </c>
      <c r="J28" s="379" t="s">
        <v>160</v>
      </c>
      <c r="K28" s="190">
        <f t="shared" si="1"/>
        <v>135000</v>
      </c>
      <c r="L28" s="379" t="s">
        <v>159</v>
      </c>
      <c r="M28" s="188">
        <f t="shared" si="2"/>
        <v>135000</v>
      </c>
      <c r="N28" s="188">
        <f t="shared" si="3"/>
        <v>457500</v>
      </c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182"/>
      <c r="BU28" s="182"/>
      <c r="BV28" s="182"/>
      <c r="BW28" s="182"/>
      <c r="BX28" s="182"/>
      <c r="BY28" s="182"/>
      <c r="BZ28" s="182"/>
      <c r="CA28" s="182"/>
      <c r="CB28" s="182"/>
      <c r="CC28" s="182"/>
      <c r="CD28" s="182"/>
      <c r="CE28" s="182"/>
      <c r="CF28" s="182"/>
      <c r="CG28" s="182"/>
      <c r="CH28" s="182"/>
      <c r="CI28" s="182"/>
      <c r="CJ28" s="182"/>
      <c r="CK28" s="182"/>
      <c r="CL28" s="182"/>
      <c r="CM28" s="182"/>
      <c r="CN28" s="182"/>
      <c r="CO28" s="182"/>
      <c r="CP28" s="182"/>
      <c r="CQ28" s="182"/>
      <c r="CR28" s="182"/>
      <c r="CS28" s="182"/>
      <c r="CT28" s="182"/>
      <c r="CU28" s="182"/>
      <c r="CV28" s="182"/>
      <c r="CW28" s="182"/>
      <c r="CX28" s="182"/>
      <c r="CY28" s="182"/>
      <c r="CZ28" s="182"/>
      <c r="DA28" s="182"/>
      <c r="DB28" s="182"/>
      <c r="DC28" s="182"/>
      <c r="DD28" s="182"/>
      <c r="DE28" s="182"/>
      <c r="DF28" s="182"/>
      <c r="DG28" s="182"/>
      <c r="DH28" s="182"/>
      <c r="DI28" s="182"/>
      <c r="DJ28" s="182"/>
      <c r="DK28" s="182"/>
      <c r="DL28" s="182"/>
      <c r="DM28" s="182"/>
      <c r="DN28" s="182"/>
      <c r="DO28" s="182"/>
      <c r="DP28" s="182"/>
      <c r="DQ28" s="182"/>
      <c r="DR28" s="182"/>
      <c r="DS28" s="182"/>
      <c r="DT28" s="182"/>
      <c r="DU28" s="182"/>
      <c r="DV28" s="182"/>
      <c r="DW28" s="182"/>
      <c r="DX28" s="182"/>
      <c r="DY28" s="182"/>
      <c r="DZ28" s="182"/>
      <c r="EA28" s="182"/>
      <c r="EB28" s="182"/>
      <c r="EC28" s="182"/>
      <c r="ED28" s="182"/>
      <c r="EE28" s="182"/>
      <c r="EF28" s="182"/>
      <c r="EG28" s="182"/>
      <c r="EH28" s="182"/>
      <c r="EI28" s="182"/>
      <c r="EJ28" s="182"/>
      <c r="EK28" s="182"/>
      <c r="EL28" s="182"/>
      <c r="EM28" s="182"/>
      <c r="EN28" s="182"/>
      <c r="EO28" s="182"/>
      <c r="EP28" s="182"/>
      <c r="EQ28" s="182"/>
      <c r="ER28" s="182"/>
      <c r="ES28" s="182"/>
      <c r="ET28" s="182"/>
      <c r="EU28" s="182"/>
      <c r="EV28" s="182"/>
      <c r="EW28" s="182"/>
      <c r="EX28" s="182"/>
      <c r="EY28" s="182"/>
      <c r="EZ28" s="182"/>
      <c r="FA28" s="182"/>
      <c r="FB28" s="182"/>
      <c r="FC28" s="182"/>
      <c r="FD28" s="182"/>
      <c r="FE28" s="182"/>
      <c r="FF28" s="182"/>
      <c r="FG28" s="182"/>
      <c r="FH28" s="182"/>
      <c r="FI28" s="182"/>
      <c r="FJ28" s="182"/>
      <c r="FK28" s="182"/>
      <c r="FL28" s="182"/>
      <c r="FM28" s="182"/>
      <c r="FN28" s="182"/>
      <c r="FO28" s="182"/>
      <c r="FP28" s="182"/>
      <c r="FQ28" s="182"/>
      <c r="FR28" s="182"/>
      <c r="FS28" s="182"/>
      <c r="FT28" s="182"/>
      <c r="FU28" s="182"/>
      <c r="FV28" s="182"/>
      <c r="FW28" s="182"/>
      <c r="FX28" s="182"/>
      <c r="FY28" s="182"/>
      <c r="FZ28" s="182"/>
      <c r="GA28" s="182"/>
      <c r="GB28" s="182"/>
      <c r="GC28" s="182"/>
      <c r="GD28" s="182"/>
      <c r="GE28" s="182"/>
      <c r="GF28" s="182"/>
      <c r="GG28" s="182"/>
      <c r="GH28" s="182"/>
      <c r="GI28" s="182"/>
      <c r="GJ28" s="182"/>
      <c r="GK28" s="182"/>
      <c r="GL28" s="182"/>
      <c r="GM28" s="182"/>
      <c r="GN28" s="182"/>
      <c r="GO28" s="182"/>
      <c r="GP28" s="182"/>
      <c r="GQ28" s="182"/>
      <c r="GR28" s="182"/>
      <c r="GS28" s="182"/>
      <c r="GT28" s="182"/>
      <c r="GU28" s="182"/>
      <c r="GV28" s="182"/>
      <c r="GW28" s="182"/>
      <c r="GX28" s="182"/>
      <c r="GY28" s="182"/>
      <c r="GZ28" s="182"/>
      <c r="HA28" s="182"/>
      <c r="HB28" s="182"/>
      <c r="HC28" s="182"/>
      <c r="HD28" s="182"/>
      <c r="HE28" s="182"/>
      <c r="HF28" s="182"/>
      <c r="HG28" s="182"/>
      <c r="HH28" s="182"/>
      <c r="HI28" s="182"/>
      <c r="HJ28" s="182"/>
      <c r="HK28" s="182"/>
      <c r="HL28" s="182"/>
      <c r="HM28" s="182"/>
      <c r="HN28" s="182"/>
      <c r="HO28" s="182"/>
      <c r="HP28" s="182"/>
      <c r="HQ28" s="182"/>
      <c r="HR28" s="182"/>
      <c r="HS28" s="182"/>
      <c r="HT28" s="182"/>
      <c r="HU28" s="182"/>
      <c r="HV28" s="182"/>
      <c r="HW28" s="182"/>
      <c r="HX28" s="182"/>
      <c r="HY28" s="182"/>
      <c r="HZ28" s="182"/>
      <c r="IA28" s="182"/>
      <c r="IB28" s="182"/>
      <c r="IC28" s="182"/>
      <c r="ID28" s="182"/>
      <c r="IE28" s="182"/>
      <c r="IF28" s="182"/>
      <c r="IG28" s="182"/>
      <c r="IH28" s="182"/>
      <c r="II28" s="182"/>
      <c r="IJ28" s="182"/>
      <c r="IK28" s="182"/>
      <c r="IL28" s="182"/>
      <c r="IM28" s="182"/>
      <c r="IN28" s="182"/>
      <c r="IO28" s="182"/>
      <c r="IP28" s="182"/>
      <c r="IQ28" s="182"/>
    </row>
    <row r="29" spans="1:251" s="148" customFormat="1" ht="21.75" customHeight="1">
      <c r="A29" s="186">
        <v>22</v>
      </c>
      <c r="B29" s="408" t="s">
        <v>390</v>
      </c>
      <c r="C29" s="409" t="s">
        <v>393</v>
      </c>
      <c r="D29" s="410">
        <v>97</v>
      </c>
      <c r="E29" s="410"/>
      <c r="F29" s="409" t="s">
        <v>145</v>
      </c>
      <c r="G29" s="410" t="s">
        <v>146</v>
      </c>
      <c r="H29" s="427" t="s">
        <v>151</v>
      </c>
      <c r="I29" s="187">
        <f t="shared" si="0"/>
        <v>187500</v>
      </c>
      <c r="J29" s="379" t="s">
        <v>159</v>
      </c>
      <c r="K29" s="190">
        <f t="shared" si="1"/>
        <v>135000</v>
      </c>
      <c r="L29" s="379" t="s">
        <v>281</v>
      </c>
      <c r="M29" s="188">
        <f t="shared" si="2"/>
        <v>135000</v>
      </c>
      <c r="N29" s="188">
        <f t="shared" si="3"/>
        <v>457500</v>
      </c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182"/>
      <c r="BU29" s="182"/>
      <c r="BV29" s="182"/>
      <c r="BW29" s="182"/>
      <c r="BX29" s="182"/>
      <c r="BY29" s="182"/>
      <c r="BZ29" s="182"/>
      <c r="CA29" s="182"/>
      <c r="CB29" s="182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  <c r="CN29" s="182"/>
      <c r="CO29" s="182"/>
      <c r="CP29" s="182"/>
      <c r="CQ29" s="182"/>
      <c r="CR29" s="182"/>
      <c r="CS29" s="182"/>
      <c r="CT29" s="182"/>
      <c r="CU29" s="182"/>
      <c r="CV29" s="182"/>
      <c r="CW29" s="182"/>
      <c r="CX29" s="182"/>
      <c r="CY29" s="182"/>
      <c r="CZ29" s="182"/>
      <c r="DA29" s="182"/>
      <c r="DB29" s="182"/>
      <c r="DC29" s="182"/>
      <c r="DD29" s="182"/>
      <c r="DE29" s="182"/>
      <c r="DF29" s="182"/>
      <c r="DG29" s="182"/>
      <c r="DH29" s="182"/>
      <c r="DI29" s="182"/>
      <c r="DJ29" s="182"/>
      <c r="DK29" s="182"/>
      <c r="DL29" s="182"/>
      <c r="DM29" s="182"/>
      <c r="DN29" s="182"/>
      <c r="DO29" s="182"/>
      <c r="DP29" s="182"/>
      <c r="DQ29" s="182"/>
      <c r="DR29" s="182"/>
      <c r="DS29" s="182"/>
      <c r="DT29" s="182"/>
      <c r="DU29" s="182"/>
      <c r="DV29" s="182"/>
      <c r="DW29" s="182"/>
      <c r="DX29" s="182"/>
      <c r="DY29" s="182"/>
      <c r="DZ29" s="182"/>
      <c r="EA29" s="182"/>
      <c r="EB29" s="182"/>
      <c r="EC29" s="182"/>
      <c r="ED29" s="182"/>
      <c r="EE29" s="182"/>
      <c r="EF29" s="182"/>
      <c r="EG29" s="182"/>
      <c r="EH29" s="182"/>
      <c r="EI29" s="182"/>
      <c r="EJ29" s="182"/>
      <c r="EK29" s="182"/>
      <c r="EL29" s="182"/>
      <c r="EM29" s="182"/>
      <c r="EN29" s="182"/>
      <c r="EO29" s="182"/>
      <c r="EP29" s="182"/>
      <c r="EQ29" s="182"/>
      <c r="ER29" s="182"/>
      <c r="ES29" s="182"/>
      <c r="ET29" s="182"/>
      <c r="EU29" s="182"/>
      <c r="EV29" s="182"/>
      <c r="EW29" s="182"/>
      <c r="EX29" s="182"/>
      <c r="EY29" s="182"/>
      <c r="EZ29" s="182"/>
      <c r="FA29" s="182"/>
      <c r="FB29" s="182"/>
      <c r="FC29" s="182"/>
      <c r="FD29" s="182"/>
      <c r="FE29" s="182"/>
      <c r="FF29" s="182"/>
      <c r="FG29" s="182"/>
      <c r="FH29" s="182"/>
      <c r="FI29" s="182"/>
      <c r="FJ29" s="182"/>
      <c r="FK29" s="182"/>
      <c r="FL29" s="182"/>
      <c r="FM29" s="182"/>
      <c r="FN29" s="182"/>
      <c r="FO29" s="182"/>
      <c r="FP29" s="182"/>
      <c r="FQ29" s="182"/>
      <c r="FR29" s="182"/>
      <c r="FS29" s="182"/>
      <c r="FT29" s="182"/>
      <c r="FU29" s="182"/>
      <c r="FV29" s="182"/>
      <c r="FW29" s="182"/>
      <c r="FX29" s="182"/>
      <c r="FY29" s="182"/>
      <c r="FZ29" s="182"/>
      <c r="GA29" s="182"/>
      <c r="GB29" s="182"/>
      <c r="GC29" s="182"/>
      <c r="GD29" s="182"/>
      <c r="GE29" s="182"/>
      <c r="GF29" s="182"/>
      <c r="GG29" s="182"/>
      <c r="GH29" s="182"/>
      <c r="GI29" s="182"/>
      <c r="GJ29" s="182"/>
      <c r="GK29" s="182"/>
      <c r="GL29" s="182"/>
      <c r="GM29" s="182"/>
      <c r="GN29" s="182"/>
      <c r="GO29" s="182"/>
      <c r="GP29" s="182"/>
      <c r="GQ29" s="182"/>
      <c r="GR29" s="182"/>
      <c r="GS29" s="182"/>
      <c r="GT29" s="182"/>
      <c r="GU29" s="182"/>
      <c r="GV29" s="182"/>
      <c r="GW29" s="182"/>
      <c r="GX29" s="182"/>
      <c r="GY29" s="182"/>
      <c r="GZ29" s="182"/>
      <c r="HA29" s="182"/>
      <c r="HB29" s="182"/>
      <c r="HC29" s="182"/>
      <c r="HD29" s="182"/>
      <c r="HE29" s="182"/>
      <c r="HF29" s="182"/>
      <c r="HG29" s="182"/>
      <c r="HH29" s="182"/>
      <c r="HI29" s="182"/>
      <c r="HJ29" s="182"/>
      <c r="HK29" s="182"/>
      <c r="HL29" s="182"/>
      <c r="HM29" s="182"/>
      <c r="HN29" s="182"/>
      <c r="HO29" s="182"/>
      <c r="HP29" s="182"/>
      <c r="HQ29" s="182"/>
      <c r="HR29" s="182"/>
      <c r="HS29" s="182"/>
      <c r="HT29" s="182"/>
      <c r="HU29" s="182"/>
      <c r="HV29" s="182"/>
      <c r="HW29" s="182"/>
      <c r="HX29" s="182"/>
      <c r="HY29" s="182"/>
      <c r="HZ29" s="182"/>
      <c r="IA29" s="182"/>
      <c r="IB29" s="182"/>
      <c r="IC29" s="182"/>
      <c r="ID29" s="182"/>
      <c r="IE29" s="182"/>
      <c r="IF29" s="182"/>
      <c r="IG29" s="182"/>
      <c r="IH29" s="182"/>
      <c r="II29" s="182"/>
      <c r="IJ29" s="182"/>
      <c r="IK29" s="182"/>
      <c r="IL29" s="182"/>
      <c r="IM29" s="182"/>
      <c r="IN29" s="182"/>
      <c r="IO29" s="182"/>
      <c r="IP29" s="182"/>
      <c r="IQ29" s="182"/>
    </row>
    <row r="30" spans="1:251" s="148" customFormat="1" ht="21.75" customHeight="1">
      <c r="A30" s="186">
        <v>23</v>
      </c>
      <c r="B30" s="408" t="s">
        <v>390</v>
      </c>
      <c r="C30" s="409" t="s">
        <v>394</v>
      </c>
      <c r="D30" s="410"/>
      <c r="E30" s="410">
        <v>32</v>
      </c>
      <c r="F30" s="409" t="s">
        <v>395</v>
      </c>
      <c r="G30" s="410" t="s">
        <v>143</v>
      </c>
      <c r="H30" s="426" t="s">
        <v>154</v>
      </c>
      <c r="I30" s="187">
        <f t="shared" si="0"/>
        <v>420000</v>
      </c>
      <c r="J30" s="379" t="s">
        <v>281</v>
      </c>
      <c r="K30" s="190">
        <f t="shared" si="1"/>
        <v>300000</v>
      </c>
      <c r="L30" s="379" t="s">
        <v>159</v>
      </c>
      <c r="M30" s="188">
        <f t="shared" si="2"/>
        <v>300000</v>
      </c>
      <c r="N30" s="188">
        <f t="shared" si="3"/>
        <v>1020000</v>
      </c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182"/>
      <c r="BW30" s="182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  <c r="CN30" s="182"/>
      <c r="CO30" s="182"/>
      <c r="CP30" s="182"/>
      <c r="CQ30" s="182"/>
      <c r="CR30" s="182"/>
      <c r="CS30" s="182"/>
      <c r="CT30" s="182"/>
      <c r="CU30" s="182"/>
      <c r="CV30" s="182"/>
      <c r="CW30" s="182"/>
      <c r="CX30" s="182"/>
      <c r="CY30" s="182"/>
      <c r="CZ30" s="182"/>
      <c r="DA30" s="182"/>
      <c r="DB30" s="182"/>
      <c r="DC30" s="182"/>
      <c r="DD30" s="182"/>
      <c r="DE30" s="182"/>
      <c r="DF30" s="182"/>
      <c r="DG30" s="182"/>
      <c r="DH30" s="182"/>
      <c r="DI30" s="182"/>
      <c r="DJ30" s="182"/>
      <c r="DK30" s="182"/>
      <c r="DL30" s="182"/>
      <c r="DM30" s="182"/>
      <c r="DN30" s="182"/>
      <c r="DO30" s="182"/>
      <c r="DP30" s="182"/>
      <c r="DQ30" s="182"/>
      <c r="DR30" s="182"/>
      <c r="DS30" s="182"/>
      <c r="DT30" s="182"/>
      <c r="DU30" s="182"/>
      <c r="DV30" s="182"/>
      <c r="DW30" s="182"/>
      <c r="DX30" s="182"/>
      <c r="DY30" s="182"/>
      <c r="DZ30" s="182"/>
      <c r="EA30" s="182"/>
      <c r="EB30" s="182"/>
      <c r="EC30" s="182"/>
      <c r="ED30" s="182"/>
      <c r="EE30" s="182"/>
      <c r="EF30" s="18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W30" s="182"/>
      <c r="EX30" s="182"/>
      <c r="EY30" s="182"/>
      <c r="EZ30" s="182"/>
      <c r="FA30" s="182"/>
      <c r="FB30" s="182"/>
      <c r="FC30" s="182"/>
      <c r="FD30" s="182"/>
      <c r="FE30" s="182"/>
      <c r="FF30" s="182"/>
      <c r="FG30" s="182"/>
      <c r="FH30" s="182"/>
      <c r="FI30" s="182"/>
      <c r="FJ30" s="182"/>
      <c r="FK30" s="182"/>
      <c r="FL30" s="182"/>
      <c r="FM30" s="182"/>
      <c r="FN30" s="182"/>
      <c r="FO30" s="182"/>
      <c r="FP30" s="182"/>
      <c r="FQ30" s="182"/>
      <c r="FR30" s="182"/>
      <c r="FS30" s="182"/>
      <c r="FT30" s="182"/>
      <c r="FU30" s="182"/>
      <c r="FV30" s="182"/>
      <c r="FW30" s="182"/>
      <c r="FX30" s="182"/>
      <c r="FY30" s="182"/>
      <c r="FZ30" s="182"/>
      <c r="GA30" s="182"/>
      <c r="GB30" s="182"/>
      <c r="GC30" s="182"/>
      <c r="GD30" s="182"/>
      <c r="GE30" s="182"/>
      <c r="GF30" s="182"/>
      <c r="GG30" s="182"/>
      <c r="GH30" s="182"/>
      <c r="GI30" s="182"/>
      <c r="GJ30" s="182"/>
      <c r="GK30" s="182"/>
      <c r="GL30" s="182"/>
      <c r="GM30" s="182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182"/>
      <c r="HQ30" s="182"/>
      <c r="HR30" s="182"/>
      <c r="HS30" s="182"/>
      <c r="HT30" s="182"/>
      <c r="HU30" s="182"/>
      <c r="HV30" s="182"/>
      <c r="HW30" s="182"/>
      <c r="HX30" s="182"/>
      <c r="HY30" s="182"/>
      <c r="HZ30" s="182"/>
      <c r="IA30" s="182"/>
      <c r="IB30" s="182"/>
      <c r="IC30" s="182"/>
      <c r="ID30" s="182"/>
      <c r="IE30" s="182"/>
      <c r="IF30" s="182"/>
      <c r="IG30" s="182"/>
      <c r="IH30" s="182"/>
      <c r="II30" s="182"/>
      <c r="IJ30" s="182"/>
      <c r="IK30" s="182"/>
      <c r="IL30" s="182"/>
      <c r="IM30" s="182"/>
      <c r="IN30" s="182"/>
      <c r="IO30" s="182"/>
      <c r="IP30" s="182"/>
      <c r="IQ30" s="182"/>
    </row>
    <row r="31" spans="1:251" s="148" customFormat="1" ht="21.75" customHeight="1">
      <c r="A31" s="186">
        <v>24</v>
      </c>
      <c r="B31" s="408" t="s">
        <v>396</v>
      </c>
      <c r="C31" s="409" t="s">
        <v>397</v>
      </c>
      <c r="D31" s="410"/>
      <c r="E31" s="410">
        <v>73</v>
      </c>
      <c r="F31" s="409" t="s">
        <v>398</v>
      </c>
      <c r="G31" s="410" t="s">
        <v>143</v>
      </c>
      <c r="H31" s="426" t="s">
        <v>156</v>
      </c>
      <c r="I31" s="187">
        <f t="shared" si="0"/>
        <v>420000</v>
      </c>
      <c r="J31" s="379" t="s">
        <v>154</v>
      </c>
      <c r="K31" s="190">
        <f t="shared" si="1"/>
        <v>300000</v>
      </c>
      <c r="L31" s="379" t="s">
        <v>157</v>
      </c>
      <c r="M31" s="188">
        <f t="shared" si="2"/>
        <v>300000</v>
      </c>
      <c r="N31" s="188">
        <f t="shared" si="3"/>
        <v>1020000</v>
      </c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182"/>
      <c r="BW31" s="182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  <c r="CN31" s="182"/>
      <c r="CO31" s="182"/>
      <c r="CP31" s="182"/>
      <c r="CQ31" s="182"/>
      <c r="CR31" s="182"/>
      <c r="CS31" s="182"/>
      <c r="CT31" s="182"/>
      <c r="CU31" s="182"/>
      <c r="CV31" s="182"/>
      <c r="CW31" s="182"/>
      <c r="CX31" s="182"/>
      <c r="CY31" s="182"/>
      <c r="CZ31" s="182"/>
      <c r="DA31" s="182"/>
      <c r="DB31" s="182"/>
      <c r="DC31" s="182"/>
      <c r="DD31" s="182"/>
      <c r="DE31" s="182"/>
      <c r="DF31" s="182"/>
      <c r="DG31" s="182"/>
      <c r="DH31" s="182"/>
      <c r="DI31" s="182"/>
      <c r="DJ31" s="182"/>
      <c r="DK31" s="182"/>
      <c r="DL31" s="182"/>
      <c r="DM31" s="182"/>
      <c r="DN31" s="182"/>
      <c r="DO31" s="182"/>
      <c r="DP31" s="182"/>
      <c r="DQ31" s="182"/>
      <c r="DR31" s="182"/>
      <c r="DS31" s="182"/>
      <c r="DT31" s="182"/>
      <c r="DU31" s="182"/>
      <c r="DV31" s="182"/>
      <c r="DW31" s="182"/>
      <c r="DX31" s="182"/>
      <c r="DY31" s="182"/>
      <c r="DZ31" s="182"/>
      <c r="EA31" s="182"/>
      <c r="EB31" s="182"/>
      <c r="EC31" s="182"/>
      <c r="ED31" s="182"/>
      <c r="EE31" s="182"/>
      <c r="EF31" s="18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W31" s="182"/>
      <c r="EX31" s="182"/>
      <c r="EY31" s="182"/>
      <c r="EZ31" s="182"/>
      <c r="FA31" s="182"/>
      <c r="FB31" s="182"/>
      <c r="FC31" s="182"/>
      <c r="FD31" s="182"/>
      <c r="FE31" s="182"/>
      <c r="FF31" s="182"/>
      <c r="FG31" s="182"/>
      <c r="FH31" s="182"/>
      <c r="FI31" s="182"/>
      <c r="FJ31" s="182"/>
      <c r="FK31" s="182"/>
      <c r="FL31" s="182"/>
      <c r="FM31" s="182"/>
      <c r="FN31" s="182"/>
      <c r="FO31" s="182"/>
      <c r="FP31" s="182"/>
      <c r="FQ31" s="182"/>
      <c r="FR31" s="182"/>
      <c r="FS31" s="182"/>
      <c r="FT31" s="182"/>
      <c r="FU31" s="182"/>
      <c r="FV31" s="182"/>
      <c r="FW31" s="182"/>
      <c r="FX31" s="182"/>
      <c r="FY31" s="182"/>
      <c r="FZ31" s="182"/>
      <c r="GA31" s="182"/>
      <c r="GB31" s="182"/>
      <c r="GC31" s="182"/>
      <c r="GD31" s="182"/>
      <c r="GE31" s="182"/>
      <c r="GF31" s="182"/>
      <c r="GG31" s="182"/>
      <c r="GH31" s="182"/>
      <c r="GI31" s="182"/>
      <c r="GJ31" s="182"/>
      <c r="GK31" s="182"/>
      <c r="GL31" s="182"/>
      <c r="GM31" s="182"/>
      <c r="GN31" s="182"/>
      <c r="GO31" s="182"/>
      <c r="GP31" s="182"/>
      <c r="GQ31" s="182"/>
      <c r="GR31" s="182"/>
      <c r="GS31" s="182"/>
      <c r="GT31" s="182"/>
      <c r="GU31" s="182"/>
      <c r="GV31" s="182"/>
      <c r="GW31" s="182"/>
      <c r="GX31" s="182"/>
      <c r="GY31" s="182"/>
      <c r="GZ31" s="182"/>
      <c r="HA31" s="182"/>
      <c r="HB31" s="182"/>
      <c r="HC31" s="182"/>
      <c r="HD31" s="182"/>
      <c r="HE31" s="182"/>
      <c r="HF31" s="182"/>
      <c r="HG31" s="182"/>
      <c r="HH31" s="182"/>
      <c r="HI31" s="182"/>
      <c r="HJ31" s="182"/>
      <c r="HK31" s="182"/>
      <c r="HL31" s="182"/>
      <c r="HM31" s="182"/>
      <c r="HN31" s="182"/>
      <c r="HO31" s="182"/>
      <c r="HP31" s="182"/>
      <c r="HQ31" s="182"/>
      <c r="HR31" s="182"/>
      <c r="HS31" s="182"/>
      <c r="HT31" s="182"/>
      <c r="HU31" s="182"/>
      <c r="HV31" s="182"/>
      <c r="HW31" s="182"/>
      <c r="HX31" s="182"/>
      <c r="HY31" s="182"/>
      <c r="HZ31" s="182"/>
      <c r="IA31" s="182"/>
      <c r="IB31" s="182"/>
      <c r="IC31" s="182"/>
      <c r="ID31" s="182"/>
      <c r="IE31" s="182"/>
      <c r="IF31" s="182"/>
      <c r="IG31" s="182"/>
      <c r="IH31" s="182"/>
      <c r="II31" s="182"/>
      <c r="IJ31" s="182"/>
      <c r="IK31" s="182"/>
      <c r="IL31" s="182"/>
      <c r="IM31" s="182"/>
      <c r="IN31" s="182"/>
      <c r="IO31" s="182"/>
      <c r="IP31" s="182"/>
      <c r="IQ31" s="182"/>
    </row>
    <row r="32" spans="1:251" s="148" customFormat="1" ht="21.75" customHeight="1">
      <c r="A32" s="186">
        <v>25</v>
      </c>
      <c r="B32" s="408" t="s">
        <v>396</v>
      </c>
      <c r="C32" s="409" t="s">
        <v>399</v>
      </c>
      <c r="D32" s="410"/>
      <c r="E32" s="410">
        <v>40</v>
      </c>
      <c r="F32" s="409" t="s">
        <v>400</v>
      </c>
      <c r="G32" s="410" t="s">
        <v>146</v>
      </c>
      <c r="H32" s="426" t="s">
        <v>154</v>
      </c>
      <c r="I32" s="187">
        <f t="shared" si="0"/>
        <v>187500</v>
      </c>
      <c r="J32" s="379" t="s">
        <v>160</v>
      </c>
      <c r="K32" s="190">
        <f t="shared" si="1"/>
        <v>135000</v>
      </c>
      <c r="L32" s="379" t="s">
        <v>158</v>
      </c>
      <c r="M32" s="188">
        <f t="shared" si="2"/>
        <v>135000</v>
      </c>
      <c r="N32" s="188">
        <f t="shared" si="3"/>
        <v>457500</v>
      </c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182"/>
      <c r="BU32" s="182"/>
      <c r="BV32" s="182"/>
      <c r="BW32" s="182"/>
      <c r="BX32" s="182"/>
      <c r="BY32" s="182"/>
      <c r="BZ32" s="182"/>
      <c r="CA32" s="182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  <c r="CN32" s="182"/>
      <c r="CO32" s="182"/>
      <c r="CP32" s="182"/>
      <c r="CQ32" s="182"/>
      <c r="CR32" s="182"/>
      <c r="CS32" s="182"/>
      <c r="CT32" s="182"/>
      <c r="CU32" s="182"/>
      <c r="CV32" s="182"/>
      <c r="CW32" s="182"/>
      <c r="CX32" s="182"/>
      <c r="CY32" s="182"/>
      <c r="CZ32" s="182"/>
      <c r="DA32" s="182"/>
      <c r="DB32" s="182"/>
      <c r="DC32" s="182"/>
      <c r="DD32" s="182"/>
      <c r="DE32" s="182"/>
      <c r="DF32" s="182"/>
      <c r="DG32" s="182"/>
      <c r="DH32" s="182"/>
      <c r="DI32" s="182"/>
      <c r="DJ32" s="182"/>
      <c r="DK32" s="182"/>
      <c r="DL32" s="182"/>
      <c r="DM32" s="182"/>
      <c r="DN32" s="182"/>
      <c r="DO32" s="182"/>
      <c r="DP32" s="182"/>
      <c r="DQ32" s="182"/>
      <c r="DR32" s="182"/>
      <c r="DS32" s="182"/>
      <c r="DT32" s="182"/>
      <c r="DU32" s="182"/>
      <c r="DV32" s="182"/>
      <c r="DW32" s="182"/>
      <c r="DX32" s="182"/>
      <c r="DY32" s="182"/>
      <c r="DZ32" s="182"/>
      <c r="EA32" s="182"/>
      <c r="EB32" s="182"/>
      <c r="EC32" s="182"/>
      <c r="ED32" s="182"/>
      <c r="EE32" s="182"/>
      <c r="EF32" s="18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W32" s="182"/>
      <c r="EX32" s="182"/>
      <c r="EY32" s="182"/>
      <c r="EZ32" s="182"/>
      <c r="FA32" s="182"/>
      <c r="FB32" s="182"/>
      <c r="FC32" s="182"/>
      <c r="FD32" s="182"/>
      <c r="FE32" s="182"/>
      <c r="FF32" s="182"/>
      <c r="FG32" s="182"/>
      <c r="FH32" s="182"/>
      <c r="FI32" s="182"/>
      <c r="FJ32" s="182"/>
      <c r="FK32" s="182"/>
      <c r="FL32" s="182"/>
      <c r="FM32" s="182"/>
      <c r="FN32" s="182"/>
      <c r="FO32" s="182"/>
      <c r="FP32" s="182"/>
      <c r="FQ32" s="182"/>
      <c r="FR32" s="182"/>
      <c r="FS32" s="182"/>
      <c r="FT32" s="182"/>
      <c r="FU32" s="182"/>
      <c r="FV32" s="182"/>
      <c r="FW32" s="182"/>
      <c r="FX32" s="182"/>
      <c r="FY32" s="182"/>
      <c r="FZ32" s="182"/>
      <c r="GA32" s="182"/>
      <c r="GB32" s="182"/>
      <c r="GC32" s="182"/>
      <c r="GD32" s="182"/>
      <c r="GE32" s="182"/>
      <c r="GF32" s="182"/>
      <c r="GG32" s="182"/>
      <c r="GH32" s="182"/>
      <c r="GI32" s="182"/>
      <c r="GJ32" s="182"/>
      <c r="GK32" s="182"/>
      <c r="GL32" s="182"/>
      <c r="GM32" s="182"/>
      <c r="GN32" s="182"/>
      <c r="GO32" s="182"/>
      <c r="GP32" s="182"/>
      <c r="GQ32" s="182"/>
      <c r="GR32" s="182"/>
      <c r="GS32" s="182"/>
      <c r="GT32" s="182"/>
      <c r="GU32" s="182"/>
      <c r="GV32" s="182"/>
      <c r="GW32" s="182"/>
      <c r="GX32" s="182"/>
      <c r="GY32" s="182"/>
      <c r="GZ32" s="182"/>
      <c r="HA32" s="182"/>
      <c r="HB32" s="182"/>
      <c r="HC32" s="182"/>
      <c r="HD32" s="182"/>
      <c r="HE32" s="182"/>
      <c r="HF32" s="182"/>
      <c r="HG32" s="182"/>
      <c r="HH32" s="182"/>
      <c r="HI32" s="182"/>
      <c r="HJ32" s="182"/>
      <c r="HK32" s="182"/>
      <c r="HL32" s="182"/>
      <c r="HM32" s="182"/>
      <c r="HN32" s="182"/>
      <c r="HO32" s="182"/>
      <c r="HP32" s="182"/>
      <c r="HQ32" s="182"/>
      <c r="HR32" s="182"/>
      <c r="HS32" s="182"/>
      <c r="HT32" s="182"/>
      <c r="HU32" s="182"/>
      <c r="HV32" s="182"/>
      <c r="HW32" s="182"/>
      <c r="HX32" s="182"/>
      <c r="HY32" s="182"/>
      <c r="HZ32" s="182"/>
      <c r="IA32" s="182"/>
      <c r="IB32" s="182"/>
      <c r="IC32" s="182"/>
      <c r="ID32" s="182"/>
      <c r="IE32" s="182"/>
      <c r="IF32" s="182"/>
      <c r="IG32" s="182"/>
      <c r="IH32" s="182"/>
      <c r="II32" s="182"/>
      <c r="IJ32" s="182"/>
      <c r="IK32" s="182"/>
      <c r="IL32" s="182"/>
      <c r="IM32" s="182"/>
      <c r="IN32" s="182"/>
      <c r="IO32" s="182"/>
      <c r="IP32" s="182"/>
      <c r="IQ32" s="182"/>
    </row>
    <row r="33" spans="1:251" s="148" customFormat="1" ht="21.75" customHeight="1">
      <c r="A33" s="186">
        <v>26</v>
      </c>
      <c r="B33" s="408" t="s">
        <v>396</v>
      </c>
      <c r="C33" s="409" t="s">
        <v>401</v>
      </c>
      <c r="D33" s="410">
        <v>28</v>
      </c>
      <c r="E33" s="410"/>
      <c r="F33" s="409" t="s">
        <v>402</v>
      </c>
      <c r="G33" s="410" t="s">
        <v>146</v>
      </c>
      <c r="H33" s="426" t="s">
        <v>155</v>
      </c>
      <c r="I33" s="187">
        <f t="shared" si="0"/>
        <v>187500</v>
      </c>
      <c r="J33" s="379" t="s">
        <v>159</v>
      </c>
      <c r="K33" s="190">
        <f t="shared" si="1"/>
        <v>135000</v>
      </c>
      <c r="L33" s="379" t="s">
        <v>160</v>
      </c>
      <c r="M33" s="188">
        <f t="shared" si="2"/>
        <v>135000</v>
      </c>
      <c r="N33" s="188">
        <f t="shared" si="3"/>
        <v>457500</v>
      </c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2"/>
      <c r="BR33" s="182"/>
      <c r="BS33" s="182"/>
      <c r="BT33" s="182"/>
      <c r="BU33" s="182"/>
      <c r="BV33" s="182"/>
      <c r="BW33" s="182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182"/>
      <c r="DH33" s="182"/>
      <c r="DI33" s="182"/>
      <c r="DJ33" s="182"/>
      <c r="DK33" s="182"/>
      <c r="DL33" s="182"/>
      <c r="DM33" s="182"/>
      <c r="DN33" s="182"/>
      <c r="DO33" s="182"/>
      <c r="DP33" s="182"/>
      <c r="DQ33" s="182"/>
      <c r="DR33" s="182"/>
      <c r="DS33" s="182"/>
      <c r="DT33" s="182"/>
      <c r="DU33" s="182"/>
      <c r="DV33" s="182"/>
      <c r="DW33" s="182"/>
      <c r="DX33" s="182"/>
      <c r="DY33" s="182"/>
      <c r="DZ33" s="182"/>
      <c r="EA33" s="182"/>
      <c r="EB33" s="182"/>
      <c r="EC33" s="182"/>
      <c r="ED33" s="182"/>
      <c r="EE33" s="182"/>
      <c r="EF33" s="18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W33" s="182"/>
      <c r="EX33" s="182"/>
      <c r="EY33" s="182"/>
      <c r="EZ33" s="182"/>
      <c r="FA33" s="182"/>
      <c r="FB33" s="182"/>
      <c r="FC33" s="182"/>
      <c r="FD33" s="182"/>
      <c r="FE33" s="182"/>
      <c r="FF33" s="182"/>
      <c r="FG33" s="182"/>
      <c r="FH33" s="182"/>
      <c r="FI33" s="182"/>
      <c r="FJ33" s="182"/>
      <c r="FK33" s="182"/>
      <c r="FL33" s="182"/>
      <c r="FM33" s="182"/>
      <c r="FN33" s="182"/>
      <c r="FO33" s="182"/>
      <c r="FP33" s="182"/>
      <c r="FQ33" s="182"/>
      <c r="FR33" s="182"/>
      <c r="FS33" s="182"/>
      <c r="FT33" s="182"/>
      <c r="FU33" s="182"/>
      <c r="FV33" s="182"/>
      <c r="FW33" s="182"/>
      <c r="FX33" s="182"/>
      <c r="FY33" s="182"/>
      <c r="FZ33" s="182"/>
      <c r="GA33" s="182"/>
      <c r="GB33" s="182"/>
      <c r="GC33" s="182"/>
      <c r="GD33" s="182"/>
      <c r="GE33" s="182"/>
      <c r="GF33" s="182"/>
      <c r="GG33" s="182"/>
      <c r="GH33" s="182"/>
      <c r="GI33" s="182"/>
      <c r="GJ33" s="182"/>
      <c r="GK33" s="182"/>
      <c r="GL33" s="182"/>
      <c r="GM33" s="182"/>
      <c r="GN33" s="182"/>
      <c r="GO33" s="182"/>
      <c r="GP33" s="182"/>
      <c r="GQ33" s="182"/>
      <c r="GR33" s="182"/>
      <c r="GS33" s="182"/>
      <c r="GT33" s="182"/>
      <c r="GU33" s="182"/>
      <c r="GV33" s="182"/>
      <c r="GW33" s="182"/>
      <c r="GX33" s="182"/>
      <c r="GY33" s="182"/>
      <c r="GZ33" s="182"/>
      <c r="HA33" s="182"/>
      <c r="HB33" s="182"/>
      <c r="HC33" s="182"/>
      <c r="HD33" s="182"/>
      <c r="HE33" s="182"/>
      <c r="HF33" s="182"/>
      <c r="HG33" s="182"/>
      <c r="HH33" s="182"/>
      <c r="HI33" s="182"/>
      <c r="HJ33" s="182"/>
      <c r="HK33" s="182"/>
      <c r="HL33" s="182"/>
      <c r="HM33" s="182"/>
      <c r="HN33" s="182"/>
      <c r="HO33" s="182"/>
      <c r="HP33" s="182"/>
      <c r="HQ33" s="182"/>
      <c r="HR33" s="182"/>
      <c r="HS33" s="182"/>
      <c r="HT33" s="182"/>
      <c r="HU33" s="182"/>
      <c r="HV33" s="182"/>
      <c r="HW33" s="182"/>
      <c r="HX33" s="182"/>
      <c r="HY33" s="182"/>
      <c r="HZ33" s="182"/>
      <c r="IA33" s="182"/>
      <c r="IB33" s="182"/>
      <c r="IC33" s="182"/>
      <c r="ID33" s="182"/>
      <c r="IE33" s="182"/>
      <c r="IF33" s="182"/>
      <c r="IG33" s="182"/>
      <c r="IH33" s="182"/>
      <c r="II33" s="182"/>
      <c r="IJ33" s="182"/>
      <c r="IK33" s="182"/>
      <c r="IL33" s="182"/>
      <c r="IM33" s="182"/>
      <c r="IN33" s="182"/>
      <c r="IO33" s="182"/>
      <c r="IP33" s="182"/>
      <c r="IQ33" s="182"/>
    </row>
    <row r="34" spans="1:251" s="148" customFormat="1" ht="21.75" customHeight="1">
      <c r="A34" s="186">
        <v>27</v>
      </c>
      <c r="B34" s="408" t="s">
        <v>396</v>
      </c>
      <c r="C34" s="409" t="s">
        <v>403</v>
      </c>
      <c r="D34" s="410">
        <v>54</v>
      </c>
      <c r="E34" s="410"/>
      <c r="F34" s="409" t="s">
        <v>395</v>
      </c>
      <c r="G34" s="410" t="s">
        <v>143</v>
      </c>
      <c r="H34" s="426" t="s">
        <v>152</v>
      </c>
      <c r="I34" s="187">
        <f t="shared" si="0"/>
        <v>420000</v>
      </c>
      <c r="J34" s="379" t="s">
        <v>157</v>
      </c>
      <c r="K34" s="190">
        <f t="shared" si="1"/>
        <v>300000</v>
      </c>
      <c r="L34" s="379" t="s">
        <v>159</v>
      </c>
      <c r="M34" s="188">
        <f t="shared" si="2"/>
        <v>300000</v>
      </c>
      <c r="N34" s="188">
        <f t="shared" si="3"/>
        <v>1020000</v>
      </c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182"/>
      <c r="BU34" s="182"/>
      <c r="BV34" s="182"/>
      <c r="BW34" s="182"/>
      <c r="BX34" s="182"/>
      <c r="BY34" s="182"/>
      <c r="BZ34" s="182"/>
      <c r="CA34" s="182"/>
      <c r="CB34" s="182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182"/>
      <c r="CN34" s="182"/>
      <c r="CO34" s="182"/>
      <c r="CP34" s="182"/>
      <c r="CQ34" s="182"/>
      <c r="CR34" s="182"/>
      <c r="CS34" s="182"/>
      <c r="CT34" s="182"/>
      <c r="CU34" s="182"/>
      <c r="CV34" s="182"/>
      <c r="CW34" s="182"/>
      <c r="CX34" s="182"/>
      <c r="CY34" s="182"/>
      <c r="CZ34" s="182"/>
      <c r="DA34" s="182"/>
      <c r="DB34" s="182"/>
      <c r="DC34" s="182"/>
      <c r="DD34" s="182"/>
      <c r="DE34" s="182"/>
      <c r="DF34" s="182"/>
      <c r="DG34" s="182"/>
      <c r="DH34" s="182"/>
      <c r="DI34" s="182"/>
      <c r="DJ34" s="182"/>
      <c r="DK34" s="182"/>
      <c r="DL34" s="182"/>
      <c r="DM34" s="182"/>
      <c r="DN34" s="182"/>
      <c r="DO34" s="182"/>
      <c r="DP34" s="182"/>
      <c r="DQ34" s="182"/>
      <c r="DR34" s="182"/>
      <c r="DS34" s="182"/>
      <c r="DT34" s="182"/>
      <c r="DU34" s="182"/>
      <c r="DV34" s="182"/>
      <c r="DW34" s="182"/>
      <c r="DX34" s="182"/>
      <c r="DY34" s="182"/>
      <c r="DZ34" s="182"/>
      <c r="EA34" s="182"/>
      <c r="EB34" s="182"/>
      <c r="EC34" s="182"/>
      <c r="ED34" s="182"/>
      <c r="EE34" s="182"/>
      <c r="EF34" s="18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W34" s="182"/>
      <c r="EX34" s="182"/>
      <c r="EY34" s="182"/>
      <c r="EZ34" s="182"/>
      <c r="FA34" s="182"/>
      <c r="FB34" s="182"/>
      <c r="FC34" s="182"/>
      <c r="FD34" s="182"/>
      <c r="FE34" s="182"/>
      <c r="FF34" s="182"/>
      <c r="FG34" s="182"/>
      <c r="FH34" s="182"/>
      <c r="FI34" s="182"/>
      <c r="FJ34" s="182"/>
      <c r="FK34" s="182"/>
      <c r="FL34" s="182"/>
      <c r="FM34" s="182"/>
      <c r="FN34" s="182"/>
      <c r="FO34" s="182"/>
      <c r="FP34" s="182"/>
      <c r="FQ34" s="182"/>
      <c r="FR34" s="182"/>
      <c r="FS34" s="182"/>
      <c r="FT34" s="182"/>
      <c r="FU34" s="182"/>
      <c r="FV34" s="182"/>
      <c r="FW34" s="182"/>
      <c r="FX34" s="182"/>
      <c r="FY34" s="182"/>
      <c r="FZ34" s="182"/>
      <c r="GA34" s="182"/>
      <c r="GB34" s="182"/>
      <c r="GC34" s="182"/>
      <c r="GD34" s="182"/>
      <c r="GE34" s="182"/>
      <c r="GF34" s="182"/>
      <c r="GG34" s="182"/>
      <c r="GH34" s="182"/>
      <c r="GI34" s="182"/>
      <c r="GJ34" s="182"/>
      <c r="GK34" s="182"/>
      <c r="GL34" s="182"/>
      <c r="GM34" s="182"/>
      <c r="GN34" s="182"/>
      <c r="GO34" s="182"/>
      <c r="GP34" s="182"/>
      <c r="GQ34" s="182"/>
      <c r="GR34" s="182"/>
      <c r="GS34" s="182"/>
      <c r="GT34" s="182"/>
      <c r="GU34" s="182"/>
      <c r="GV34" s="182"/>
      <c r="GW34" s="182"/>
      <c r="GX34" s="182"/>
      <c r="GY34" s="182"/>
      <c r="GZ34" s="182"/>
      <c r="HA34" s="182"/>
      <c r="HB34" s="182"/>
      <c r="HC34" s="182"/>
      <c r="HD34" s="182"/>
      <c r="HE34" s="182"/>
      <c r="HF34" s="182"/>
      <c r="HG34" s="182"/>
      <c r="HH34" s="182"/>
      <c r="HI34" s="182"/>
      <c r="HJ34" s="182"/>
      <c r="HK34" s="182"/>
      <c r="HL34" s="182"/>
      <c r="HM34" s="182"/>
      <c r="HN34" s="182"/>
      <c r="HO34" s="182"/>
      <c r="HP34" s="182"/>
      <c r="HQ34" s="182"/>
      <c r="HR34" s="182"/>
      <c r="HS34" s="182"/>
      <c r="HT34" s="182"/>
      <c r="HU34" s="182"/>
      <c r="HV34" s="182"/>
      <c r="HW34" s="182"/>
      <c r="HX34" s="182"/>
      <c r="HY34" s="182"/>
      <c r="HZ34" s="182"/>
      <c r="IA34" s="182"/>
      <c r="IB34" s="182"/>
      <c r="IC34" s="182"/>
      <c r="ID34" s="182"/>
      <c r="IE34" s="182"/>
      <c r="IF34" s="182"/>
      <c r="IG34" s="182"/>
      <c r="IH34" s="182"/>
      <c r="II34" s="182"/>
      <c r="IJ34" s="182"/>
      <c r="IK34" s="182"/>
      <c r="IL34" s="182"/>
      <c r="IM34" s="182"/>
      <c r="IN34" s="182"/>
      <c r="IO34" s="182"/>
      <c r="IP34" s="182"/>
      <c r="IQ34" s="182"/>
    </row>
    <row r="35" spans="1:251" s="148" customFormat="1" ht="21.75" customHeight="1">
      <c r="A35" s="186">
        <v>28</v>
      </c>
      <c r="B35" s="408" t="s">
        <v>396</v>
      </c>
      <c r="C35" s="409" t="s">
        <v>404</v>
      </c>
      <c r="D35" s="410">
        <v>71</v>
      </c>
      <c r="E35" s="410"/>
      <c r="F35" s="409" t="s">
        <v>395</v>
      </c>
      <c r="G35" s="410" t="s">
        <v>143</v>
      </c>
      <c r="H35" s="427" t="s">
        <v>151</v>
      </c>
      <c r="I35" s="187">
        <f t="shared" si="0"/>
        <v>420000</v>
      </c>
      <c r="J35" s="379" t="s">
        <v>152</v>
      </c>
      <c r="K35" s="190">
        <f t="shared" si="1"/>
        <v>300000</v>
      </c>
      <c r="L35" s="379" t="s">
        <v>280</v>
      </c>
      <c r="M35" s="188">
        <f t="shared" si="2"/>
        <v>300000</v>
      </c>
      <c r="N35" s="188">
        <f t="shared" si="3"/>
        <v>1020000</v>
      </c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182"/>
      <c r="BN35" s="182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  <c r="CE35" s="182"/>
      <c r="CF35" s="182"/>
      <c r="CG35" s="182"/>
      <c r="CH35" s="182"/>
      <c r="CI35" s="182"/>
      <c r="CJ35" s="182"/>
      <c r="CK35" s="182"/>
      <c r="CL35" s="182"/>
      <c r="CM35" s="182"/>
      <c r="CN35" s="182"/>
      <c r="CO35" s="182"/>
      <c r="CP35" s="182"/>
      <c r="CQ35" s="182"/>
      <c r="CR35" s="182"/>
      <c r="CS35" s="182"/>
      <c r="CT35" s="182"/>
      <c r="CU35" s="182"/>
      <c r="CV35" s="182"/>
      <c r="CW35" s="182"/>
      <c r="CX35" s="182"/>
      <c r="CY35" s="182"/>
      <c r="CZ35" s="182"/>
      <c r="DA35" s="182"/>
      <c r="DB35" s="182"/>
      <c r="DC35" s="182"/>
      <c r="DD35" s="182"/>
      <c r="DE35" s="182"/>
      <c r="DF35" s="182"/>
      <c r="DG35" s="182"/>
      <c r="DH35" s="182"/>
      <c r="DI35" s="182"/>
      <c r="DJ35" s="182"/>
      <c r="DK35" s="182"/>
      <c r="DL35" s="182"/>
      <c r="DM35" s="182"/>
      <c r="DN35" s="182"/>
      <c r="DO35" s="182"/>
      <c r="DP35" s="182"/>
      <c r="DQ35" s="182"/>
      <c r="DR35" s="182"/>
      <c r="DS35" s="182"/>
      <c r="DT35" s="182"/>
      <c r="DU35" s="182"/>
      <c r="DV35" s="182"/>
      <c r="DW35" s="182"/>
      <c r="DX35" s="182"/>
      <c r="DY35" s="182"/>
      <c r="DZ35" s="182"/>
      <c r="EA35" s="182"/>
      <c r="EB35" s="182"/>
      <c r="EC35" s="182"/>
      <c r="ED35" s="182"/>
      <c r="EE35" s="182"/>
      <c r="EF35" s="18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W35" s="182"/>
      <c r="EX35" s="182"/>
      <c r="EY35" s="182"/>
      <c r="EZ35" s="182"/>
      <c r="FA35" s="182"/>
      <c r="FB35" s="182"/>
      <c r="FC35" s="182"/>
      <c r="FD35" s="182"/>
      <c r="FE35" s="182"/>
      <c r="FF35" s="182"/>
      <c r="FG35" s="182"/>
      <c r="FH35" s="182"/>
      <c r="FI35" s="182"/>
      <c r="FJ35" s="182"/>
      <c r="FK35" s="182"/>
      <c r="FL35" s="182"/>
      <c r="FM35" s="182"/>
      <c r="FN35" s="182"/>
      <c r="FO35" s="182"/>
      <c r="FP35" s="182"/>
      <c r="FQ35" s="182"/>
      <c r="FR35" s="182"/>
      <c r="FS35" s="182"/>
      <c r="FT35" s="182"/>
      <c r="FU35" s="182"/>
      <c r="FV35" s="182"/>
      <c r="FW35" s="182"/>
      <c r="FX35" s="182"/>
      <c r="FY35" s="182"/>
      <c r="FZ35" s="182"/>
      <c r="GA35" s="182"/>
      <c r="GB35" s="182"/>
      <c r="GC35" s="182"/>
      <c r="GD35" s="182"/>
      <c r="GE35" s="182"/>
      <c r="GF35" s="182"/>
      <c r="GG35" s="182"/>
      <c r="GH35" s="182"/>
      <c r="GI35" s="182"/>
      <c r="GJ35" s="182"/>
      <c r="GK35" s="182"/>
      <c r="GL35" s="182"/>
      <c r="GM35" s="182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182"/>
      <c r="HQ35" s="182"/>
      <c r="HR35" s="182"/>
      <c r="HS35" s="182"/>
      <c r="HT35" s="182"/>
      <c r="HU35" s="182"/>
      <c r="HV35" s="182"/>
      <c r="HW35" s="182"/>
      <c r="HX35" s="182"/>
      <c r="HY35" s="182"/>
      <c r="HZ35" s="182"/>
      <c r="IA35" s="182"/>
      <c r="IB35" s="182"/>
      <c r="IC35" s="182"/>
      <c r="ID35" s="182"/>
      <c r="IE35" s="182"/>
      <c r="IF35" s="182"/>
      <c r="IG35" s="182"/>
      <c r="IH35" s="182"/>
      <c r="II35" s="182"/>
      <c r="IJ35" s="182"/>
      <c r="IK35" s="182"/>
      <c r="IL35" s="182"/>
      <c r="IM35" s="182"/>
      <c r="IN35" s="182"/>
      <c r="IO35" s="182"/>
      <c r="IP35" s="182"/>
      <c r="IQ35" s="182"/>
    </row>
    <row r="36" spans="1:251" s="148" customFormat="1" ht="21.75" customHeight="1">
      <c r="A36" s="186">
        <v>29</v>
      </c>
      <c r="B36" s="408" t="s">
        <v>396</v>
      </c>
      <c r="C36" s="409" t="s">
        <v>404</v>
      </c>
      <c r="D36" s="410">
        <v>71</v>
      </c>
      <c r="E36" s="410"/>
      <c r="F36" s="409" t="s">
        <v>405</v>
      </c>
      <c r="G36" s="410" t="s">
        <v>143</v>
      </c>
      <c r="H36" s="426" t="s">
        <v>155</v>
      </c>
      <c r="I36" s="187">
        <f t="shared" si="0"/>
        <v>420000</v>
      </c>
      <c r="J36" s="379" t="s">
        <v>157</v>
      </c>
      <c r="K36" s="190">
        <f t="shared" si="1"/>
        <v>300000</v>
      </c>
      <c r="L36" s="379" t="s">
        <v>158</v>
      </c>
      <c r="M36" s="188">
        <f t="shared" si="2"/>
        <v>300000</v>
      </c>
      <c r="N36" s="188">
        <f t="shared" si="3"/>
        <v>1020000</v>
      </c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  <c r="CE36" s="182"/>
      <c r="CF36" s="182"/>
      <c r="CG36" s="182"/>
      <c r="CH36" s="182"/>
      <c r="CI36" s="182"/>
      <c r="CJ36" s="182"/>
      <c r="CK36" s="182"/>
      <c r="CL36" s="182"/>
      <c r="CM36" s="182"/>
      <c r="CN36" s="182"/>
      <c r="CO36" s="182"/>
      <c r="CP36" s="182"/>
      <c r="CQ36" s="182"/>
      <c r="CR36" s="182"/>
      <c r="CS36" s="182"/>
      <c r="CT36" s="182"/>
      <c r="CU36" s="182"/>
      <c r="CV36" s="182"/>
      <c r="CW36" s="182"/>
      <c r="CX36" s="182"/>
      <c r="CY36" s="182"/>
      <c r="CZ36" s="182"/>
      <c r="DA36" s="182"/>
      <c r="DB36" s="182"/>
      <c r="DC36" s="182"/>
      <c r="DD36" s="182"/>
      <c r="DE36" s="182"/>
      <c r="DF36" s="182"/>
      <c r="DG36" s="182"/>
      <c r="DH36" s="182"/>
      <c r="DI36" s="182"/>
      <c r="DJ36" s="182"/>
      <c r="DK36" s="182"/>
      <c r="DL36" s="182"/>
      <c r="DM36" s="182"/>
      <c r="DN36" s="182"/>
      <c r="DO36" s="182"/>
      <c r="DP36" s="182"/>
      <c r="DQ36" s="182"/>
      <c r="DR36" s="182"/>
      <c r="DS36" s="182"/>
      <c r="DT36" s="182"/>
      <c r="DU36" s="182"/>
      <c r="DV36" s="182"/>
      <c r="DW36" s="182"/>
      <c r="DX36" s="182"/>
      <c r="DY36" s="182"/>
      <c r="DZ36" s="182"/>
      <c r="EA36" s="182"/>
      <c r="EB36" s="182"/>
      <c r="EC36" s="182"/>
      <c r="ED36" s="182"/>
      <c r="EE36" s="182"/>
      <c r="EF36" s="182"/>
      <c r="EG36" s="182"/>
      <c r="EH36" s="182"/>
      <c r="EI36" s="182"/>
      <c r="EJ36" s="182"/>
      <c r="EK36" s="182"/>
      <c r="EL36" s="182"/>
      <c r="EM36" s="182"/>
      <c r="EN36" s="182"/>
      <c r="EO36" s="182"/>
      <c r="EP36" s="182"/>
      <c r="EQ36" s="182"/>
      <c r="ER36" s="182"/>
      <c r="ES36" s="182"/>
      <c r="ET36" s="182"/>
      <c r="EU36" s="182"/>
      <c r="EV36" s="182"/>
      <c r="EW36" s="182"/>
      <c r="EX36" s="182"/>
      <c r="EY36" s="182"/>
      <c r="EZ36" s="182"/>
      <c r="FA36" s="182"/>
      <c r="FB36" s="182"/>
      <c r="FC36" s="182"/>
      <c r="FD36" s="182"/>
      <c r="FE36" s="182"/>
      <c r="FF36" s="182"/>
      <c r="FG36" s="182"/>
      <c r="FH36" s="182"/>
      <c r="FI36" s="182"/>
      <c r="FJ36" s="182"/>
      <c r="FK36" s="182"/>
      <c r="FL36" s="182"/>
      <c r="FM36" s="182"/>
      <c r="FN36" s="182"/>
      <c r="FO36" s="182"/>
      <c r="FP36" s="182"/>
      <c r="FQ36" s="182"/>
      <c r="FR36" s="182"/>
      <c r="FS36" s="182"/>
      <c r="FT36" s="182"/>
      <c r="FU36" s="182"/>
      <c r="FV36" s="182"/>
      <c r="FW36" s="182"/>
      <c r="FX36" s="182"/>
      <c r="FY36" s="182"/>
      <c r="FZ36" s="182"/>
      <c r="GA36" s="182"/>
      <c r="GB36" s="182"/>
      <c r="GC36" s="182"/>
      <c r="GD36" s="182"/>
      <c r="GE36" s="182"/>
      <c r="GF36" s="182"/>
      <c r="GG36" s="182"/>
      <c r="GH36" s="182"/>
      <c r="GI36" s="182"/>
      <c r="GJ36" s="182"/>
      <c r="GK36" s="182"/>
      <c r="GL36" s="182"/>
      <c r="GM36" s="182"/>
      <c r="GN36" s="182"/>
      <c r="GO36" s="182"/>
      <c r="GP36" s="182"/>
      <c r="GQ36" s="182"/>
      <c r="GR36" s="182"/>
      <c r="GS36" s="182"/>
      <c r="GT36" s="182"/>
      <c r="GU36" s="182"/>
      <c r="GV36" s="182"/>
      <c r="GW36" s="182"/>
      <c r="GX36" s="182"/>
      <c r="GY36" s="182"/>
      <c r="GZ36" s="182"/>
      <c r="HA36" s="182"/>
      <c r="HB36" s="182"/>
      <c r="HC36" s="182"/>
      <c r="HD36" s="182"/>
      <c r="HE36" s="182"/>
      <c r="HF36" s="182"/>
      <c r="HG36" s="182"/>
      <c r="HH36" s="182"/>
      <c r="HI36" s="182"/>
      <c r="HJ36" s="182"/>
      <c r="HK36" s="182"/>
      <c r="HL36" s="182"/>
      <c r="HM36" s="182"/>
      <c r="HN36" s="182"/>
      <c r="HO36" s="182"/>
      <c r="HP36" s="182"/>
      <c r="HQ36" s="182"/>
      <c r="HR36" s="182"/>
      <c r="HS36" s="182"/>
      <c r="HT36" s="182"/>
      <c r="HU36" s="182"/>
      <c r="HV36" s="182"/>
      <c r="HW36" s="182"/>
      <c r="HX36" s="182"/>
      <c r="HY36" s="182"/>
      <c r="HZ36" s="182"/>
      <c r="IA36" s="182"/>
      <c r="IB36" s="182"/>
      <c r="IC36" s="182"/>
      <c r="ID36" s="182"/>
      <c r="IE36" s="182"/>
      <c r="IF36" s="182"/>
      <c r="IG36" s="182"/>
      <c r="IH36" s="182"/>
      <c r="II36" s="182"/>
      <c r="IJ36" s="182"/>
      <c r="IK36" s="182"/>
      <c r="IL36" s="182"/>
      <c r="IM36" s="182"/>
      <c r="IN36" s="182"/>
      <c r="IO36" s="182"/>
      <c r="IP36" s="182"/>
      <c r="IQ36" s="182"/>
    </row>
    <row r="37" spans="1:251" s="148" customFormat="1" ht="21.75" customHeight="1">
      <c r="A37" s="186">
        <v>30</v>
      </c>
      <c r="B37" s="408" t="s">
        <v>396</v>
      </c>
      <c r="C37" s="409" t="s">
        <v>406</v>
      </c>
      <c r="D37" s="410"/>
      <c r="E37" s="410">
        <v>19</v>
      </c>
      <c r="F37" s="409" t="s">
        <v>395</v>
      </c>
      <c r="G37" s="410" t="s">
        <v>143</v>
      </c>
      <c r="H37" s="426" t="s">
        <v>155</v>
      </c>
      <c r="I37" s="187">
        <f t="shared" si="0"/>
        <v>420000</v>
      </c>
      <c r="J37" s="379" t="s">
        <v>173</v>
      </c>
      <c r="K37" s="190">
        <f t="shared" si="1"/>
        <v>300000</v>
      </c>
      <c r="L37" s="379" t="s">
        <v>281</v>
      </c>
      <c r="M37" s="188">
        <f t="shared" si="2"/>
        <v>300000</v>
      </c>
      <c r="N37" s="188">
        <f t="shared" si="3"/>
        <v>1020000</v>
      </c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  <c r="CM37" s="182"/>
      <c r="CN37" s="182"/>
      <c r="CO37" s="182"/>
      <c r="CP37" s="182"/>
      <c r="CQ37" s="182"/>
      <c r="CR37" s="182"/>
      <c r="CS37" s="182"/>
      <c r="CT37" s="182"/>
      <c r="CU37" s="182"/>
      <c r="CV37" s="182"/>
      <c r="CW37" s="182"/>
      <c r="CX37" s="182"/>
      <c r="CY37" s="182"/>
      <c r="CZ37" s="182"/>
      <c r="DA37" s="182"/>
      <c r="DB37" s="182"/>
      <c r="DC37" s="182"/>
      <c r="DD37" s="182"/>
      <c r="DE37" s="182"/>
      <c r="DF37" s="182"/>
      <c r="DG37" s="182"/>
      <c r="DH37" s="182"/>
      <c r="DI37" s="182"/>
      <c r="DJ37" s="182"/>
      <c r="DK37" s="182"/>
      <c r="DL37" s="182"/>
      <c r="DM37" s="182"/>
      <c r="DN37" s="182"/>
      <c r="DO37" s="182"/>
      <c r="DP37" s="182"/>
      <c r="DQ37" s="182"/>
      <c r="DR37" s="182"/>
      <c r="DS37" s="182"/>
      <c r="DT37" s="182"/>
      <c r="DU37" s="182"/>
      <c r="DV37" s="182"/>
      <c r="DW37" s="182"/>
      <c r="DX37" s="182"/>
      <c r="DY37" s="182"/>
      <c r="DZ37" s="182"/>
      <c r="EA37" s="182"/>
      <c r="EB37" s="182"/>
      <c r="EC37" s="182"/>
      <c r="ED37" s="182"/>
      <c r="EE37" s="182"/>
      <c r="EF37" s="182"/>
      <c r="EG37" s="182"/>
      <c r="EH37" s="182"/>
      <c r="EI37" s="182"/>
      <c r="EJ37" s="182"/>
      <c r="EK37" s="182"/>
      <c r="EL37" s="182"/>
      <c r="EM37" s="182"/>
      <c r="EN37" s="182"/>
      <c r="EO37" s="182"/>
      <c r="EP37" s="182"/>
      <c r="EQ37" s="182"/>
      <c r="ER37" s="182"/>
      <c r="ES37" s="182"/>
      <c r="ET37" s="182"/>
      <c r="EU37" s="182"/>
      <c r="EV37" s="182"/>
      <c r="EW37" s="182"/>
      <c r="EX37" s="182"/>
      <c r="EY37" s="182"/>
      <c r="EZ37" s="182"/>
      <c r="FA37" s="182"/>
      <c r="FB37" s="182"/>
      <c r="FC37" s="182"/>
      <c r="FD37" s="182"/>
      <c r="FE37" s="182"/>
      <c r="FF37" s="182"/>
      <c r="FG37" s="182"/>
      <c r="FH37" s="182"/>
      <c r="FI37" s="182"/>
      <c r="FJ37" s="182"/>
      <c r="FK37" s="182"/>
      <c r="FL37" s="182"/>
      <c r="FM37" s="182"/>
      <c r="FN37" s="182"/>
      <c r="FO37" s="182"/>
      <c r="FP37" s="182"/>
      <c r="FQ37" s="182"/>
      <c r="FR37" s="182"/>
      <c r="FS37" s="182"/>
      <c r="FT37" s="182"/>
      <c r="FU37" s="182"/>
      <c r="FV37" s="182"/>
      <c r="FW37" s="182"/>
      <c r="FX37" s="182"/>
      <c r="FY37" s="182"/>
      <c r="FZ37" s="182"/>
      <c r="GA37" s="182"/>
      <c r="GB37" s="182"/>
      <c r="GC37" s="182"/>
      <c r="GD37" s="182"/>
      <c r="GE37" s="182"/>
      <c r="GF37" s="182"/>
      <c r="GG37" s="182"/>
      <c r="GH37" s="182"/>
      <c r="GI37" s="182"/>
      <c r="GJ37" s="182"/>
      <c r="GK37" s="182"/>
      <c r="GL37" s="182"/>
      <c r="GM37" s="182"/>
      <c r="GN37" s="182"/>
      <c r="GO37" s="182"/>
      <c r="GP37" s="182"/>
      <c r="GQ37" s="182"/>
      <c r="GR37" s="182"/>
      <c r="GS37" s="182"/>
      <c r="GT37" s="182"/>
      <c r="GU37" s="182"/>
      <c r="GV37" s="182"/>
      <c r="GW37" s="182"/>
      <c r="GX37" s="182"/>
      <c r="GY37" s="182"/>
      <c r="GZ37" s="182"/>
      <c r="HA37" s="182"/>
      <c r="HB37" s="182"/>
      <c r="HC37" s="182"/>
      <c r="HD37" s="182"/>
      <c r="HE37" s="182"/>
      <c r="HF37" s="182"/>
      <c r="HG37" s="182"/>
      <c r="HH37" s="182"/>
      <c r="HI37" s="182"/>
      <c r="HJ37" s="182"/>
      <c r="HK37" s="182"/>
      <c r="HL37" s="182"/>
      <c r="HM37" s="182"/>
      <c r="HN37" s="182"/>
      <c r="HO37" s="182"/>
      <c r="HP37" s="182"/>
      <c r="HQ37" s="182"/>
      <c r="HR37" s="182"/>
      <c r="HS37" s="182"/>
      <c r="HT37" s="182"/>
      <c r="HU37" s="182"/>
      <c r="HV37" s="182"/>
      <c r="HW37" s="182"/>
      <c r="HX37" s="182"/>
      <c r="HY37" s="182"/>
      <c r="HZ37" s="182"/>
      <c r="IA37" s="182"/>
      <c r="IB37" s="182"/>
      <c r="IC37" s="182"/>
      <c r="ID37" s="182"/>
      <c r="IE37" s="182"/>
      <c r="IF37" s="182"/>
      <c r="IG37" s="182"/>
      <c r="IH37" s="182"/>
      <c r="II37" s="182"/>
      <c r="IJ37" s="182"/>
      <c r="IK37" s="182"/>
      <c r="IL37" s="182"/>
      <c r="IM37" s="182"/>
      <c r="IN37" s="182"/>
      <c r="IO37" s="182"/>
      <c r="IP37" s="182"/>
      <c r="IQ37" s="182"/>
    </row>
    <row r="38" spans="1:251" s="148" customFormat="1" ht="21.75" customHeight="1">
      <c r="A38" s="186">
        <v>31</v>
      </c>
      <c r="B38" s="408" t="s">
        <v>407</v>
      </c>
      <c r="C38" s="409" t="s">
        <v>70</v>
      </c>
      <c r="D38" s="410"/>
      <c r="E38" s="410">
        <v>36</v>
      </c>
      <c r="F38" s="409" t="s">
        <v>170</v>
      </c>
      <c r="G38" s="410" t="s">
        <v>148</v>
      </c>
      <c r="H38" s="427" t="s">
        <v>151</v>
      </c>
      <c r="I38" s="187">
        <f t="shared" si="0"/>
        <v>420000</v>
      </c>
      <c r="J38" s="379" t="s">
        <v>153</v>
      </c>
      <c r="K38" s="190">
        <f t="shared" si="1"/>
        <v>300000</v>
      </c>
      <c r="L38" s="379" t="s">
        <v>157</v>
      </c>
      <c r="M38" s="188">
        <f t="shared" si="2"/>
        <v>300000</v>
      </c>
      <c r="N38" s="188">
        <f t="shared" si="3"/>
        <v>1020000</v>
      </c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2"/>
      <c r="BN38" s="182"/>
      <c r="BO38" s="182"/>
      <c r="BP38" s="182"/>
      <c r="BQ38" s="182"/>
      <c r="BR38" s="182"/>
      <c r="BS38" s="182"/>
      <c r="BT38" s="182"/>
      <c r="BU38" s="182"/>
      <c r="BV38" s="182"/>
      <c r="BW38" s="182"/>
      <c r="BX38" s="182"/>
      <c r="BY38" s="182"/>
      <c r="BZ38" s="182"/>
      <c r="CA38" s="182"/>
      <c r="CB38" s="182"/>
      <c r="CC38" s="182"/>
      <c r="CD38" s="182"/>
      <c r="CE38" s="182"/>
      <c r="CF38" s="182"/>
      <c r="CG38" s="182"/>
      <c r="CH38" s="182"/>
      <c r="CI38" s="182"/>
      <c r="CJ38" s="182"/>
      <c r="CK38" s="182"/>
      <c r="CL38" s="182"/>
      <c r="CM38" s="182"/>
      <c r="CN38" s="182"/>
      <c r="CO38" s="182"/>
      <c r="CP38" s="182"/>
      <c r="CQ38" s="182"/>
      <c r="CR38" s="182"/>
      <c r="CS38" s="182"/>
      <c r="CT38" s="182"/>
      <c r="CU38" s="182"/>
      <c r="CV38" s="182"/>
      <c r="CW38" s="182"/>
      <c r="CX38" s="182"/>
      <c r="CY38" s="182"/>
      <c r="CZ38" s="182"/>
      <c r="DA38" s="182"/>
      <c r="DB38" s="182"/>
      <c r="DC38" s="182"/>
      <c r="DD38" s="182"/>
      <c r="DE38" s="182"/>
      <c r="DF38" s="182"/>
      <c r="DG38" s="182"/>
      <c r="DH38" s="182"/>
      <c r="DI38" s="182"/>
      <c r="DJ38" s="182"/>
      <c r="DK38" s="182"/>
      <c r="DL38" s="182"/>
      <c r="DM38" s="182"/>
      <c r="DN38" s="182"/>
      <c r="DO38" s="182"/>
      <c r="DP38" s="182"/>
      <c r="DQ38" s="182"/>
      <c r="DR38" s="182"/>
      <c r="DS38" s="182"/>
      <c r="DT38" s="182"/>
      <c r="DU38" s="182"/>
      <c r="DV38" s="182"/>
      <c r="DW38" s="182"/>
      <c r="DX38" s="182"/>
      <c r="DY38" s="182"/>
      <c r="DZ38" s="182"/>
      <c r="EA38" s="182"/>
      <c r="EB38" s="182"/>
      <c r="EC38" s="182"/>
      <c r="ED38" s="182"/>
      <c r="EE38" s="182"/>
      <c r="EF38" s="182"/>
      <c r="EG38" s="182"/>
      <c r="EH38" s="182"/>
      <c r="EI38" s="182"/>
      <c r="EJ38" s="182"/>
      <c r="EK38" s="182"/>
      <c r="EL38" s="182"/>
      <c r="EM38" s="182"/>
      <c r="EN38" s="182"/>
      <c r="EO38" s="182"/>
      <c r="EP38" s="182"/>
      <c r="EQ38" s="182"/>
      <c r="ER38" s="182"/>
      <c r="ES38" s="182"/>
      <c r="ET38" s="182"/>
      <c r="EU38" s="182"/>
      <c r="EV38" s="182"/>
      <c r="EW38" s="182"/>
      <c r="EX38" s="182"/>
      <c r="EY38" s="182"/>
      <c r="EZ38" s="182"/>
      <c r="FA38" s="182"/>
      <c r="FB38" s="182"/>
      <c r="FC38" s="182"/>
      <c r="FD38" s="182"/>
      <c r="FE38" s="182"/>
      <c r="FF38" s="182"/>
      <c r="FG38" s="182"/>
      <c r="FH38" s="182"/>
      <c r="FI38" s="182"/>
      <c r="FJ38" s="182"/>
      <c r="FK38" s="182"/>
      <c r="FL38" s="182"/>
      <c r="FM38" s="182"/>
      <c r="FN38" s="182"/>
      <c r="FO38" s="182"/>
      <c r="FP38" s="182"/>
      <c r="FQ38" s="182"/>
      <c r="FR38" s="182"/>
      <c r="FS38" s="182"/>
      <c r="FT38" s="182"/>
      <c r="FU38" s="182"/>
      <c r="FV38" s="182"/>
      <c r="FW38" s="182"/>
      <c r="FX38" s="182"/>
      <c r="FY38" s="182"/>
      <c r="FZ38" s="182"/>
      <c r="GA38" s="182"/>
      <c r="GB38" s="182"/>
      <c r="GC38" s="182"/>
      <c r="GD38" s="182"/>
      <c r="GE38" s="182"/>
      <c r="GF38" s="182"/>
      <c r="GG38" s="182"/>
      <c r="GH38" s="182"/>
      <c r="GI38" s="182"/>
      <c r="GJ38" s="182"/>
      <c r="GK38" s="182"/>
      <c r="GL38" s="182"/>
      <c r="GM38" s="182"/>
      <c r="GN38" s="182"/>
      <c r="GO38" s="182"/>
      <c r="GP38" s="182"/>
      <c r="GQ38" s="182"/>
      <c r="GR38" s="182"/>
      <c r="GS38" s="182"/>
      <c r="GT38" s="182"/>
      <c r="GU38" s="182"/>
      <c r="GV38" s="182"/>
      <c r="GW38" s="182"/>
      <c r="GX38" s="182"/>
      <c r="GY38" s="182"/>
      <c r="GZ38" s="182"/>
      <c r="HA38" s="182"/>
      <c r="HB38" s="182"/>
      <c r="HC38" s="182"/>
      <c r="HD38" s="182"/>
      <c r="HE38" s="182"/>
      <c r="HF38" s="182"/>
      <c r="HG38" s="182"/>
      <c r="HH38" s="182"/>
      <c r="HI38" s="182"/>
      <c r="HJ38" s="182"/>
      <c r="HK38" s="182"/>
      <c r="HL38" s="182"/>
      <c r="HM38" s="182"/>
      <c r="HN38" s="182"/>
      <c r="HO38" s="182"/>
      <c r="HP38" s="182"/>
      <c r="HQ38" s="182"/>
      <c r="HR38" s="182"/>
      <c r="HS38" s="182"/>
      <c r="HT38" s="182"/>
      <c r="HU38" s="182"/>
      <c r="HV38" s="182"/>
      <c r="HW38" s="182"/>
      <c r="HX38" s="182"/>
      <c r="HY38" s="182"/>
      <c r="HZ38" s="182"/>
      <c r="IA38" s="182"/>
      <c r="IB38" s="182"/>
      <c r="IC38" s="182"/>
      <c r="ID38" s="182"/>
      <c r="IE38" s="182"/>
      <c r="IF38" s="182"/>
      <c r="IG38" s="182"/>
      <c r="IH38" s="182"/>
      <c r="II38" s="182"/>
      <c r="IJ38" s="182"/>
      <c r="IK38" s="182"/>
      <c r="IL38" s="182"/>
      <c r="IM38" s="182"/>
      <c r="IN38" s="182"/>
      <c r="IO38" s="182"/>
      <c r="IP38" s="182"/>
      <c r="IQ38" s="182"/>
    </row>
    <row r="39" spans="1:251" s="148" customFormat="1" ht="21.75" customHeight="1">
      <c r="A39" s="186">
        <v>32</v>
      </c>
      <c r="B39" s="408" t="s">
        <v>407</v>
      </c>
      <c r="C39" s="409" t="s">
        <v>408</v>
      </c>
      <c r="D39" s="410"/>
      <c r="E39" s="410">
        <v>72</v>
      </c>
      <c r="F39" s="409" t="s">
        <v>395</v>
      </c>
      <c r="G39" s="410" t="s">
        <v>143</v>
      </c>
      <c r="H39" s="426" t="s">
        <v>153</v>
      </c>
      <c r="I39" s="187">
        <f t="shared" si="0"/>
        <v>420000</v>
      </c>
      <c r="J39" s="379" t="s">
        <v>157</v>
      </c>
      <c r="K39" s="190">
        <f t="shared" si="1"/>
        <v>300000</v>
      </c>
      <c r="L39" s="379" t="s">
        <v>280</v>
      </c>
      <c r="M39" s="188">
        <f t="shared" si="2"/>
        <v>300000</v>
      </c>
      <c r="N39" s="188">
        <f t="shared" si="3"/>
        <v>1020000</v>
      </c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82"/>
      <c r="DN39" s="182"/>
      <c r="DO39" s="182"/>
      <c r="DP39" s="182"/>
      <c r="DQ39" s="182"/>
      <c r="DR39" s="182"/>
      <c r="DS39" s="182"/>
      <c r="DT39" s="182"/>
      <c r="DU39" s="182"/>
      <c r="DV39" s="182"/>
      <c r="DW39" s="182"/>
      <c r="DX39" s="182"/>
      <c r="DY39" s="182"/>
      <c r="DZ39" s="182"/>
      <c r="EA39" s="182"/>
      <c r="EB39" s="182"/>
      <c r="EC39" s="182"/>
      <c r="ED39" s="182"/>
      <c r="EE39" s="182"/>
      <c r="EF39" s="182"/>
      <c r="EG39" s="182"/>
      <c r="EH39" s="182"/>
      <c r="EI39" s="182"/>
      <c r="EJ39" s="182"/>
      <c r="EK39" s="182"/>
      <c r="EL39" s="182"/>
      <c r="EM39" s="182"/>
      <c r="EN39" s="182"/>
      <c r="EO39" s="182"/>
      <c r="EP39" s="182"/>
      <c r="EQ39" s="182"/>
      <c r="ER39" s="182"/>
      <c r="ES39" s="182"/>
      <c r="ET39" s="182"/>
      <c r="EU39" s="182"/>
      <c r="EV39" s="182"/>
      <c r="EW39" s="182"/>
      <c r="EX39" s="182"/>
      <c r="EY39" s="182"/>
      <c r="EZ39" s="182"/>
      <c r="FA39" s="182"/>
      <c r="FB39" s="182"/>
      <c r="FC39" s="182"/>
      <c r="FD39" s="182"/>
      <c r="FE39" s="182"/>
      <c r="FF39" s="182"/>
      <c r="FG39" s="182"/>
      <c r="FH39" s="182"/>
      <c r="FI39" s="182"/>
      <c r="FJ39" s="182"/>
      <c r="FK39" s="182"/>
      <c r="FL39" s="182"/>
      <c r="FM39" s="182"/>
      <c r="FN39" s="182"/>
      <c r="FO39" s="182"/>
      <c r="FP39" s="182"/>
      <c r="FQ39" s="182"/>
      <c r="FR39" s="182"/>
      <c r="FS39" s="182"/>
      <c r="FT39" s="182"/>
      <c r="FU39" s="182"/>
      <c r="FV39" s="182"/>
      <c r="FW39" s="182"/>
      <c r="FX39" s="182"/>
      <c r="FY39" s="182"/>
      <c r="FZ39" s="182"/>
      <c r="GA39" s="182"/>
      <c r="GB39" s="182"/>
      <c r="GC39" s="182"/>
      <c r="GD39" s="182"/>
      <c r="GE39" s="182"/>
      <c r="GF39" s="182"/>
      <c r="GG39" s="182"/>
      <c r="GH39" s="182"/>
      <c r="GI39" s="182"/>
      <c r="GJ39" s="182"/>
      <c r="GK39" s="182"/>
      <c r="GL39" s="182"/>
      <c r="GM39" s="182"/>
      <c r="GN39" s="182"/>
      <c r="GO39" s="182"/>
      <c r="GP39" s="182"/>
      <c r="GQ39" s="182"/>
      <c r="GR39" s="182"/>
      <c r="GS39" s="182"/>
      <c r="GT39" s="182"/>
      <c r="GU39" s="182"/>
      <c r="GV39" s="182"/>
      <c r="GW39" s="182"/>
      <c r="GX39" s="182"/>
      <c r="GY39" s="182"/>
      <c r="GZ39" s="182"/>
      <c r="HA39" s="182"/>
      <c r="HB39" s="182"/>
      <c r="HC39" s="182"/>
      <c r="HD39" s="182"/>
      <c r="HE39" s="182"/>
      <c r="HF39" s="182"/>
      <c r="HG39" s="182"/>
      <c r="HH39" s="182"/>
      <c r="HI39" s="182"/>
      <c r="HJ39" s="182"/>
      <c r="HK39" s="182"/>
      <c r="HL39" s="182"/>
      <c r="HM39" s="182"/>
      <c r="HN39" s="182"/>
      <c r="HO39" s="182"/>
      <c r="HP39" s="182"/>
      <c r="HQ39" s="182"/>
      <c r="HR39" s="182"/>
      <c r="HS39" s="182"/>
      <c r="HT39" s="182"/>
      <c r="HU39" s="182"/>
      <c r="HV39" s="182"/>
      <c r="HW39" s="182"/>
      <c r="HX39" s="182"/>
      <c r="HY39" s="182"/>
      <c r="HZ39" s="182"/>
      <c r="IA39" s="182"/>
      <c r="IB39" s="182"/>
      <c r="IC39" s="182"/>
      <c r="ID39" s="182"/>
      <c r="IE39" s="182"/>
      <c r="IF39" s="182"/>
      <c r="IG39" s="182"/>
      <c r="IH39" s="182"/>
      <c r="II39" s="182"/>
      <c r="IJ39" s="182"/>
      <c r="IK39" s="182"/>
      <c r="IL39" s="182"/>
      <c r="IM39" s="182"/>
      <c r="IN39" s="182"/>
      <c r="IO39" s="182"/>
      <c r="IP39" s="182"/>
      <c r="IQ39" s="182"/>
    </row>
    <row r="40" spans="1:251" s="148" customFormat="1" ht="21.75" customHeight="1">
      <c r="A40" s="186">
        <v>33</v>
      </c>
      <c r="B40" s="408" t="s">
        <v>407</v>
      </c>
      <c r="C40" s="409" t="s">
        <v>283</v>
      </c>
      <c r="D40" s="410">
        <v>42</v>
      </c>
      <c r="E40" s="410"/>
      <c r="F40" s="409" t="s">
        <v>409</v>
      </c>
      <c r="G40" s="410" t="s">
        <v>144</v>
      </c>
      <c r="H40" s="426" t="s">
        <v>154</v>
      </c>
      <c r="I40" s="187">
        <f t="shared" ref="I40:I120" si="4">IF(G40="DTDB",420000,IF(G40="TTDB",420000,IF(G40="DT1",187500,IF(G40="TT1",187500,IF(G40="DT2",97500,IF(G40="TT2",97500,IF(G40="DT3",75000,75000)))))))</f>
        <v>187500</v>
      </c>
      <c r="J40" s="379" t="s">
        <v>157</v>
      </c>
      <c r="K40" s="190">
        <f t="shared" ref="K40:K120" si="5">IF(G40="DTDB",300000,IF(G40="TTDB",300000,IF(G40="DT1",135000,IF(G40="TT1",135000,IF(G40="DT2",75000,IF(G40="TT2",75000,IF(G40="DT3",45000,45000)))))))</f>
        <v>135000</v>
      </c>
      <c r="L40" s="379" t="s">
        <v>280</v>
      </c>
      <c r="M40" s="188">
        <f t="shared" ref="M40:M120" si="6">IF(L40="-",0,IF(G40="DTDB",300000,IF(G40="TTDB",300000,IF(G40="DT1",135000,IF(G40="TT1",135000,IF(G40="DT2",75000,IF(G40="TT2",75000,IF(G40="DT3",45000,45000))))))))</f>
        <v>135000</v>
      </c>
      <c r="N40" s="188">
        <f t="shared" ref="N40:N120" si="7">I40+K40+M40</f>
        <v>457500</v>
      </c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82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82"/>
      <c r="DO40" s="182"/>
      <c r="DP40" s="182"/>
      <c r="DQ40" s="182"/>
      <c r="DR40" s="182"/>
      <c r="DS40" s="182"/>
      <c r="DT40" s="182"/>
      <c r="DU40" s="182"/>
      <c r="DV40" s="182"/>
      <c r="DW40" s="182"/>
      <c r="DX40" s="182"/>
      <c r="DY40" s="182"/>
      <c r="DZ40" s="182"/>
      <c r="EA40" s="182"/>
      <c r="EB40" s="182"/>
      <c r="EC40" s="182"/>
      <c r="ED40" s="182"/>
      <c r="EE40" s="182"/>
      <c r="EF40" s="182"/>
      <c r="EG40" s="182"/>
      <c r="EH40" s="182"/>
      <c r="EI40" s="182"/>
      <c r="EJ40" s="182"/>
      <c r="EK40" s="182"/>
      <c r="EL40" s="182"/>
      <c r="EM40" s="182"/>
      <c r="EN40" s="182"/>
      <c r="EO40" s="182"/>
      <c r="EP40" s="182"/>
      <c r="EQ40" s="182"/>
      <c r="ER40" s="182"/>
      <c r="ES40" s="182"/>
      <c r="ET40" s="182"/>
      <c r="EU40" s="182"/>
      <c r="EV40" s="182"/>
      <c r="EW40" s="182"/>
      <c r="EX40" s="182"/>
      <c r="EY40" s="182"/>
      <c r="EZ40" s="182"/>
      <c r="FA40" s="182"/>
      <c r="FB40" s="182"/>
      <c r="FC40" s="182"/>
      <c r="FD40" s="182"/>
      <c r="FE40" s="182"/>
      <c r="FF40" s="182"/>
      <c r="FG40" s="182"/>
      <c r="FH40" s="182"/>
      <c r="FI40" s="182"/>
      <c r="FJ40" s="182"/>
      <c r="FK40" s="182"/>
      <c r="FL40" s="182"/>
      <c r="FM40" s="182"/>
      <c r="FN40" s="182"/>
      <c r="FO40" s="182"/>
      <c r="FP40" s="182"/>
      <c r="FQ40" s="182"/>
      <c r="FR40" s="182"/>
      <c r="FS40" s="182"/>
      <c r="FT40" s="182"/>
      <c r="FU40" s="182"/>
      <c r="FV40" s="182"/>
      <c r="FW40" s="182"/>
      <c r="FX40" s="182"/>
      <c r="FY40" s="182"/>
      <c r="FZ40" s="182"/>
      <c r="GA40" s="182"/>
      <c r="GB40" s="182"/>
      <c r="GC40" s="182"/>
      <c r="GD40" s="182"/>
      <c r="GE40" s="182"/>
      <c r="GF40" s="182"/>
      <c r="GG40" s="182"/>
      <c r="GH40" s="182"/>
      <c r="GI40" s="182"/>
      <c r="GJ40" s="182"/>
      <c r="GK40" s="182"/>
      <c r="GL40" s="182"/>
      <c r="GM40" s="182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182"/>
      <c r="HQ40" s="182"/>
      <c r="HR40" s="182"/>
      <c r="HS40" s="182"/>
      <c r="HT40" s="182"/>
      <c r="HU40" s="182"/>
      <c r="HV40" s="182"/>
      <c r="HW40" s="182"/>
      <c r="HX40" s="182"/>
      <c r="HY40" s="182"/>
      <c r="HZ40" s="182"/>
      <c r="IA40" s="182"/>
      <c r="IB40" s="182"/>
      <c r="IC40" s="182"/>
      <c r="ID40" s="182"/>
      <c r="IE40" s="182"/>
      <c r="IF40" s="182"/>
      <c r="IG40" s="182"/>
      <c r="IH40" s="182"/>
      <c r="II40" s="182"/>
      <c r="IJ40" s="182"/>
      <c r="IK40" s="182"/>
      <c r="IL40" s="182"/>
      <c r="IM40" s="182"/>
      <c r="IN40" s="182"/>
      <c r="IO40" s="182"/>
      <c r="IP40" s="182"/>
      <c r="IQ40" s="182"/>
    </row>
    <row r="41" spans="1:251" s="148" customFormat="1" ht="21.75" customHeight="1">
      <c r="A41" s="186">
        <v>34</v>
      </c>
      <c r="B41" s="408" t="s">
        <v>407</v>
      </c>
      <c r="C41" s="409" t="s">
        <v>410</v>
      </c>
      <c r="D41" s="410">
        <v>43</v>
      </c>
      <c r="E41" s="410"/>
      <c r="F41" s="409" t="s">
        <v>289</v>
      </c>
      <c r="G41" s="410" t="s">
        <v>146</v>
      </c>
      <c r="H41" s="426" t="s">
        <v>154</v>
      </c>
      <c r="I41" s="187">
        <f t="shared" si="4"/>
        <v>187500</v>
      </c>
      <c r="J41" s="379" t="s">
        <v>159</v>
      </c>
      <c r="K41" s="190">
        <f t="shared" si="5"/>
        <v>135000</v>
      </c>
      <c r="L41" s="379" t="s">
        <v>160</v>
      </c>
      <c r="M41" s="188">
        <f t="shared" si="6"/>
        <v>135000</v>
      </c>
      <c r="N41" s="188">
        <f t="shared" si="7"/>
        <v>457500</v>
      </c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82"/>
      <c r="DP41" s="182"/>
      <c r="DQ41" s="182"/>
      <c r="DR41" s="182"/>
      <c r="DS41" s="182"/>
      <c r="DT41" s="182"/>
      <c r="DU41" s="182"/>
      <c r="DV41" s="182"/>
      <c r="DW41" s="182"/>
      <c r="DX41" s="182"/>
      <c r="DY41" s="182"/>
      <c r="DZ41" s="182"/>
      <c r="EA41" s="182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182"/>
      <c r="EM41" s="182"/>
      <c r="EN41" s="182"/>
      <c r="EO41" s="182"/>
      <c r="EP41" s="182"/>
      <c r="EQ41" s="182"/>
      <c r="ER41" s="182"/>
      <c r="ES41" s="182"/>
      <c r="ET41" s="182"/>
      <c r="EU41" s="182"/>
      <c r="EV41" s="182"/>
      <c r="EW41" s="182"/>
      <c r="EX41" s="182"/>
      <c r="EY41" s="182"/>
      <c r="EZ41" s="182"/>
      <c r="FA41" s="182"/>
      <c r="FB41" s="182"/>
      <c r="FC41" s="182"/>
      <c r="FD41" s="182"/>
      <c r="FE41" s="182"/>
      <c r="FF41" s="182"/>
      <c r="FG41" s="182"/>
      <c r="FH41" s="182"/>
      <c r="FI41" s="182"/>
      <c r="FJ41" s="182"/>
      <c r="FK41" s="182"/>
      <c r="FL41" s="182"/>
      <c r="FM41" s="182"/>
      <c r="FN41" s="182"/>
      <c r="FO41" s="182"/>
      <c r="FP41" s="182"/>
      <c r="FQ41" s="182"/>
      <c r="FR41" s="182"/>
      <c r="FS41" s="182"/>
      <c r="FT41" s="182"/>
      <c r="FU41" s="182"/>
      <c r="FV41" s="182"/>
      <c r="FW41" s="182"/>
      <c r="FX41" s="182"/>
      <c r="FY41" s="182"/>
      <c r="FZ41" s="182"/>
      <c r="GA41" s="182"/>
      <c r="GB41" s="182"/>
      <c r="GC41" s="182"/>
      <c r="GD41" s="182"/>
      <c r="GE41" s="182"/>
      <c r="GF41" s="182"/>
      <c r="GG41" s="182"/>
      <c r="GH41" s="182"/>
      <c r="GI41" s="182"/>
      <c r="GJ41" s="182"/>
      <c r="GK41" s="182"/>
      <c r="GL41" s="182"/>
      <c r="GM41" s="182"/>
      <c r="GN41" s="182"/>
      <c r="GO41" s="182"/>
      <c r="GP41" s="182"/>
      <c r="GQ41" s="182"/>
      <c r="GR41" s="182"/>
      <c r="GS41" s="182"/>
      <c r="GT41" s="182"/>
      <c r="GU41" s="182"/>
      <c r="GV41" s="182"/>
      <c r="GW41" s="182"/>
      <c r="GX41" s="182"/>
      <c r="GY41" s="182"/>
      <c r="GZ41" s="182"/>
      <c r="HA41" s="182"/>
      <c r="HB41" s="182"/>
      <c r="HC41" s="182"/>
      <c r="HD41" s="182"/>
      <c r="HE41" s="182"/>
      <c r="HF41" s="182"/>
      <c r="HG41" s="182"/>
      <c r="HH41" s="182"/>
      <c r="HI41" s="182"/>
      <c r="HJ41" s="182"/>
      <c r="HK41" s="182"/>
      <c r="HL41" s="182"/>
      <c r="HM41" s="182"/>
      <c r="HN41" s="182"/>
      <c r="HO41" s="182"/>
      <c r="HP41" s="182"/>
      <c r="HQ41" s="182"/>
      <c r="HR41" s="182"/>
      <c r="HS41" s="182"/>
      <c r="HT41" s="182"/>
      <c r="HU41" s="182"/>
      <c r="HV41" s="182"/>
      <c r="HW41" s="182"/>
      <c r="HX41" s="182"/>
      <c r="HY41" s="182"/>
      <c r="HZ41" s="182"/>
      <c r="IA41" s="182"/>
      <c r="IB41" s="182"/>
      <c r="IC41" s="182"/>
      <c r="ID41" s="182"/>
      <c r="IE41" s="182"/>
      <c r="IF41" s="182"/>
      <c r="IG41" s="182"/>
      <c r="IH41" s="182"/>
      <c r="II41" s="182"/>
      <c r="IJ41" s="182"/>
      <c r="IK41" s="182"/>
      <c r="IL41" s="182"/>
      <c r="IM41" s="182"/>
      <c r="IN41" s="182"/>
      <c r="IO41" s="182"/>
      <c r="IP41" s="182"/>
      <c r="IQ41" s="182"/>
    </row>
    <row r="42" spans="1:251" s="148" customFormat="1" ht="21.75" customHeight="1">
      <c r="A42" s="186">
        <v>35</v>
      </c>
      <c r="B42" s="408" t="s">
        <v>411</v>
      </c>
      <c r="C42" s="409" t="s">
        <v>412</v>
      </c>
      <c r="D42" s="410"/>
      <c r="E42" s="410">
        <v>67</v>
      </c>
      <c r="F42" s="409" t="s">
        <v>398</v>
      </c>
      <c r="G42" s="410" t="s">
        <v>143</v>
      </c>
      <c r="H42" s="426" t="s">
        <v>156</v>
      </c>
      <c r="I42" s="187">
        <f t="shared" si="4"/>
        <v>420000</v>
      </c>
      <c r="J42" s="379" t="s">
        <v>151</v>
      </c>
      <c r="K42" s="190">
        <f t="shared" si="5"/>
        <v>300000</v>
      </c>
      <c r="L42" s="379" t="s">
        <v>281</v>
      </c>
      <c r="M42" s="188">
        <f t="shared" si="6"/>
        <v>300000</v>
      </c>
      <c r="N42" s="188">
        <f t="shared" si="7"/>
        <v>1020000</v>
      </c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2"/>
      <c r="BQ42" s="182"/>
      <c r="BR42" s="182"/>
      <c r="BS42" s="182"/>
      <c r="BT42" s="182"/>
      <c r="BU42" s="182"/>
      <c r="BV42" s="182"/>
      <c r="BW42" s="182"/>
      <c r="BX42" s="182"/>
      <c r="BY42" s="182"/>
      <c r="BZ42" s="182"/>
      <c r="CA42" s="182"/>
      <c r="CB42" s="182"/>
      <c r="CC42" s="182"/>
      <c r="CD42" s="182"/>
      <c r="CE42" s="182"/>
      <c r="CF42" s="182"/>
      <c r="CG42" s="182"/>
      <c r="CH42" s="182"/>
      <c r="CI42" s="182"/>
      <c r="CJ42" s="182"/>
      <c r="CK42" s="182"/>
      <c r="CL42" s="182"/>
      <c r="CM42" s="182"/>
      <c r="CN42" s="182"/>
      <c r="CO42" s="182"/>
      <c r="CP42" s="182"/>
      <c r="CQ42" s="182"/>
      <c r="CR42" s="182"/>
      <c r="CS42" s="182"/>
      <c r="CT42" s="182"/>
      <c r="CU42" s="182"/>
      <c r="CV42" s="182"/>
      <c r="CW42" s="182"/>
      <c r="CX42" s="182"/>
      <c r="CY42" s="182"/>
      <c r="CZ42" s="182"/>
      <c r="DA42" s="182"/>
      <c r="DB42" s="182"/>
      <c r="DC42" s="182"/>
      <c r="DD42" s="182"/>
      <c r="DE42" s="182"/>
      <c r="DF42" s="182"/>
      <c r="DG42" s="182"/>
      <c r="DH42" s="182"/>
      <c r="DI42" s="182"/>
      <c r="DJ42" s="182"/>
      <c r="DK42" s="182"/>
      <c r="DL42" s="182"/>
      <c r="DM42" s="182"/>
      <c r="DN42" s="182"/>
      <c r="DO42" s="182"/>
      <c r="DP42" s="182"/>
      <c r="DQ42" s="182"/>
      <c r="DR42" s="182"/>
      <c r="DS42" s="182"/>
      <c r="DT42" s="182"/>
      <c r="DU42" s="182"/>
      <c r="DV42" s="182"/>
      <c r="DW42" s="182"/>
      <c r="DX42" s="182"/>
      <c r="DY42" s="182"/>
      <c r="DZ42" s="182"/>
      <c r="EA42" s="182"/>
      <c r="EB42" s="182"/>
      <c r="EC42" s="182"/>
      <c r="ED42" s="182"/>
      <c r="EE42" s="182"/>
      <c r="EF42" s="182"/>
      <c r="EG42" s="182"/>
      <c r="EH42" s="182"/>
      <c r="EI42" s="182"/>
      <c r="EJ42" s="182"/>
      <c r="EK42" s="182"/>
      <c r="EL42" s="182"/>
      <c r="EM42" s="182"/>
      <c r="EN42" s="182"/>
      <c r="EO42" s="182"/>
      <c r="EP42" s="182"/>
      <c r="EQ42" s="182"/>
      <c r="ER42" s="182"/>
      <c r="ES42" s="182"/>
      <c r="ET42" s="182"/>
      <c r="EU42" s="182"/>
      <c r="EV42" s="182"/>
      <c r="EW42" s="182"/>
      <c r="EX42" s="182"/>
      <c r="EY42" s="182"/>
      <c r="EZ42" s="182"/>
      <c r="FA42" s="182"/>
      <c r="FB42" s="182"/>
      <c r="FC42" s="182"/>
      <c r="FD42" s="182"/>
      <c r="FE42" s="182"/>
      <c r="FF42" s="182"/>
      <c r="FG42" s="182"/>
      <c r="FH42" s="182"/>
      <c r="FI42" s="182"/>
      <c r="FJ42" s="182"/>
      <c r="FK42" s="182"/>
      <c r="FL42" s="182"/>
      <c r="FM42" s="182"/>
      <c r="FN42" s="182"/>
      <c r="FO42" s="182"/>
      <c r="FP42" s="182"/>
      <c r="FQ42" s="182"/>
      <c r="FR42" s="182"/>
      <c r="FS42" s="182"/>
      <c r="FT42" s="182"/>
      <c r="FU42" s="182"/>
      <c r="FV42" s="182"/>
      <c r="FW42" s="182"/>
      <c r="FX42" s="182"/>
      <c r="FY42" s="182"/>
      <c r="FZ42" s="182"/>
      <c r="GA42" s="182"/>
      <c r="GB42" s="182"/>
      <c r="GC42" s="182"/>
      <c r="GD42" s="182"/>
      <c r="GE42" s="182"/>
      <c r="GF42" s="182"/>
      <c r="GG42" s="182"/>
      <c r="GH42" s="182"/>
      <c r="GI42" s="182"/>
      <c r="GJ42" s="182"/>
      <c r="GK42" s="182"/>
      <c r="GL42" s="182"/>
      <c r="GM42" s="182"/>
      <c r="GN42" s="182"/>
      <c r="GO42" s="182"/>
      <c r="GP42" s="182"/>
      <c r="GQ42" s="182"/>
      <c r="GR42" s="182"/>
      <c r="GS42" s="182"/>
      <c r="GT42" s="182"/>
      <c r="GU42" s="182"/>
      <c r="GV42" s="182"/>
      <c r="GW42" s="182"/>
      <c r="GX42" s="182"/>
      <c r="GY42" s="182"/>
      <c r="GZ42" s="182"/>
      <c r="HA42" s="182"/>
      <c r="HB42" s="182"/>
      <c r="HC42" s="182"/>
      <c r="HD42" s="182"/>
      <c r="HE42" s="182"/>
      <c r="HF42" s="182"/>
      <c r="HG42" s="182"/>
      <c r="HH42" s="182"/>
      <c r="HI42" s="182"/>
      <c r="HJ42" s="182"/>
      <c r="HK42" s="182"/>
      <c r="HL42" s="182"/>
      <c r="HM42" s="182"/>
      <c r="HN42" s="182"/>
      <c r="HO42" s="182"/>
      <c r="HP42" s="182"/>
      <c r="HQ42" s="182"/>
      <c r="HR42" s="182"/>
      <c r="HS42" s="182"/>
      <c r="HT42" s="182"/>
      <c r="HU42" s="182"/>
      <c r="HV42" s="182"/>
      <c r="HW42" s="182"/>
      <c r="HX42" s="182"/>
      <c r="HY42" s="182"/>
      <c r="HZ42" s="182"/>
      <c r="IA42" s="182"/>
      <c r="IB42" s="182"/>
      <c r="IC42" s="182"/>
      <c r="ID42" s="182"/>
      <c r="IE42" s="182"/>
      <c r="IF42" s="182"/>
      <c r="IG42" s="182"/>
      <c r="IH42" s="182"/>
      <c r="II42" s="182"/>
      <c r="IJ42" s="182"/>
      <c r="IK42" s="182"/>
      <c r="IL42" s="182"/>
      <c r="IM42" s="182"/>
      <c r="IN42" s="182"/>
      <c r="IO42" s="182"/>
      <c r="IP42" s="182"/>
      <c r="IQ42" s="182"/>
    </row>
    <row r="43" spans="1:251" s="148" customFormat="1" ht="21.75" customHeight="1">
      <c r="A43" s="186">
        <v>36</v>
      </c>
      <c r="B43" s="408" t="s">
        <v>411</v>
      </c>
      <c r="C43" s="409" t="s">
        <v>413</v>
      </c>
      <c r="D43" s="410">
        <v>45</v>
      </c>
      <c r="E43" s="410"/>
      <c r="F43" s="409" t="s">
        <v>149</v>
      </c>
      <c r="G43" s="410" t="s">
        <v>143</v>
      </c>
      <c r="H43" s="426" t="s">
        <v>154</v>
      </c>
      <c r="I43" s="187">
        <f t="shared" si="4"/>
        <v>420000</v>
      </c>
      <c r="J43" s="379" t="s">
        <v>157</v>
      </c>
      <c r="K43" s="190">
        <f t="shared" si="5"/>
        <v>300000</v>
      </c>
      <c r="L43" s="379" t="s">
        <v>173</v>
      </c>
      <c r="M43" s="188">
        <f t="shared" si="6"/>
        <v>300000</v>
      </c>
      <c r="N43" s="188">
        <f t="shared" si="7"/>
        <v>1020000</v>
      </c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2"/>
      <c r="BQ43" s="182"/>
      <c r="BR43" s="182"/>
      <c r="BS43" s="182"/>
      <c r="BT43" s="182"/>
      <c r="BU43" s="182"/>
      <c r="BV43" s="182"/>
      <c r="BW43" s="182"/>
      <c r="BX43" s="182"/>
      <c r="BY43" s="182"/>
      <c r="BZ43" s="182"/>
      <c r="CA43" s="182"/>
      <c r="CB43" s="182"/>
      <c r="CC43" s="182"/>
      <c r="CD43" s="182"/>
      <c r="CE43" s="182"/>
      <c r="CF43" s="182"/>
      <c r="CG43" s="182"/>
      <c r="CH43" s="182"/>
      <c r="CI43" s="182"/>
      <c r="CJ43" s="182"/>
      <c r="CK43" s="182"/>
      <c r="CL43" s="182"/>
      <c r="CM43" s="182"/>
      <c r="CN43" s="182"/>
      <c r="CO43" s="182"/>
      <c r="CP43" s="182"/>
      <c r="CQ43" s="182"/>
      <c r="CR43" s="182"/>
      <c r="CS43" s="182"/>
      <c r="CT43" s="182"/>
      <c r="CU43" s="182"/>
      <c r="CV43" s="182"/>
      <c r="CW43" s="182"/>
      <c r="CX43" s="182"/>
      <c r="CY43" s="182"/>
      <c r="CZ43" s="182"/>
      <c r="DA43" s="182"/>
      <c r="DB43" s="182"/>
      <c r="DC43" s="182"/>
      <c r="DD43" s="182"/>
      <c r="DE43" s="182"/>
      <c r="DF43" s="182"/>
      <c r="DG43" s="182"/>
      <c r="DH43" s="182"/>
      <c r="DI43" s="182"/>
      <c r="DJ43" s="182"/>
      <c r="DK43" s="182"/>
      <c r="DL43" s="182"/>
      <c r="DM43" s="182"/>
      <c r="DN43" s="182"/>
      <c r="DO43" s="182"/>
      <c r="DP43" s="182"/>
      <c r="DQ43" s="182"/>
      <c r="DR43" s="182"/>
      <c r="DS43" s="182"/>
      <c r="DT43" s="182"/>
      <c r="DU43" s="182"/>
      <c r="DV43" s="182"/>
      <c r="DW43" s="182"/>
      <c r="DX43" s="182"/>
      <c r="DY43" s="182"/>
      <c r="DZ43" s="182"/>
      <c r="EA43" s="182"/>
      <c r="EB43" s="182"/>
      <c r="EC43" s="182"/>
      <c r="ED43" s="182"/>
      <c r="EE43" s="182"/>
      <c r="EF43" s="182"/>
      <c r="EG43" s="182"/>
      <c r="EH43" s="182"/>
      <c r="EI43" s="182"/>
      <c r="EJ43" s="182"/>
      <c r="EK43" s="182"/>
      <c r="EL43" s="182"/>
      <c r="EM43" s="182"/>
      <c r="EN43" s="182"/>
      <c r="EO43" s="182"/>
      <c r="EP43" s="182"/>
      <c r="EQ43" s="182"/>
      <c r="ER43" s="182"/>
      <c r="ES43" s="182"/>
      <c r="ET43" s="182"/>
      <c r="EU43" s="182"/>
      <c r="EV43" s="182"/>
      <c r="EW43" s="182"/>
      <c r="EX43" s="182"/>
      <c r="EY43" s="182"/>
      <c r="EZ43" s="182"/>
      <c r="FA43" s="182"/>
      <c r="FB43" s="182"/>
      <c r="FC43" s="182"/>
      <c r="FD43" s="182"/>
      <c r="FE43" s="182"/>
      <c r="FF43" s="182"/>
      <c r="FG43" s="182"/>
      <c r="FH43" s="182"/>
      <c r="FI43" s="182"/>
      <c r="FJ43" s="182"/>
      <c r="FK43" s="182"/>
      <c r="FL43" s="182"/>
      <c r="FM43" s="182"/>
      <c r="FN43" s="182"/>
      <c r="FO43" s="182"/>
      <c r="FP43" s="182"/>
      <c r="FQ43" s="182"/>
      <c r="FR43" s="182"/>
      <c r="FS43" s="182"/>
      <c r="FT43" s="182"/>
      <c r="FU43" s="182"/>
      <c r="FV43" s="182"/>
      <c r="FW43" s="182"/>
      <c r="FX43" s="182"/>
      <c r="FY43" s="182"/>
      <c r="FZ43" s="182"/>
      <c r="GA43" s="182"/>
      <c r="GB43" s="182"/>
      <c r="GC43" s="182"/>
      <c r="GD43" s="182"/>
      <c r="GE43" s="182"/>
      <c r="GF43" s="182"/>
      <c r="GG43" s="182"/>
      <c r="GH43" s="182"/>
      <c r="GI43" s="182"/>
      <c r="GJ43" s="182"/>
      <c r="GK43" s="182"/>
      <c r="GL43" s="182"/>
      <c r="GM43" s="182"/>
      <c r="GN43" s="182"/>
      <c r="GO43" s="182"/>
      <c r="GP43" s="182"/>
      <c r="GQ43" s="182"/>
      <c r="GR43" s="182"/>
      <c r="GS43" s="182"/>
      <c r="GT43" s="182"/>
      <c r="GU43" s="182"/>
      <c r="GV43" s="182"/>
      <c r="GW43" s="182"/>
      <c r="GX43" s="182"/>
      <c r="GY43" s="182"/>
      <c r="GZ43" s="182"/>
      <c r="HA43" s="182"/>
      <c r="HB43" s="182"/>
      <c r="HC43" s="182"/>
      <c r="HD43" s="182"/>
      <c r="HE43" s="182"/>
      <c r="HF43" s="182"/>
      <c r="HG43" s="182"/>
      <c r="HH43" s="182"/>
      <c r="HI43" s="182"/>
      <c r="HJ43" s="182"/>
      <c r="HK43" s="182"/>
      <c r="HL43" s="182"/>
      <c r="HM43" s="182"/>
      <c r="HN43" s="182"/>
      <c r="HO43" s="182"/>
      <c r="HP43" s="182"/>
      <c r="HQ43" s="182"/>
      <c r="HR43" s="182"/>
      <c r="HS43" s="182"/>
      <c r="HT43" s="182"/>
      <c r="HU43" s="182"/>
      <c r="HV43" s="182"/>
      <c r="HW43" s="182"/>
      <c r="HX43" s="182"/>
      <c r="HY43" s="182"/>
      <c r="HZ43" s="182"/>
      <c r="IA43" s="182"/>
      <c r="IB43" s="182"/>
      <c r="IC43" s="182"/>
      <c r="ID43" s="182"/>
      <c r="IE43" s="182"/>
      <c r="IF43" s="182"/>
      <c r="IG43" s="182"/>
      <c r="IH43" s="182"/>
      <c r="II43" s="182"/>
      <c r="IJ43" s="182"/>
      <c r="IK43" s="182"/>
      <c r="IL43" s="182"/>
      <c r="IM43" s="182"/>
      <c r="IN43" s="182"/>
      <c r="IO43" s="182"/>
      <c r="IP43" s="182"/>
      <c r="IQ43" s="182"/>
    </row>
    <row r="44" spans="1:251" s="148" customFormat="1" ht="21.75" customHeight="1">
      <c r="A44" s="186">
        <v>37</v>
      </c>
      <c r="B44" s="408" t="s">
        <v>411</v>
      </c>
      <c r="C44" s="409" t="s">
        <v>414</v>
      </c>
      <c r="D44" s="410"/>
      <c r="E44" s="410">
        <v>63</v>
      </c>
      <c r="F44" s="409" t="s">
        <v>415</v>
      </c>
      <c r="G44" s="410" t="s">
        <v>143</v>
      </c>
      <c r="H44" s="426" t="s">
        <v>154</v>
      </c>
      <c r="I44" s="187">
        <f t="shared" si="4"/>
        <v>420000</v>
      </c>
      <c r="J44" s="379" t="s">
        <v>157</v>
      </c>
      <c r="K44" s="190">
        <f t="shared" si="5"/>
        <v>300000</v>
      </c>
      <c r="L44" s="379" t="s">
        <v>173</v>
      </c>
      <c r="M44" s="188">
        <f t="shared" si="6"/>
        <v>300000</v>
      </c>
      <c r="N44" s="188">
        <f t="shared" si="7"/>
        <v>1020000</v>
      </c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2"/>
      <c r="BQ44" s="182"/>
      <c r="BR44" s="182"/>
      <c r="BS44" s="182"/>
      <c r="BT44" s="182"/>
      <c r="BU44" s="182"/>
      <c r="BV44" s="182"/>
      <c r="BW44" s="182"/>
      <c r="BX44" s="182"/>
      <c r="BY44" s="182"/>
      <c r="BZ44" s="182"/>
      <c r="CA44" s="182"/>
      <c r="CB44" s="182"/>
      <c r="CC44" s="182"/>
      <c r="CD44" s="182"/>
      <c r="CE44" s="182"/>
      <c r="CF44" s="182"/>
      <c r="CG44" s="182"/>
      <c r="CH44" s="182"/>
      <c r="CI44" s="182"/>
      <c r="CJ44" s="182"/>
      <c r="CK44" s="182"/>
      <c r="CL44" s="182"/>
      <c r="CM44" s="182"/>
      <c r="CN44" s="182"/>
      <c r="CO44" s="182"/>
      <c r="CP44" s="182"/>
      <c r="CQ44" s="182"/>
      <c r="CR44" s="182"/>
      <c r="CS44" s="182"/>
      <c r="CT44" s="182"/>
      <c r="CU44" s="182"/>
      <c r="CV44" s="182"/>
      <c r="CW44" s="182"/>
      <c r="CX44" s="182"/>
      <c r="CY44" s="182"/>
      <c r="CZ44" s="182"/>
      <c r="DA44" s="182"/>
      <c r="DB44" s="182"/>
      <c r="DC44" s="182"/>
      <c r="DD44" s="182"/>
      <c r="DE44" s="182"/>
      <c r="DF44" s="182"/>
      <c r="DG44" s="182"/>
      <c r="DH44" s="182"/>
      <c r="DI44" s="182"/>
      <c r="DJ44" s="182"/>
      <c r="DK44" s="182"/>
      <c r="DL44" s="182"/>
      <c r="DM44" s="182"/>
      <c r="DN44" s="182"/>
      <c r="DO44" s="182"/>
      <c r="DP44" s="182"/>
      <c r="DQ44" s="182"/>
      <c r="DR44" s="182"/>
      <c r="DS44" s="182"/>
      <c r="DT44" s="182"/>
      <c r="DU44" s="182"/>
      <c r="DV44" s="182"/>
      <c r="DW44" s="182"/>
      <c r="DX44" s="182"/>
      <c r="DY44" s="182"/>
      <c r="DZ44" s="182"/>
      <c r="EA44" s="182"/>
      <c r="EB44" s="182"/>
      <c r="EC44" s="182"/>
      <c r="ED44" s="182"/>
      <c r="EE44" s="182"/>
      <c r="EF44" s="182"/>
      <c r="EG44" s="182"/>
      <c r="EH44" s="182"/>
      <c r="EI44" s="182"/>
      <c r="EJ44" s="182"/>
      <c r="EK44" s="182"/>
      <c r="EL44" s="182"/>
      <c r="EM44" s="182"/>
      <c r="EN44" s="182"/>
      <c r="EO44" s="182"/>
      <c r="EP44" s="182"/>
      <c r="EQ44" s="182"/>
      <c r="ER44" s="182"/>
      <c r="ES44" s="182"/>
      <c r="ET44" s="182"/>
      <c r="EU44" s="182"/>
      <c r="EV44" s="182"/>
      <c r="EW44" s="182"/>
      <c r="EX44" s="182"/>
      <c r="EY44" s="182"/>
      <c r="EZ44" s="182"/>
      <c r="FA44" s="182"/>
      <c r="FB44" s="182"/>
      <c r="FC44" s="182"/>
      <c r="FD44" s="182"/>
      <c r="FE44" s="182"/>
      <c r="FF44" s="182"/>
      <c r="FG44" s="182"/>
      <c r="FH44" s="182"/>
      <c r="FI44" s="182"/>
      <c r="FJ44" s="182"/>
      <c r="FK44" s="182"/>
      <c r="FL44" s="182"/>
      <c r="FM44" s="182"/>
      <c r="FN44" s="182"/>
      <c r="FO44" s="182"/>
      <c r="FP44" s="182"/>
      <c r="FQ44" s="182"/>
      <c r="FR44" s="182"/>
      <c r="FS44" s="182"/>
      <c r="FT44" s="182"/>
      <c r="FU44" s="182"/>
      <c r="FV44" s="182"/>
      <c r="FW44" s="182"/>
      <c r="FX44" s="182"/>
      <c r="FY44" s="182"/>
      <c r="FZ44" s="182"/>
      <c r="GA44" s="182"/>
      <c r="GB44" s="182"/>
      <c r="GC44" s="182"/>
      <c r="GD44" s="182"/>
      <c r="GE44" s="182"/>
      <c r="GF44" s="182"/>
      <c r="GG44" s="182"/>
      <c r="GH44" s="182"/>
      <c r="GI44" s="182"/>
      <c r="GJ44" s="182"/>
      <c r="GK44" s="182"/>
      <c r="GL44" s="182"/>
      <c r="GM44" s="182"/>
      <c r="GN44" s="182"/>
      <c r="GO44" s="182"/>
      <c r="GP44" s="182"/>
      <c r="GQ44" s="182"/>
      <c r="GR44" s="182"/>
      <c r="GS44" s="182"/>
      <c r="GT44" s="182"/>
      <c r="GU44" s="182"/>
      <c r="GV44" s="182"/>
      <c r="GW44" s="182"/>
      <c r="GX44" s="182"/>
      <c r="GY44" s="182"/>
      <c r="GZ44" s="182"/>
      <c r="HA44" s="182"/>
      <c r="HB44" s="182"/>
      <c r="HC44" s="182"/>
      <c r="HD44" s="182"/>
      <c r="HE44" s="182"/>
      <c r="HF44" s="182"/>
      <c r="HG44" s="182"/>
      <c r="HH44" s="182"/>
      <c r="HI44" s="182"/>
      <c r="HJ44" s="182"/>
      <c r="HK44" s="182"/>
      <c r="HL44" s="182"/>
      <c r="HM44" s="182"/>
      <c r="HN44" s="182"/>
      <c r="HO44" s="182"/>
      <c r="HP44" s="182"/>
      <c r="HQ44" s="182"/>
      <c r="HR44" s="182"/>
      <c r="HS44" s="182"/>
      <c r="HT44" s="182"/>
      <c r="HU44" s="182"/>
      <c r="HV44" s="182"/>
      <c r="HW44" s="182"/>
      <c r="HX44" s="182"/>
      <c r="HY44" s="182"/>
      <c r="HZ44" s="182"/>
      <c r="IA44" s="182"/>
      <c r="IB44" s="182"/>
      <c r="IC44" s="182"/>
      <c r="ID44" s="182"/>
      <c r="IE44" s="182"/>
      <c r="IF44" s="182"/>
      <c r="IG44" s="182"/>
      <c r="IH44" s="182"/>
      <c r="II44" s="182"/>
      <c r="IJ44" s="182"/>
      <c r="IK44" s="182"/>
      <c r="IL44" s="182"/>
      <c r="IM44" s="182"/>
      <c r="IN44" s="182"/>
      <c r="IO44" s="182"/>
      <c r="IP44" s="182"/>
      <c r="IQ44" s="182"/>
    </row>
    <row r="45" spans="1:251" s="148" customFormat="1" ht="21.75" customHeight="1">
      <c r="A45" s="186">
        <v>38</v>
      </c>
      <c r="B45" s="408" t="s">
        <v>411</v>
      </c>
      <c r="C45" s="409" t="s">
        <v>416</v>
      </c>
      <c r="D45" s="410"/>
      <c r="E45" s="410">
        <v>55</v>
      </c>
      <c r="F45" s="409" t="s">
        <v>165</v>
      </c>
      <c r="G45" s="410" t="s">
        <v>148</v>
      </c>
      <c r="H45" s="426" t="s">
        <v>155</v>
      </c>
      <c r="I45" s="187">
        <f t="shared" si="4"/>
        <v>420000</v>
      </c>
      <c r="J45" s="379" t="s">
        <v>280</v>
      </c>
      <c r="K45" s="190">
        <f t="shared" si="5"/>
        <v>300000</v>
      </c>
      <c r="L45" s="379" t="s">
        <v>161</v>
      </c>
      <c r="M45" s="188">
        <f t="shared" si="6"/>
        <v>300000</v>
      </c>
      <c r="N45" s="188">
        <f t="shared" si="7"/>
        <v>1020000</v>
      </c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2"/>
      <c r="BQ45" s="182"/>
      <c r="BR45" s="182"/>
      <c r="BS45" s="182"/>
      <c r="BT45" s="182"/>
      <c r="BU45" s="182"/>
      <c r="BV45" s="182"/>
      <c r="BW45" s="182"/>
      <c r="BX45" s="182"/>
      <c r="BY45" s="182"/>
      <c r="BZ45" s="182"/>
      <c r="CA45" s="182"/>
      <c r="CB45" s="182"/>
      <c r="CC45" s="182"/>
      <c r="CD45" s="182"/>
      <c r="CE45" s="182"/>
      <c r="CF45" s="182"/>
      <c r="CG45" s="182"/>
      <c r="CH45" s="182"/>
      <c r="CI45" s="182"/>
      <c r="CJ45" s="182"/>
      <c r="CK45" s="182"/>
      <c r="CL45" s="182"/>
      <c r="CM45" s="182"/>
      <c r="CN45" s="182"/>
      <c r="CO45" s="182"/>
      <c r="CP45" s="182"/>
      <c r="CQ45" s="182"/>
      <c r="CR45" s="182"/>
      <c r="CS45" s="182"/>
      <c r="CT45" s="182"/>
      <c r="CU45" s="182"/>
      <c r="CV45" s="182"/>
      <c r="CW45" s="182"/>
      <c r="CX45" s="182"/>
      <c r="CY45" s="182"/>
      <c r="CZ45" s="182"/>
      <c r="DA45" s="182"/>
      <c r="DB45" s="182"/>
      <c r="DC45" s="182"/>
      <c r="DD45" s="182"/>
      <c r="DE45" s="182"/>
      <c r="DF45" s="182"/>
      <c r="DG45" s="182"/>
      <c r="DH45" s="182"/>
      <c r="DI45" s="182"/>
      <c r="DJ45" s="182"/>
      <c r="DK45" s="182"/>
      <c r="DL45" s="182"/>
      <c r="DM45" s="182"/>
      <c r="DN45" s="182"/>
      <c r="DO45" s="182"/>
      <c r="DP45" s="182"/>
      <c r="DQ45" s="182"/>
      <c r="DR45" s="182"/>
      <c r="DS45" s="182"/>
      <c r="DT45" s="182"/>
      <c r="DU45" s="182"/>
      <c r="DV45" s="182"/>
      <c r="DW45" s="182"/>
      <c r="DX45" s="182"/>
      <c r="DY45" s="182"/>
      <c r="DZ45" s="182"/>
      <c r="EA45" s="182"/>
      <c r="EB45" s="182"/>
      <c r="EC45" s="182"/>
      <c r="ED45" s="182"/>
      <c r="EE45" s="182"/>
      <c r="EF45" s="182"/>
      <c r="EG45" s="182"/>
      <c r="EH45" s="182"/>
      <c r="EI45" s="182"/>
      <c r="EJ45" s="182"/>
      <c r="EK45" s="182"/>
      <c r="EL45" s="182"/>
      <c r="EM45" s="182"/>
      <c r="EN45" s="182"/>
      <c r="EO45" s="182"/>
      <c r="EP45" s="182"/>
      <c r="EQ45" s="182"/>
      <c r="ER45" s="182"/>
      <c r="ES45" s="182"/>
      <c r="ET45" s="182"/>
      <c r="EU45" s="182"/>
      <c r="EV45" s="182"/>
      <c r="EW45" s="182"/>
      <c r="EX45" s="182"/>
      <c r="EY45" s="182"/>
      <c r="EZ45" s="182"/>
      <c r="FA45" s="182"/>
      <c r="FB45" s="182"/>
      <c r="FC45" s="182"/>
      <c r="FD45" s="182"/>
      <c r="FE45" s="182"/>
      <c r="FF45" s="182"/>
      <c r="FG45" s="182"/>
      <c r="FH45" s="182"/>
      <c r="FI45" s="182"/>
      <c r="FJ45" s="182"/>
      <c r="FK45" s="182"/>
      <c r="FL45" s="182"/>
      <c r="FM45" s="182"/>
      <c r="FN45" s="182"/>
      <c r="FO45" s="182"/>
      <c r="FP45" s="182"/>
      <c r="FQ45" s="182"/>
      <c r="FR45" s="182"/>
      <c r="FS45" s="182"/>
      <c r="FT45" s="182"/>
      <c r="FU45" s="182"/>
      <c r="FV45" s="182"/>
      <c r="FW45" s="182"/>
      <c r="FX45" s="182"/>
      <c r="FY45" s="182"/>
      <c r="FZ45" s="182"/>
      <c r="GA45" s="182"/>
      <c r="GB45" s="182"/>
      <c r="GC45" s="182"/>
      <c r="GD45" s="182"/>
      <c r="GE45" s="182"/>
      <c r="GF45" s="182"/>
      <c r="GG45" s="182"/>
      <c r="GH45" s="182"/>
      <c r="GI45" s="182"/>
      <c r="GJ45" s="182"/>
      <c r="GK45" s="182"/>
      <c r="GL45" s="182"/>
      <c r="GM45" s="182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182"/>
      <c r="HQ45" s="182"/>
      <c r="HR45" s="182"/>
      <c r="HS45" s="182"/>
      <c r="HT45" s="182"/>
      <c r="HU45" s="182"/>
      <c r="HV45" s="182"/>
      <c r="HW45" s="182"/>
      <c r="HX45" s="182"/>
      <c r="HY45" s="182"/>
      <c r="HZ45" s="182"/>
      <c r="IA45" s="182"/>
      <c r="IB45" s="182"/>
      <c r="IC45" s="182"/>
      <c r="ID45" s="182"/>
      <c r="IE45" s="182"/>
      <c r="IF45" s="182"/>
      <c r="IG45" s="182"/>
      <c r="IH45" s="182"/>
      <c r="II45" s="182"/>
      <c r="IJ45" s="182"/>
      <c r="IK45" s="182"/>
      <c r="IL45" s="182"/>
      <c r="IM45" s="182"/>
      <c r="IN45" s="182"/>
      <c r="IO45" s="182"/>
      <c r="IP45" s="182"/>
      <c r="IQ45" s="182"/>
    </row>
    <row r="46" spans="1:251" s="148" customFormat="1" ht="21.75" customHeight="1">
      <c r="A46" s="186">
        <v>39</v>
      </c>
      <c r="B46" s="408" t="s">
        <v>417</v>
      </c>
      <c r="C46" s="409" t="s">
        <v>418</v>
      </c>
      <c r="D46" s="410">
        <v>20</v>
      </c>
      <c r="E46" s="410"/>
      <c r="F46" s="409" t="s">
        <v>289</v>
      </c>
      <c r="G46" s="410" t="s">
        <v>144</v>
      </c>
      <c r="H46" s="426" t="s">
        <v>155</v>
      </c>
      <c r="I46" s="187">
        <f t="shared" si="4"/>
        <v>187500</v>
      </c>
      <c r="J46" s="379" t="s">
        <v>173</v>
      </c>
      <c r="K46" s="190">
        <f t="shared" si="5"/>
        <v>135000</v>
      </c>
      <c r="L46" s="379" t="s">
        <v>157</v>
      </c>
      <c r="M46" s="188">
        <f t="shared" si="6"/>
        <v>135000</v>
      </c>
      <c r="N46" s="188">
        <f t="shared" si="7"/>
        <v>457500</v>
      </c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2"/>
      <c r="BQ46" s="182"/>
      <c r="BR46" s="182"/>
      <c r="BS46" s="182"/>
      <c r="BT46" s="182"/>
      <c r="BU46" s="182"/>
      <c r="BV46" s="182"/>
      <c r="BW46" s="182"/>
      <c r="BX46" s="182"/>
      <c r="BY46" s="182"/>
      <c r="BZ46" s="182"/>
      <c r="CA46" s="182"/>
      <c r="CB46" s="182"/>
      <c r="CC46" s="182"/>
      <c r="CD46" s="182"/>
      <c r="CE46" s="182"/>
      <c r="CF46" s="182"/>
      <c r="CG46" s="182"/>
      <c r="CH46" s="182"/>
      <c r="CI46" s="182"/>
      <c r="CJ46" s="182"/>
      <c r="CK46" s="182"/>
      <c r="CL46" s="182"/>
      <c r="CM46" s="182"/>
      <c r="CN46" s="182"/>
      <c r="CO46" s="182"/>
      <c r="CP46" s="182"/>
      <c r="CQ46" s="182"/>
      <c r="CR46" s="182"/>
      <c r="CS46" s="182"/>
      <c r="CT46" s="182"/>
      <c r="CU46" s="182"/>
      <c r="CV46" s="182"/>
      <c r="CW46" s="182"/>
      <c r="CX46" s="182"/>
      <c r="CY46" s="182"/>
      <c r="CZ46" s="182"/>
      <c r="DA46" s="182"/>
      <c r="DB46" s="182"/>
      <c r="DC46" s="182"/>
      <c r="DD46" s="182"/>
      <c r="DE46" s="182"/>
      <c r="DF46" s="182"/>
      <c r="DG46" s="182"/>
      <c r="DH46" s="182"/>
      <c r="DI46" s="182"/>
      <c r="DJ46" s="182"/>
      <c r="DK46" s="182"/>
      <c r="DL46" s="182"/>
      <c r="DM46" s="182"/>
      <c r="DN46" s="182"/>
      <c r="DO46" s="182"/>
      <c r="DP46" s="182"/>
      <c r="DQ46" s="182"/>
      <c r="DR46" s="182"/>
      <c r="DS46" s="182"/>
      <c r="DT46" s="182"/>
      <c r="DU46" s="182"/>
      <c r="DV46" s="182"/>
      <c r="DW46" s="182"/>
      <c r="DX46" s="182"/>
      <c r="DY46" s="182"/>
      <c r="DZ46" s="182"/>
      <c r="EA46" s="182"/>
      <c r="EB46" s="182"/>
      <c r="EC46" s="182"/>
      <c r="ED46" s="182"/>
      <c r="EE46" s="182"/>
      <c r="EF46" s="182"/>
      <c r="EG46" s="182"/>
      <c r="EH46" s="182"/>
      <c r="EI46" s="182"/>
      <c r="EJ46" s="182"/>
      <c r="EK46" s="182"/>
      <c r="EL46" s="182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182"/>
      <c r="FB46" s="182"/>
      <c r="FC46" s="182"/>
      <c r="FD46" s="182"/>
      <c r="FE46" s="182"/>
      <c r="FF46" s="182"/>
      <c r="FG46" s="182"/>
      <c r="FH46" s="182"/>
      <c r="FI46" s="182"/>
      <c r="FJ46" s="182"/>
      <c r="FK46" s="182"/>
      <c r="FL46" s="182"/>
      <c r="FM46" s="182"/>
      <c r="FN46" s="182"/>
      <c r="FO46" s="182"/>
      <c r="FP46" s="182"/>
      <c r="FQ46" s="182"/>
      <c r="FR46" s="182"/>
      <c r="FS46" s="182"/>
      <c r="FT46" s="182"/>
      <c r="FU46" s="182"/>
      <c r="FV46" s="182"/>
      <c r="FW46" s="182"/>
      <c r="FX46" s="182"/>
      <c r="FY46" s="182"/>
      <c r="FZ46" s="182"/>
      <c r="GA46" s="182"/>
      <c r="GB46" s="182"/>
      <c r="GC46" s="182"/>
      <c r="GD46" s="182"/>
      <c r="GE46" s="182"/>
      <c r="GF46" s="182"/>
      <c r="GG46" s="182"/>
      <c r="GH46" s="182"/>
      <c r="GI46" s="182"/>
      <c r="GJ46" s="182"/>
      <c r="GK46" s="182"/>
      <c r="GL46" s="182"/>
      <c r="GM46" s="182"/>
      <c r="GN46" s="182"/>
      <c r="GO46" s="182"/>
      <c r="GP46" s="182"/>
      <c r="GQ46" s="182"/>
      <c r="GR46" s="182"/>
      <c r="GS46" s="182"/>
      <c r="GT46" s="182"/>
      <c r="GU46" s="182"/>
      <c r="GV46" s="182"/>
      <c r="GW46" s="182"/>
      <c r="GX46" s="182"/>
      <c r="GY46" s="182"/>
      <c r="GZ46" s="182"/>
      <c r="HA46" s="182"/>
      <c r="HB46" s="182"/>
      <c r="HC46" s="182"/>
      <c r="HD46" s="182"/>
      <c r="HE46" s="182"/>
      <c r="HF46" s="182"/>
      <c r="HG46" s="182"/>
      <c r="HH46" s="182"/>
      <c r="HI46" s="182"/>
      <c r="HJ46" s="182"/>
      <c r="HK46" s="182"/>
      <c r="HL46" s="182"/>
      <c r="HM46" s="182"/>
      <c r="HN46" s="182"/>
      <c r="HO46" s="182"/>
      <c r="HP46" s="182"/>
      <c r="HQ46" s="182"/>
      <c r="HR46" s="182"/>
      <c r="HS46" s="182"/>
      <c r="HT46" s="182"/>
      <c r="HU46" s="182"/>
      <c r="HV46" s="182"/>
      <c r="HW46" s="182"/>
      <c r="HX46" s="182"/>
      <c r="HY46" s="182"/>
      <c r="HZ46" s="182"/>
      <c r="IA46" s="182"/>
      <c r="IB46" s="182"/>
      <c r="IC46" s="182"/>
      <c r="ID46" s="182"/>
      <c r="IE46" s="182"/>
      <c r="IF46" s="182"/>
      <c r="IG46" s="182"/>
      <c r="IH46" s="182"/>
      <c r="II46" s="182"/>
      <c r="IJ46" s="182"/>
      <c r="IK46" s="182"/>
      <c r="IL46" s="182"/>
      <c r="IM46" s="182"/>
      <c r="IN46" s="182"/>
      <c r="IO46" s="182"/>
      <c r="IP46" s="182"/>
      <c r="IQ46" s="182"/>
    </row>
    <row r="47" spans="1:251" s="148" customFormat="1" ht="21.75" customHeight="1">
      <c r="A47" s="186">
        <v>40</v>
      </c>
      <c r="B47" s="408" t="s">
        <v>419</v>
      </c>
      <c r="C47" s="409" t="s">
        <v>420</v>
      </c>
      <c r="D47" s="410"/>
      <c r="E47" s="410">
        <v>45</v>
      </c>
      <c r="F47" s="409" t="s">
        <v>395</v>
      </c>
      <c r="G47" s="410" t="s">
        <v>148</v>
      </c>
      <c r="H47" s="426" t="s">
        <v>154</v>
      </c>
      <c r="I47" s="187">
        <f t="shared" si="4"/>
        <v>420000</v>
      </c>
      <c r="J47" s="379" t="s">
        <v>157</v>
      </c>
      <c r="K47" s="190">
        <f t="shared" si="5"/>
        <v>300000</v>
      </c>
      <c r="L47" s="379" t="s">
        <v>159</v>
      </c>
      <c r="M47" s="188">
        <f t="shared" si="6"/>
        <v>300000</v>
      </c>
      <c r="N47" s="188">
        <f t="shared" si="7"/>
        <v>1020000</v>
      </c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2"/>
      <c r="BQ47" s="182"/>
      <c r="BR47" s="182"/>
      <c r="BS47" s="182"/>
      <c r="BT47" s="182"/>
      <c r="BU47" s="182"/>
      <c r="BV47" s="182"/>
      <c r="BW47" s="182"/>
      <c r="BX47" s="182"/>
      <c r="BY47" s="182"/>
      <c r="BZ47" s="182"/>
      <c r="CA47" s="182"/>
      <c r="CB47" s="182"/>
      <c r="CC47" s="182"/>
      <c r="CD47" s="182"/>
      <c r="CE47" s="182"/>
      <c r="CF47" s="182"/>
      <c r="CG47" s="182"/>
      <c r="CH47" s="182"/>
      <c r="CI47" s="182"/>
      <c r="CJ47" s="182"/>
      <c r="CK47" s="182"/>
      <c r="CL47" s="182"/>
      <c r="CM47" s="182"/>
      <c r="CN47" s="182"/>
      <c r="CO47" s="182"/>
      <c r="CP47" s="182"/>
      <c r="CQ47" s="182"/>
      <c r="CR47" s="182"/>
      <c r="CS47" s="182"/>
      <c r="CT47" s="182"/>
      <c r="CU47" s="182"/>
      <c r="CV47" s="182"/>
      <c r="CW47" s="182"/>
      <c r="CX47" s="182"/>
      <c r="CY47" s="182"/>
      <c r="CZ47" s="182"/>
      <c r="DA47" s="182"/>
      <c r="DB47" s="182"/>
      <c r="DC47" s="182"/>
      <c r="DD47" s="182"/>
      <c r="DE47" s="182"/>
      <c r="DF47" s="182"/>
      <c r="DG47" s="182"/>
      <c r="DH47" s="182"/>
      <c r="DI47" s="182"/>
      <c r="DJ47" s="182"/>
      <c r="DK47" s="182"/>
      <c r="DL47" s="182"/>
      <c r="DM47" s="182"/>
      <c r="DN47" s="182"/>
      <c r="DO47" s="182"/>
      <c r="DP47" s="182"/>
      <c r="DQ47" s="182"/>
      <c r="DR47" s="182"/>
      <c r="DS47" s="182"/>
      <c r="DT47" s="182"/>
      <c r="DU47" s="182"/>
      <c r="DV47" s="182"/>
      <c r="DW47" s="182"/>
      <c r="DX47" s="182"/>
      <c r="DY47" s="182"/>
      <c r="DZ47" s="182"/>
      <c r="EA47" s="182"/>
      <c r="EB47" s="182"/>
      <c r="EC47" s="182"/>
      <c r="ED47" s="182"/>
      <c r="EE47" s="182"/>
      <c r="EF47" s="182"/>
      <c r="EG47" s="182"/>
      <c r="EH47" s="182"/>
      <c r="EI47" s="182"/>
      <c r="EJ47" s="182"/>
      <c r="EK47" s="182"/>
      <c r="EL47" s="182"/>
      <c r="EM47" s="182"/>
      <c r="EN47" s="182"/>
      <c r="EO47" s="182"/>
      <c r="EP47" s="182"/>
      <c r="EQ47" s="182"/>
      <c r="ER47" s="182"/>
      <c r="ES47" s="182"/>
      <c r="ET47" s="182"/>
      <c r="EU47" s="182"/>
      <c r="EV47" s="182"/>
      <c r="EW47" s="182"/>
      <c r="EX47" s="182"/>
      <c r="EY47" s="182"/>
      <c r="EZ47" s="182"/>
      <c r="FA47" s="182"/>
      <c r="FB47" s="182"/>
      <c r="FC47" s="182"/>
      <c r="FD47" s="182"/>
      <c r="FE47" s="182"/>
      <c r="FF47" s="182"/>
      <c r="FG47" s="182"/>
      <c r="FH47" s="182"/>
      <c r="FI47" s="182"/>
      <c r="FJ47" s="182"/>
      <c r="FK47" s="182"/>
      <c r="FL47" s="182"/>
      <c r="FM47" s="182"/>
      <c r="FN47" s="182"/>
      <c r="FO47" s="182"/>
      <c r="FP47" s="182"/>
      <c r="FQ47" s="182"/>
      <c r="FR47" s="182"/>
      <c r="FS47" s="182"/>
      <c r="FT47" s="182"/>
      <c r="FU47" s="182"/>
      <c r="FV47" s="182"/>
      <c r="FW47" s="182"/>
      <c r="FX47" s="182"/>
      <c r="FY47" s="182"/>
      <c r="FZ47" s="182"/>
      <c r="GA47" s="182"/>
      <c r="GB47" s="182"/>
      <c r="GC47" s="182"/>
      <c r="GD47" s="182"/>
      <c r="GE47" s="182"/>
      <c r="GF47" s="182"/>
      <c r="GG47" s="182"/>
      <c r="GH47" s="182"/>
      <c r="GI47" s="182"/>
      <c r="GJ47" s="182"/>
      <c r="GK47" s="182"/>
      <c r="GL47" s="182"/>
      <c r="GM47" s="182"/>
      <c r="GN47" s="182"/>
      <c r="GO47" s="182"/>
      <c r="GP47" s="182"/>
      <c r="GQ47" s="182"/>
      <c r="GR47" s="182"/>
      <c r="GS47" s="182"/>
      <c r="GT47" s="182"/>
      <c r="GU47" s="182"/>
      <c r="GV47" s="182"/>
      <c r="GW47" s="182"/>
      <c r="GX47" s="182"/>
      <c r="GY47" s="182"/>
      <c r="GZ47" s="182"/>
      <c r="HA47" s="182"/>
      <c r="HB47" s="182"/>
      <c r="HC47" s="182"/>
      <c r="HD47" s="182"/>
      <c r="HE47" s="182"/>
      <c r="HF47" s="182"/>
      <c r="HG47" s="182"/>
      <c r="HH47" s="182"/>
      <c r="HI47" s="182"/>
      <c r="HJ47" s="182"/>
      <c r="HK47" s="182"/>
      <c r="HL47" s="182"/>
      <c r="HM47" s="182"/>
      <c r="HN47" s="182"/>
      <c r="HO47" s="182"/>
      <c r="HP47" s="182"/>
      <c r="HQ47" s="182"/>
      <c r="HR47" s="182"/>
      <c r="HS47" s="182"/>
      <c r="HT47" s="182"/>
      <c r="HU47" s="182"/>
      <c r="HV47" s="182"/>
      <c r="HW47" s="182"/>
      <c r="HX47" s="182"/>
      <c r="HY47" s="182"/>
      <c r="HZ47" s="182"/>
      <c r="IA47" s="182"/>
      <c r="IB47" s="182"/>
      <c r="IC47" s="182"/>
      <c r="ID47" s="182"/>
      <c r="IE47" s="182"/>
      <c r="IF47" s="182"/>
      <c r="IG47" s="182"/>
      <c r="IH47" s="182"/>
      <c r="II47" s="182"/>
      <c r="IJ47" s="182"/>
      <c r="IK47" s="182"/>
      <c r="IL47" s="182"/>
      <c r="IM47" s="182"/>
      <c r="IN47" s="182"/>
      <c r="IO47" s="182"/>
      <c r="IP47" s="182"/>
      <c r="IQ47" s="182"/>
    </row>
    <row r="48" spans="1:251" s="148" customFormat="1" ht="21.75" customHeight="1">
      <c r="A48" s="186">
        <v>41</v>
      </c>
      <c r="B48" s="408" t="s">
        <v>419</v>
      </c>
      <c r="C48" s="409" t="s">
        <v>421</v>
      </c>
      <c r="D48" s="410">
        <v>29</v>
      </c>
      <c r="E48" s="410"/>
      <c r="F48" s="409" t="s">
        <v>273</v>
      </c>
      <c r="G48" s="410" t="s">
        <v>146</v>
      </c>
      <c r="H48" s="426" t="s">
        <v>155</v>
      </c>
      <c r="I48" s="187">
        <f t="shared" si="4"/>
        <v>187500</v>
      </c>
      <c r="J48" s="379" t="s">
        <v>173</v>
      </c>
      <c r="K48" s="190">
        <f t="shared" si="5"/>
        <v>135000</v>
      </c>
      <c r="L48" s="379" t="s">
        <v>160</v>
      </c>
      <c r="M48" s="188">
        <f t="shared" si="6"/>
        <v>135000</v>
      </c>
      <c r="N48" s="188">
        <f t="shared" si="7"/>
        <v>457500</v>
      </c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2"/>
      <c r="BQ48" s="182"/>
      <c r="BR48" s="182"/>
      <c r="BS48" s="182"/>
      <c r="BT48" s="182"/>
      <c r="BU48" s="182"/>
      <c r="BV48" s="182"/>
      <c r="BW48" s="182"/>
      <c r="BX48" s="182"/>
      <c r="BY48" s="182"/>
      <c r="BZ48" s="182"/>
      <c r="CA48" s="182"/>
      <c r="CB48" s="182"/>
      <c r="CC48" s="182"/>
      <c r="CD48" s="182"/>
      <c r="CE48" s="182"/>
      <c r="CF48" s="182"/>
      <c r="CG48" s="182"/>
      <c r="CH48" s="182"/>
      <c r="CI48" s="182"/>
      <c r="CJ48" s="182"/>
      <c r="CK48" s="182"/>
      <c r="CL48" s="182"/>
      <c r="CM48" s="182"/>
      <c r="CN48" s="182"/>
      <c r="CO48" s="182"/>
      <c r="CP48" s="182"/>
      <c r="CQ48" s="182"/>
      <c r="CR48" s="182"/>
      <c r="CS48" s="182"/>
      <c r="CT48" s="182"/>
      <c r="CU48" s="182"/>
      <c r="CV48" s="182"/>
      <c r="CW48" s="182"/>
      <c r="CX48" s="182"/>
      <c r="CY48" s="182"/>
      <c r="CZ48" s="182"/>
      <c r="DA48" s="182"/>
      <c r="DB48" s="182"/>
      <c r="DC48" s="182"/>
      <c r="DD48" s="182"/>
      <c r="DE48" s="182"/>
      <c r="DF48" s="182"/>
      <c r="DG48" s="182"/>
      <c r="DH48" s="182"/>
      <c r="DI48" s="182"/>
      <c r="DJ48" s="182"/>
      <c r="DK48" s="182"/>
      <c r="DL48" s="182"/>
      <c r="DM48" s="182"/>
      <c r="DN48" s="182"/>
      <c r="DO48" s="182"/>
      <c r="DP48" s="182"/>
      <c r="DQ48" s="182"/>
      <c r="DR48" s="182"/>
      <c r="DS48" s="182"/>
      <c r="DT48" s="182"/>
      <c r="DU48" s="182"/>
      <c r="DV48" s="182"/>
      <c r="DW48" s="182"/>
      <c r="DX48" s="182"/>
      <c r="DY48" s="182"/>
      <c r="DZ48" s="182"/>
      <c r="EA48" s="182"/>
      <c r="EB48" s="182"/>
      <c r="EC48" s="182"/>
      <c r="ED48" s="182"/>
      <c r="EE48" s="182"/>
      <c r="EF48" s="182"/>
      <c r="EG48" s="182"/>
      <c r="EH48" s="182"/>
      <c r="EI48" s="182"/>
      <c r="EJ48" s="182"/>
      <c r="EK48" s="182"/>
      <c r="EL48" s="182"/>
      <c r="EM48" s="182"/>
      <c r="EN48" s="182"/>
      <c r="EO48" s="182"/>
      <c r="EP48" s="182"/>
      <c r="EQ48" s="182"/>
      <c r="ER48" s="182"/>
      <c r="ES48" s="182"/>
      <c r="ET48" s="182"/>
      <c r="EU48" s="182"/>
      <c r="EV48" s="182"/>
      <c r="EW48" s="182"/>
      <c r="EX48" s="182"/>
      <c r="EY48" s="182"/>
      <c r="EZ48" s="182"/>
      <c r="FA48" s="182"/>
      <c r="FB48" s="182"/>
      <c r="FC48" s="182"/>
      <c r="FD48" s="182"/>
      <c r="FE48" s="182"/>
      <c r="FF48" s="182"/>
      <c r="FG48" s="182"/>
      <c r="FH48" s="182"/>
      <c r="FI48" s="182"/>
      <c r="FJ48" s="182"/>
      <c r="FK48" s="182"/>
      <c r="FL48" s="182"/>
      <c r="FM48" s="182"/>
      <c r="FN48" s="182"/>
      <c r="FO48" s="182"/>
      <c r="FP48" s="182"/>
      <c r="FQ48" s="182"/>
      <c r="FR48" s="182"/>
      <c r="FS48" s="182"/>
      <c r="FT48" s="182"/>
      <c r="FU48" s="182"/>
      <c r="FV48" s="182"/>
      <c r="FW48" s="182"/>
      <c r="FX48" s="182"/>
      <c r="FY48" s="182"/>
      <c r="FZ48" s="182"/>
      <c r="GA48" s="182"/>
      <c r="GB48" s="182"/>
      <c r="GC48" s="182"/>
      <c r="GD48" s="182"/>
      <c r="GE48" s="182"/>
      <c r="GF48" s="182"/>
      <c r="GG48" s="182"/>
      <c r="GH48" s="182"/>
      <c r="GI48" s="182"/>
      <c r="GJ48" s="182"/>
      <c r="GK48" s="182"/>
      <c r="GL48" s="182"/>
      <c r="GM48" s="182"/>
      <c r="GN48" s="182"/>
      <c r="GO48" s="182"/>
      <c r="GP48" s="182"/>
      <c r="GQ48" s="182"/>
      <c r="GR48" s="182"/>
      <c r="GS48" s="182"/>
      <c r="GT48" s="182"/>
      <c r="GU48" s="182"/>
      <c r="GV48" s="182"/>
      <c r="GW48" s="182"/>
      <c r="GX48" s="182"/>
      <c r="GY48" s="182"/>
      <c r="GZ48" s="182"/>
      <c r="HA48" s="182"/>
      <c r="HB48" s="182"/>
      <c r="HC48" s="182"/>
      <c r="HD48" s="182"/>
      <c r="HE48" s="182"/>
      <c r="HF48" s="182"/>
      <c r="HG48" s="182"/>
      <c r="HH48" s="182"/>
      <c r="HI48" s="182"/>
      <c r="HJ48" s="182"/>
      <c r="HK48" s="182"/>
      <c r="HL48" s="182"/>
      <c r="HM48" s="182"/>
      <c r="HN48" s="182"/>
      <c r="HO48" s="182"/>
      <c r="HP48" s="182"/>
      <c r="HQ48" s="182"/>
      <c r="HR48" s="182"/>
      <c r="HS48" s="182"/>
      <c r="HT48" s="182"/>
      <c r="HU48" s="182"/>
      <c r="HV48" s="182"/>
      <c r="HW48" s="182"/>
      <c r="HX48" s="182"/>
      <c r="HY48" s="182"/>
      <c r="HZ48" s="182"/>
      <c r="IA48" s="182"/>
      <c r="IB48" s="182"/>
      <c r="IC48" s="182"/>
      <c r="ID48" s="182"/>
      <c r="IE48" s="182"/>
      <c r="IF48" s="182"/>
      <c r="IG48" s="182"/>
      <c r="IH48" s="182"/>
      <c r="II48" s="182"/>
      <c r="IJ48" s="182"/>
      <c r="IK48" s="182"/>
      <c r="IL48" s="182"/>
      <c r="IM48" s="182"/>
      <c r="IN48" s="182"/>
      <c r="IO48" s="182"/>
      <c r="IP48" s="182"/>
      <c r="IQ48" s="182"/>
    </row>
    <row r="49" spans="1:251" s="148" customFormat="1" ht="21.75" customHeight="1">
      <c r="A49" s="186">
        <v>42</v>
      </c>
      <c r="B49" s="408" t="s">
        <v>419</v>
      </c>
      <c r="C49" s="409" t="s">
        <v>422</v>
      </c>
      <c r="D49" s="410"/>
      <c r="E49" s="410">
        <v>22</v>
      </c>
      <c r="F49" s="409" t="s">
        <v>395</v>
      </c>
      <c r="G49" s="410" t="s">
        <v>148</v>
      </c>
      <c r="H49" s="426" t="s">
        <v>155</v>
      </c>
      <c r="I49" s="187">
        <f t="shared" si="4"/>
        <v>420000</v>
      </c>
      <c r="J49" s="379" t="s">
        <v>158</v>
      </c>
      <c r="K49" s="190">
        <f t="shared" si="5"/>
        <v>300000</v>
      </c>
      <c r="L49" s="379" t="s">
        <v>282</v>
      </c>
      <c r="M49" s="188">
        <f t="shared" si="6"/>
        <v>300000</v>
      </c>
      <c r="N49" s="188">
        <f t="shared" si="7"/>
        <v>1020000</v>
      </c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2"/>
      <c r="DN49" s="182"/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2"/>
      <c r="EC49" s="182"/>
      <c r="ED49" s="182"/>
      <c r="EE49" s="182"/>
      <c r="EF49" s="182"/>
      <c r="EG49" s="182"/>
      <c r="EH49" s="182"/>
      <c r="EI49" s="182"/>
      <c r="EJ49" s="182"/>
      <c r="EK49" s="182"/>
      <c r="EL49" s="182"/>
      <c r="EM49" s="182"/>
      <c r="EN49" s="182"/>
      <c r="EO49" s="182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2"/>
      <c r="FN49" s="182"/>
      <c r="FO49" s="182"/>
      <c r="FP49" s="182"/>
      <c r="FQ49" s="182"/>
      <c r="FR49" s="182"/>
      <c r="FS49" s="182"/>
      <c r="FT49" s="182"/>
      <c r="FU49" s="182"/>
      <c r="FV49" s="182"/>
      <c r="FW49" s="182"/>
      <c r="FX49" s="182"/>
      <c r="FY49" s="182"/>
      <c r="FZ49" s="182"/>
      <c r="GA49" s="182"/>
      <c r="GB49" s="182"/>
      <c r="GC49" s="182"/>
      <c r="GD49" s="182"/>
      <c r="GE49" s="182"/>
      <c r="GF49" s="182"/>
      <c r="GG49" s="182"/>
      <c r="GH49" s="182"/>
      <c r="GI49" s="182"/>
      <c r="GJ49" s="182"/>
      <c r="GK49" s="182"/>
      <c r="GL49" s="182"/>
      <c r="GM49" s="182"/>
      <c r="GN49" s="182"/>
      <c r="GO49" s="182"/>
      <c r="GP49" s="182"/>
      <c r="GQ49" s="182"/>
      <c r="GR49" s="182"/>
      <c r="GS49" s="182"/>
      <c r="GT49" s="182"/>
      <c r="GU49" s="182"/>
      <c r="GV49" s="182"/>
      <c r="GW49" s="182"/>
      <c r="GX49" s="182"/>
      <c r="GY49" s="182"/>
      <c r="GZ49" s="182"/>
      <c r="HA49" s="182"/>
      <c r="HB49" s="182"/>
      <c r="HC49" s="182"/>
      <c r="HD49" s="182"/>
      <c r="HE49" s="182"/>
      <c r="HF49" s="182"/>
      <c r="HG49" s="182"/>
      <c r="HH49" s="182"/>
      <c r="HI49" s="182"/>
      <c r="HJ49" s="182"/>
      <c r="HK49" s="182"/>
      <c r="HL49" s="182"/>
      <c r="HM49" s="182"/>
      <c r="HN49" s="182"/>
      <c r="HO49" s="182"/>
      <c r="HP49" s="182"/>
      <c r="HQ49" s="182"/>
      <c r="HR49" s="182"/>
      <c r="HS49" s="182"/>
      <c r="HT49" s="182"/>
      <c r="HU49" s="182"/>
      <c r="HV49" s="182"/>
      <c r="HW49" s="182"/>
      <c r="HX49" s="182"/>
      <c r="HY49" s="182"/>
      <c r="HZ49" s="182"/>
      <c r="IA49" s="182"/>
      <c r="IB49" s="182"/>
      <c r="IC49" s="182"/>
      <c r="ID49" s="182"/>
      <c r="IE49" s="182"/>
      <c r="IF49" s="182"/>
      <c r="IG49" s="182"/>
      <c r="IH49" s="182"/>
      <c r="II49" s="182"/>
      <c r="IJ49" s="182"/>
      <c r="IK49" s="182"/>
      <c r="IL49" s="182"/>
      <c r="IM49" s="182"/>
      <c r="IN49" s="182"/>
      <c r="IO49" s="182"/>
      <c r="IP49" s="182"/>
      <c r="IQ49" s="182"/>
    </row>
    <row r="50" spans="1:251" s="148" customFormat="1" ht="21.75" customHeight="1">
      <c r="A50" s="186">
        <v>43</v>
      </c>
      <c r="B50" s="408" t="s">
        <v>423</v>
      </c>
      <c r="C50" s="409" t="s">
        <v>424</v>
      </c>
      <c r="D50" s="410">
        <v>42</v>
      </c>
      <c r="E50" s="410"/>
      <c r="F50" s="409" t="s">
        <v>172</v>
      </c>
      <c r="G50" s="410" t="s">
        <v>143</v>
      </c>
      <c r="H50" s="426" t="s">
        <v>156</v>
      </c>
      <c r="I50" s="187">
        <f t="shared" si="4"/>
        <v>420000</v>
      </c>
      <c r="J50" s="379" t="s">
        <v>154</v>
      </c>
      <c r="K50" s="190">
        <f t="shared" si="5"/>
        <v>300000</v>
      </c>
      <c r="L50" s="379" t="s">
        <v>157</v>
      </c>
      <c r="M50" s="188">
        <f t="shared" si="6"/>
        <v>300000</v>
      </c>
      <c r="N50" s="188">
        <f t="shared" si="7"/>
        <v>1020000</v>
      </c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2"/>
      <c r="BQ50" s="182"/>
      <c r="BR50" s="182"/>
      <c r="BS50" s="182"/>
      <c r="BT50" s="182"/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182"/>
      <c r="CF50" s="182"/>
      <c r="CG50" s="182"/>
      <c r="CH50" s="182"/>
      <c r="CI50" s="182"/>
      <c r="CJ50" s="182"/>
      <c r="CK50" s="182"/>
      <c r="CL50" s="182"/>
      <c r="CM50" s="182"/>
      <c r="CN50" s="182"/>
      <c r="CO50" s="182"/>
      <c r="CP50" s="182"/>
      <c r="CQ50" s="182"/>
      <c r="CR50" s="182"/>
      <c r="CS50" s="182"/>
      <c r="CT50" s="182"/>
      <c r="CU50" s="182"/>
      <c r="CV50" s="182"/>
      <c r="CW50" s="182"/>
      <c r="CX50" s="182"/>
      <c r="CY50" s="182"/>
      <c r="CZ50" s="182"/>
      <c r="DA50" s="182"/>
      <c r="DB50" s="182"/>
      <c r="DC50" s="182"/>
      <c r="DD50" s="182"/>
      <c r="DE50" s="182"/>
      <c r="DF50" s="182"/>
      <c r="DG50" s="182"/>
      <c r="DH50" s="182"/>
      <c r="DI50" s="182"/>
      <c r="DJ50" s="182"/>
      <c r="DK50" s="182"/>
      <c r="DL50" s="182"/>
      <c r="DM50" s="182"/>
      <c r="DN50" s="182"/>
      <c r="DO50" s="182"/>
      <c r="DP50" s="182"/>
      <c r="DQ50" s="182"/>
      <c r="DR50" s="182"/>
      <c r="DS50" s="182"/>
      <c r="DT50" s="182"/>
      <c r="DU50" s="182"/>
      <c r="DV50" s="182"/>
      <c r="DW50" s="182"/>
      <c r="DX50" s="182"/>
      <c r="DY50" s="182"/>
      <c r="DZ50" s="182"/>
      <c r="EA50" s="182"/>
      <c r="EB50" s="182"/>
      <c r="EC50" s="182"/>
      <c r="ED50" s="182"/>
      <c r="EE50" s="182"/>
      <c r="EF50" s="182"/>
      <c r="EG50" s="182"/>
      <c r="EH50" s="182"/>
      <c r="EI50" s="182"/>
      <c r="EJ50" s="182"/>
      <c r="EK50" s="182"/>
      <c r="EL50" s="182"/>
      <c r="EM50" s="182"/>
      <c r="EN50" s="182"/>
      <c r="EO50" s="182"/>
      <c r="EP50" s="182"/>
      <c r="EQ50" s="182"/>
      <c r="ER50" s="182"/>
      <c r="ES50" s="182"/>
      <c r="ET50" s="182"/>
      <c r="EU50" s="182"/>
      <c r="EV50" s="182"/>
      <c r="EW50" s="182"/>
      <c r="EX50" s="182"/>
      <c r="EY50" s="182"/>
      <c r="EZ50" s="182"/>
      <c r="FA50" s="182"/>
      <c r="FB50" s="182"/>
      <c r="FC50" s="182"/>
      <c r="FD50" s="182"/>
      <c r="FE50" s="182"/>
      <c r="FF50" s="182"/>
      <c r="FG50" s="182"/>
      <c r="FH50" s="182"/>
      <c r="FI50" s="182"/>
      <c r="FJ50" s="182"/>
      <c r="FK50" s="182"/>
      <c r="FL50" s="182"/>
      <c r="FM50" s="182"/>
      <c r="FN50" s="182"/>
      <c r="FO50" s="182"/>
      <c r="FP50" s="182"/>
      <c r="FQ50" s="182"/>
      <c r="FR50" s="182"/>
      <c r="FS50" s="182"/>
      <c r="FT50" s="182"/>
      <c r="FU50" s="182"/>
      <c r="FV50" s="182"/>
      <c r="FW50" s="182"/>
      <c r="FX50" s="182"/>
      <c r="FY50" s="182"/>
      <c r="FZ50" s="182"/>
      <c r="GA50" s="182"/>
      <c r="GB50" s="182"/>
      <c r="GC50" s="182"/>
      <c r="GD50" s="182"/>
      <c r="GE50" s="182"/>
      <c r="GF50" s="182"/>
      <c r="GG50" s="182"/>
      <c r="GH50" s="182"/>
      <c r="GI50" s="182"/>
      <c r="GJ50" s="182"/>
      <c r="GK50" s="182"/>
      <c r="GL50" s="182"/>
      <c r="GM50" s="182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182"/>
      <c r="HQ50" s="182"/>
      <c r="HR50" s="182"/>
      <c r="HS50" s="182"/>
      <c r="HT50" s="182"/>
      <c r="HU50" s="182"/>
      <c r="HV50" s="182"/>
      <c r="HW50" s="182"/>
      <c r="HX50" s="182"/>
      <c r="HY50" s="182"/>
      <c r="HZ50" s="182"/>
      <c r="IA50" s="182"/>
      <c r="IB50" s="182"/>
      <c r="IC50" s="182"/>
      <c r="ID50" s="182"/>
      <c r="IE50" s="182"/>
      <c r="IF50" s="182"/>
      <c r="IG50" s="182"/>
      <c r="IH50" s="182"/>
      <c r="II50" s="182"/>
      <c r="IJ50" s="182"/>
      <c r="IK50" s="182"/>
      <c r="IL50" s="182"/>
      <c r="IM50" s="182"/>
      <c r="IN50" s="182"/>
      <c r="IO50" s="182"/>
      <c r="IP50" s="182"/>
      <c r="IQ50" s="182"/>
    </row>
    <row r="51" spans="1:251" s="148" customFormat="1" ht="21.75" customHeight="1">
      <c r="A51" s="186">
        <v>44</v>
      </c>
      <c r="B51" s="408" t="s">
        <v>423</v>
      </c>
      <c r="C51" s="409" t="s">
        <v>424</v>
      </c>
      <c r="D51" s="410">
        <v>42</v>
      </c>
      <c r="E51" s="410"/>
      <c r="F51" s="409" t="s">
        <v>425</v>
      </c>
      <c r="G51" s="410" t="s">
        <v>143</v>
      </c>
      <c r="H51" s="426" t="s">
        <v>156</v>
      </c>
      <c r="I51" s="187">
        <f t="shared" si="4"/>
        <v>420000</v>
      </c>
      <c r="J51" s="379" t="s">
        <v>154</v>
      </c>
      <c r="K51" s="190">
        <f t="shared" si="5"/>
        <v>300000</v>
      </c>
      <c r="L51" s="379" t="s">
        <v>157</v>
      </c>
      <c r="M51" s="188">
        <f t="shared" si="6"/>
        <v>300000</v>
      </c>
      <c r="N51" s="188">
        <f t="shared" si="7"/>
        <v>1020000</v>
      </c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2"/>
      <c r="CY51" s="182"/>
      <c r="CZ51" s="182"/>
      <c r="DA51" s="182"/>
      <c r="DB51" s="182"/>
      <c r="DC51" s="182"/>
      <c r="DD51" s="182"/>
      <c r="DE51" s="182"/>
      <c r="DF51" s="182"/>
      <c r="DG51" s="182"/>
      <c r="DH51" s="182"/>
      <c r="DI51" s="182"/>
      <c r="DJ51" s="182"/>
      <c r="DK51" s="182"/>
      <c r="DL51" s="182"/>
      <c r="DM51" s="182"/>
      <c r="DN51" s="182"/>
      <c r="DO51" s="182"/>
      <c r="DP51" s="182"/>
      <c r="DQ51" s="182"/>
      <c r="DR51" s="182"/>
      <c r="DS51" s="182"/>
      <c r="DT51" s="182"/>
      <c r="DU51" s="182"/>
      <c r="DV51" s="182"/>
      <c r="DW51" s="182"/>
      <c r="DX51" s="182"/>
      <c r="DY51" s="182"/>
      <c r="DZ51" s="182"/>
      <c r="EA51" s="182"/>
      <c r="EB51" s="182"/>
      <c r="EC51" s="182"/>
      <c r="ED51" s="182"/>
      <c r="EE51" s="182"/>
      <c r="EF51" s="182"/>
      <c r="EG51" s="182"/>
      <c r="EH51" s="182"/>
      <c r="EI51" s="182"/>
      <c r="EJ51" s="182"/>
      <c r="EK51" s="182"/>
      <c r="EL51" s="182"/>
      <c r="EM51" s="182"/>
      <c r="EN51" s="182"/>
      <c r="EO51" s="182"/>
      <c r="EP51" s="182"/>
      <c r="EQ51" s="182"/>
      <c r="ER51" s="182"/>
      <c r="ES51" s="182"/>
      <c r="ET51" s="182"/>
      <c r="EU51" s="182"/>
      <c r="EV51" s="182"/>
      <c r="EW51" s="182"/>
      <c r="EX51" s="182"/>
      <c r="EY51" s="182"/>
      <c r="EZ51" s="182"/>
      <c r="FA51" s="182"/>
      <c r="FB51" s="182"/>
      <c r="FC51" s="182"/>
      <c r="FD51" s="182"/>
      <c r="FE51" s="182"/>
      <c r="FF51" s="182"/>
      <c r="FG51" s="182"/>
      <c r="FH51" s="182"/>
      <c r="FI51" s="182"/>
      <c r="FJ51" s="182"/>
      <c r="FK51" s="182"/>
      <c r="FL51" s="182"/>
      <c r="FM51" s="182"/>
      <c r="FN51" s="182"/>
      <c r="FO51" s="182"/>
      <c r="FP51" s="182"/>
      <c r="FQ51" s="182"/>
      <c r="FR51" s="182"/>
      <c r="FS51" s="182"/>
      <c r="FT51" s="182"/>
      <c r="FU51" s="182"/>
      <c r="FV51" s="182"/>
      <c r="FW51" s="182"/>
      <c r="FX51" s="182"/>
      <c r="FY51" s="182"/>
      <c r="FZ51" s="182"/>
      <c r="GA51" s="182"/>
      <c r="GB51" s="182"/>
      <c r="GC51" s="182"/>
      <c r="GD51" s="182"/>
      <c r="GE51" s="182"/>
      <c r="GF51" s="182"/>
      <c r="GG51" s="182"/>
      <c r="GH51" s="182"/>
      <c r="GI51" s="182"/>
      <c r="GJ51" s="182"/>
      <c r="GK51" s="182"/>
      <c r="GL51" s="182"/>
      <c r="GM51" s="182"/>
      <c r="GN51" s="182"/>
      <c r="GO51" s="182"/>
      <c r="GP51" s="182"/>
      <c r="GQ51" s="182"/>
      <c r="GR51" s="182"/>
      <c r="GS51" s="182"/>
      <c r="GT51" s="182"/>
      <c r="GU51" s="182"/>
      <c r="GV51" s="182"/>
      <c r="GW51" s="182"/>
      <c r="GX51" s="182"/>
      <c r="GY51" s="182"/>
      <c r="GZ51" s="182"/>
      <c r="HA51" s="182"/>
      <c r="HB51" s="182"/>
      <c r="HC51" s="182"/>
      <c r="HD51" s="182"/>
      <c r="HE51" s="182"/>
      <c r="HF51" s="182"/>
      <c r="HG51" s="182"/>
      <c r="HH51" s="182"/>
      <c r="HI51" s="182"/>
      <c r="HJ51" s="182"/>
      <c r="HK51" s="182"/>
      <c r="HL51" s="182"/>
      <c r="HM51" s="182"/>
      <c r="HN51" s="182"/>
      <c r="HO51" s="182"/>
      <c r="HP51" s="182"/>
      <c r="HQ51" s="182"/>
      <c r="HR51" s="182"/>
      <c r="HS51" s="182"/>
      <c r="HT51" s="182"/>
      <c r="HU51" s="182"/>
      <c r="HV51" s="182"/>
      <c r="HW51" s="182"/>
      <c r="HX51" s="182"/>
      <c r="HY51" s="182"/>
      <c r="HZ51" s="182"/>
      <c r="IA51" s="182"/>
      <c r="IB51" s="182"/>
      <c r="IC51" s="182"/>
      <c r="ID51" s="182"/>
      <c r="IE51" s="182"/>
      <c r="IF51" s="182"/>
      <c r="IG51" s="182"/>
      <c r="IH51" s="182"/>
      <c r="II51" s="182"/>
      <c r="IJ51" s="182"/>
      <c r="IK51" s="182"/>
      <c r="IL51" s="182"/>
      <c r="IM51" s="182"/>
      <c r="IN51" s="182"/>
      <c r="IO51" s="182"/>
      <c r="IP51" s="182"/>
      <c r="IQ51" s="182"/>
    </row>
    <row r="52" spans="1:251" s="148" customFormat="1" ht="21.75" customHeight="1">
      <c r="A52" s="186">
        <v>45</v>
      </c>
      <c r="B52" s="408" t="s">
        <v>423</v>
      </c>
      <c r="C52" s="409" t="s">
        <v>426</v>
      </c>
      <c r="D52" s="410">
        <v>23</v>
      </c>
      <c r="E52" s="410"/>
      <c r="F52" s="409" t="s">
        <v>395</v>
      </c>
      <c r="G52" s="410" t="s">
        <v>143</v>
      </c>
      <c r="H52" s="426" t="s">
        <v>155</v>
      </c>
      <c r="I52" s="187">
        <f t="shared" si="4"/>
        <v>420000</v>
      </c>
      <c r="J52" s="379" t="s">
        <v>157</v>
      </c>
      <c r="K52" s="190">
        <f t="shared" si="5"/>
        <v>300000</v>
      </c>
      <c r="L52" s="379" t="s">
        <v>280</v>
      </c>
      <c r="M52" s="188">
        <f t="shared" si="6"/>
        <v>300000</v>
      </c>
      <c r="N52" s="188">
        <f t="shared" si="7"/>
        <v>1020000</v>
      </c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182"/>
      <c r="BV52" s="182"/>
      <c r="BW52" s="182"/>
      <c r="BX52" s="182"/>
      <c r="BY52" s="182"/>
      <c r="BZ52" s="182"/>
      <c r="CA52" s="182"/>
      <c r="CB52" s="182"/>
      <c r="CC52" s="182"/>
      <c r="CD52" s="182"/>
      <c r="CE52" s="182"/>
      <c r="CF52" s="182"/>
      <c r="CG52" s="182"/>
      <c r="CH52" s="182"/>
      <c r="CI52" s="182"/>
      <c r="CJ52" s="182"/>
      <c r="CK52" s="182"/>
      <c r="CL52" s="182"/>
      <c r="CM52" s="182"/>
      <c r="CN52" s="182"/>
      <c r="CO52" s="182"/>
      <c r="CP52" s="182"/>
      <c r="CQ52" s="182"/>
      <c r="CR52" s="182"/>
      <c r="CS52" s="182"/>
      <c r="CT52" s="182"/>
      <c r="CU52" s="182"/>
      <c r="CV52" s="182"/>
      <c r="CW52" s="182"/>
      <c r="CX52" s="182"/>
      <c r="CY52" s="182"/>
      <c r="CZ52" s="182"/>
      <c r="DA52" s="182"/>
      <c r="DB52" s="182"/>
      <c r="DC52" s="182"/>
      <c r="DD52" s="182"/>
      <c r="DE52" s="182"/>
      <c r="DF52" s="182"/>
      <c r="DG52" s="182"/>
      <c r="DH52" s="182"/>
      <c r="DI52" s="182"/>
      <c r="DJ52" s="182"/>
      <c r="DK52" s="182"/>
      <c r="DL52" s="182"/>
      <c r="DM52" s="182"/>
      <c r="DN52" s="182"/>
      <c r="DO52" s="182"/>
      <c r="DP52" s="182"/>
      <c r="DQ52" s="182"/>
      <c r="DR52" s="182"/>
      <c r="DS52" s="182"/>
      <c r="DT52" s="182"/>
      <c r="DU52" s="182"/>
      <c r="DV52" s="182"/>
      <c r="DW52" s="182"/>
      <c r="DX52" s="182"/>
      <c r="DY52" s="182"/>
      <c r="DZ52" s="182"/>
      <c r="EA52" s="182"/>
      <c r="EB52" s="182"/>
      <c r="EC52" s="182"/>
      <c r="ED52" s="182"/>
      <c r="EE52" s="182"/>
      <c r="EF52" s="182"/>
      <c r="EG52" s="182"/>
      <c r="EH52" s="182"/>
      <c r="EI52" s="182"/>
      <c r="EJ52" s="182"/>
      <c r="EK52" s="182"/>
      <c r="EL52" s="182"/>
      <c r="EM52" s="182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182"/>
      <c r="FC52" s="182"/>
      <c r="FD52" s="182"/>
      <c r="FE52" s="182"/>
      <c r="FF52" s="182"/>
      <c r="FG52" s="182"/>
      <c r="FH52" s="182"/>
      <c r="FI52" s="182"/>
      <c r="FJ52" s="182"/>
      <c r="FK52" s="182"/>
      <c r="FL52" s="182"/>
      <c r="FM52" s="182"/>
      <c r="FN52" s="182"/>
      <c r="FO52" s="182"/>
      <c r="FP52" s="182"/>
      <c r="FQ52" s="182"/>
      <c r="FR52" s="182"/>
      <c r="FS52" s="182"/>
      <c r="FT52" s="182"/>
      <c r="FU52" s="182"/>
      <c r="FV52" s="182"/>
      <c r="FW52" s="182"/>
      <c r="FX52" s="182"/>
      <c r="FY52" s="182"/>
      <c r="FZ52" s="182"/>
      <c r="GA52" s="182"/>
      <c r="GB52" s="182"/>
      <c r="GC52" s="182"/>
      <c r="GD52" s="182"/>
      <c r="GE52" s="182"/>
      <c r="GF52" s="182"/>
      <c r="GG52" s="182"/>
      <c r="GH52" s="182"/>
      <c r="GI52" s="182"/>
      <c r="GJ52" s="182"/>
      <c r="GK52" s="182"/>
      <c r="GL52" s="182"/>
      <c r="GM52" s="182"/>
      <c r="GN52" s="182"/>
      <c r="GO52" s="182"/>
      <c r="GP52" s="182"/>
      <c r="GQ52" s="182"/>
      <c r="GR52" s="182"/>
      <c r="GS52" s="182"/>
      <c r="GT52" s="182"/>
      <c r="GU52" s="182"/>
      <c r="GV52" s="182"/>
      <c r="GW52" s="182"/>
      <c r="GX52" s="182"/>
      <c r="GY52" s="182"/>
      <c r="GZ52" s="182"/>
      <c r="HA52" s="182"/>
      <c r="HB52" s="182"/>
      <c r="HC52" s="182"/>
      <c r="HD52" s="182"/>
      <c r="HE52" s="182"/>
      <c r="HF52" s="182"/>
      <c r="HG52" s="182"/>
      <c r="HH52" s="182"/>
      <c r="HI52" s="182"/>
      <c r="HJ52" s="182"/>
      <c r="HK52" s="182"/>
      <c r="HL52" s="182"/>
      <c r="HM52" s="182"/>
      <c r="HN52" s="182"/>
      <c r="HO52" s="182"/>
      <c r="HP52" s="182"/>
      <c r="HQ52" s="182"/>
      <c r="HR52" s="182"/>
      <c r="HS52" s="182"/>
      <c r="HT52" s="182"/>
      <c r="HU52" s="182"/>
      <c r="HV52" s="182"/>
      <c r="HW52" s="182"/>
      <c r="HX52" s="182"/>
      <c r="HY52" s="182"/>
      <c r="HZ52" s="182"/>
      <c r="IA52" s="182"/>
      <c r="IB52" s="182"/>
      <c r="IC52" s="182"/>
      <c r="ID52" s="182"/>
      <c r="IE52" s="182"/>
      <c r="IF52" s="182"/>
      <c r="IG52" s="182"/>
      <c r="IH52" s="182"/>
      <c r="II52" s="182"/>
      <c r="IJ52" s="182"/>
      <c r="IK52" s="182"/>
      <c r="IL52" s="182"/>
      <c r="IM52" s="182"/>
      <c r="IN52" s="182"/>
      <c r="IO52" s="182"/>
      <c r="IP52" s="182"/>
      <c r="IQ52" s="182"/>
    </row>
    <row r="53" spans="1:251" s="148" customFormat="1" ht="21.75" customHeight="1">
      <c r="A53" s="186">
        <v>46</v>
      </c>
      <c r="B53" s="408" t="s">
        <v>423</v>
      </c>
      <c r="C53" s="409" t="s">
        <v>427</v>
      </c>
      <c r="D53" s="410">
        <v>18</v>
      </c>
      <c r="E53" s="410"/>
      <c r="F53" s="409" t="s">
        <v>395</v>
      </c>
      <c r="G53" s="410" t="s">
        <v>148</v>
      </c>
      <c r="H53" s="426" t="s">
        <v>152</v>
      </c>
      <c r="I53" s="187">
        <f t="shared" si="4"/>
        <v>420000</v>
      </c>
      <c r="J53" s="379" t="s">
        <v>155</v>
      </c>
      <c r="K53" s="190">
        <f t="shared" si="5"/>
        <v>300000</v>
      </c>
      <c r="L53" s="379" t="s">
        <v>281</v>
      </c>
      <c r="M53" s="188">
        <f t="shared" si="6"/>
        <v>300000</v>
      </c>
      <c r="N53" s="188">
        <f t="shared" si="7"/>
        <v>1020000</v>
      </c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</row>
    <row r="54" spans="1:251" s="148" customFormat="1" ht="21.75" customHeight="1">
      <c r="A54" s="186">
        <v>47</v>
      </c>
      <c r="B54" s="408" t="s">
        <v>428</v>
      </c>
      <c r="C54" s="409" t="s">
        <v>429</v>
      </c>
      <c r="D54" s="410">
        <v>44</v>
      </c>
      <c r="E54" s="410"/>
      <c r="F54" s="409" t="s">
        <v>273</v>
      </c>
      <c r="G54" s="410" t="s">
        <v>146</v>
      </c>
      <c r="H54" s="426" t="s">
        <v>155</v>
      </c>
      <c r="I54" s="187">
        <f t="shared" si="4"/>
        <v>187500</v>
      </c>
      <c r="J54" s="379" t="s">
        <v>157</v>
      </c>
      <c r="K54" s="190">
        <f t="shared" si="5"/>
        <v>135000</v>
      </c>
      <c r="L54" s="379" t="s">
        <v>159</v>
      </c>
      <c r="M54" s="188">
        <f t="shared" si="6"/>
        <v>135000</v>
      </c>
      <c r="N54" s="188">
        <f t="shared" si="7"/>
        <v>457500</v>
      </c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182"/>
      <c r="CD54" s="182"/>
      <c r="CE54" s="182"/>
      <c r="CF54" s="182"/>
      <c r="CG54" s="182"/>
      <c r="CH54" s="182"/>
      <c r="CI54" s="182"/>
      <c r="CJ54" s="182"/>
      <c r="CK54" s="182"/>
      <c r="CL54" s="182"/>
      <c r="CM54" s="182"/>
      <c r="CN54" s="182"/>
      <c r="CO54" s="182"/>
      <c r="CP54" s="182"/>
      <c r="CQ54" s="182"/>
      <c r="CR54" s="182"/>
      <c r="CS54" s="182"/>
      <c r="CT54" s="182"/>
      <c r="CU54" s="182"/>
      <c r="CV54" s="182"/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182"/>
      <c r="DI54" s="182"/>
      <c r="DJ54" s="182"/>
      <c r="DK54" s="182"/>
      <c r="DL54" s="182"/>
      <c r="DM54" s="182"/>
      <c r="DN54" s="182"/>
      <c r="DO54" s="182"/>
      <c r="DP54" s="182"/>
      <c r="DQ54" s="182"/>
      <c r="DR54" s="182"/>
      <c r="DS54" s="182"/>
      <c r="DT54" s="182"/>
      <c r="DU54" s="182"/>
      <c r="DV54" s="182"/>
      <c r="DW54" s="182"/>
      <c r="DX54" s="182"/>
      <c r="DY54" s="182"/>
      <c r="DZ54" s="182"/>
      <c r="EA54" s="182"/>
      <c r="EB54" s="182"/>
      <c r="EC54" s="182"/>
      <c r="ED54" s="182"/>
      <c r="EE54" s="182"/>
      <c r="EF54" s="182"/>
      <c r="EG54" s="182"/>
      <c r="EH54" s="182"/>
      <c r="EI54" s="182"/>
      <c r="EJ54" s="182"/>
      <c r="EK54" s="182"/>
      <c r="EL54" s="182"/>
      <c r="EM54" s="182"/>
      <c r="EN54" s="182"/>
      <c r="EO54" s="182"/>
      <c r="EP54" s="182"/>
      <c r="EQ54" s="182"/>
      <c r="ER54" s="182"/>
      <c r="ES54" s="182"/>
      <c r="ET54" s="182"/>
      <c r="EU54" s="182"/>
      <c r="EV54" s="182"/>
      <c r="EW54" s="182"/>
      <c r="EX54" s="182"/>
      <c r="EY54" s="182"/>
      <c r="EZ54" s="182"/>
      <c r="FA54" s="182"/>
      <c r="FB54" s="182"/>
      <c r="FC54" s="182"/>
      <c r="FD54" s="182"/>
      <c r="FE54" s="182"/>
      <c r="FF54" s="182"/>
      <c r="FG54" s="182"/>
      <c r="FH54" s="182"/>
      <c r="FI54" s="182"/>
      <c r="FJ54" s="182"/>
      <c r="FK54" s="182"/>
      <c r="FL54" s="182"/>
      <c r="FM54" s="182"/>
      <c r="FN54" s="182"/>
      <c r="FO54" s="182"/>
      <c r="FP54" s="182"/>
      <c r="FQ54" s="182"/>
      <c r="FR54" s="182"/>
      <c r="FS54" s="182"/>
      <c r="FT54" s="182"/>
      <c r="FU54" s="182"/>
      <c r="FV54" s="182"/>
      <c r="FW54" s="182"/>
      <c r="FX54" s="182"/>
      <c r="FY54" s="182"/>
      <c r="FZ54" s="182"/>
      <c r="GA54" s="182"/>
      <c r="GB54" s="182"/>
      <c r="GC54" s="182"/>
      <c r="GD54" s="182"/>
      <c r="GE54" s="182"/>
      <c r="GF54" s="182"/>
      <c r="GG54" s="182"/>
      <c r="GH54" s="182"/>
      <c r="GI54" s="182"/>
      <c r="GJ54" s="182"/>
      <c r="GK54" s="182"/>
      <c r="GL54" s="182"/>
      <c r="GM54" s="182"/>
      <c r="GN54" s="182"/>
      <c r="GO54" s="182"/>
      <c r="GP54" s="182"/>
      <c r="GQ54" s="182"/>
      <c r="GR54" s="182"/>
      <c r="GS54" s="182"/>
      <c r="GT54" s="182"/>
      <c r="GU54" s="182"/>
      <c r="GV54" s="182"/>
      <c r="GW54" s="182"/>
      <c r="GX54" s="182"/>
      <c r="GY54" s="182"/>
      <c r="GZ54" s="182"/>
      <c r="HA54" s="182"/>
      <c r="HB54" s="182"/>
      <c r="HC54" s="182"/>
      <c r="HD54" s="182"/>
      <c r="HE54" s="182"/>
      <c r="HF54" s="182"/>
      <c r="HG54" s="182"/>
      <c r="HH54" s="182"/>
      <c r="HI54" s="182"/>
      <c r="HJ54" s="182"/>
      <c r="HK54" s="182"/>
      <c r="HL54" s="182"/>
      <c r="HM54" s="182"/>
      <c r="HN54" s="182"/>
      <c r="HO54" s="182"/>
      <c r="HP54" s="182"/>
      <c r="HQ54" s="182"/>
      <c r="HR54" s="182"/>
      <c r="HS54" s="182"/>
      <c r="HT54" s="182"/>
      <c r="HU54" s="182"/>
      <c r="HV54" s="182"/>
      <c r="HW54" s="182"/>
      <c r="HX54" s="182"/>
      <c r="HY54" s="182"/>
      <c r="HZ54" s="182"/>
      <c r="IA54" s="182"/>
      <c r="IB54" s="182"/>
      <c r="IC54" s="182"/>
      <c r="ID54" s="182"/>
      <c r="IE54" s="182"/>
      <c r="IF54" s="182"/>
      <c r="IG54" s="182"/>
      <c r="IH54" s="182"/>
      <c r="II54" s="182"/>
      <c r="IJ54" s="182"/>
      <c r="IK54" s="182"/>
      <c r="IL54" s="182"/>
      <c r="IM54" s="182"/>
      <c r="IN54" s="182"/>
      <c r="IO54" s="182"/>
      <c r="IP54" s="182"/>
      <c r="IQ54" s="182"/>
    </row>
    <row r="55" spans="1:251" s="148" customFormat="1" ht="21.75" customHeight="1">
      <c r="A55" s="186">
        <v>48</v>
      </c>
      <c r="B55" s="408" t="s">
        <v>430</v>
      </c>
      <c r="C55" s="409" t="s">
        <v>431</v>
      </c>
      <c r="D55" s="410">
        <v>28</v>
      </c>
      <c r="E55" s="410"/>
      <c r="F55" s="409" t="s">
        <v>432</v>
      </c>
      <c r="G55" s="410" t="s">
        <v>143</v>
      </c>
      <c r="H55" s="427" t="s">
        <v>151</v>
      </c>
      <c r="I55" s="187">
        <f t="shared" si="4"/>
        <v>420000</v>
      </c>
      <c r="J55" s="379" t="s">
        <v>157</v>
      </c>
      <c r="K55" s="190">
        <f t="shared" si="5"/>
        <v>300000</v>
      </c>
      <c r="L55" s="379" t="s">
        <v>159</v>
      </c>
      <c r="M55" s="188">
        <f t="shared" si="6"/>
        <v>300000</v>
      </c>
      <c r="N55" s="188">
        <f t="shared" si="7"/>
        <v>1020000</v>
      </c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182"/>
      <c r="CA55" s="182"/>
      <c r="CB55" s="182"/>
      <c r="CC55" s="182"/>
      <c r="CD55" s="182"/>
      <c r="CE55" s="182"/>
      <c r="CF55" s="182"/>
      <c r="CG55" s="182"/>
      <c r="CH55" s="182"/>
      <c r="CI55" s="182"/>
      <c r="CJ55" s="182"/>
      <c r="CK55" s="182"/>
      <c r="CL55" s="182"/>
      <c r="CM55" s="182"/>
      <c r="CN55" s="182"/>
      <c r="CO55" s="182"/>
      <c r="CP55" s="182"/>
      <c r="CQ55" s="182"/>
      <c r="CR55" s="182"/>
      <c r="CS55" s="182"/>
      <c r="CT55" s="182"/>
      <c r="CU55" s="182"/>
      <c r="CV55" s="182"/>
      <c r="CW55" s="182"/>
      <c r="CX55" s="182"/>
      <c r="CY55" s="182"/>
      <c r="CZ55" s="182"/>
      <c r="DA55" s="182"/>
      <c r="DB55" s="182"/>
      <c r="DC55" s="182"/>
      <c r="DD55" s="182"/>
      <c r="DE55" s="182"/>
      <c r="DF55" s="182"/>
      <c r="DG55" s="182"/>
      <c r="DH55" s="182"/>
      <c r="DI55" s="182"/>
      <c r="DJ55" s="182"/>
      <c r="DK55" s="182"/>
      <c r="DL55" s="182"/>
      <c r="DM55" s="182"/>
      <c r="DN55" s="182"/>
      <c r="DO55" s="182"/>
      <c r="DP55" s="182"/>
      <c r="DQ55" s="182"/>
      <c r="DR55" s="182"/>
      <c r="DS55" s="182"/>
      <c r="DT55" s="182"/>
      <c r="DU55" s="182"/>
      <c r="DV55" s="182"/>
      <c r="DW55" s="182"/>
      <c r="DX55" s="182"/>
      <c r="DY55" s="182"/>
      <c r="DZ55" s="182"/>
      <c r="EA55" s="182"/>
      <c r="EB55" s="182"/>
      <c r="EC55" s="182"/>
      <c r="ED55" s="182"/>
      <c r="EE55" s="182"/>
      <c r="EF55" s="182"/>
      <c r="EG55" s="182"/>
      <c r="EH55" s="182"/>
      <c r="EI55" s="182"/>
      <c r="EJ55" s="182"/>
      <c r="EK55" s="182"/>
      <c r="EL55" s="182"/>
      <c r="EM55" s="182"/>
      <c r="EN55" s="182"/>
      <c r="EO55" s="182"/>
      <c r="EP55" s="182"/>
      <c r="EQ55" s="182"/>
      <c r="ER55" s="182"/>
      <c r="ES55" s="182"/>
      <c r="ET55" s="182"/>
      <c r="EU55" s="182"/>
      <c r="EV55" s="182"/>
      <c r="EW55" s="182"/>
      <c r="EX55" s="182"/>
      <c r="EY55" s="182"/>
      <c r="EZ55" s="182"/>
      <c r="FA55" s="182"/>
      <c r="FB55" s="182"/>
      <c r="FC55" s="182"/>
      <c r="FD55" s="182"/>
      <c r="FE55" s="182"/>
      <c r="FF55" s="182"/>
      <c r="FG55" s="182"/>
      <c r="FH55" s="182"/>
      <c r="FI55" s="182"/>
      <c r="FJ55" s="182"/>
      <c r="FK55" s="182"/>
      <c r="FL55" s="182"/>
      <c r="FM55" s="182"/>
      <c r="FN55" s="182"/>
      <c r="FO55" s="182"/>
      <c r="FP55" s="182"/>
      <c r="FQ55" s="182"/>
      <c r="FR55" s="182"/>
      <c r="FS55" s="182"/>
      <c r="FT55" s="182"/>
      <c r="FU55" s="182"/>
      <c r="FV55" s="182"/>
      <c r="FW55" s="182"/>
      <c r="FX55" s="182"/>
      <c r="FY55" s="182"/>
      <c r="FZ55" s="182"/>
      <c r="GA55" s="182"/>
      <c r="GB55" s="182"/>
      <c r="GC55" s="182"/>
      <c r="GD55" s="182"/>
      <c r="GE55" s="182"/>
      <c r="GF55" s="182"/>
      <c r="GG55" s="182"/>
      <c r="GH55" s="182"/>
      <c r="GI55" s="182"/>
      <c r="GJ55" s="182"/>
      <c r="GK55" s="182"/>
      <c r="GL55" s="182"/>
      <c r="GM55" s="182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182"/>
      <c r="HQ55" s="182"/>
      <c r="HR55" s="182"/>
      <c r="HS55" s="182"/>
      <c r="HT55" s="182"/>
      <c r="HU55" s="182"/>
      <c r="HV55" s="182"/>
      <c r="HW55" s="182"/>
      <c r="HX55" s="182"/>
      <c r="HY55" s="182"/>
      <c r="HZ55" s="182"/>
      <c r="IA55" s="182"/>
      <c r="IB55" s="182"/>
      <c r="IC55" s="182"/>
      <c r="ID55" s="182"/>
      <c r="IE55" s="182"/>
      <c r="IF55" s="182"/>
      <c r="IG55" s="182"/>
      <c r="IH55" s="182"/>
      <c r="II55" s="182"/>
      <c r="IJ55" s="182"/>
      <c r="IK55" s="182"/>
      <c r="IL55" s="182"/>
      <c r="IM55" s="182"/>
      <c r="IN55" s="182"/>
      <c r="IO55" s="182"/>
      <c r="IP55" s="182"/>
      <c r="IQ55" s="182"/>
    </row>
    <row r="56" spans="1:251" s="148" customFormat="1" ht="21.75" customHeight="1">
      <c r="A56" s="186">
        <v>49</v>
      </c>
      <c r="B56" s="408" t="s">
        <v>433</v>
      </c>
      <c r="C56" s="409" t="s">
        <v>434</v>
      </c>
      <c r="D56" s="410">
        <v>37</v>
      </c>
      <c r="E56" s="410"/>
      <c r="F56" s="409" t="s">
        <v>165</v>
      </c>
      <c r="G56" s="410" t="s">
        <v>143</v>
      </c>
      <c r="H56" s="427" t="s">
        <v>151</v>
      </c>
      <c r="I56" s="187">
        <f t="shared" si="4"/>
        <v>420000</v>
      </c>
      <c r="J56" s="379" t="s">
        <v>157</v>
      </c>
      <c r="K56" s="190">
        <f t="shared" si="5"/>
        <v>300000</v>
      </c>
      <c r="L56" s="379" t="s">
        <v>159</v>
      </c>
      <c r="M56" s="188">
        <f t="shared" si="6"/>
        <v>300000</v>
      </c>
      <c r="N56" s="188">
        <f t="shared" si="7"/>
        <v>1020000</v>
      </c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182"/>
      <c r="DH56" s="182"/>
      <c r="DI56" s="182"/>
      <c r="DJ56" s="182"/>
      <c r="DK56" s="182"/>
      <c r="DL56" s="182"/>
      <c r="DM56" s="182"/>
      <c r="DN56" s="182"/>
      <c r="DO56" s="182"/>
      <c r="DP56" s="182"/>
      <c r="DQ56" s="182"/>
      <c r="DR56" s="182"/>
      <c r="DS56" s="182"/>
      <c r="DT56" s="182"/>
      <c r="DU56" s="182"/>
      <c r="DV56" s="182"/>
      <c r="DW56" s="182"/>
      <c r="DX56" s="182"/>
      <c r="DY56" s="182"/>
      <c r="DZ56" s="182"/>
      <c r="EA56" s="182"/>
      <c r="EB56" s="182"/>
      <c r="EC56" s="182"/>
      <c r="ED56" s="182"/>
      <c r="EE56" s="182"/>
      <c r="EF56" s="182"/>
      <c r="EG56" s="182"/>
      <c r="EH56" s="182"/>
      <c r="EI56" s="182"/>
      <c r="EJ56" s="182"/>
      <c r="EK56" s="182"/>
      <c r="EL56" s="182"/>
      <c r="EM56" s="182"/>
      <c r="EN56" s="182"/>
      <c r="EO56" s="182"/>
      <c r="EP56" s="182"/>
      <c r="EQ56" s="182"/>
      <c r="ER56" s="182"/>
      <c r="ES56" s="182"/>
      <c r="ET56" s="182"/>
      <c r="EU56" s="182"/>
      <c r="EV56" s="182"/>
      <c r="EW56" s="182"/>
      <c r="EX56" s="182"/>
      <c r="EY56" s="182"/>
      <c r="EZ56" s="182"/>
      <c r="FA56" s="182"/>
      <c r="FB56" s="182"/>
      <c r="FC56" s="182"/>
      <c r="FD56" s="182"/>
      <c r="FE56" s="182"/>
      <c r="FF56" s="182"/>
      <c r="FG56" s="182"/>
      <c r="FH56" s="182"/>
      <c r="FI56" s="182"/>
      <c r="FJ56" s="182"/>
      <c r="FK56" s="182"/>
      <c r="FL56" s="182"/>
      <c r="FM56" s="182"/>
      <c r="FN56" s="182"/>
      <c r="FO56" s="182"/>
      <c r="FP56" s="182"/>
      <c r="FQ56" s="182"/>
      <c r="FR56" s="182"/>
      <c r="FS56" s="182"/>
      <c r="FT56" s="182"/>
      <c r="FU56" s="182"/>
      <c r="FV56" s="182"/>
      <c r="FW56" s="182"/>
      <c r="FX56" s="182"/>
      <c r="FY56" s="182"/>
      <c r="FZ56" s="182"/>
      <c r="GA56" s="182"/>
      <c r="GB56" s="182"/>
      <c r="GC56" s="182"/>
      <c r="GD56" s="182"/>
      <c r="GE56" s="182"/>
      <c r="GF56" s="182"/>
      <c r="GG56" s="182"/>
      <c r="GH56" s="182"/>
      <c r="GI56" s="182"/>
      <c r="GJ56" s="182"/>
      <c r="GK56" s="182"/>
      <c r="GL56" s="182"/>
      <c r="GM56" s="182"/>
      <c r="GN56" s="182"/>
      <c r="GO56" s="182"/>
      <c r="GP56" s="182"/>
      <c r="GQ56" s="182"/>
      <c r="GR56" s="182"/>
      <c r="GS56" s="182"/>
      <c r="GT56" s="182"/>
      <c r="GU56" s="182"/>
      <c r="GV56" s="182"/>
      <c r="GW56" s="182"/>
      <c r="GX56" s="182"/>
      <c r="GY56" s="182"/>
      <c r="GZ56" s="182"/>
      <c r="HA56" s="182"/>
      <c r="HB56" s="182"/>
      <c r="HC56" s="182"/>
      <c r="HD56" s="182"/>
      <c r="HE56" s="182"/>
      <c r="HF56" s="182"/>
      <c r="HG56" s="182"/>
      <c r="HH56" s="182"/>
      <c r="HI56" s="182"/>
      <c r="HJ56" s="182"/>
      <c r="HK56" s="182"/>
      <c r="HL56" s="182"/>
      <c r="HM56" s="182"/>
      <c r="HN56" s="182"/>
      <c r="HO56" s="182"/>
      <c r="HP56" s="182"/>
      <c r="HQ56" s="182"/>
      <c r="HR56" s="182"/>
      <c r="HS56" s="182"/>
      <c r="HT56" s="182"/>
      <c r="HU56" s="182"/>
      <c r="HV56" s="182"/>
      <c r="HW56" s="182"/>
      <c r="HX56" s="182"/>
      <c r="HY56" s="182"/>
      <c r="HZ56" s="182"/>
      <c r="IA56" s="182"/>
      <c r="IB56" s="182"/>
      <c r="IC56" s="182"/>
      <c r="ID56" s="182"/>
      <c r="IE56" s="182"/>
      <c r="IF56" s="182"/>
      <c r="IG56" s="182"/>
      <c r="IH56" s="182"/>
      <c r="II56" s="182"/>
      <c r="IJ56" s="182"/>
      <c r="IK56" s="182"/>
      <c r="IL56" s="182"/>
      <c r="IM56" s="182"/>
      <c r="IN56" s="182"/>
      <c r="IO56" s="182"/>
      <c r="IP56" s="182"/>
      <c r="IQ56" s="182"/>
    </row>
    <row r="57" spans="1:251" s="148" customFormat="1" ht="21.75" customHeight="1">
      <c r="A57" s="186">
        <v>50</v>
      </c>
      <c r="B57" s="408" t="s">
        <v>435</v>
      </c>
      <c r="C57" s="409" t="s">
        <v>436</v>
      </c>
      <c r="D57" s="410">
        <v>53</v>
      </c>
      <c r="E57" s="410"/>
      <c r="F57" s="409" t="s">
        <v>395</v>
      </c>
      <c r="G57" s="410" t="s">
        <v>148</v>
      </c>
      <c r="H57" s="426" t="s">
        <v>154</v>
      </c>
      <c r="I57" s="187">
        <f t="shared" si="4"/>
        <v>420000</v>
      </c>
      <c r="J57" s="379" t="s">
        <v>280</v>
      </c>
      <c r="K57" s="190">
        <f t="shared" si="5"/>
        <v>300000</v>
      </c>
      <c r="L57" s="379" t="s">
        <v>158</v>
      </c>
      <c r="M57" s="188">
        <f t="shared" si="6"/>
        <v>300000</v>
      </c>
      <c r="N57" s="188">
        <f t="shared" si="7"/>
        <v>1020000</v>
      </c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182"/>
      <c r="DE57" s="182"/>
      <c r="DF57" s="182"/>
      <c r="DG57" s="182"/>
      <c r="DH57" s="182"/>
      <c r="DI57" s="182"/>
      <c r="DJ57" s="182"/>
      <c r="DK57" s="182"/>
      <c r="DL57" s="182"/>
      <c r="DM57" s="182"/>
      <c r="DN57" s="182"/>
      <c r="DO57" s="182"/>
      <c r="DP57" s="182"/>
      <c r="DQ57" s="182"/>
      <c r="DR57" s="182"/>
      <c r="DS57" s="182"/>
      <c r="DT57" s="182"/>
      <c r="DU57" s="182"/>
      <c r="DV57" s="182"/>
      <c r="DW57" s="182"/>
      <c r="DX57" s="182"/>
      <c r="DY57" s="182"/>
      <c r="DZ57" s="182"/>
      <c r="EA57" s="182"/>
      <c r="EB57" s="182"/>
      <c r="EC57" s="182"/>
      <c r="ED57" s="182"/>
      <c r="EE57" s="182"/>
      <c r="EF57" s="182"/>
      <c r="EG57" s="182"/>
      <c r="EH57" s="182"/>
      <c r="EI57" s="182"/>
      <c r="EJ57" s="182"/>
      <c r="EK57" s="182"/>
      <c r="EL57" s="182"/>
      <c r="EM57" s="182"/>
      <c r="EN57" s="182"/>
      <c r="EO57" s="182"/>
      <c r="EP57" s="182"/>
      <c r="EQ57" s="182"/>
      <c r="ER57" s="182"/>
      <c r="ES57" s="182"/>
      <c r="ET57" s="182"/>
      <c r="EU57" s="182"/>
      <c r="EV57" s="182"/>
      <c r="EW57" s="182"/>
      <c r="EX57" s="182"/>
      <c r="EY57" s="182"/>
      <c r="EZ57" s="182"/>
      <c r="FA57" s="182"/>
      <c r="FB57" s="182"/>
      <c r="FC57" s="182"/>
      <c r="FD57" s="182"/>
      <c r="FE57" s="182"/>
      <c r="FF57" s="182"/>
      <c r="FG57" s="182"/>
      <c r="FH57" s="182"/>
      <c r="FI57" s="182"/>
      <c r="FJ57" s="182"/>
      <c r="FK57" s="182"/>
      <c r="FL57" s="182"/>
      <c r="FM57" s="182"/>
      <c r="FN57" s="182"/>
      <c r="FO57" s="182"/>
      <c r="FP57" s="182"/>
      <c r="FQ57" s="182"/>
      <c r="FR57" s="182"/>
      <c r="FS57" s="182"/>
      <c r="FT57" s="182"/>
      <c r="FU57" s="182"/>
      <c r="FV57" s="182"/>
      <c r="FW57" s="182"/>
      <c r="FX57" s="182"/>
      <c r="FY57" s="182"/>
      <c r="FZ57" s="182"/>
      <c r="GA57" s="182"/>
      <c r="GB57" s="182"/>
      <c r="GC57" s="182"/>
      <c r="GD57" s="182"/>
      <c r="GE57" s="182"/>
      <c r="GF57" s="182"/>
      <c r="GG57" s="182"/>
      <c r="GH57" s="182"/>
      <c r="GI57" s="182"/>
      <c r="GJ57" s="182"/>
      <c r="GK57" s="182"/>
      <c r="GL57" s="182"/>
      <c r="GM57" s="182"/>
      <c r="GN57" s="182"/>
      <c r="GO57" s="182"/>
      <c r="GP57" s="182"/>
      <c r="GQ57" s="182"/>
      <c r="GR57" s="182"/>
      <c r="GS57" s="182"/>
      <c r="GT57" s="182"/>
      <c r="GU57" s="182"/>
      <c r="GV57" s="182"/>
      <c r="GW57" s="182"/>
      <c r="GX57" s="182"/>
      <c r="GY57" s="182"/>
      <c r="GZ57" s="182"/>
      <c r="HA57" s="182"/>
      <c r="HB57" s="182"/>
      <c r="HC57" s="182"/>
      <c r="HD57" s="182"/>
      <c r="HE57" s="182"/>
      <c r="HF57" s="182"/>
      <c r="HG57" s="182"/>
      <c r="HH57" s="182"/>
      <c r="HI57" s="182"/>
      <c r="HJ57" s="182"/>
      <c r="HK57" s="182"/>
      <c r="HL57" s="182"/>
      <c r="HM57" s="182"/>
      <c r="HN57" s="182"/>
      <c r="HO57" s="182"/>
      <c r="HP57" s="182"/>
      <c r="HQ57" s="182"/>
      <c r="HR57" s="182"/>
      <c r="HS57" s="182"/>
      <c r="HT57" s="182"/>
      <c r="HU57" s="182"/>
      <c r="HV57" s="182"/>
      <c r="HW57" s="182"/>
      <c r="HX57" s="182"/>
      <c r="HY57" s="182"/>
      <c r="HZ57" s="182"/>
      <c r="IA57" s="182"/>
      <c r="IB57" s="182"/>
      <c r="IC57" s="182"/>
      <c r="ID57" s="182"/>
      <c r="IE57" s="182"/>
      <c r="IF57" s="182"/>
      <c r="IG57" s="182"/>
      <c r="IH57" s="182"/>
      <c r="II57" s="182"/>
      <c r="IJ57" s="182"/>
      <c r="IK57" s="182"/>
      <c r="IL57" s="182"/>
      <c r="IM57" s="182"/>
      <c r="IN57" s="182"/>
      <c r="IO57" s="182"/>
      <c r="IP57" s="182"/>
      <c r="IQ57" s="182"/>
    </row>
    <row r="58" spans="1:251" s="148" customFormat="1" ht="21.75" customHeight="1">
      <c r="A58" s="186">
        <v>51</v>
      </c>
      <c r="B58" s="408" t="s">
        <v>437</v>
      </c>
      <c r="C58" s="409" t="s">
        <v>438</v>
      </c>
      <c r="D58" s="410"/>
      <c r="E58" s="410">
        <v>88</v>
      </c>
      <c r="F58" s="409" t="s">
        <v>171</v>
      </c>
      <c r="G58" s="410" t="s">
        <v>146</v>
      </c>
      <c r="H58" s="427" t="s">
        <v>151</v>
      </c>
      <c r="I58" s="187">
        <f t="shared" si="4"/>
        <v>187500</v>
      </c>
      <c r="J58" s="379" t="s">
        <v>157</v>
      </c>
      <c r="K58" s="190">
        <f t="shared" si="5"/>
        <v>135000</v>
      </c>
      <c r="L58" s="379" t="s">
        <v>280</v>
      </c>
      <c r="M58" s="188">
        <f t="shared" si="6"/>
        <v>135000</v>
      </c>
      <c r="N58" s="188">
        <f t="shared" si="7"/>
        <v>457500</v>
      </c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82"/>
      <c r="GG58" s="182"/>
      <c r="GH58" s="182"/>
      <c r="GI58" s="182"/>
      <c r="GJ58" s="182"/>
      <c r="GK58" s="182"/>
      <c r="GL58" s="182"/>
      <c r="GM58" s="182"/>
      <c r="GN58" s="182"/>
      <c r="GO58" s="182"/>
      <c r="GP58" s="182"/>
      <c r="GQ58" s="182"/>
      <c r="GR58" s="182"/>
      <c r="GS58" s="182"/>
      <c r="GT58" s="182"/>
      <c r="GU58" s="182"/>
      <c r="GV58" s="182"/>
      <c r="GW58" s="182"/>
      <c r="GX58" s="182"/>
      <c r="GY58" s="182"/>
      <c r="GZ58" s="182"/>
      <c r="HA58" s="182"/>
      <c r="HB58" s="182"/>
      <c r="HC58" s="182"/>
      <c r="HD58" s="182"/>
      <c r="HE58" s="182"/>
      <c r="HF58" s="182"/>
      <c r="HG58" s="182"/>
      <c r="HH58" s="182"/>
      <c r="HI58" s="182"/>
      <c r="HJ58" s="182"/>
      <c r="HK58" s="182"/>
      <c r="HL58" s="182"/>
      <c r="HM58" s="182"/>
      <c r="HN58" s="182"/>
      <c r="HO58" s="182"/>
      <c r="HP58" s="182"/>
      <c r="HQ58" s="182"/>
      <c r="HR58" s="182"/>
      <c r="HS58" s="182"/>
      <c r="HT58" s="182"/>
      <c r="HU58" s="182"/>
      <c r="HV58" s="182"/>
      <c r="HW58" s="182"/>
      <c r="HX58" s="182"/>
      <c r="HY58" s="182"/>
      <c r="HZ58" s="182"/>
      <c r="IA58" s="182"/>
      <c r="IB58" s="182"/>
      <c r="IC58" s="182"/>
      <c r="ID58" s="182"/>
      <c r="IE58" s="182"/>
      <c r="IF58" s="182"/>
      <c r="IG58" s="182"/>
      <c r="IH58" s="182"/>
      <c r="II58" s="182"/>
      <c r="IJ58" s="182"/>
      <c r="IK58" s="182"/>
      <c r="IL58" s="182"/>
      <c r="IM58" s="182"/>
      <c r="IN58" s="182"/>
      <c r="IO58" s="182"/>
      <c r="IP58" s="182"/>
      <c r="IQ58" s="182"/>
    </row>
    <row r="59" spans="1:251" s="148" customFormat="1" ht="21.75" customHeight="1">
      <c r="A59" s="186">
        <v>52</v>
      </c>
      <c r="B59" s="408" t="s">
        <v>437</v>
      </c>
      <c r="C59" s="409" t="s">
        <v>439</v>
      </c>
      <c r="D59" s="410"/>
      <c r="E59" s="410">
        <v>61</v>
      </c>
      <c r="F59" s="409" t="s">
        <v>395</v>
      </c>
      <c r="G59" s="410" t="s">
        <v>143</v>
      </c>
      <c r="H59" s="426" t="s">
        <v>154</v>
      </c>
      <c r="I59" s="187">
        <f t="shared" si="4"/>
        <v>420000</v>
      </c>
      <c r="J59" s="379" t="s">
        <v>157</v>
      </c>
      <c r="K59" s="190">
        <f t="shared" si="5"/>
        <v>300000</v>
      </c>
      <c r="L59" s="379" t="s">
        <v>173</v>
      </c>
      <c r="M59" s="188">
        <f t="shared" si="6"/>
        <v>300000</v>
      </c>
      <c r="N59" s="188">
        <f t="shared" si="7"/>
        <v>1020000</v>
      </c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182"/>
      <c r="BV59" s="182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2"/>
      <c r="EG59" s="182"/>
      <c r="EH59" s="182"/>
      <c r="EI59" s="182"/>
      <c r="EJ59" s="182"/>
      <c r="EK59" s="182"/>
      <c r="EL59" s="182"/>
      <c r="EM59" s="182"/>
      <c r="EN59" s="182"/>
      <c r="EO59" s="182"/>
      <c r="EP59" s="182"/>
      <c r="EQ59" s="182"/>
      <c r="ER59" s="182"/>
      <c r="ES59" s="182"/>
      <c r="ET59" s="182"/>
      <c r="EU59" s="182"/>
      <c r="EV59" s="182"/>
      <c r="EW59" s="182"/>
      <c r="EX59" s="182"/>
      <c r="EY59" s="182"/>
      <c r="EZ59" s="182"/>
      <c r="FA59" s="182"/>
      <c r="FB59" s="182"/>
      <c r="FC59" s="182"/>
      <c r="FD59" s="182"/>
      <c r="FE59" s="182"/>
      <c r="FF59" s="182"/>
      <c r="FG59" s="182"/>
      <c r="FH59" s="182"/>
      <c r="FI59" s="182"/>
      <c r="FJ59" s="182"/>
      <c r="FK59" s="182"/>
      <c r="FL59" s="182"/>
      <c r="FM59" s="182"/>
      <c r="FN59" s="182"/>
      <c r="FO59" s="182"/>
      <c r="FP59" s="182"/>
      <c r="FQ59" s="182"/>
      <c r="FR59" s="182"/>
      <c r="FS59" s="182"/>
      <c r="FT59" s="182"/>
      <c r="FU59" s="182"/>
      <c r="FV59" s="182"/>
      <c r="FW59" s="182"/>
      <c r="FX59" s="182"/>
      <c r="FY59" s="182"/>
      <c r="FZ59" s="182"/>
      <c r="GA59" s="182"/>
      <c r="GB59" s="182"/>
      <c r="GC59" s="182"/>
      <c r="GD59" s="182"/>
      <c r="GE59" s="182"/>
      <c r="GF59" s="182"/>
      <c r="GG59" s="182"/>
      <c r="GH59" s="182"/>
      <c r="GI59" s="182"/>
      <c r="GJ59" s="182"/>
      <c r="GK59" s="182"/>
      <c r="GL59" s="182"/>
      <c r="GM59" s="182"/>
      <c r="GN59" s="182"/>
      <c r="GO59" s="182"/>
      <c r="GP59" s="182"/>
      <c r="GQ59" s="182"/>
      <c r="GR59" s="182"/>
      <c r="GS59" s="182"/>
      <c r="GT59" s="182"/>
      <c r="GU59" s="182"/>
      <c r="GV59" s="182"/>
      <c r="GW59" s="182"/>
      <c r="GX59" s="182"/>
      <c r="GY59" s="182"/>
      <c r="GZ59" s="182"/>
      <c r="HA59" s="182"/>
      <c r="HB59" s="182"/>
      <c r="HC59" s="182"/>
      <c r="HD59" s="182"/>
      <c r="HE59" s="182"/>
      <c r="HF59" s="182"/>
      <c r="HG59" s="182"/>
      <c r="HH59" s="182"/>
      <c r="HI59" s="182"/>
      <c r="HJ59" s="182"/>
      <c r="HK59" s="182"/>
      <c r="HL59" s="182"/>
      <c r="HM59" s="182"/>
      <c r="HN59" s="182"/>
      <c r="HO59" s="182"/>
      <c r="HP59" s="182"/>
      <c r="HQ59" s="182"/>
      <c r="HR59" s="182"/>
      <c r="HS59" s="182"/>
      <c r="HT59" s="182"/>
      <c r="HU59" s="182"/>
      <c r="HV59" s="182"/>
      <c r="HW59" s="182"/>
      <c r="HX59" s="182"/>
      <c r="HY59" s="182"/>
      <c r="HZ59" s="182"/>
      <c r="IA59" s="182"/>
      <c r="IB59" s="182"/>
      <c r="IC59" s="182"/>
      <c r="ID59" s="182"/>
      <c r="IE59" s="182"/>
      <c r="IF59" s="182"/>
      <c r="IG59" s="182"/>
      <c r="IH59" s="182"/>
      <c r="II59" s="182"/>
      <c r="IJ59" s="182"/>
      <c r="IK59" s="182"/>
      <c r="IL59" s="182"/>
      <c r="IM59" s="182"/>
      <c r="IN59" s="182"/>
      <c r="IO59" s="182"/>
      <c r="IP59" s="182"/>
      <c r="IQ59" s="182"/>
    </row>
    <row r="60" spans="1:251" s="148" customFormat="1" ht="21.75" customHeight="1">
      <c r="A60" s="186">
        <v>53</v>
      </c>
      <c r="B60" s="408" t="s">
        <v>437</v>
      </c>
      <c r="C60" s="409" t="s">
        <v>440</v>
      </c>
      <c r="D60" s="410"/>
      <c r="E60" s="410">
        <v>60</v>
      </c>
      <c r="F60" s="409" t="s">
        <v>441</v>
      </c>
      <c r="G60" s="410" t="s">
        <v>146</v>
      </c>
      <c r="H60" s="426" t="s">
        <v>155</v>
      </c>
      <c r="I60" s="187">
        <f t="shared" si="4"/>
        <v>187500</v>
      </c>
      <c r="J60" s="379" t="s">
        <v>158</v>
      </c>
      <c r="K60" s="190">
        <f t="shared" si="5"/>
        <v>135000</v>
      </c>
      <c r="L60" s="379" t="s">
        <v>290</v>
      </c>
      <c r="M60" s="188">
        <f t="shared" si="6"/>
        <v>135000</v>
      </c>
      <c r="N60" s="188">
        <f t="shared" si="7"/>
        <v>457500</v>
      </c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182"/>
      <c r="BP60" s="182"/>
      <c r="BQ60" s="182"/>
      <c r="BR60" s="182"/>
      <c r="BS60" s="182"/>
      <c r="BT60" s="182"/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2"/>
      <c r="CY60" s="182"/>
      <c r="CZ60" s="182"/>
      <c r="DA60" s="182"/>
      <c r="DB60" s="182"/>
      <c r="DC60" s="182"/>
      <c r="DD60" s="182"/>
      <c r="DE60" s="182"/>
      <c r="DF60" s="182"/>
      <c r="DG60" s="182"/>
      <c r="DH60" s="182"/>
      <c r="DI60" s="182"/>
      <c r="DJ60" s="182"/>
      <c r="DK60" s="182"/>
      <c r="DL60" s="182"/>
      <c r="DM60" s="182"/>
      <c r="DN60" s="182"/>
      <c r="DO60" s="182"/>
      <c r="DP60" s="182"/>
      <c r="DQ60" s="182"/>
      <c r="DR60" s="182"/>
      <c r="DS60" s="182"/>
      <c r="DT60" s="182"/>
      <c r="DU60" s="182"/>
      <c r="DV60" s="182"/>
      <c r="DW60" s="182"/>
      <c r="DX60" s="182"/>
      <c r="DY60" s="182"/>
      <c r="DZ60" s="182"/>
      <c r="EA60" s="182"/>
      <c r="EB60" s="182"/>
      <c r="EC60" s="182"/>
      <c r="ED60" s="182"/>
      <c r="EE60" s="182"/>
      <c r="EF60" s="182"/>
      <c r="EG60" s="182"/>
      <c r="EH60" s="182"/>
      <c r="EI60" s="182"/>
      <c r="EJ60" s="182"/>
      <c r="EK60" s="182"/>
      <c r="EL60" s="182"/>
      <c r="EM60" s="182"/>
      <c r="EN60" s="182"/>
      <c r="EO60" s="182"/>
      <c r="EP60" s="182"/>
      <c r="EQ60" s="182"/>
      <c r="ER60" s="182"/>
      <c r="ES60" s="182"/>
      <c r="ET60" s="182"/>
      <c r="EU60" s="182"/>
      <c r="EV60" s="182"/>
      <c r="EW60" s="182"/>
      <c r="EX60" s="182"/>
      <c r="EY60" s="182"/>
      <c r="EZ60" s="182"/>
      <c r="FA60" s="182"/>
      <c r="FB60" s="182"/>
      <c r="FC60" s="182"/>
      <c r="FD60" s="182"/>
      <c r="FE60" s="182"/>
      <c r="FF60" s="182"/>
      <c r="FG60" s="182"/>
      <c r="FH60" s="182"/>
      <c r="FI60" s="182"/>
      <c r="FJ60" s="182"/>
      <c r="FK60" s="182"/>
      <c r="FL60" s="182"/>
      <c r="FM60" s="182"/>
      <c r="FN60" s="182"/>
      <c r="FO60" s="182"/>
      <c r="FP60" s="182"/>
      <c r="FQ60" s="182"/>
      <c r="FR60" s="182"/>
      <c r="FS60" s="182"/>
      <c r="FT60" s="182"/>
      <c r="FU60" s="182"/>
      <c r="FV60" s="182"/>
      <c r="FW60" s="182"/>
      <c r="FX60" s="182"/>
      <c r="FY60" s="182"/>
      <c r="FZ60" s="182"/>
      <c r="GA60" s="182"/>
      <c r="GB60" s="182"/>
      <c r="GC60" s="182"/>
      <c r="GD60" s="182"/>
      <c r="GE60" s="182"/>
      <c r="GF60" s="182"/>
      <c r="GG60" s="182"/>
      <c r="GH60" s="182"/>
      <c r="GI60" s="182"/>
      <c r="GJ60" s="182"/>
      <c r="GK60" s="182"/>
      <c r="GL60" s="182"/>
      <c r="GM60" s="182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182"/>
      <c r="HQ60" s="182"/>
      <c r="HR60" s="182"/>
      <c r="HS60" s="182"/>
      <c r="HT60" s="182"/>
      <c r="HU60" s="182"/>
      <c r="HV60" s="182"/>
      <c r="HW60" s="182"/>
      <c r="HX60" s="182"/>
      <c r="HY60" s="182"/>
      <c r="HZ60" s="182"/>
      <c r="IA60" s="182"/>
      <c r="IB60" s="182"/>
      <c r="IC60" s="182"/>
      <c r="ID60" s="182"/>
      <c r="IE60" s="182"/>
      <c r="IF60" s="182"/>
      <c r="IG60" s="182"/>
      <c r="IH60" s="182"/>
      <c r="II60" s="182"/>
      <c r="IJ60" s="182"/>
      <c r="IK60" s="182"/>
      <c r="IL60" s="182"/>
      <c r="IM60" s="182"/>
      <c r="IN60" s="182"/>
      <c r="IO60" s="182"/>
      <c r="IP60" s="182"/>
      <c r="IQ60" s="182"/>
    </row>
    <row r="61" spans="1:251" s="148" customFormat="1" ht="21.75" customHeight="1">
      <c r="A61" s="186">
        <v>54</v>
      </c>
      <c r="B61" s="408" t="s">
        <v>437</v>
      </c>
      <c r="C61" s="409" t="s">
        <v>442</v>
      </c>
      <c r="D61" s="410"/>
      <c r="E61" s="410">
        <v>51</v>
      </c>
      <c r="F61" s="409" t="s">
        <v>271</v>
      </c>
      <c r="G61" s="410" t="s">
        <v>143</v>
      </c>
      <c r="H61" s="427" t="s">
        <v>151</v>
      </c>
      <c r="I61" s="187">
        <f t="shared" si="4"/>
        <v>420000</v>
      </c>
      <c r="J61" s="379" t="s">
        <v>157</v>
      </c>
      <c r="K61" s="190">
        <f t="shared" si="5"/>
        <v>300000</v>
      </c>
      <c r="L61" s="379" t="s">
        <v>160</v>
      </c>
      <c r="M61" s="188">
        <f t="shared" si="6"/>
        <v>300000</v>
      </c>
      <c r="N61" s="188">
        <f t="shared" si="7"/>
        <v>1020000</v>
      </c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182"/>
      <c r="DE61" s="182"/>
      <c r="DF61" s="182"/>
      <c r="DG61" s="182"/>
      <c r="DH61" s="182"/>
      <c r="DI61" s="182"/>
      <c r="DJ61" s="182"/>
      <c r="DK61" s="182"/>
      <c r="DL61" s="182"/>
      <c r="DM61" s="182"/>
      <c r="DN61" s="182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2"/>
      <c r="EC61" s="182"/>
      <c r="ED61" s="182"/>
      <c r="EE61" s="182"/>
      <c r="EF61" s="182"/>
      <c r="EG61" s="182"/>
      <c r="EH61" s="182"/>
      <c r="EI61" s="182"/>
      <c r="EJ61" s="182"/>
      <c r="EK61" s="182"/>
      <c r="EL61" s="182"/>
      <c r="EM61" s="182"/>
      <c r="EN61" s="182"/>
      <c r="EO61" s="182"/>
      <c r="EP61" s="182"/>
      <c r="EQ61" s="182"/>
      <c r="ER61" s="182"/>
      <c r="ES61" s="182"/>
      <c r="ET61" s="182"/>
      <c r="EU61" s="182"/>
      <c r="EV61" s="182"/>
      <c r="EW61" s="182"/>
      <c r="EX61" s="182"/>
      <c r="EY61" s="182"/>
      <c r="EZ61" s="182"/>
      <c r="FA61" s="182"/>
      <c r="FB61" s="182"/>
      <c r="FC61" s="182"/>
      <c r="FD61" s="182"/>
      <c r="FE61" s="182"/>
      <c r="FF61" s="182"/>
      <c r="FG61" s="182"/>
      <c r="FH61" s="182"/>
      <c r="FI61" s="182"/>
      <c r="FJ61" s="182"/>
      <c r="FK61" s="182"/>
      <c r="FL61" s="182"/>
      <c r="FM61" s="182"/>
      <c r="FN61" s="182"/>
      <c r="FO61" s="182"/>
      <c r="FP61" s="182"/>
      <c r="FQ61" s="182"/>
      <c r="FR61" s="182"/>
      <c r="FS61" s="182"/>
      <c r="FT61" s="182"/>
      <c r="FU61" s="182"/>
      <c r="FV61" s="182"/>
      <c r="FW61" s="182"/>
      <c r="FX61" s="182"/>
      <c r="FY61" s="182"/>
      <c r="FZ61" s="182"/>
      <c r="GA61" s="182"/>
      <c r="GB61" s="182"/>
      <c r="GC61" s="182"/>
      <c r="GD61" s="182"/>
      <c r="GE61" s="182"/>
      <c r="GF61" s="182"/>
      <c r="GG61" s="182"/>
      <c r="GH61" s="182"/>
      <c r="GI61" s="182"/>
      <c r="GJ61" s="182"/>
      <c r="GK61" s="182"/>
      <c r="GL61" s="182"/>
      <c r="GM61" s="182"/>
      <c r="GN61" s="182"/>
      <c r="GO61" s="182"/>
      <c r="GP61" s="182"/>
      <c r="GQ61" s="182"/>
      <c r="GR61" s="182"/>
      <c r="GS61" s="182"/>
      <c r="GT61" s="182"/>
      <c r="GU61" s="182"/>
      <c r="GV61" s="182"/>
      <c r="GW61" s="182"/>
      <c r="GX61" s="182"/>
      <c r="GY61" s="182"/>
      <c r="GZ61" s="182"/>
      <c r="HA61" s="182"/>
      <c r="HB61" s="182"/>
      <c r="HC61" s="182"/>
      <c r="HD61" s="182"/>
      <c r="HE61" s="182"/>
      <c r="HF61" s="182"/>
      <c r="HG61" s="182"/>
      <c r="HH61" s="182"/>
      <c r="HI61" s="182"/>
      <c r="HJ61" s="182"/>
      <c r="HK61" s="182"/>
      <c r="HL61" s="182"/>
      <c r="HM61" s="182"/>
      <c r="HN61" s="182"/>
      <c r="HO61" s="182"/>
      <c r="HP61" s="182"/>
      <c r="HQ61" s="182"/>
      <c r="HR61" s="182"/>
      <c r="HS61" s="182"/>
      <c r="HT61" s="182"/>
      <c r="HU61" s="182"/>
      <c r="HV61" s="182"/>
      <c r="HW61" s="182"/>
      <c r="HX61" s="182"/>
      <c r="HY61" s="182"/>
      <c r="HZ61" s="182"/>
      <c r="IA61" s="182"/>
      <c r="IB61" s="182"/>
      <c r="IC61" s="182"/>
      <c r="ID61" s="182"/>
      <c r="IE61" s="182"/>
      <c r="IF61" s="182"/>
      <c r="IG61" s="182"/>
      <c r="IH61" s="182"/>
      <c r="II61" s="182"/>
      <c r="IJ61" s="182"/>
      <c r="IK61" s="182"/>
      <c r="IL61" s="182"/>
      <c r="IM61" s="182"/>
      <c r="IN61" s="182"/>
      <c r="IO61" s="182"/>
      <c r="IP61" s="182"/>
      <c r="IQ61" s="182"/>
    </row>
    <row r="62" spans="1:251" s="148" customFormat="1" ht="21.75" customHeight="1">
      <c r="A62" s="186">
        <v>55</v>
      </c>
      <c r="B62" s="408" t="s">
        <v>443</v>
      </c>
      <c r="C62" s="409" t="s">
        <v>444</v>
      </c>
      <c r="D62" s="410">
        <v>48</v>
      </c>
      <c r="E62" s="410"/>
      <c r="F62" s="409" t="s">
        <v>272</v>
      </c>
      <c r="G62" s="410" t="s">
        <v>148</v>
      </c>
      <c r="H62" s="427" t="s">
        <v>151</v>
      </c>
      <c r="I62" s="187">
        <f t="shared" si="4"/>
        <v>420000</v>
      </c>
      <c r="J62" s="379" t="s">
        <v>153</v>
      </c>
      <c r="K62" s="190">
        <f t="shared" si="5"/>
        <v>300000</v>
      </c>
      <c r="L62" s="379" t="s">
        <v>158</v>
      </c>
      <c r="M62" s="188">
        <f t="shared" si="6"/>
        <v>300000</v>
      </c>
      <c r="N62" s="188">
        <f t="shared" si="7"/>
        <v>1020000</v>
      </c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2"/>
      <c r="BS62" s="182"/>
      <c r="BT62" s="182"/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2"/>
      <c r="EG62" s="182"/>
      <c r="EH62" s="182"/>
      <c r="EI62" s="182"/>
      <c r="EJ62" s="182"/>
      <c r="EK62" s="182"/>
      <c r="EL62" s="182"/>
      <c r="EM62" s="182"/>
      <c r="EN62" s="182"/>
      <c r="EO62" s="182"/>
      <c r="EP62" s="182"/>
      <c r="EQ62" s="182"/>
      <c r="ER62" s="182"/>
      <c r="ES62" s="182"/>
      <c r="ET62" s="182"/>
      <c r="EU62" s="182"/>
      <c r="EV62" s="182"/>
      <c r="EW62" s="182"/>
      <c r="EX62" s="182"/>
      <c r="EY62" s="182"/>
      <c r="EZ62" s="182"/>
      <c r="FA62" s="182"/>
      <c r="FB62" s="182"/>
      <c r="FC62" s="182"/>
      <c r="FD62" s="182"/>
      <c r="FE62" s="182"/>
      <c r="FF62" s="182"/>
      <c r="FG62" s="182"/>
      <c r="FH62" s="182"/>
      <c r="FI62" s="182"/>
      <c r="FJ62" s="182"/>
      <c r="FK62" s="182"/>
      <c r="FL62" s="182"/>
      <c r="FM62" s="182"/>
      <c r="FN62" s="182"/>
      <c r="FO62" s="182"/>
      <c r="FP62" s="182"/>
      <c r="FQ62" s="182"/>
      <c r="FR62" s="182"/>
      <c r="FS62" s="182"/>
      <c r="FT62" s="182"/>
      <c r="FU62" s="182"/>
      <c r="FV62" s="182"/>
      <c r="FW62" s="182"/>
      <c r="FX62" s="182"/>
      <c r="FY62" s="182"/>
      <c r="FZ62" s="182"/>
      <c r="GA62" s="182"/>
      <c r="GB62" s="182"/>
      <c r="GC62" s="182"/>
      <c r="GD62" s="182"/>
      <c r="GE62" s="182"/>
      <c r="GF62" s="182"/>
      <c r="GG62" s="182"/>
      <c r="GH62" s="182"/>
      <c r="GI62" s="182"/>
      <c r="GJ62" s="182"/>
      <c r="GK62" s="182"/>
      <c r="GL62" s="182"/>
      <c r="GM62" s="182"/>
      <c r="GN62" s="182"/>
      <c r="GO62" s="182"/>
      <c r="GP62" s="182"/>
      <c r="GQ62" s="182"/>
      <c r="GR62" s="182"/>
      <c r="GS62" s="182"/>
      <c r="GT62" s="182"/>
      <c r="GU62" s="182"/>
      <c r="GV62" s="182"/>
      <c r="GW62" s="182"/>
      <c r="GX62" s="182"/>
      <c r="GY62" s="182"/>
      <c r="GZ62" s="182"/>
      <c r="HA62" s="182"/>
      <c r="HB62" s="182"/>
      <c r="HC62" s="182"/>
      <c r="HD62" s="182"/>
      <c r="HE62" s="182"/>
      <c r="HF62" s="182"/>
      <c r="HG62" s="182"/>
      <c r="HH62" s="182"/>
      <c r="HI62" s="182"/>
      <c r="HJ62" s="182"/>
      <c r="HK62" s="182"/>
      <c r="HL62" s="182"/>
      <c r="HM62" s="182"/>
      <c r="HN62" s="182"/>
      <c r="HO62" s="182"/>
      <c r="HP62" s="182"/>
      <c r="HQ62" s="182"/>
      <c r="HR62" s="182"/>
      <c r="HS62" s="182"/>
      <c r="HT62" s="182"/>
      <c r="HU62" s="182"/>
      <c r="HV62" s="182"/>
      <c r="HW62" s="182"/>
      <c r="HX62" s="182"/>
      <c r="HY62" s="182"/>
      <c r="HZ62" s="182"/>
      <c r="IA62" s="182"/>
      <c r="IB62" s="182"/>
      <c r="IC62" s="182"/>
      <c r="ID62" s="182"/>
      <c r="IE62" s="182"/>
      <c r="IF62" s="182"/>
      <c r="IG62" s="182"/>
      <c r="IH62" s="182"/>
      <c r="II62" s="182"/>
      <c r="IJ62" s="182"/>
      <c r="IK62" s="182"/>
      <c r="IL62" s="182"/>
      <c r="IM62" s="182"/>
      <c r="IN62" s="182"/>
      <c r="IO62" s="182"/>
      <c r="IP62" s="182"/>
      <c r="IQ62" s="182"/>
    </row>
    <row r="63" spans="1:251" s="148" customFormat="1" ht="21.75" customHeight="1">
      <c r="A63" s="186">
        <v>56</v>
      </c>
      <c r="B63" s="408" t="s">
        <v>443</v>
      </c>
      <c r="C63" s="409" t="s">
        <v>445</v>
      </c>
      <c r="D63" s="410">
        <v>31</v>
      </c>
      <c r="E63" s="410"/>
      <c r="F63" s="409" t="s">
        <v>446</v>
      </c>
      <c r="G63" s="410" t="s">
        <v>148</v>
      </c>
      <c r="H63" s="426" t="s">
        <v>154</v>
      </c>
      <c r="I63" s="187">
        <f t="shared" si="4"/>
        <v>420000</v>
      </c>
      <c r="J63" s="379" t="s">
        <v>173</v>
      </c>
      <c r="K63" s="190">
        <f t="shared" si="5"/>
        <v>300000</v>
      </c>
      <c r="L63" s="379" t="s">
        <v>280</v>
      </c>
      <c r="M63" s="188">
        <f t="shared" si="6"/>
        <v>300000</v>
      </c>
      <c r="N63" s="188">
        <f t="shared" si="7"/>
        <v>1020000</v>
      </c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  <c r="CN63" s="182"/>
      <c r="CO63" s="182"/>
      <c r="CP63" s="182"/>
      <c r="CQ63" s="182"/>
      <c r="CR63" s="182"/>
      <c r="CS63" s="182"/>
      <c r="CT63" s="182"/>
      <c r="CU63" s="182"/>
      <c r="CV63" s="182"/>
      <c r="CW63" s="182"/>
      <c r="CX63" s="182"/>
      <c r="CY63" s="182"/>
      <c r="CZ63" s="182"/>
      <c r="DA63" s="182"/>
      <c r="DB63" s="182"/>
      <c r="DC63" s="182"/>
      <c r="DD63" s="182"/>
      <c r="DE63" s="182"/>
      <c r="DF63" s="182"/>
      <c r="DG63" s="182"/>
      <c r="DH63" s="182"/>
      <c r="DI63" s="182"/>
      <c r="DJ63" s="182"/>
      <c r="DK63" s="182"/>
      <c r="DL63" s="182"/>
      <c r="DM63" s="182"/>
      <c r="DN63" s="182"/>
      <c r="DO63" s="182"/>
      <c r="DP63" s="182"/>
      <c r="DQ63" s="182"/>
      <c r="DR63" s="182"/>
      <c r="DS63" s="182"/>
      <c r="DT63" s="182"/>
      <c r="DU63" s="182"/>
      <c r="DV63" s="182"/>
      <c r="DW63" s="182"/>
      <c r="DX63" s="182"/>
      <c r="DY63" s="182"/>
      <c r="DZ63" s="182"/>
      <c r="EA63" s="182"/>
      <c r="EB63" s="182"/>
      <c r="EC63" s="182"/>
      <c r="ED63" s="182"/>
      <c r="EE63" s="182"/>
      <c r="EF63" s="182"/>
      <c r="EG63" s="182"/>
      <c r="EH63" s="182"/>
      <c r="EI63" s="182"/>
      <c r="EJ63" s="182"/>
      <c r="EK63" s="182"/>
      <c r="EL63" s="182"/>
      <c r="EM63" s="182"/>
      <c r="EN63" s="182"/>
      <c r="EO63" s="182"/>
      <c r="EP63" s="182"/>
      <c r="EQ63" s="182"/>
      <c r="ER63" s="182"/>
      <c r="ES63" s="182"/>
      <c r="ET63" s="182"/>
      <c r="EU63" s="182"/>
      <c r="EV63" s="182"/>
      <c r="EW63" s="182"/>
      <c r="EX63" s="182"/>
      <c r="EY63" s="182"/>
      <c r="EZ63" s="182"/>
      <c r="FA63" s="182"/>
      <c r="FB63" s="182"/>
      <c r="FC63" s="182"/>
      <c r="FD63" s="182"/>
      <c r="FE63" s="182"/>
      <c r="FF63" s="182"/>
      <c r="FG63" s="182"/>
      <c r="FH63" s="182"/>
      <c r="FI63" s="182"/>
      <c r="FJ63" s="182"/>
      <c r="FK63" s="182"/>
      <c r="FL63" s="182"/>
      <c r="FM63" s="182"/>
      <c r="FN63" s="182"/>
      <c r="FO63" s="182"/>
      <c r="FP63" s="182"/>
      <c r="FQ63" s="182"/>
      <c r="FR63" s="182"/>
      <c r="FS63" s="182"/>
      <c r="FT63" s="182"/>
      <c r="FU63" s="182"/>
      <c r="FV63" s="182"/>
      <c r="FW63" s="182"/>
      <c r="FX63" s="182"/>
      <c r="FY63" s="182"/>
      <c r="FZ63" s="182"/>
      <c r="GA63" s="182"/>
      <c r="GB63" s="182"/>
      <c r="GC63" s="182"/>
      <c r="GD63" s="182"/>
      <c r="GE63" s="182"/>
      <c r="GF63" s="182"/>
      <c r="GG63" s="182"/>
      <c r="GH63" s="182"/>
      <c r="GI63" s="182"/>
      <c r="GJ63" s="182"/>
      <c r="GK63" s="182"/>
      <c r="GL63" s="182"/>
      <c r="GM63" s="182"/>
      <c r="GN63" s="182"/>
      <c r="GO63" s="182"/>
      <c r="GP63" s="182"/>
      <c r="GQ63" s="182"/>
      <c r="GR63" s="182"/>
      <c r="GS63" s="182"/>
      <c r="GT63" s="182"/>
      <c r="GU63" s="182"/>
      <c r="GV63" s="182"/>
      <c r="GW63" s="182"/>
      <c r="GX63" s="182"/>
      <c r="GY63" s="182"/>
      <c r="GZ63" s="182"/>
      <c r="HA63" s="182"/>
      <c r="HB63" s="182"/>
      <c r="HC63" s="182"/>
      <c r="HD63" s="182"/>
      <c r="HE63" s="182"/>
      <c r="HF63" s="182"/>
      <c r="HG63" s="182"/>
      <c r="HH63" s="182"/>
      <c r="HI63" s="182"/>
      <c r="HJ63" s="182"/>
      <c r="HK63" s="182"/>
      <c r="HL63" s="182"/>
      <c r="HM63" s="182"/>
      <c r="HN63" s="182"/>
      <c r="HO63" s="182"/>
      <c r="HP63" s="182"/>
      <c r="HQ63" s="182"/>
      <c r="HR63" s="182"/>
      <c r="HS63" s="182"/>
      <c r="HT63" s="182"/>
      <c r="HU63" s="182"/>
      <c r="HV63" s="182"/>
      <c r="HW63" s="182"/>
      <c r="HX63" s="182"/>
      <c r="HY63" s="182"/>
      <c r="HZ63" s="182"/>
      <c r="IA63" s="182"/>
      <c r="IB63" s="182"/>
      <c r="IC63" s="182"/>
      <c r="ID63" s="182"/>
      <c r="IE63" s="182"/>
      <c r="IF63" s="182"/>
      <c r="IG63" s="182"/>
      <c r="IH63" s="182"/>
      <c r="II63" s="182"/>
      <c r="IJ63" s="182"/>
      <c r="IK63" s="182"/>
      <c r="IL63" s="182"/>
      <c r="IM63" s="182"/>
      <c r="IN63" s="182"/>
      <c r="IO63" s="182"/>
      <c r="IP63" s="182"/>
      <c r="IQ63" s="182"/>
    </row>
    <row r="64" spans="1:251" s="148" customFormat="1" ht="21.75" customHeight="1">
      <c r="A64" s="186">
        <v>57</v>
      </c>
      <c r="B64" s="408" t="s">
        <v>443</v>
      </c>
      <c r="C64" s="409" t="s">
        <v>447</v>
      </c>
      <c r="D64" s="410"/>
      <c r="E64" s="410">
        <v>70</v>
      </c>
      <c r="F64" s="409" t="s">
        <v>448</v>
      </c>
      <c r="G64" s="410" t="s">
        <v>143</v>
      </c>
      <c r="H64" s="426" t="s">
        <v>156</v>
      </c>
      <c r="I64" s="187">
        <f t="shared" si="4"/>
        <v>420000</v>
      </c>
      <c r="J64" s="379" t="s">
        <v>154</v>
      </c>
      <c r="K64" s="190">
        <f t="shared" si="5"/>
        <v>300000</v>
      </c>
      <c r="L64" s="379" t="s">
        <v>157</v>
      </c>
      <c r="M64" s="188">
        <f t="shared" si="6"/>
        <v>300000</v>
      </c>
      <c r="N64" s="188">
        <f t="shared" si="7"/>
        <v>1020000</v>
      </c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182"/>
      <c r="DE64" s="182"/>
      <c r="DF64" s="182"/>
      <c r="DG64" s="182"/>
      <c r="DH64" s="182"/>
      <c r="DI64" s="182"/>
      <c r="DJ64" s="182"/>
      <c r="DK64" s="182"/>
      <c r="DL64" s="182"/>
      <c r="DM64" s="182"/>
      <c r="DN64" s="182"/>
      <c r="DO64" s="182"/>
      <c r="DP64" s="182"/>
      <c r="DQ64" s="182"/>
      <c r="DR64" s="182"/>
      <c r="DS64" s="182"/>
      <c r="DT64" s="182"/>
      <c r="DU64" s="182"/>
      <c r="DV64" s="182"/>
      <c r="DW64" s="182"/>
      <c r="DX64" s="182"/>
      <c r="DY64" s="182"/>
      <c r="DZ64" s="182"/>
      <c r="EA64" s="182"/>
      <c r="EB64" s="182"/>
      <c r="EC64" s="182"/>
      <c r="ED64" s="182"/>
      <c r="EE64" s="182"/>
      <c r="EF64" s="182"/>
      <c r="EG64" s="182"/>
      <c r="EH64" s="182"/>
      <c r="EI64" s="182"/>
      <c r="EJ64" s="182"/>
      <c r="EK64" s="182"/>
      <c r="EL64" s="182"/>
      <c r="EM64" s="182"/>
      <c r="EN64" s="182"/>
      <c r="EO64" s="182"/>
      <c r="EP64" s="182"/>
      <c r="EQ64" s="182"/>
      <c r="ER64" s="182"/>
      <c r="ES64" s="182"/>
      <c r="ET64" s="182"/>
      <c r="EU64" s="182"/>
      <c r="EV64" s="182"/>
      <c r="EW64" s="182"/>
      <c r="EX64" s="182"/>
      <c r="EY64" s="182"/>
      <c r="EZ64" s="182"/>
      <c r="FA64" s="182"/>
      <c r="FB64" s="182"/>
      <c r="FC64" s="182"/>
      <c r="FD64" s="182"/>
      <c r="FE64" s="182"/>
      <c r="FF64" s="182"/>
      <c r="FG64" s="182"/>
      <c r="FH64" s="182"/>
      <c r="FI64" s="182"/>
      <c r="FJ64" s="182"/>
      <c r="FK64" s="182"/>
      <c r="FL64" s="182"/>
      <c r="FM64" s="182"/>
      <c r="FN64" s="182"/>
      <c r="FO64" s="182"/>
      <c r="FP64" s="182"/>
      <c r="FQ64" s="182"/>
      <c r="FR64" s="182"/>
      <c r="FS64" s="182"/>
      <c r="FT64" s="182"/>
      <c r="FU64" s="182"/>
      <c r="FV64" s="182"/>
      <c r="FW64" s="182"/>
      <c r="FX64" s="182"/>
      <c r="FY64" s="182"/>
      <c r="FZ64" s="182"/>
      <c r="GA64" s="182"/>
      <c r="GB64" s="182"/>
      <c r="GC64" s="182"/>
      <c r="GD64" s="182"/>
      <c r="GE64" s="182"/>
      <c r="GF64" s="182"/>
      <c r="GG64" s="182"/>
      <c r="GH64" s="182"/>
      <c r="GI64" s="182"/>
      <c r="GJ64" s="182"/>
      <c r="GK64" s="182"/>
      <c r="GL64" s="182"/>
      <c r="GM64" s="182"/>
      <c r="GN64" s="182"/>
      <c r="GO64" s="182"/>
      <c r="GP64" s="182"/>
      <c r="GQ64" s="182"/>
      <c r="GR64" s="182"/>
      <c r="GS64" s="182"/>
      <c r="GT64" s="182"/>
      <c r="GU64" s="182"/>
      <c r="GV64" s="182"/>
      <c r="GW64" s="182"/>
      <c r="GX64" s="182"/>
      <c r="GY64" s="182"/>
      <c r="GZ64" s="182"/>
      <c r="HA64" s="182"/>
      <c r="HB64" s="182"/>
      <c r="HC64" s="182"/>
      <c r="HD64" s="182"/>
      <c r="HE64" s="182"/>
      <c r="HF64" s="182"/>
      <c r="HG64" s="182"/>
      <c r="HH64" s="182"/>
      <c r="HI64" s="182"/>
      <c r="HJ64" s="182"/>
      <c r="HK64" s="182"/>
      <c r="HL64" s="182"/>
      <c r="HM64" s="182"/>
      <c r="HN64" s="182"/>
      <c r="HO64" s="182"/>
      <c r="HP64" s="182"/>
      <c r="HQ64" s="182"/>
      <c r="HR64" s="182"/>
      <c r="HS64" s="182"/>
      <c r="HT64" s="182"/>
      <c r="HU64" s="182"/>
      <c r="HV64" s="182"/>
      <c r="HW64" s="182"/>
      <c r="HX64" s="182"/>
      <c r="HY64" s="182"/>
      <c r="HZ64" s="182"/>
      <c r="IA64" s="182"/>
      <c r="IB64" s="182"/>
      <c r="IC64" s="182"/>
      <c r="ID64" s="182"/>
      <c r="IE64" s="182"/>
      <c r="IF64" s="182"/>
      <c r="IG64" s="182"/>
      <c r="IH64" s="182"/>
      <c r="II64" s="182"/>
      <c r="IJ64" s="182"/>
      <c r="IK64" s="182"/>
      <c r="IL64" s="182"/>
      <c r="IM64" s="182"/>
      <c r="IN64" s="182"/>
      <c r="IO64" s="182"/>
      <c r="IP64" s="182"/>
      <c r="IQ64" s="182"/>
    </row>
    <row r="65" spans="1:251" s="148" customFormat="1" ht="21.75" customHeight="1">
      <c r="A65" s="186">
        <v>58</v>
      </c>
      <c r="B65" s="408" t="s">
        <v>449</v>
      </c>
      <c r="C65" s="409" t="s">
        <v>450</v>
      </c>
      <c r="D65" s="410"/>
      <c r="E65" s="410">
        <v>38</v>
      </c>
      <c r="F65" s="409" t="s">
        <v>395</v>
      </c>
      <c r="G65" s="410" t="s">
        <v>148</v>
      </c>
      <c r="H65" s="427" t="s">
        <v>151</v>
      </c>
      <c r="I65" s="187">
        <f t="shared" si="4"/>
        <v>420000</v>
      </c>
      <c r="J65" s="379" t="s">
        <v>157</v>
      </c>
      <c r="K65" s="190">
        <f t="shared" si="5"/>
        <v>300000</v>
      </c>
      <c r="L65" s="379" t="s">
        <v>159</v>
      </c>
      <c r="M65" s="188">
        <f t="shared" si="6"/>
        <v>300000</v>
      </c>
      <c r="N65" s="188">
        <f t="shared" si="7"/>
        <v>1020000</v>
      </c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82"/>
      <c r="BP65" s="182"/>
      <c r="BQ65" s="182"/>
      <c r="BR65" s="182"/>
      <c r="BS65" s="182"/>
      <c r="BT65" s="182"/>
      <c r="BU65" s="182"/>
      <c r="BV65" s="182"/>
      <c r="BW65" s="182"/>
      <c r="BX65" s="182"/>
      <c r="BY65" s="182"/>
      <c r="BZ65" s="182"/>
      <c r="CA65" s="182"/>
      <c r="CB65" s="182"/>
      <c r="CC65" s="182"/>
      <c r="CD65" s="182"/>
      <c r="CE65" s="182"/>
      <c r="CF65" s="182"/>
      <c r="CG65" s="182"/>
      <c r="CH65" s="182"/>
      <c r="CI65" s="182"/>
      <c r="CJ65" s="182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2"/>
      <c r="CY65" s="182"/>
      <c r="CZ65" s="182"/>
      <c r="DA65" s="182"/>
      <c r="DB65" s="182"/>
      <c r="DC65" s="182"/>
      <c r="DD65" s="182"/>
      <c r="DE65" s="182"/>
      <c r="DF65" s="182"/>
      <c r="DG65" s="182"/>
      <c r="DH65" s="182"/>
      <c r="DI65" s="182"/>
      <c r="DJ65" s="182"/>
      <c r="DK65" s="182"/>
      <c r="DL65" s="182"/>
      <c r="DM65" s="182"/>
      <c r="DN65" s="182"/>
      <c r="DO65" s="182"/>
      <c r="DP65" s="182"/>
      <c r="DQ65" s="182"/>
      <c r="DR65" s="182"/>
      <c r="DS65" s="182"/>
      <c r="DT65" s="182"/>
      <c r="DU65" s="182"/>
      <c r="DV65" s="182"/>
      <c r="DW65" s="182"/>
      <c r="DX65" s="182"/>
      <c r="DY65" s="182"/>
      <c r="DZ65" s="182"/>
      <c r="EA65" s="182"/>
      <c r="EB65" s="182"/>
      <c r="EC65" s="182"/>
      <c r="ED65" s="182"/>
      <c r="EE65" s="182"/>
      <c r="EF65" s="182"/>
      <c r="EG65" s="182"/>
      <c r="EH65" s="182"/>
      <c r="EI65" s="182"/>
      <c r="EJ65" s="182"/>
      <c r="EK65" s="182"/>
      <c r="EL65" s="182"/>
      <c r="EM65" s="182"/>
      <c r="EN65" s="182"/>
      <c r="EO65" s="182"/>
      <c r="EP65" s="182"/>
      <c r="EQ65" s="182"/>
      <c r="ER65" s="182"/>
      <c r="ES65" s="182"/>
      <c r="ET65" s="182"/>
      <c r="EU65" s="182"/>
      <c r="EV65" s="182"/>
      <c r="EW65" s="182"/>
      <c r="EX65" s="182"/>
      <c r="EY65" s="182"/>
      <c r="EZ65" s="182"/>
      <c r="FA65" s="182"/>
      <c r="FB65" s="182"/>
      <c r="FC65" s="182"/>
      <c r="FD65" s="182"/>
      <c r="FE65" s="182"/>
      <c r="FF65" s="182"/>
      <c r="FG65" s="182"/>
      <c r="FH65" s="182"/>
      <c r="FI65" s="182"/>
      <c r="FJ65" s="182"/>
      <c r="FK65" s="182"/>
      <c r="FL65" s="182"/>
      <c r="FM65" s="182"/>
      <c r="FN65" s="182"/>
      <c r="FO65" s="182"/>
      <c r="FP65" s="182"/>
      <c r="FQ65" s="182"/>
      <c r="FR65" s="182"/>
      <c r="FS65" s="182"/>
      <c r="FT65" s="182"/>
      <c r="FU65" s="182"/>
      <c r="FV65" s="182"/>
      <c r="FW65" s="182"/>
      <c r="FX65" s="182"/>
      <c r="FY65" s="182"/>
      <c r="FZ65" s="182"/>
      <c r="GA65" s="182"/>
      <c r="GB65" s="182"/>
      <c r="GC65" s="182"/>
      <c r="GD65" s="182"/>
      <c r="GE65" s="182"/>
      <c r="GF65" s="182"/>
      <c r="GG65" s="182"/>
      <c r="GH65" s="182"/>
      <c r="GI65" s="182"/>
      <c r="GJ65" s="182"/>
      <c r="GK65" s="182"/>
      <c r="GL65" s="182"/>
      <c r="GM65" s="182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182"/>
      <c r="HQ65" s="182"/>
      <c r="HR65" s="182"/>
      <c r="HS65" s="182"/>
      <c r="HT65" s="182"/>
      <c r="HU65" s="182"/>
      <c r="HV65" s="182"/>
      <c r="HW65" s="182"/>
      <c r="HX65" s="182"/>
      <c r="HY65" s="182"/>
      <c r="HZ65" s="182"/>
      <c r="IA65" s="182"/>
      <c r="IB65" s="182"/>
      <c r="IC65" s="182"/>
      <c r="ID65" s="182"/>
      <c r="IE65" s="182"/>
      <c r="IF65" s="182"/>
      <c r="IG65" s="182"/>
      <c r="IH65" s="182"/>
      <c r="II65" s="182"/>
      <c r="IJ65" s="182"/>
      <c r="IK65" s="182"/>
      <c r="IL65" s="182"/>
      <c r="IM65" s="182"/>
      <c r="IN65" s="182"/>
      <c r="IO65" s="182"/>
      <c r="IP65" s="182"/>
      <c r="IQ65" s="182"/>
    </row>
    <row r="66" spans="1:251" s="148" customFormat="1" ht="21.75" customHeight="1">
      <c r="A66" s="186">
        <v>59</v>
      </c>
      <c r="B66" s="408" t="s">
        <v>451</v>
      </c>
      <c r="C66" s="409" t="s">
        <v>452</v>
      </c>
      <c r="D66" s="410">
        <v>50</v>
      </c>
      <c r="E66" s="410"/>
      <c r="F66" s="409" t="s">
        <v>453</v>
      </c>
      <c r="G66" s="410" t="s">
        <v>143</v>
      </c>
      <c r="H66" s="426" t="s">
        <v>154</v>
      </c>
      <c r="I66" s="187">
        <f t="shared" si="4"/>
        <v>420000</v>
      </c>
      <c r="J66" s="379" t="s">
        <v>280</v>
      </c>
      <c r="K66" s="190">
        <f t="shared" si="5"/>
        <v>300000</v>
      </c>
      <c r="L66" s="379" t="s">
        <v>161</v>
      </c>
      <c r="M66" s="188">
        <f t="shared" si="6"/>
        <v>300000</v>
      </c>
      <c r="N66" s="188">
        <f t="shared" si="7"/>
        <v>1020000</v>
      </c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182"/>
      <c r="BP66" s="182"/>
      <c r="BQ66" s="182"/>
      <c r="BR66" s="182"/>
      <c r="BS66" s="182"/>
      <c r="BT66" s="182"/>
      <c r="BU66" s="182"/>
      <c r="BV66" s="182"/>
      <c r="BW66" s="182"/>
      <c r="BX66" s="182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K66" s="182"/>
      <c r="CL66" s="182"/>
      <c r="CM66" s="182"/>
      <c r="CN66" s="182"/>
      <c r="CO66" s="182"/>
      <c r="CP66" s="182"/>
      <c r="CQ66" s="182"/>
      <c r="CR66" s="182"/>
      <c r="CS66" s="182"/>
      <c r="CT66" s="182"/>
      <c r="CU66" s="182"/>
      <c r="CV66" s="182"/>
      <c r="CW66" s="182"/>
      <c r="CX66" s="182"/>
      <c r="CY66" s="182"/>
      <c r="CZ66" s="182"/>
      <c r="DA66" s="182"/>
      <c r="DB66" s="182"/>
      <c r="DC66" s="182"/>
      <c r="DD66" s="182"/>
      <c r="DE66" s="182"/>
      <c r="DF66" s="182"/>
      <c r="DG66" s="182"/>
      <c r="DH66" s="182"/>
      <c r="DI66" s="182"/>
      <c r="DJ66" s="182"/>
      <c r="DK66" s="182"/>
      <c r="DL66" s="182"/>
      <c r="DM66" s="182"/>
      <c r="DN66" s="182"/>
      <c r="DO66" s="182"/>
      <c r="DP66" s="182"/>
      <c r="DQ66" s="182"/>
      <c r="DR66" s="182"/>
      <c r="DS66" s="182"/>
      <c r="DT66" s="182"/>
      <c r="DU66" s="182"/>
      <c r="DV66" s="182"/>
      <c r="DW66" s="182"/>
      <c r="DX66" s="182"/>
      <c r="DY66" s="182"/>
      <c r="DZ66" s="182"/>
      <c r="EA66" s="182"/>
      <c r="EB66" s="182"/>
      <c r="EC66" s="182"/>
      <c r="ED66" s="182"/>
      <c r="EE66" s="182"/>
      <c r="EF66" s="182"/>
      <c r="EG66" s="182"/>
      <c r="EH66" s="182"/>
      <c r="EI66" s="182"/>
      <c r="EJ66" s="182"/>
      <c r="EK66" s="182"/>
      <c r="EL66" s="182"/>
      <c r="EM66" s="182"/>
      <c r="EN66" s="182"/>
      <c r="EO66" s="182"/>
      <c r="EP66" s="182"/>
      <c r="EQ66" s="182"/>
      <c r="ER66" s="182"/>
      <c r="ES66" s="182"/>
      <c r="ET66" s="182"/>
      <c r="EU66" s="182"/>
      <c r="EV66" s="182"/>
      <c r="EW66" s="182"/>
      <c r="EX66" s="182"/>
      <c r="EY66" s="182"/>
      <c r="EZ66" s="182"/>
      <c r="FA66" s="182"/>
      <c r="FB66" s="182"/>
      <c r="FC66" s="182"/>
      <c r="FD66" s="182"/>
      <c r="FE66" s="182"/>
      <c r="FF66" s="182"/>
      <c r="FG66" s="182"/>
      <c r="FH66" s="182"/>
      <c r="FI66" s="182"/>
      <c r="FJ66" s="182"/>
      <c r="FK66" s="182"/>
      <c r="FL66" s="182"/>
      <c r="FM66" s="182"/>
      <c r="FN66" s="182"/>
      <c r="FO66" s="182"/>
      <c r="FP66" s="182"/>
      <c r="FQ66" s="182"/>
      <c r="FR66" s="182"/>
      <c r="FS66" s="182"/>
      <c r="FT66" s="182"/>
      <c r="FU66" s="182"/>
      <c r="FV66" s="182"/>
      <c r="FW66" s="182"/>
      <c r="FX66" s="182"/>
      <c r="FY66" s="182"/>
      <c r="FZ66" s="182"/>
      <c r="GA66" s="182"/>
      <c r="GB66" s="182"/>
      <c r="GC66" s="182"/>
      <c r="GD66" s="182"/>
      <c r="GE66" s="182"/>
      <c r="GF66" s="182"/>
      <c r="GG66" s="182"/>
      <c r="GH66" s="182"/>
      <c r="GI66" s="182"/>
      <c r="GJ66" s="182"/>
      <c r="GK66" s="182"/>
      <c r="GL66" s="182"/>
      <c r="GM66" s="182"/>
      <c r="GN66" s="182"/>
      <c r="GO66" s="182"/>
      <c r="GP66" s="182"/>
      <c r="GQ66" s="182"/>
      <c r="GR66" s="182"/>
      <c r="GS66" s="182"/>
      <c r="GT66" s="182"/>
      <c r="GU66" s="182"/>
      <c r="GV66" s="182"/>
      <c r="GW66" s="182"/>
      <c r="GX66" s="182"/>
      <c r="GY66" s="182"/>
      <c r="GZ66" s="182"/>
      <c r="HA66" s="182"/>
      <c r="HB66" s="182"/>
      <c r="HC66" s="182"/>
      <c r="HD66" s="182"/>
      <c r="HE66" s="182"/>
      <c r="HF66" s="182"/>
      <c r="HG66" s="182"/>
      <c r="HH66" s="182"/>
      <c r="HI66" s="182"/>
      <c r="HJ66" s="182"/>
      <c r="HK66" s="182"/>
      <c r="HL66" s="182"/>
      <c r="HM66" s="182"/>
      <c r="HN66" s="182"/>
      <c r="HO66" s="182"/>
      <c r="HP66" s="182"/>
      <c r="HQ66" s="182"/>
      <c r="HR66" s="182"/>
      <c r="HS66" s="182"/>
      <c r="HT66" s="182"/>
      <c r="HU66" s="182"/>
      <c r="HV66" s="182"/>
      <c r="HW66" s="182"/>
      <c r="HX66" s="182"/>
      <c r="HY66" s="182"/>
      <c r="HZ66" s="182"/>
      <c r="IA66" s="182"/>
      <c r="IB66" s="182"/>
      <c r="IC66" s="182"/>
      <c r="ID66" s="182"/>
      <c r="IE66" s="182"/>
      <c r="IF66" s="182"/>
      <c r="IG66" s="182"/>
      <c r="IH66" s="182"/>
      <c r="II66" s="182"/>
      <c r="IJ66" s="182"/>
      <c r="IK66" s="182"/>
      <c r="IL66" s="182"/>
      <c r="IM66" s="182"/>
      <c r="IN66" s="182"/>
      <c r="IO66" s="182"/>
      <c r="IP66" s="182"/>
      <c r="IQ66" s="182"/>
    </row>
    <row r="67" spans="1:251" s="148" customFormat="1" ht="21.75" customHeight="1">
      <c r="A67" s="186">
        <v>60</v>
      </c>
      <c r="B67" s="408" t="s">
        <v>454</v>
      </c>
      <c r="C67" s="409" t="s">
        <v>455</v>
      </c>
      <c r="D67" s="410">
        <v>26</v>
      </c>
      <c r="E67" s="410"/>
      <c r="F67" s="409" t="s">
        <v>456</v>
      </c>
      <c r="G67" s="410" t="s">
        <v>143</v>
      </c>
      <c r="H67" s="426" t="s">
        <v>154</v>
      </c>
      <c r="I67" s="187">
        <f t="shared" si="4"/>
        <v>420000</v>
      </c>
      <c r="J67" s="379" t="s">
        <v>157</v>
      </c>
      <c r="K67" s="190">
        <f t="shared" si="5"/>
        <v>300000</v>
      </c>
      <c r="L67" s="379" t="s">
        <v>158</v>
      </c>
      <c r="M67" s="188">
        <f t="shared" si="6"/>
        <v>300000</v>
      </c>
      <c r="N67" s="188">
        <f t="shared" si="7"/>
        <v>1020000</v>
      </c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182"/>
      <c r="DE67" s="182"/>
      <c r="DF67" s="182"/>
      <c r="DG67" s="182"/>
      <c r="DH67" s="182"/>
      <c r="DI67" s="182"/>
      <c r="DJ67" s="182"/>
      <c r="DK67" s="182"/>
      <c r="DL67" s="182"/>
      <c r="DM67" s="182"/>
      <c r="DN67" s="182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2"/>
      <c r="EC67" s="182"/>
      <c r="ED67" s="182"/>
      <c r="EE67" s="182"/>
      <c r="EF67" s="182"/>
      <c r="EG67" s="182"/>
      <c r="EH67" s="182"/>
      <c r="EI67" s="182"/>
      <c r="EJ67" s="182"/>
      <c r="EK67" s="182"/>
      <c r="EL67" s="182"/>
      <c r="EM67" s="182"/>
      <c r="EN67" s="182"/>
      <c r="EO67" s="182"/>
      <c r="EP67" s="182"/>
      <c r="EQ67" s="182"/>
      <c r="ER67" s="182"/>
      <c r="ES67" s="182"/>
      <c r="ET67" s="182"/>
      <c r="EU67" s="182"/>
      <c r="EV67" s="182"/>
      <c r="EW67" s="182"/>
      <c r="EX67" s="182"/>
      <c r="EY67" s="182"/>
      <c r="EZ67" s="182"/>
      <c r="FA67" s="182"/>
      <c r="FB67" s="182"/>
      <c r="FC67" s="182"/>
      <c r="FD67" s="182"/>
      <c r="FE67" s="182"/>
      <c r="FF67" s="182"/>
      <c r="FG67" s="182"/>
      <c r="FH67" s="182"/>
      <c r="FI67" s="182"/>
      <c r="FJ67" s="182"/>
      <c r="FK67" s="182"/>
      <c r="FL67" s="182"/>
      <c r="FM67" s="182"/>
      <c r="FN67" s="182"/>
      <c r="FO67" s="182"/>
      <c r="FP67" s="182"/>
      <c r="FQ67" s="182"/>
      <c r="FR67" s="182"/>
      <c r="FS67" s="182"/>
      <c r="FT67" s="182"/>
      <c r="FU67" s="182"/>
      <c r="FV67" s="182"/>
      <c r="FW67" s="182"/>
      <c r="FX67" s="182"/>
      <c r="FY67" s="182"/>
      <c r="FZ67" s="182"/>
      <c r="GA67" s="182"/>
      <c r="GB67" s="182"/>
      <c r="GC67" s="182"/>
      <c r="GD67" s="182"/>
      <c r="GE67" s="182"/>
      <c r="GF67" s="182"/>
      <c r="GG67" s="182"/>
      <c r="GH67" s="182"/>
      <c r="GI67" s="182"/>
      <c r="GJ67" s="182"/>
      <c r="GK67" s="182"/>
      <c r="GL67" s="182"/>
      <c r="GM67" s="182"/>
      <c r="GN67" s="182"/>
      <c r="GO67" s="182"/>
      <c r="GP67" s="182"/>
      <c r="GQ67" s="182"/>
      <c r="GR67" s="182"/>
      <c r="GS67" s="182"/>
      <c r="GT67" s="182"/>
      <c r="GU67" s="182"/>
      <c r="GV67" s="182"/>
      <c r="GW67" s="182"/>
      <c r="GX67" s="182"/>
      <c r="GY67" s="182"/>
      <c r="GZ67" s="182"/>
      <c r="HA67" s="182"/>
      <c r="HB67" s="182"/>
      <c r="HC67" s="182"/>
      <c r="HD67" s="182"/>
      <c r="HE67" s="182"/>
      <c r="HF67" s="182"/>
      <c r="HG67" s="182"/>
      <c r="HH67" s="182"/>
      <c r="HI67" s="182"/>
      <c r="HJ67" s="182"/>
      <c r="HK67" s="182"/>
      <c r="HL67" s="182"/>
      <c r="HM67" s="182"/>
      <c r="HN67" s="182"/>
      <c r="HO67" s="182"/>
      <c r="HP67" s="182"/>
      <c r="HQ67" s="182"/>
      <c r="HR67" s="182"/>
      <c r="HS67" s="182"/>
      <c r="HT67" s="182"/>
      <c r="HU67" s="182"/>
      <c r="HV67" s="182"/>
      <c r="HW67" s="182"/>
      <c r="HX67" s="182"/>
      <c r="HY67" s="182"/>
      <c r="HZ67" s="182"/>
      <c r="IA67" s="182"/>
      <c r="IB67" s="182"/>
      <c r="IC67" s="182"/>
      <c r="ID67" s="182"/>
      <c r="IE67" s="182"/>
      <c r="IF67" s="182"/>
      <c r="IG67" s="182"/>
      <c r="IH67" s="182"/>
      <c r="II67" s="182"/>
      <c r="IJ67" s="182"/>
      <c r="IK67" s="182"/>
      <c r="IL67" s="182"/>
      <c r="IM67" s="182"/>
      <c r="IN67" s="182"/>
      <c r="IO67" s="182"/>
      <c r="IP67" s="182"/>
      <c r="IQ67" s="182"/>
    </row>
    <row r="68" spans="1:251" s="148" customFormat="1" ht="21.75" customHeight="1">
      <c r="A68" s="186">
        <v>61</v>
      </c>
      <c r="B68" s="408" t="s">
        <v>454</v>
      </c>
      <c r="C68" s="409" t="s">
        <v>457</v>
      </c>
      <c r="D68" s="410">
        <v>28</v>
      </c>
      <c r="E68" s="410"/>
      <c r="F68" s="409" t="s">
        <v>458</v>
      </c>
      <c r="G68" s="410" t="s">
        <v>146</v>
      </c>
      <c r="H68" s="426" t="s">
        <v>154</v>
      </c>
      <c r="I68" s="187">
        <f t="shared" si="4"/>
        <v>187500</v>
      </c>
      <c r="J68" s="379" t="s">
        <v>155</v>
      </c>
      <c r="K68" s="190">
        <f t="shared" si="5"/>
        <v>135000</v>
      </c>
      <c r="L68" s="379" t="s">
        <v>157</v>
      </c>
      <c r="M68" s="188">
        <f t="shared" si="6"/>
        <v>135000</v>
      </c>
      <c r="N68" s="188">
        <f t="shared" si="7"/>
        <v>457500</v>
      </c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182"/>
      <c r="DE68" s="182"/>
      <c r="DF68" s="182"/>
      <c r="DG68" s="182"/>
      <c r="DH68" s="182"/>
      <c r="DI68" s="182"/>
      <c r="DJ68" s="182"/>
      <c r="DK68" s="182"/>
      <c r="DL68" s="182"/>
      <c r="DM68" s="182"/>
      <c r="DN68" s="182"/>
      <c r="DO68" s="182"/>
      <c r="DP68" s="182"/>
      <c r="DQ68" s="182"/>
      <c r="DR68" s="182"/>
      <c r="DS68" s="182"/>
      <c r="DT68" s="182"/>
      <c r="DU68" s="182"/>
      <c r="DV68" s="182"/>
      <c r="DW68" s="182"/>
      <c r="DX68" s="182"/>
      <c r="DY68" s="182"/>
      <c r="DZ68" s="182"/>
      <c r="EA68" s="182"/>
      <c r="EB68" s="182"/>
      <c r="EC68" s="182"/>
      <c r="ED68" s="182"/>
      <c r="EE68" s="182"/>
      <c r="EF68" s="182"/>
      <c r="EG68" s="182"/>
      <c r="EH68" s="182"/>
      <c r="EI68" s="182"/>
      <c r="EJ68" s="182"/>
      <c r="EK68" s="182"/>
      <c r="EL68" s="182"/>
      <c r="EM68" s="182"/>
      <c r="EN68" s="182"/>
      <c r="EO68" s="182"/>
      <c r="EP68" s="182"/>
      <c r="EQ68" s="182"/>
      <c r="ER68" s="182"/>
      <c r="ES68" s="182"/>
      <c r="ET68" s="182"/>
      <c r="EU68" s="182"/>
      <c r="EV68" s="182"/>
      <c r="EW68" s="182"/>
      <c r="EX68" s="182"/>
      <c r="EY68" s="182"/>
      <c r="EZ68" s="182"/>
      <c r="FA68" s="182"/>
      <c r="FB68" s="182"/>
      <c r="FC68" s="182"/>
      <c r="FD68" s="182"/>
      <c r="FE68" s="182"/>
      <c r="FF68" s="182"/>
      <c r="FG68" s="182"/>
      <c r="FH68" s="182"/>
      <c r="FI68" s="182"/>
      <c r="FJ68" s="182"/>
      <c r="FK68" s="182"/>
      <c r="FL68" s="182"/>
      <c r="FM68" s="182"/>
      <c r="FN68" s="182"/>
      <c r="FO68" s="182"/>
      <c r="FP68" s="182"/>
      <c r="FQ68" s="182"/>
      <c r="FR68" s="182"/>
      <c r="FS68" s="182"/>
      <c r="FT68" s="182"/>
      <c r="FU68" s="182"/>
      <c r="FV68" s="182"/>
      <c r="FW68" s="182"/>
      <c r="FX68" s="182"/>
      <c r="FY68" s="182"/>
      <c r="FZ68" s="182"/>
      <c r="GA68" s="182"/>
      <c r="GB68" s="182"/>
      <c r="GC68" s="182"/>
      <c r="GD68" s="182"/>
      <c r="GE68" s="182"/>
      <c r="GF68" s="182"/>
      <c r="GG68" s="182"/>
      <c r="GH68" s="182"/>
      <c r="GI68" s="182"/>
      <c r="GJ68" s="182"/>
      <c r="GK68" s="182"/>
      <c r="GL68" s="182"/>
      <c r="GM68" s="182"/>
      <c r="GN68" s="182"/>
      <c r="GO68" s="182"/>
      <c r="GP68" s="182"/>
      <c r="GQ68" s="182"/>
      <c r="GR68" s="182"/>
      <c r="GS68" s="182"/>
      <c r="GT68" s="182"/>
      <c r="GU68" s="182"/>
      <c r="GV68" s="182"/>
      <c r="GW68" s="182"/>
      <c r="GX68" s="182"/>
      <c r="GY68" s="182"/>
      <c r="GZ68" s="182"/>
      <c r="HA68" s="182"/>
      <c r="HB68" s="182"/>
      <c r="HC68" s="182"/>
      <c r="HD68" s="182"/>
      <c r="HE68" s="182"/>
      <c r="HF68" s="182"/>
      <c r="HG68" s="182"/>
      <c r="HH68" s="182"/>
      <c r="HI68" s="182"/>
      <c r="HJ68" s="182"/>
      <c r="HK68" s="182"/>
      <c r="HL68" s="182"/>
      <c r="HM68" s="182"/>
      <c r="HN68" s="182"/>
      <c r="HO68" s="182"/>
      <c r="HP68" s="182"/>
      <c r="HQ68" s="182"/>
      <c r="HR68" s="182"/>
      <c r="HS68" s="182"/>
      <c r="HT68" s="182"/>
      <c r="HU68" s="182"/>
      <c r="HV68" s="182"/>
      <c r="HW68" s="182"/>
      <c r="HX68" s="182"/>
      <c r="HY68" s="182"/>
      <c r="HZ68" s="182"/>
      <c r="IA68" s="182"/>
      <c r="IB68" s="182"/>
      <c r="IC68" s="182"/>
      <c r="ID68" s="182"/>
      <c r="IE68" s="182"/>
      <c r="IF68" s="182"/>
      <c r="IG68" s="182"/>
      <c r="IH68" s="182"/>
      <c r="II68" s="182"/>
      <c r="IJ68" s="182"/>
      <c r="IK68" s="182"/>
      <c r="IL68" s="182"/>
      <c r="IM68" s="182"/>
      <c r="IN68" s="182"/>
      <c r="IO68" s="182"/>
      <c r="IP68" s="182"/>
      <c r="IQ68" s="182"/>
    </row>
    <row r="69" spans="1:251" s="148" customFormat="1" ht="21.75" customHeight="1">
      <c r="A69" s="186">
        <v>62</v>
      </c>
      <c r="B69" s="408" t="s">
        <v>454</v>
      </c>
      <c r="C69" s="409" t="s">
        <v>459</v>
      </c>
      <c r="D69" s="410">
        <v>28</v>
      </c>
      <c r="E69" s="410"/>
      <c r="F69" s="409" t="s">
        <v>456</v>
      </c>
      <c r="G69" s="410" t="s">
        <v>143</v>
      </c>
      <c r="H69" s="426" t="s">
        <v>154</v>
      </c>
      <c r="I69" s="187">
        <f t="shared" si="4"/>
        <v>420000</v>
      </c>
      <c r="J69" s="379" t="s">
        <v>157</v>
      </c>
      <c r="K69" s="190">
        <f t="shared" si="5"/>
        <v>300000</v>
      </c>
      <c r="L69" s="379" t="s">
        <v>158</v>
      </c>
      <c r="M69" s="188">
        <f t="shared" si="6"/>
        <v>300000</v>
      </c>
      <c r="N69" s="188">
        <f t="shared" si="7"/>
        <v>1020000</v>
      </c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182"/>
      <c r="BP69" s="182"/>
      <c r="BQ69" s="182"/>
      <c r="BR69" s="182"/>
      <c r="BS69" s="182"/>
      <c r="BT69" s="182"/>
      <c r="BU69" s="182"/>
      <c r="BV69" s="182"/>
      <c r="BW69" s="182"/>
      <c r="BX69" s="182"/>
      <c r="BY69" s="182"/>
      <c r="BZ69" s="182"/>
      <c r="CA69" s="182"/>
      <c r="CB69" s="182"/>
      <c r="CC69" s="182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2"/>
      <c r="CO69" s="182"/>
      <c r="CP69" s="182"/>
      <c r="CQ69" s="182"/>
      <c r="CR69" s="182"/>
      <c r="CS69" s="182"/>
      <c r="CT69" s="182"/>
      <c r="CU69" s="182"/>
      <c r="CV69" s="182"/>
      <c r="CW69" s="182"/>
      <c r="CX69" s="182"/>
      <c r="CY69" s="182"/>
      <c r="CZ69" s="182"/>
      <c r="DA69" s="182"/>
      <c r="DB69" s="182"/>
      <c r="DC69" s="182"/>
      <c r="DD69" s="182"/>
      <c r="DE69" s="182"/>
      <c r="DF69" s="182"/>
      <c r="DG69" s="182"/>
      <c r="DH69" s="182"/>
      <c r="DI69" s="182"/>
      <c r="DJ69" s="182"/>
      <c r="DK69" s="182"/>
      <c r="DL69" s="182"/>
      <c r="DM69" s="182"/>
      <c r="DN69" s="182"/>
      <c r="DO69" s="182"/>
      <c r="DP69" s="182"/>
      <c r="DQ69" s="182"/>
      <c r="DR69" s="182"/>
      <c r="DS69" s="182"/>
      <c r="DT69" s="182"/>
      <c r="DU69" s="182"/>
      <c r="DV69" s="182"/>
      <c r="DW69" s="182"/>
      <c r="DX69" s="182"/>
      <c r="DY69" s="182"/>
      <c r="DZ69" s="182"/>
      <c r="EA69" s="182"/>
      <c r="EB69" s="182"/>
      <c r="EC69" s="182"/>
      <c r="ED69" s="182"/>
      <c r="EE69" s="182"/>
      <c r="EF69" s="182"/>
      <c r="EG69" s="182"/>
      <c r="EH69" s="182"/>
      <c r="EI69" s="182"/>
      <c r="EJ69" s="182"/>
      <c r="EK69" s="182"/>
      <c r="EL69" s="182"/>
      <c r="EM69" s="182"/>
      <c r="EN69" s="182"/>
      <c r="EO69" s="182"/>
      <c r="EP69" s="182"/>
      <c r="EQ69" s="182"/>
      <c r="ER69" s="182"/>
      <c r="ES69" s="182"/>
      <c r="ET69" s="182"/>
      <c r="EU69" s="182"/>
      <c r="EV69" s="182"/>
      <c r="EW69" s="182"/>
      <c r="EX69" s="182"/>
      <c r="EY69" s="182"/>
      <c r="EZ69" s="182"/>
      <c r="FA69" s="182"/>
      <c r="FB69" s="182"/>
      <c r="FC69" s="182"/>
      <c r="FD69" s="182"/>
      <c r="FE69" s="182"/>
      <c r="FF69" s="182"/>
      <c r="FG69" s="182"/>
      <c r="FH69" s="182"/>
      <c r="FI69" s="182"/>
      <c r="FJ69" s="182"/>
      <c r="FK69" s="182"/>
      <c r="FL69" s="182"/>
      <c r="FM69" s="182"/>
      <c r="FN69" s="182"/>
      <c r="FO69" s="182"/>
      <c r="FP69" s="182"/>
      <c r="FQ69" s="182"/>
      <c r="FR69" s="182"/>
      <c r="FS69" s="182"/>
      <c r="FT69" s="182"/>
      <c r="FU69" s="182"/>
      <c r="FV69" s="182"/>
      <c r="FW69" s="182"/>
      <c r="FX69" s="182"/>
      <c r="FY69" s="182"/>
      <c r="FZ69" s="182"/>
      <c r="GA69" s="182"/>
      <c r="GB69" s="182"/>
      <c r="GC69" s="182"/>
      <c r="GD69" s="182"/>
      <c r="GE69" s="182"/>
      <c r="GF69" s="182"/>
      <c r="GG69" s="182"/>
      <c r="GH69" s="182"/>
      <c r="GI69" s="182"/>
      <c r="GJ69" s="182"/>
      <c r="GK69" s="182"/>
      <c r="GL69" s="182"/>
      <c r="GM69" s="182"/>
      <c r="GN69" s="182"/>
      <c r="GO69" s="182"/>
      <c r="GP69" s="182"/>
      <c r="GQ69" s="182"/>
      <c r="GR69" s="182"/>
      <c r="GS69" s="182"/>
      <c r="GT69" s="182"/>
      <c r="GU69" s="182"/>
      <c r="GV69" s="182"/>
      <c r="GW69" s="182"/>
      <c r="GX69" s="182"/>
      <c r="GY69" s="182"/>
      <c r="GZ69" s="182"/>
      <c r="HA69" s="182"/>
      <c r="HB69" s="182"/>
      <c r="HC69" s="182"/>
      <c r="HD69" s="182"/>
      <c r="HE69" s="182"/>
      <c r="HF69" s="182"/>
      <c r="HG69" s="182"/>
      <c r="HH69" s="182"/>
      <c r="HI69" s="182"/>
      <c r="HJ69" s="182"/>
      <c r="HK69" s="182"/>
      <c r="HL69" s="182"/>
      <c r="HM69" s="182"/>
      <c r="HN69" s="182"/>
      <c r="HO69" s="182"/>
      <c r="HP69" s="182"/>
      <c r="HQ69" s="182"/>
      <c r="HR69" s="182"/>
      <c r="HS69" s="182"/>
      <c r="HT69" s="182"/>
      <c r="HU69" s="182"/>
      <c r="HV69" s="182"/>
      <c r="HW69" s="182"/>
      <c r="HX69" s="182"/>
      <c r="HY69" s="182"/>
      <c r="HZ69" s="182"/>
      <c r="IA69" s="182"/>
      <c r="IB69" s="182"/>
      <c r="IC69" s="182"/>
      <c r="ID69" s="182"/>
      <c r="IE69" s="182"/>
      <c r="IF69" s="182"/>
      <c r="IG69" s="182"/>
      <c r="IH69" s="182"/>
      <c r="II69" s="182"/>
      <c r="IJ69" s="182"/>
      <c r="IK69" s="182"/>
      <c r="IL69" s="182"/>
      <c r="IM69" s="182"/>
      <c r="IN69" s="182"/>
      <c r="IO69" s="182"/>
      <c r="IP69" s="182"/>
      <c r="IQ69" s="182"/>
    </row>
    <row r="70" spans="1:251" s="148" customFormat="1" ht="21.75" customHeight="1">
      <c r="A70" s="186">
        <v>63</v>
      </c>
      <c r="B70" s="408" t="s">
        <v>274</v>
      </c>
      <c r="C70" s="409" t="s">
        <v>460</v>
      </c>
      <c r="D70" s="410">
        <v>51</v>
      </c>
      <c r="E70" s="410"/>
      <c r="F70" s="409" t="s">
        <v>284</v>
      </c>
      <c r="G70" s="410" t="s">
        <v>162</v>
      </c>
      <c r="H70" s="426" t="s">
        <v>155</v>
      </c>
      <c r="I70" s="187">
        <f t="shared" si="4"/>
        <v>97500</v>
      </c>
      <c r="J70" s="379" t="s">
        <v>281</v>
      </c>
      <c r="K70" s="190">
        <f t="shared" si="5"/>
        <v>75000</v>
      </c>
      <c r="L70" s="379" t="s">
        <v>56</v>
      </c>
      <c r="M70" s="188">
        <f t="shared" si="6"/>
        <v>0</v>
      </c>
      <c r="N70" s="188">
        <f t="shared" si="7"/>
        <v>172500</v>
      </c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182"/>
      <c r="BP70" s="182"/>
      <c r="BQ70" s="182"/>
      <c r="BR70" s="182"/>
      <c r="BS70" s="182"/>
      <c r="BT70" s="182"/>
      <c r="BU70" s="182"/>
      <c r="BV70" s="182"/>
      <c r="BW70" s="182"/>
      <c r="BX70" s="182"/>
      <c r="BY70" s="182"/>
      <c r="BZ70" s="182"/>
      <c r="CA70" s="182"/>
      <c r="CB70" s="182"/>
      <c r="CC70" s="182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182"/>
      <c r="DE70" s="182"/>
      <c r="DF70" s="182"/>
      <c r="DG70" s="182"/>
      <c r="DH70" s="182"/>
      <c r="DI70" s="182"/>
      <c r="DJ70" s="182"/>
      <c r="DK70" s="182"/>
      <c r="DL70" s="182"/>
      <c r="DM70" s="182"/>
      <c r="DN70" s="182"/>
      <c r="DO70" s="182"/>
      <c r="DP70" s="182"/>
      <c r="DQ70" s="182"/>
      <c r="DR70" s="182"/>
      <c r="DS70" s="182"/>
      <c r="DT70" s="182"/>
      <c r="DU70" s="182"/>
      <c r="DV70" s="182"/>
      <c r="DW70" s="182"/>
      <c r="DX70" s="182"/>
      <c r="DY70" s="182"/>
      <c r="DZ70" s="182"/>
      <c r="EA70" s="182"/>
      <c r="EB70" s="182"/>
      <c r="EC70" s="182"/>
      <c r="ED70" s="182"/>
      <c r="EE70" s="182"/>
      <c r="EF70" s="182"/>
      <c r="EG70" s="182"/>
      <c r="EH70" s="182"/>
      <c r="EI70" s="182"/>
      <c r="EJ70" s="182"/>
      <c r="EK70" s="182"/>
      <c r="EL70" s="182"/>
      <c r="EM70" s="182"/>
      <c r="EN70" s="182"/>
      <c r="EO70" s="182"/>
      <c r="EP70" s="182"/>
      <c r="EQ70" s="182"/>
      <c r="ER70" s="182"/>
      <c r="ES70" s="182"/>
      <c r="ET70" s="182"/>
      <c r="EU70" s="182"/>
      <c r="EV70" s="182"/>
      <c r="EW70" s="182"/>
      <c r="EX70" s="182"/>
      <c r="EY70" s="182"/>
      <c r="EZ70" s="182"/>
      <c r="FA70" s="182"/>
      <c r="FB70" s="182"/>
      <c r="FC70" s="182"/>
      <c r="FD70" s="182"/>
      <c r="FE70" s="182"/>
      <c r="FF70" s="182"/>
      <c r="FG70" s="182"/>
      <c r="FH70" s="182"/>
      <c r="FI70" s="182"/>
      <c r="FJ70" s="182"/>
      <c r="FK70" s="182"/>
      <c r="FL70" s="182"/>
      <c r="FM70" s="182"/>
      <c r="FN70" s="182"/>
      <c r="FO70" s="182"/>
      <c r="FP70" s="182"/>
      <c r="FQ70" s="182"/>
      <c r="FR70" s="182"/>
      <c r="FS70" s="182"/>
      <c r="FT70" s="182"/>
      <c r="FU70" s="182"/>
      <c r="FV70" s="182"/>
      <c r="FW70" s="182"/>
      <c r="FX70" s="182"/>
      <c r="FY70" s="182"/>
      <c r="FZ70" s="182"/>
      <c r="GA70" s="182"/>
      <c r="GB70" s="182"/>
      <c r="GC70" s="182"/>
      <c r="GD70" s="182"/>
      <c r="GE70" s="182"/>
      <c r="GF70" s="182"/>
      <c r="GG70" s="182"/>
      <c r="GH70" s="182"/>
      <c r="GI70" s="182"/>
      <c r="GJ70" s="182"/>
      <c r="GK70" s="182"/>
      <c r="GL70" s="182"/>
      <c r="GM70" s="182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182"/>
      <c r="HQ70" s="182"/>
      <c r="HR70" s="182"/>
      <c r="HS70" s="182"/>
      <c r="HT70" s="182"/>
      <c r="HU70" s="182"/>
      <c r="HV70" s="182"/>
      <c r="HW70" s="182"/>
      <c r="HX70" s="182"/>
      <c r="HY70" s="182"/>
      <c r="HZ70" s="182"/>
      <c r="IA70" s="182"/>
      <c r="IB70" s="182"/>
      <c r="IC70" s="182"/>
      <c r="ID70" s="182"/>
      <c r="IE70" s="182"/>
      <c r="IF70" s="182"/>
      <c r="IG70" s="182"/>
      <c r="IH70" s="182"/>
      <c r="II70" s="182"/>
      <c r="IJ70" s="182"/>
      <c r="IK70" s="182"/>
      <c r="IL70" s="182"/>
      <c r="IM70" s="182"/>
      <c r="IN70" s="182"/>
      <c r="IO70" s="182"/>
      <c r="IP70" s="182"/>
      <c r="IQ70" s="182"/>
    </row>
    <row r="71" spans="1:251" s="148" customFormat="1" ht="21.75" customHeight="1">
      <c r="A71" s="186">
        <v>64</v>
      </c>
      <c r="B71" s="408" t="s">
        <v>275</v>
      </c>
      <c r="C71" s="409" t="s">
        <v>460</v>
      </c>
      <c r="D71" s="410">
        <v>51</v>
      </c>
      <c r="E71" s="410"/>
      <c r="F71" s="409" t="s">
        <v>284</v>
      </c>
      <c r="G71" s="410" t="s">
        <v>162</v>
      </c>
      <c r="H71" s="426" t="s">
        <v>155</v>
      </c>
      <c r="I71" s="187">
        <f t="shared" si="4"/>
        <v>97500</v>
      </c>
      <c r="J71" s="379" t="s">
        <v>281</v>
      </c>
      <c r="K71" s="190">
        <f t="shared" si="5"/>
        <v>75000</v>
      </c>
      <c r="L71" s="379" t="s">
        <v>56</v>
      </c>
      <c r="M71" s="188">
        <f t="shared" si="6"/>
        <v>0</v>
      </c>
      <c r="N71" s="188">
        <f t="shared" si="7"/>
        <v>172500</v>
      </c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182"/>
      <c r="CA71" s="182"/>
      <c r="CB71" s="182"/>
      <c r="CC71" s="182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182"/>
      <c r="DE71" s="182"/>
      <c r="DF71" s="182"/>
      <c r="DG71" s="182"/>
      <c r="DH71" s="182"/>
      <c r="DI71" s="182"/>
      <c r="DJ71" s="182"/>
      <c r="DK71" s="182"/>
      <c r="DL71" s="182"/>
      <c r="DM71" s="182"/>
      <c r="DN71" s="182"/>
      <c r="DO71" s="182"/>
      <c r="DP71" s="182"/>
      <c r="DQ71" s="182"/>
      <c r="DR71" s="182"/>
      <c r="DS71" s="182"/>
      <c r="DT71" s="182"/>
      <c r="DU71" s="182"/>
      <c r="DV71" s="182"/>
      <c r="DW71" s="182"/>
      <c r="DX71" s="182"/>
      <c r="DY71" s="182"/>
      <c r="DZ71" s="182"/>
      <c r="EA71" s="182"/>
      <c r="EB71" s="182"/>
      <c r="EC71" s="182"/>
      <c r="ED71" s="182"/>
      <c r="EE71" s="182"/>
      <c r="EF71" s="182"/>
      <c r="EG71" s="182"/>
      <c r="EH71" s="182"/>
      <c r="EI71" s="182"/>
      <c r="EJ71" s="182"/>
      <c r="EK71" s="182"/>
      <c r="EL71" s="182"/>
      <c r="EM71" s="182"/>
      <c r="EN71" s="182"/>
      <c r="EO71" s="182"/>
      <c r="EP71" s="182"/>
      <c r="EQ71" s="182"/>
      <c r="ER71" s="182"/>
      <c r="ES71" s="182"/>
      <c r="ET71" s="182"/>
      <c r="EU71" s="182"/>
      <c r="EV71" s="182"/>
      <c r="EW71" s="182"/>
      <c r="EX71" s="182"/>
      <c r="EY71" s="182"/>
      <c r="EZ71" s="182"/>
      <c r="FA71" s="182"/>
      <c r="FB71" s="182"/>
      <c r="FC71" s="182"/>
      <c r="FD71" s="182"/>
      <c r="FE71" s="182"/>
      <c r="FF71" s="182"/>
      <c r="FG71" s="182"/>
      <c r="FH71" s="182"/>
      <c r="FI71" s="182"/>
      <c r="FJ71" s="182"/>
      <c r="FK71" s="182"/>
      <c r="FL71" s="182"/>
      <c r="FM71" s="182"/>
      <c r="FN71" s="182"/>
      <c r="FO71" s="182"/>
      <c r="FP71" s="182"/>
      <c r="FQ71" s="182"/>
      <c r="FR71" s="182"/>
      <c r="FS71" s="182"/>
      <c r="FT71" s="182"/>
      <c r="FU71" s="182"/>
      <c r="FV71" s="182"/>
      <c r="FW71" s="182"/>
      <c r="FX71" s="182"/>
      <c r="FY71" s="182"/>
      <c r="FZ71" s="182"/>
      <c r="GA71" s="182"/>
      <c r="GB71" s="182"/>
      <c r="GC71" s="182"/>
      <c r="GD71" s="182"/>
      <c r="GE71" s="182"/>
      <c r="GF71" s="182"/>
      <c r="GG71" s="182"/>
      <c r="GH71" s="182"/>
      <c r="GI71" s="182"/>
      <c r="GJ71" s="182"/>
      <c r="GK71" s="182"/>
      <c r="GL71" s="182"/>
      <c r="GM71" s="182"/>
      <c r="GN71" s="182"/>
      <c r="GO71" s="182"/>
      <c r="GP71" s="182"/>
      <c r="GQ71" s="182"/>
      <c r="GR71" s="182"/>
      <c r="GS71" s="182"/>
      <c r="GT71" s="182"/>
      <c r="GU71" s="182"/>
      <c r="GV71" s="182"/>
      <c r="GW71" s="182"/>
      <c r="GX71" s="182"/>
      <c r="GY71" s="182"/>
      <c r="GZ71" s="182"/>
      <c r="HA71" s="182"/>
      <c r="HB71" s="182"/>
      <c r="HC71" s="182"/>
      <c r="HD71" s="182"/>
      <c r="HE71" s="182"/>
      <c r="HF71" s="182"/>
      <c r="HG71" s="182"/>
      <c r="HH71" s="182"/>
      <c r="HI71" s="182"/>
      <c r="HJ71" s="182"/>
      <c r="HK71" s="182"/>
      <c r="HL71" s="182"/>
      <c r="HM71" s="182"/>
      <c r="HN71" s="182"/>
      <c r="HO71" s="182"/>
      <c r="HP71" s="182"/>
      <c r="HQ71" s="182"/>
      <c r="HR71" s="182"/>
      <c r="HS71" s="182"/>
      <c r="HT71" s="182"/>
      <c r="HU71" s="182"/>
      <c r="HV71" s="182"/>
      <c r="HW71" s="182"/>
      <c r="HX71" s="182"/>
      <c r="HY71" s="182"/>
      <c r="HZ71" s="182"/>
      <c r="IA71" s="182"/>
      <c r="IB71" s="182"/>
      <c r="IC71" s="182"/>
      <c r="ID71" s="182"/>
      <c r="IE71" s="182"/>
      <c r="IF71" s="182"/>
      <c r="IG71" s="182"/>
      <c r="IH71" s="182"/>
      <c r="II71" s="182"/>
      <c r="IJ71" s="182"/>
      <c r="IK71" s="182"/>
      <c r="IL71" s="182"/>
      <c r="IM71" s="182"/>
      <c r="IN71" s="182"/>
      <c r="IO71" s="182"/>
      <c r="IP71" s="182"/>
      <c r="IQ71" s="182"/>
    </row>
    <row r="72" spans="1:251" s="148" customFormat="1" ht="21.75" customHeight="1">
      <c r="A72" s="186">
        <v>65</v>
      </c>
      <c r="B72" s="408" t="s">
        <v>276</v>
      </c>
      <c r="C72" s="409" t="s">
        <v>461</v>
      </c>
      <c r="D72" s="410">
        <v>72</v>
      </c>
      <c r="E72" s="410"/>
      <c r="F72" s="409" t="s">
        <v>285</v>
      </c>
      <c r="G72" s="410" t="s">
        <v>162</v>
      </c>
      <c r="H72" s="427" t="s">
        <v>151</v>
      </c>
      <c r="I72" s="187">
        <f t="shared" si="4"/>
        <v>97500</v>
      </c>
      <c r="J72" s="379" t="s">
        <v>157</v>
      </c>
      <c r="K72" s="190">
        <f t="shared" si="5"/>
        <v>75000</v>
      </c>
      <c r="L72" s="379" t="s">
        <v>56</v>
      </c>
      <c r="M72" s="188">
        <f t="shared" si="6"/>
        <v>0</v>
      </c>
      <c r="N72" s="188">
        <f t="shared" si="7"/>
        <v>172500</v>
      </c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182"/>
      <c r="DE72" s="182"/>
      <c r="DF72" s="182"/>
      <c r="DG72" s="182"/>
      <c r="DH72" s="182"/>
      <c r="DI72" s="182"/>
      <c r="DJ72" s="182"/>
      <c r="DK72" s="182"/>
      <c r="DL72" s="182"/>
      <c r="DM72" s="182"/>
      <c r="DN72" s="182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2"/>
      <c r="EC72" s="182"/>
      <c r="ED72" s="182"/>
      <c r="EE72" s="182"/>
      <c r="EF72" s="182"/>
      <c r="EG72" s="182"/>
      <c r="EH72" s="182"/>
      <c r="EI72" s="182"/>
      <c r="EJ72" s="182"/>
      <c r="EK72" s="182"/>
      <c r="EL72" s="182"/>
      <c r="EM72" s="182"/>
      <c r="EN72" s="182"/>
      <c r="EO72" s="182"/>
      <c r="EP72" s="182"/>
      <c r="EQ72" s="182"/>
      <c r="ER72" s="182"/>
      <c r="ES72" s="182"/>
      <c r="ET72" s="182"/>
      <c r="EU72" s="182"/>
      <c r="EV72" s="182"/>
      <c r="EW72" s="182"/>
      <c r="EX72" s="182"/>
      <c r="EY72" s="182"/>
      <c r="EZ72" s="182"/>
      <c r="FA72" s="182"/>
      <c r="FB72" s="182"/>
      <c r="FC72" s="182"/>
      <c r="FD72" s="182"/>
      <c r="FE72" s="182"/>
      <c r="FF72" s="182"/>
      <c r="FG72" s="182"/>
      <c r="FH72" s="182"/>
      <c r="FI72" s="182"/>
      <c r="FJ72" s="182"/>
      <c r="FK72" s="182"/>
      <c r="FL72" s="182"/>
      <c r="FM72" s="182"/>
      <c r="FN72" s="182"/>
      <c r="FO72" s="182"/>
      <c r="FP72" s="182"/>
      <c r="FQ72" s="182"/>
      <c r="FR72" s="182"/>
      <c r="FS72" s="182"/>
      <c r="FT72" s="182"/>
      <c r="FU72" s="182"/>
      <c r="FV72" s="182"/>
      <c r="FW72" s="182"/>
      <c r="FX72" s="182"/>
      <c r="FY72" s="182"/>
      <c r="FZ72" s="182"/>
      <c r="GA72" s="182"/>
      <c r="GB72" s="182"/>
      <c r="GC72" s="182"/>
      <c r="GD72" s="182"/>
      <c r="GE72" s="182"/>
      <c r="GF72" s="182"/>
      <c r="GG72" s="182"/>
      <c r="GH72" s="182"/>
      <c r="GI72" s="182"/>
      <c r="GJ72" s="182"/>
      <c r="GK72" s="182"/>
      <c r="GL72" s="182"/>
      <c r="GM72" s="182"/>
      <c r="GN72" s="182"/>
      <c r="GO72" s="182"/>
      <c r="GP72" s="182"/>
      <c r="GQ72" s="182"/>
      <c r="GR72" s="182"/>
      <c r="GS72" s="182"/>
      <c r="GT72" s="182"/>
      <c r="GU72" s="182"/>
      <c r="GV72" s="182"/>
      <c r="GW72" s="182"/>
      <c r="GX72" s="182"/>
      <c r="GY72" s="182"/>
      <c r="GZ72" s="182"/>
      <c r="HA72" s="182"/>
      <c r="HB72" s="182"/>
      <c r="HC72" s="182"/>
      <c r="HD72" s="182"/>
      <c r="HE72" s="182"/>
      <c r="HF72" s="182"/>
      <c r="HG72" s="182"/>
      <c r="HH72" s="182"/>
      <c r="HI72" s="182"/>
      <c r="HJ72" s="182"/>
      <c r="HK72" s="182"/>
      <c r="HL72" s="182"/>
      <c r="HM72" s="182"/>
      <c r="HN72" s="182"/>
      <c r="HO72" s="182"/>
      <c r="HP72" s="182"/>
      <c r="HQ72" s="182"/>
      <c r="HR72" s="182"/>
      <c r="HS72" s="182"/>
      <c r="HT72" s="182"/>
      <c r="HU72" s="182"/>
      <c r="HV72" s="182"/>
      <c r="HW72" s="182"/>
      <c r="HX72" s="182"/>
      <c r="HY72" s="182"/>
      <c r="HZ72" s="182"/>
      <c r="IA72" s="182"/>
      <c r="IB72" s="182"/>
      <c r="IC72" s="182"/>
      <c r="ID72" s="182"/>
      <c r="IE72" s="182"/>
      <c r="IF72" s="182"/>
      <c r="IG72" s="182"/>
      <c r="IH72" s="182"/>
      <c r="II72" s="182"/>
      <c r="IJ72" s="182"/>
      <c r="IK72" s="182"/>
      <c r="IL72" s="182"/>
      <c r="IM72" s="182"/>
      <c r="IN72" s="182"/>
      <c r="IO72" s="182"/>
      <c r="IP72" s="182"/>
      <c r="IQ72" s="182"/>
    </row>
    <row r="73" spans="1:251" s="148" customFormat="1" ht="21.75" customHeight="1">
      <c r="A73" s="186">
        <v>66</v>
      </c>
      <c r="B73" s="408" t="s">
        <v>277</v>
      </c>
      <c r="C73" s="409" t="s">
        <v>460</v>
      </c>
      <c r="D73" s="410">
        <v>51</v>
      </c>
      <c r="E73" s="410"/>
      <c r="F73" s="409" t="s">
        <v>284</v>
      </c>
      <c r="G73" s="410" t="s">
        <v>163</v>
      </c>
      <c r="H73" s="426" t="s">
        <v>152</v>
      </c>
      <c r="I73" s="187">
        <f t="shared" si="4"/>
        <v>97500</v>
      </c>
      <c r="J73" s="379" t="s">
        <v>281</v>
      </c>
      <c r="K73" s="190">
        <f t="shared" si="5"/>
        <v>75000</v>
      </c>
      <c r="L73" s="379" t="s">
        <v>56</v>
      </c>
      <c r="M73" s="188">
        <f t="shared" si="6"/>
        <v>0</v>
      </c>
      <c r="N73" s="188">
        <f t="shared" si="7"/>
        <v>172500</v>
      </c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2"/>
      <c r="CA73" s="182"/>
      <c r="CB73" s="182"/>
      <c r="CC73" s="182"/>
      <c r="CD73" s="182"/>
      <c r="CE73" s="182"/>
      <c r="CF73" s="182"/>
      <c r="CG73" s="182"/>
      <c r="CH73" s="182"/>
      <c r="CI73" s="182"/>
      <c r="CJ73" s="182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182"/>
      <c r="DE73" s="182"/>
      <c r="DF73" s="182"/>
      <c r="DG73" s="182"/>
      <c r="DH73" s="182"/>
      <c r="DI73" s="182"/>
      <c r="DJ73" s="182"/>
      <c r="DK73" s="182"/>
      <c r="DL73" s="182"/>
      <c r="DM73" s="182"/>
      <c r="DN73" s="182"/>
      <c r="DO73" s="182"/>
      <c r="DP73" s="182"/>
      <c r="DQ73" s="182"/>
      <c r="DR73" s="182"/>
      <c r="DS73" s="182"/>
      <c r="DT73" s="182"/>
      <c r="DU73" s="182"/>
      <c r="DV73" s="182"/>
      <c r="DW73" s="182"/>
      <c r="DX73" s="182"/>
      <c r="DY73" s="182"/>
      <c r="DZ73" s="182"/>
      <c r="EA73" s="182"/>
      <c r="EB73" s="182"/>
      <c r="EC73" s="182"/>
      <c r="ED73" s="182"/>
      <c r="EE73" s="182"/>
      <c r="EF73" s="182"/>
      <c r="EG73" s="182"/>
      <c r="EH73" s="182"/>
      <c r="EI73" s="182"/>
      <c r="EJ73" s="182"/>
      <c r="EK73" s="182"/>
      <c r="EL73" s="182"/>
      <c r="EM73" s="182"/>
      <c r="EN73" s="182"/>
      <c r="EO73" s="182"/>
      <c r="EP73" s="182"/>
      <c r="EQ73" s="182"/>
      <c r="ER73" s="182"/>
      <c r="ES73" s="182"/>
      <c r="ET73" s="182"/>
      <c r="EU73" s="182"/>
      <c r="EV73" s="182"/>
      <c r="EW73" s="182"/>
      <c r="EX73" s="182"/>
      <c r="EY73" s="182"/>
      <c r="EZ73" s="182"/>
      <c r="FA73" s="182"/>
      <c r="FB73" s="182"/>
      <c r="FC73" s="182"/>
      <c r="FD73" s="182"/>
      <c r="FE73" s="182"/>
      <c r="FF73" s="182"/>
      <c r="FG73" s="182"/>
      <c r="FH73" s="182"/>
      <c r="FI73" s="182"/>
      <c r="FJ73" s="182"/>
      <c r="FK73" s="182"/>
      <c r="FL73" s="182"/>
      <c r="FM73" s="182"/>
      <c r="FN73" s="182"/>
      <c r="FO73" s="182"/>
      <c r="FP73" s="182"/>
      <c r="FQ73" s="182"/>
      <c r="FR73" s="182"/>
      <c r="FS73" s="182"/>
      <c r="FT73" s="182"/>
      <c r="FU73" s="182"/>
      <c r="FV73" s="182"/>
      <c r="FW73" s="182"/>
      <c r="FX73" s="182"/>
      <c r="FY73" s="182"/>
      <c r="FZ73" s="182"/>
      <c r="GA73" s="182"/>
      <c r="GB73" s="182"/>
      <c r="GC73" s="182"/>
      <c r="GD73" s="182"/>
      <c r="GE73" s="182"/>
      <c r="GF73" s="182"/>
      <c r="GG73" s="182"/>
      <c r="GH73" s="182"/>
      <c r="GI73" s="182"/>
      <c r="GJ73" s="182"/>
      <c r="GK73" s="182"/>
      <c r="GL73" s="182"/>
      <c r="GM73" s="182"/>
      <c r="GN73" s="182"/>
      <c r="GO73" s="182"/>
      <c r="GP73" s="182"/>
      <c r="GQ73" s="182"/>
      <c r="GR73" s="182"/>
      <c r="GS73" s="182"/>
      <c r="GT73" s="182"/>
      <c r="GU73" s="182"/>
      <c r="GV73" s="182"/>
      <c r="GW73" s="182"/>
      <c r="GX73" s="182"/>
      <c r="GY73" s="182"/>
      <c r="GZ73" s="182"/>
      <c r="HA73" s="182"/>
      <c r="HB73" s="182"/>
      <c r="HC73" s="182"/>
      <c r="HD73" s="182"/>
      <c r="HE73" s="182"/>
      <c r="HF73" s="182"/>
      <c r="HG73" s="182"/>
      <c r="HH73" s="182"/>
      <c r="HI73" s="182"/>
      <c r="HJ73" s="182"/>
      <c r="HK73" s="182"/>
      <c r="HL73" s="182"/>
      <c r="HM73" s="182"/>
      <c r="HN73" s="182"/>
      <c r="HO73" s="182"/>
      <c r="HP73" s="182"/>
      <c r="HQ73" s="182"/>
      <c r="HR73" s="182"/>
      <c r="HS73" s="182"/>
      <c r="HT73" s="182"/>
      <c r="HU73" s="182"/>
      <c r="HV73" s="182"/>
      <c r="HW73" s="182"/>
      <c r="HX73" s="182"/>
      <c r="HY73" s="182"/>
      <c r="HZ73" s="182"/>
      <c r="IA73" s="182"/>
      <c r="IB73" s="182"/>
      <c r="IC73" s="182"/>
      <c r="ID73" s="182"/>
      <c r="IE73" s="182"/>
      <c r="IF73" s="182"/>
      <c r="IG73" s="182"/>
      <c r="IH73" s="182"/>
      <c r="II73" s="182"/>
      <c r="IJ73" s="182"/>
      <c r="IK73" s="182"/>
      <c r="IL73" s="182"/>
      <c r="IM73" s="182"/>
      <c r="IN73" s="182"/>
      <c r="IO73" s="182"/>
      <c r="IP73" s="182"/>
      <c r="IQ73" s="182"/>
    </row>
    <row r="74" spans="1:251" s="148" customFormat="1" ht="21.75" customHeight="1">
      <c r="A74" s="186">
        <v>67</v>
      </c>
      <c r="B74" s="408" t="s">
        <v>369</v>
      </c>
      <c r="C74" s="409" t="s">
        <v>383</v>
      </c>
      <c r="D74" s="410">
        <v>71</v>
      </c>
      <c r="E74" s="410"/>
      <c r="F74" s="409" t="s">
        <v>284</v>
      </c>
      <c r="G74" s="410" t="s">
        <v>163</v>
      </c>
      <c r="H74" s="426" t="s">
        <v>155</v>
      </c>
      <c r="I74" s="187">
        <f t="shared" si="4"/>
        <v>97500</v>
      </c>
      <c r="J74" s="379" t="s">
        <v>173</v>
      </c>
      <c r="K74" s="190">
        <f t="shared" si="5"/>
        <v>75000</v>
      </c>
      <c r="L74" s="379" t="s">
        <v>56</v>
      </c>
      <c r="M74" s="188">
        <f t="shared" si="6"/>
        <v>0</v>
      </c>
      <c r="N74" s="188">
        <f t="shared" si="7"/>
        <v>172500</v>
      </c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O74" s="182"/>
      <c r="BP74" s="182"/>
      <c r="BQ74" s="182"/>
      <c r="BR74" s="182"/>
      <c r="BS74" s="182"/>
      <c r="BT74" s="182"/>
      <c r="BU74" s="182"/>
      <c r="BV74" s="182"/>
      <c r="BW74" s="182"/>
      <c r="BX74" s="182"/>
      <c r="BY74" s="182"/>
      <c r="BZ74" s="182"/>
      <c r="CA74" s="182"/>
      <c r="CB74" s="182"/>
      <c r="CC74" s="182"/>
      <c r="CD74" s="182"/>
      <c r="CE74" s="182"/>
      <c r="CF74" s="182"/>
      <c r="CG74" s="182"/>
      <c r="CH74" s="182"/>
      <c r="CI74" s="182"/>
      <c r="CJ74" s="182"/>
      <c r="CK74" s="182"/>
      <c r="CL74" s="182"/>
      <c r="CM74" s="182"/>
      <c r="CN74" s="182"/>
      <c r="CO74" s="182"/>
      <c r="CP74" s="182"/>
      <c r="CQ74" s="182"/>
      <c r="CR74" s="182"/>
      <c r="CS74" s="182"/>
      <c r="CT74" s="182"/>
      <c r="CU74" s="182"/>
      <c r="CV74" s="182"/>
      <c r="CW74" s="182"/>
      <c r="CX74" s="182"/>
      <c r="CY74" s="182"/>
      <c r="CZ74" s="182"/>
      <c r="DA74" s="182"/>
      <c r="DB74" s="182"/>
      <c r="DC74" s="182"/>
      <c r="DD74" s="182"/>
      <c r="DE74" s="182"/>
      <c r="DF74" s="182"/>
      <c r="DG74" s="182"/>
      <c r="DH74" s="182"/>
      <c r="DI74" s="182"/>
      <c r="DJ74" s="182"/>
      <c r="DK74" s="182"/>
      <c r="DL74" s="182"/>
      <c r="DM74" s="182"/>
      <c r="DN74" s="182"/>
      <c r="DO74" s="182"/>
      <c r="DP74" s="182"/>
      <c r="DQ74" s="182"/>
      <c r="DR74" s="182"/>
      <c r="DS74" s="182"/>
      <c r="DT74" s="182"/>
      <c r="DU74" s="182"/>
      <c r="DV74" s="182"/>
      <c r="DW74" s="182"/>
      <c r="DX74" s="182"/>
      <c r="DY74" s="182"/>
      <c r="DZ74" s="182"/>
      <c r="EA74" s="182"/>
      <c r="EB74" s="182"/>
      <c r="EC74" s="182"/>
      <c r="ED74" s="182"/>
      <c r="EE74" s="182"/>
      <c r="EF74" s="182"/>
      <c r="EG74" s="182"/>
      <c r="EH74" s="182"/>
      <c r="EI74" s="182"/>
      <c r="EJ74" s="182"/>
      <c r="EK74" s="182"/>
      <c r="EL74" s="182"/>
      <c r="EM74" s="182"/>
      <c r="EN74" s="182"/>
      <c r="EO74" s="182"/>
      <c r="EP74" s="182"/>
      <c r="EQ74" s="182"/>
      <c r="ER74" s="182"/>
      <c r="ES74" s="182"/>
      <c r="ET74" s="182"/>
      <c r="EU74" s="182"/>
      <c r="EV74" s="182"/>
      <c r="EW74" s="182"/>
      <c r="EX74" s="182"/>
      <c r="EY74" s="182"/>
      <c r="EZ74" s="182"/>
      <c r="FA74" s="182"/>
      <c r="FB74" s="182"/>
      <c r="FC74" s="182"/>
      <c r="FD74" s="182"/>
      <c r="FE74" s="182"/>
      <c r="FF74" s="182"/>
      <c r="FG74" s="182"/>
      <c r="FH74" s="182"/>
      <c r="FI74" s="182"/>
      <c r="FJ74" s="182"/>
      <c r="FK74" s="182"/>
      <c r="FL74" s="182"/>
      <c r="FM74" s="182"/>
      <c r="FN74" s="182"/>
      <c r="FO74" s="182"/>
      <c r="FP74" s="182"/>
      <c r="FQ74" s="182"/>
      <c r="FR74" s="182"/>
      <c r="FS74" s="182"/>
      <c r="FT74" s="182"/>
      <c r="FU74" s="182"/>
      <c r="FV74" s="182"/>
      <c r="FW74" s="182"/>
      <c r="FX74" s="182"/>
      <c r="FY74" s="182"/>
      <c r="FZ74" s="182"/>
      <c r="GA74" s="182"/>
      <c r="GB74" s="182"/>
      <c r="GC74" s="182"/>
      <c r="GD74" s="182"/>
      <c r="GE74" s="182"/>
      <c r="GF74" s="182"/>
      <c r="GG74" s="182"/>
      <c r="GH74" s="182"/>
      <c r="GI74" s="182"/>
      <c r="GJ74" s="182"/>
      <c r="GK74" s="182"/>
      <c r="GL74" s="182"/>
      <c r="GM74" s="182"/>
      <c r="GN74" s="182"/>
      <c r="GO74" s="182"/>
      <c r="GP74" s="182"/>
      <c r="GQ74" s="182"/>
      <c r="GR74" s="182"/>
      <c r="GS74" s="182"/>
      <c r="GT74" s="182"/>
      <c r="GU74" s="182"/>
      <c r="GV74" s="182"/>
      <c r="GW74" s="182"/>
      <c r="GX74" s="182"/>
      <c r="GY74" s="182"/>
      <c r="GZ74" s="182"/>
      <c r="HA74" s="182"/>
      <c r="HB74" s="182"/>
      <c r="HC74" s="182"/>
      <c r="HD74" s="182"/>
      <c r="HE74" s="182"/>
      <c r="HF74" s="182"/>
      <c r="HG74" s="182"/>
      <c r="HH74" s="182"/>
      <c r="HI74" s="182"/>
      <c r="HJ74" s="182"/>
      <c r="HK74" s="182"/>
      <c r="HL74" s="182"/>
      <c r="HM74" s="182"/>
      <c r="HN74" s="182"/>
      <c r="HO74" s="182"/>
      <c r="HP74" s="182"/>
      <c r="HQ74" s="182"/>
      <c r="HR74" s="182"/>
      <c r="HS74" s="182"/>
      <c r="HT74" s="182"/>
      <c r="HU74" s="182"/>
      <c r="HV74" s="182"/>
      <c r="HW74" s="182"/>
      <c r="HX74" s="182"/>
      <c r="HY74" s="182"/>
      <c r="HZ74" s="182"/>
      <c r="IA74" s="182"/>
      <c r="IB74" s="182"/>
      <c r="IC74" s="182"/>
      <c r="ID74" s="182"/>
      <c r="IE74" s="182"/>
      <c r="IF74" s="182"/>
      <c r="IG74" s="182"/>
      <c r="IH74" s="182"/>
      <c r="II74" s="182"/>
      <c r="IJ74" s="182"/>
      <c r="IK74" s="182"/>
      <c r="IL74" s="182"/>
      <c r="IM74" s="182"/>
      <c r="IN74" s="182"/>
      <c r="IO74" s="182"/>
      <c r="IP74" s="182"/>
      <c r="IQ74" s="182"/>
    </row>
    <row r="75" spans="1:251" s="148" customFormat="1" ht="21.75" customHeight="1">
      <c r="A75" s="186">
        <v>68</v>
      </c>
      <c r="B75" s="408" t="s">
        <v>294</v>
      </c>
      <c r="C75" s="409" t="s">
        <v>462</v>
      </c>
      <c r="D75" s="410">
        <v>40</v>
      </c>
      <c r="E75" s="410"/>
      <c r="F75" s="409" t="s">
        <v>269</v>
      </c>
      <c r="G75" s="410" t="s">
        <v>162</v>
      </c>
      <c r="H75" s="426" t="s">
        <v>154</v>
      </c>
      <c r="I75" s="187">
        <f t="shared" si="4"/>
        <v>97500</v>
      </c>
      <c r="J75" s="379" t="s">
        <v>157</v>
      </c>
      <c r="K75" s="190">
        <f t="shared" si="5"/>
        <v>75000</v>
      </c>
      <c r="L75" s="379" t="s">
        <v>56</v>
      </c>
      <c r="M75" s="188">
        <f t="shared" si="6"/>
        <v>0</v>
      </c>
      <c r="N75" s="188">
        <f t="shared" si="7"/>
        <v>172500</v>
      </c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182"/>
      <c r="BW75" s="182"/>
      <c r="BX75" s="182"/>
      <c r="BY75" s="182"/>
      <c r="BZ75" s="182"/>
      <c r="CA75" s="182"/>
      <c r="CB75" s="182"/>
      <c r="CC75" s="182"/>
      <c r="CD75" s="182"/>
      <c r="CE75" s="182"/>
      <c r="CF75" s="182"/>
      <c r="CG75" s="182"/>
      <c r="CH75" s="182"/>
      <c r="CI75" s="182"/>
      <c r="CJ75" s="182"/>
      <c r="CK75" s="182"/>
      <c r="CL75" s="182"/>
      <c r="CM75" s="182"/>
      <c r="CN75" s="182"/>
      <c r="CO75" s="182"/>
      <c r="CP75" s="182"/>
      <c r="CQ75" s="182"/>
      <c r="CR75" s="182"/>
      <c r="CS75" s="182"/>
      <c r="CT75" s="182"/>
      <c r="CU75" s="182"/>
      <c r="CV75" s="182"/>
      <c r="CW75" s="182"/>
      <c r="CX75" s="182"/>
      <c r="CY75" s="182"/>
      <c r="CZ75" s="182"/>
      <c r="DA75" s="182"/>
      <c r="DB75" s="182"/>
      <c r="DC75" s="182"/>
      <c r="DD75" s="182"/>
      <c r="DE75" s="182"/>
      <c r="DF75" s="182"/>
      <c r="DG75" s="182"/>
      <c r="DH75" s="182"/>
      <c r="DI75" s="182"/>
      <c r="DJ75" s="182"/>
      <c r="DK75" s="182"/>
      <c r="DL75" s="182"/>
      <c r="DM75" s="182"/>
      <c r="DN75" s="182"/>
      <c r="DO75" s="182"/>
      <c r="DP75" s="182"/>
      <c r="DQ75" s="182"/>
      <c r="DR75" s="182"/>
      <c r="DS75" s="182"/>
      <c r="DT75" s="182"/>
      <c r="DU75" s="182"/>
      <c r="DV75" s="182"/>
      <c r="DW75" s="182"/>
      <c r="DX75" s="182"/>
      <c r="DY75" s="182"/>
      <c r="DZ75" s="182"/>
      <c r="EA75" s="182"/>
      <c r="EB75" s="182"/>
      <c r="EC75" s="182"/>
      <c r="ED75" s="182"/>
      <c r="EE75" s="182"/>
      <c r="EF75" s="182"/>
      <c r="EG75" s="182"/>
      <c r="EH75" s="182"/>
      <c r="EI75" s="182"/>
      <c r="EJ75" s="182"/>
      <c r="EK75" s="182"/>
      <c r="EL75" s="182"/>
      <c r="EM75" s="182"/>
      <c r="EN75" s="182"/>
      <c r="EO75" s="182"/>
      <c r="EP75" s="182"/>
      <c r="EQ75" s="182"/>
      <c r="ER75" s="182"/>
      <c r="ES75" s="182"/>
      <c r="ET75" s="182"/>
      <c r="EU75" s="182"/>
      <c r="EV75" s="182"/>
      <c r="EW75" s="182"/>
      <c r="EX75" s="182"/>
      <c r="EY75" s="182"/>
      <c r="EZ75" s="182"/>
      <c r="FA75" s="182"/>
      <c r="FB75" s="182"/>
      <c r="FC75" s="182"/>
      <c r="FD75" s="182"/>
      <c r="FE75" s="182"/>
      <c r="FF75" s="182"/>
      <c r="FG75" s="182"/>
      <c r="FH75" s="182"/>
      <c r="FI75" s="182"/>
      <c r="FJ75" s="182"/>
      <c r="FK75" s="182"/>
      <c r="FL75" s="182"/>
      <c r="FM75" s="182"/>
      <c r="FN75" s="182"/>
      <c r="FO75" s="182"/>
      <c r="FP75" s="182"/>
      <c r="FQ75" s="182"/>
      <c r="FR75" s="182"/>
      <c r="FS75" s="182"/>
      <c r="FT75" s="182"/>
      <c r="FU75" s="182"/>
      <c r="FV75" s="182"/>
      <c r="FW75" s="182"/>
      <c r="FX75" s="182"/>
      <c r="FY75" s="182"/>
      <c r="FZ75" s="182"/>
      <c r="GA75" s="182"/>
      <c r="GB75" s="182"/>
      <c r="GC75" s="182"/>
      <c r="GD75" s="182"/>
      <c r="GE75" s="182"/>
      <c r="GF75" s="182"/>
      <c r="GG75" s="182"/>
      <c r="GH75" s="182"/>
      <c r="GI75" s="182"/>
      <c r="GJ75" s="182"/>
      <c r="GK75" s="182"/>
      <c r="GL75" s="182"/>
      <c r="GM75" s="182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182"/>
      <c r="HQ75" s="182"/>
      <c r="HR75" s="182"/>
      <c r="HS75" s="182"/>
      <c r="HT75" s="182"/>
      <c r="HU75" s="182"/>
      <c r="HV75" s="182"/>
      <c r="HW75" s="182"/>
      <c r="HX75" s="182"/>
      <c r="HY75" s="182"/>
      <c r="HZ75" s="182"/>
      <c r="IA75" s="182"/>
      <c r="IB75" s="182"/>
      <c r="IC75" s="182"/>
      <c r="ID75" s="182"/>
      <c r="IE75" s="182"/>
      <c r="IF75" s="182"/>
      <c r="IG75" s="182"/>
      <c r="IH75" s="182"/>
      <c r="II75" s="182"/>
      <c r="IJ75" s="182"/>
      <c r="IK75" s="182"/>
      <c r="IL75" s="182"/>
      <c r="IM75" s="182"/>
      <c r="IN75" s="182"/>
      <c r="IO75" s="182"/>
      <c r="IP75" s="182"/>
      <c r="IQ75" s="182"/>
    </row>
    <row r="76" spans="1:251" s="148" customFormat="1" ht="21.75" customHeight="1">
      <c r="A76" s="186">
        <v>69</v>
      </c>
      <c r="B76" s="408" t="s">
        <v>294</v>
      </c>
      <c r="C76" s="409" t="s">
        <v>463</v>
      </c>
      <c r="D76" s="410">
        <v>62</v>
      </c>
      <c r="E76" s="410"/>
      <c r="F76" s="409" t="s">
        <v>269</v>
      </c>
      <c r="G76" s="410" t="s">
        <v>162</v>
      </c>
      <c r="H76" s="426" t="s">
        <v>152</v>
      </c>
      <c r="I76" s="187">
        <f t="shared" si="4"/>
        <v>97500</v>
      </c>
      <c r="J76" s="379" t="s">
        <v>158</v>
      </c>
      <c r="K76" s="190">
        <f t="shared" si="5"/>
        <v>75000</v>
      </c>
      <c r="L76" s="379" t="s">
        <v>56</v>
      </c>
      <c r="M76" s="188">
        <f t="shared" si="6"/>
        <v>0</v>
      </c>
      <c r="N76" s="188">
        <f t="shared" si="7"/>
        <v>172500</v>
      </c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2"/>
      <c r="CD76" s="182"/>
      <c r="CE76" s="182"/>
      <c r="CF76" s="182"/>
      <c r="CG76" s="182"/>
      <c r="CH76" s="182"/>
      <c r="CI76" s="182"/>
      <c r="CJ76" s="182"/>
      <c r="CK76" s="182"/>
      <c r="CL76" s="182"/>
      <c r="CM76" s="182"/>
      <c r="CN76" s="182"/>
      <c r="CO76" s="182"/>
      <c r="CP76" s="182"/>
      <c r="CQ76" s="182"/>
      <c r="CR76" s="182"/>
      <c r="CS76" s="182"/>
      <c r="CT76" s="182"/>
      <c r="CU76" s="182"/>
      <c r="CV76" s="182"/>
      <c r="CW76" s="182"/>
      <c r="CX76" s="182"/>
      <c r="CY76" s="182"/>
      <c r="CZ76" s="182"/>
      <c r="DA76" s="182"/>
      <c r="DB76" s="182"/>
      <c r="DC76" s="182"/>
      <c r="DD76" s="182"/>
      <c r="DE76" s="182"/>
      <c r="DF76" s="182"/>
      <c r="DG76" s="182"/>
      <c r="DH76" s="182"/>
      <c r="DI76" s="182"/>
      <c r="DJ76" s="182"/>
      <c r="DK76" s="182"/>
      <c r="DL76" s="182"/>
      <c r="DM76" s="182"/>
      <c r="DN76" s="182"/>
      <c r="DO76" s="182"/>
      <c r="DP76" s="182"/>
      <c r="DQ76" s="182"/>
      <c r="DR76" s="182"/>
      <c r="DS76" s="182"/>
      <c r="DT76" s="182"/>
      <c r="DU76" s="182"/>
      <c r="DV76" s="182"/>
      <c r="DW76" s="182"/>
      <c r="DX76" s="182"/>
      <c r="DY76" s="182"/>
      <c r="DZ76" s="182"/>
      <c r="EA76" s="182"/>
      <c r="EB76" s="182"/>
      <c r="EC76" s="182"/>
      <c r="ED76" s="182"/>
      <c r="EE76" s="182"/>
      <c r="EF76" s="182"/>
      <c r="EG76" s="182"/>
      <c r="EH76" s="182"/>
      <c r="EI76" s="182"/>
      <c r="EJ76" s="182"/>
      <c r="EK76" s="182"/>
      <c r="EL76" s="182"/>
      <c r="EM76" s="182"/>
      <c r="EN76" s="182"/>
      <c r="EO76" s="182"/>
      <c r="EP76" s="182"/>
      <c r="EQ76" s="182"/>
      <c r="ER76" s="182"/>
      <c r="ES76" s="182"/>
      <c r="ET76" s="182"/>
      <c r="EU76" s="182"/>
      <c r="EV76" s="182"/>
      <c r="EW76" s="182"/>
      <c r="EX76" s="182"/>
      <c r="EY76" s="182"/>
      <c r="EZ76" s="182"/>
      <c r="FA76" s="182"/>
      <c r="FB76" s="182"/>
      <c r="FC76" s="182"/>
      <c r="FD76" s="182"/>
      <c r="FE76" s="182"/>
      <c r="FF76" s="182"/>
      <c r="FG76" s="182"/>
      <c r="FH76" s="182"/>
      <c r="FI76" s="182"/>
      <c r="FJ76" s="182"/>
      <c r="FK76" s="182"/>
      <c r="FL76" s="182"/>
      <c r="FM76" s="182"/>
      <c r="FN76" s="182"/>
      <c r="FO76" s="182"/>
      <c r="FP76" s="182"/>
      <c r="FQ76" s="182"/>
      <c r="FR76" s="182"/>
      <c r="FS76" s="182"/>
      <c r="FT76" s="182"/>
      <c r="FU76" s="182"/>
      <c r="FV76" s="182"/>
      <c r="FW76" s="182"/>
      <c r="FX76" s="182"/>
      <c r="FY76" s="182"/>
      <c r="FZ76" s="182"/>
      <c r="GA76" s="182"/>
      <c r="GB76" s="182"/>
      <c r="GC76" s="182"/>
      <c r="GD76" s="182"/>
      <c r="GE76" s="182"/>
      <c r="GF76" s="182"/>
      <c r="GG76" s="182"/>
      <c r="GH76" s="182"/>
      <c r="GI76" s="182"/>
      <c r="GJ76" s="182"/>
      <c r="GK76" s="182"/>
      <c r="GL76" s="182"/>
      <c r="GM76" s="182"/>
      <c r="GN76" s="182"/>
      <c r="GO76" s="182"/>
      <c r="GP76" s="182"/>
      <c r="GQ76" s="182"/>
      <c r="GR76" s="182"/>
      <c r="GS76" s="182"/>
      <c r="GT76" s="182"/>
      <c r="GU76" s="182"/>
      <c r="GV76" s="182"/>
      <c r="GW76" s="182"/>
      <c r="GX76" s="182"/>
      <c r="GY76" s="182"/>
      <c r="GZ76" s="182"/>
      <c r="HA76" s="182"/>
      <c r="HB76" s="182"/>
      <c r="HC76" s="182"/>
      <c r="HD76" s="182"/>
      <c r="HE76" s="182"/>
      <c r="HF76" s="182"/>
      <c r="HG76" s="182"/>
      <c r="HH76" s="182"/>
      <c r="HI76" s="182"/>
      <c r="HJ76" s="182"/>
      <c r="HK76" s="182"/>
      <c r="HL76" s="182"/>
      <c r="HM76" s="182"/>
      <c r="HN76" s="182"/>
      <c r="HO76" s="182"/>
      <c r="HP76" s="182"/>
      <c r="HQ76" s="182"/>
      <c r="HR76" s="182"/>
      <c r="HS76" s="182"/>
      <c r="HT76" s="182"/>
      <c r="HU76" s="182"/>
      <c r="HV76" s="182"/>
      <c r="HW76" s="182"/>
      <c r="HX76" s="182"/>
      <c r="HY76" s="182"/>
      <c r="HZ76" s="182"/>
      <c r="IA76" s="182"/>
      <c r="IB76" s="182"/>
      <c r="IC76" s="182"/>
      <c r="ID76" s="182"/>
      <c r="IE76" s="182"/>
      <c r="IF76" s="182"/>
      <c r="IG76" s="182"/>
      <c r="IH76" s="182"/>
      <c r="II76" s="182"/>
      <c r="IJ76" s="182"/>
      <c r="IK76" s="182"/>
      <c r="IL76" s="182"/>
      <c r="IM76" s="182"/>
      <c r="IN76" s="182"/>
      <c r="IO76" s="182"/>
      <c r="IP76" s="182"/>
      <c r="IQ76" s="182"/>
    </row>
    <row r="77" spans="1:251" s="148" customFormat="1" ht="21.75" customHeight="1">
      <c r="A77" s="186">
        <v>70</v>
      </c>
      <c r="B77" s="408" t="s">
        <v>294</v>
      </c>
      <c r="C77" s="409" t="s">
        <v>460</v>
      </c>
      <c r="D77" s="410">
        <v>51</v>
      </c>
      <c r="E77" s="410"/>
      <c r="F77" s="409" t="s">
        <v>464</v>
      </c>
      <c r="G77" s="410" t="s">
        <v>162</v>
      </c>
      <c r="H77" s="426" t="s">
        <v>155</v>
      </c>
      <c r="I77" s="187">
        <f t="shared" si="4"/>
        <v>97500</v>
      </c>
      <c r="J77" s="379" t="s">
        <v>161</v>
      </c>
      <c r="K77" s="190">
        <f t="shared" si="5"/>
        <v>75000</v>
      </c>
      <c r="L77" s="379" t="s">
        <v>56</v>
      </c>
      <c r="M77" s="188">
        <f t="shared" si="6"/>
        <v>0</v>
      </c>
      <c r="N77" s="188">
        <f t="shared" si="7"/>
        <v>172500</v>
      </c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182"/>
      <c r="CA77" s="182"/>
      <c r="CB77" s="182"/>
      <c r="CC77" s="182"/>
      <c r="CD77" s="182"/>
      <c r="CE77" s="182"/>
      <c r="CF77" s="182"/>
      <c r="CG77" s="182"/>
      <c r="CH77" s="182"/>
      <c r="CI77" s="182"/>
      <c r="CJ77" s="182"/>
      <c r="CK77" s="182"/>
      <c r="CL77" s="182"/>
      <c r="CM77" s="182"/>
      <c r="CN77" s="182"/>
      <c r="CO77" s="182"/>
      <c r="CP77" s="182"/>
      <c r="CQ77" s="182"/>
      <c r="CR77" s="182"/>
      <c r="CS77" s="182"/>
      <c r="CT77" s="182"/>
      <c r="CU77" s="182"/>
      <c r="CV77" s="182"/>
      <c r="CW77" s="182"/>
      <c r="CX77" s="182"/>
      <c r="CY77" s="182"/>
      <c r="CZ77" s="182"/>
      <c r="DA77" s="182"/>
      <c r="DB77" s="182"/>
      <c r="DC77" s="182"/>
      <c r="DD77" s="182"/>
      <c r="DE77" s="182"/>
      <c r="DF77" s="182"/>
      <c r="DG77" s="182"/>
      <c r="DH77" s="182"/>
      <c r="DI77" s="182"/>
      <c r="DJ77" s="182"/>
      <c r="DK77" s="182"/>
      <c r="DL77" s="182"/>
      <c r="DM77" s="182"/>
      <c r="DN77" s="182"/>
      <c r="DO77" s="182"/>
      <c r="DP77" s="182"/>
      <c r="DQ77" s="182"/>
      <c r="DR77" s="182"/>
      <c r="DS77" s="182"/>
      <c r="DT77" s="182"/>
      <c r="DU77" s="182"/>
      <c r="DV77" s="182"/>
      <c r="DW77" s="182"/>
      <c r="DX77" s="182"/>
      <c r="DY77" s="182"/>
      <c r="DZ77" s="182"/>
      <c r="EA77" s="182"/>
      <c r="EB77" s="182"/>
      <c r="EC77" s="182"/>
      <c r="ED77" s="182"/>
      <c r="EE77" s="182"/>
      <c r="EF77" s="182"/>
      <c r="EG77" s="182"/>
      <c r="EH77" s="182"/>
      <c r="EI77" s="182"/>
      <c r="EJ77" s="182"/>
      <c r="EK77" s="182"/>
      <c r="EL77" s="182"/>
      <c r="EM77" s="182"/>
      <c r="EN77" s="182"/>
      <c r="EO77" s="182"/>
      <c r="EP77" s="182"/>
      <c r="EQ77" s="182"/>
      <c r="ER77" s="182"/>
      <c r="ES77" s="182"/>
      <c r="ET77" s="182"/>
      <c r="EU77" s="182"/>
      <c r="EV77" s="182"/>
      <c r="EW77" s="182"/>
      <c r="EX77" s="182"/>
      <c r="EY77" s="182"/>
      <c r="EZ77" s="182"/>
      <c r="FA77" s="182"/>
      <c r="FB77" s="182"/>
      <c r="FC77" s="182"/>
      <c r="FD77" s="182"/>
      <c r="FE77" s="182"/>
      <c r="FF77" s="182"/>
      <c r="FG77" s="182"/>
      <c r="FH77" s="182"/>
      <c r="FI77" s="182"/>
      <c r="FJ77" s="182"/>
      <c r="FK77" s="182"/>
      <c r="FL77" s="182"/>
      <c r="FM77" s="182"/>
      <c r="FN77" s="182"/>
      <c r="FO77" s="182"/>
      <c r="FP77" s="182"/>
      <c r="FQ77" s="182"/>
      <c r="FR77" s="182"/>
      <c r="FS77" s="182"/>
      <c r="FT77" s="182"/>
      <c r="FU77" s="182"/>
      <c r="FV77" s="182"/>
      <c r="FW77" s="182"/>
      <c r="FX77" s="182"/>
      <c r="FY77" s="182"/>
      <c r="FZ77" s="182"/>
      <c r="GA77" s="182"/>
      <c r="GB77" s="182"/>
      <c r="GC77" s="182"/>
      <c r="GD77" s="182"/>
      <c r="GE77" s="182"/>
      <c r="GF77" s="182"/>
      <c r="GG77" s="182"/>
      <c r="GH77" s="182"/>
      <c r="GI77" s="182"/>
      <c r="GJ77" s="182"/>
      <c r="GK77" s="182"/>
      <c r="GL77" s="182"/>
      <c r="GM77" s="182"/>
      <c r="GN77" s="182"/>
      <c r="GO77" s="182"/>
      <c r="GP77" s="182"/>
      <c r="GQ77" s="182"/>
      <c r="GR77" s="182"/>
      <c r="GS77" s="182"/>
      <c r="GT77" s="182"/>
      <c r="GU77" s="182"/>
      <c r="GV77" s="182"/>
      <c r="GW77" s="182"/>
      <c r="GX77" s="182"/>
      <c r="GY77" s="182"/>
      <c r="GZ77" s="182"/>
      <c r="HA77" s="182"/>
      <c r="HB77" s="182"/>
      <c r="HC77" s="182"/>
      <c r="HD77" s="182"/>
      <c r="HE77" s="182"/>
      <c r="HF77" s="182"/>
      <c r="HG77" s="182"/>
      <c r="HH77" s="182"/>
      <c r="HI77" s="182"/>
      <c r="HJ77" s="182"/>
      <c r="HK77" s="182"/>
      <c r="HL77" s="182"/>
      <c r="HM77" s="182"/>
      <c r="HN77" s="182"/>
      <c r="HO77" s="182"/>
      <c r="HP77" s="182"/>
      <c r="HQ77" s="182"/>
      <c r="HR77" s="182"/>
      <c r="HS77" s="182"/>
      <c r="HT77" s="182"/>
      <c r="HU77" s="182"/>
      <c r="HV77" s="182"/>
      <c r="HW77" s="182"/>
      <c r="HX77" s="182"/>
      <c r="HY77" s="182"/>
      <c r="HZ77" s="182"/>
      <c r="IA77" s="182"/>
      <c r="IB77" s="182"/>
      <c r="IC77" s="182"/>
      <c r="ID77" s="182"/>
      <c r="IE77" s="182"/>
      <c r="IF77" s="182"/>
      <c r="IG77" s="182"/>
      <c r="IH77" s="182"/>
      <c r="II77" s="182"/>
      <c r="IJ77" s="182"/>
      <c r="IK77" s="182"/>
      <c r="IL77" s="182"/>
      <c r="IM77" s="182"/>
      <c r="IN77" s="182"/>
      <c r="IO77" s="182"/>
      <c r="IP77" s="182"/>
      <c r="IQ77" s="182"/>
    </row>
    <row r="78" spans="1:251" s="148" customFormat="1" ht="21.75" customHeight="1">
      <c r="A78" s="186">
        <v>71</v>
      </c>
      <c r="B78" s="408" t="s">
        <v>374</v>
      </c>
      <c r="C78" s="409" t="s">
        <v>288</v>
      </c>
      <c r="D78" s="410"/>
      <c r="E78" s="410">
        <v>73</v>
      </c>
      <c r="F78" s="409" t="s">
        <v>174</v>
      </c>
      <c r="G78" s="410" t="s">
        <v>162</v>
      </c>
      <c r="H78" s="426" t="s">
        <v>152</v>
      </c>
      <c r="I78" s="187">
        <f t="shared" si="4"/>
        <v>97500</v>
      </c>
      <c r="J78" s="379" t="s">
        <v>160</v>
      </c>
      <c r="K78" s="190">
        <f t="shared" si="5"/>
        <v>75000</v>
      </c>
      <c r="L78" s="379" t="s">
        <v>56</v>
      </c>
      <c r="M78" s="188">
        <f t="shared" si="6"/>
        <v>0</v>
      </c>
      <c r="N78" s="188">
        <f t="shared" si="7"/>
        <v>172500</v>
      </c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182"/>
      <c r="CA78" s="182"/>
      <c r="CB78" s="182"/>
      <c r="CC78" s="182"/>
      <c r="CD78" s="182"/>
      <c r="CE78" s="182"/>
      <c r="CF78" s="182"/>
      <c r="CG78" s="182"/>
      <c r="CH78" s="182"/>
      <c r="CI78" s="182"/>
      <c r="CJ78" s="182"/>
      <c r="CK78" s="182"/>
      <c r="CL78" s="182"/>
      <c r="CM78" s="182"/>
      <c r="CN78" s="182"/>
      <c r="CO78" s="182"/>
      <c r="CP78" s="182"/>
      <c r="CQ78" s="182"/>
      <c r="CR78" s="182"/>
      <c r="CS78" s="182"/>
      <c r="CT78" s="182"/>
      <c r="CU78" s="182"/>
      <c r="CV78" s="182"/>
      <c r="CW78" s="182"/>
      <c r="CX78" s="182"/>
      <c r="CY78" s="182"/>
      <c r="CZ78" s="182"/>
      <c r="DA78" s="182"/>
      <c r="DB78" s="182"/>
      <c r="DC78" s="182"/>
      <c r="DD78" s="182"/>
      <c r="DE78" s="182"/>
      <c r="DF78" s="182"/>
      <c r="DG78" s="182"/>
      <c r="DH78" s="182"/>
      <c r="DI78" s="182"/>
      <c r="DJ78" s="182"/>
      <c r="DK78" s="182"/>
      <c r="DL78" s="182"/>
      <c r="DM78" s="182"/>
      <c r="DN78" s="182"/>
      <c r="DO78" s="182"/>
      <c r="DP78" s="182"/>
      <c r="DQ78" s="182"/>
      <c r="DR78" s="182"/>
      <c r="DS78" s="182"/>
      <c r="DT78" s="182"/>
      <c r="DU78" s="182"/>
      <c r="DV78" s="182"/>
      <c r="DW78" s="182"/>
      <c r="DX78" s="182"/>
      <c r="DY78" s="182"/>
      <c r="DZ78" s="182"/>
      <c r="EA78" s="182"/>
      <c r="EB78" s="182"/>
      <c r="EC78" s="182"/>
      <c r="ED78" s="182"/>
      <c r="EE78" s="182"/>
      <c r="EF78" s="182"/>
      <c r="EG78" s="182"/>
      <c r="EH78" s="182"/>
      <c r="EI78" s="182"/>
      <c r="EJ78" s="182"/>
      <c r="EK78" s="182"/>
      <c r="EL78" s="182"/>
      <c r="EM78" s="182"/>
      <c r="EN78" s="182"/>
      <c r="EO78" s="182"/>
      <c r="EP78" s="182"/>
      <c r="EQ78" s="182"/>
      <c r="ER78" s="182"/>
      <c r="ES78" s="182"/>
      <c r="ET78" s="182"/>
      <c r="EU78" s="182"/>
      <c r="EV78" s="182"/>
      <c r="EW78" s="182"/>
      <c r="EX78" s="182"/>
      <c r="EY78" s="182"/>
      <c r="EZ78" s="182"/>
      <c r="FA78" s="182"/>
      <c r="FB78" s="182"/>
      <c r="FC78" s="182"/>
      <c r="FD78" s="182"/>
      <c r="FE78" s="182"/>
      <c r="FF78" s="182"/>
      <c r="FG78" s="182"/>
      <c r="FH78" s="182"/>
      <c r="FI78" s="182"/>
      <c r="FJ78" s="182"/>
      <c r="FK78" s="182"/>
      <c r="FL78" s="182"/>
      <c r="FM78" s="182"/>
      <c r="FN78" s="182"/>
      <c r="FO78" s="182"/>
      <c r="FP78" s="182"/>
      <c r="FQ78" s="182"/>
      <c r="FR78" s="182"/>
      <c r="FS78" s="182"/>
      <c r="FT78" s="182"/>
      <c r="FU78" s="182"/>
      <c r="FV78" s="182"/>
      <c r="FW78" s="182"/>
      <c r="FX78" s="182"/>
      <c r="FY78" s="182"/>
      <c r="FZ78" s="182"/>
      <c r="GA78" s="182"/>
      <c r="GB78" s="182"/>
      <c r="GC78" s="182"/>
      <c r="GD78" s="182"/>
      <c r="GE78" s="182"/>
      <c r="GF78" s="182"/>
      <c r="GG78" s="182"/>
      <c r="GH78" s="182"/>
      <c r="GI78" s="182"/>
      <c r="GJ78" s="182"/>
      <c r="GK78" s="182"/>
      <c r="GL78" s="182"/>
      <c r="GM78" s="182"/>
      <c r="GN78" s="182"/>
      <c r="GO78" s="182"/>
      <c r="GP78" s="182"/>
      <c r="GQ78" s="182"/>
      <c r="GR78" s="182"/>
      <c r="GS78" s="182"/>
      <c r="GT78" s="182"/>
      <c r="GU78" s="182"/>
      <c r="GV78" s="182"/>
      <c r="GW78" s="182"/>
      <c r="GX78" s="182"/>
      <c r="GY78" s="182"/>
      <c r="GZ78" s="182"/>
      <c r="HA78" s="182"/>
      <c r="HB78" s="182"/>
      <c r="HC78" s="182"/>
      <c r="HD78" s="182"/>
      <c r="HE78" s="182"/>
      <c r="HF78" s="182"/>
      <c r="HG78" s="182"/>
      <c r="HH78" s="182"/>
      <c r="HI78" s="182"/>
      <c r="HJ78" s="182"/>
      <c r="HK78" s="182"/>
      <c r="HL78" s="182"/>
      <c r="HM78" s="182"/>
      <c r="HN78" s="182"/>
      <c r="HO78" s="182"/>
      <c r="HP78" s="182"/>
      <c r="HQ78" s="182"/>
      <c r="HR78" s="182"/>
      <c r="HS78" s="182"/>
      <c r="HT78" s="182"/>
      <c r="HU78" s="182"/>
      <c r="HV78" s="182"/>
      <c r="HW78" s="182"/>
      <c r="HX78" s="182"/>
      <c r="HY78" s="182"/>
      <c r="HZ78" s="182"/>
      <c r="IA78" s="182"/>
      <c r="IB78" s="182"/>
      <c r="IC78" s="182"/>
      <c r="ID78" s="182"/>
      <c r="IE78" s="182"/>
      <c r="IF78" s="182"/>
      <c r="IG78" s="182"/>
      <c r="IH78" s="182"/>
      <c r="II78" s="182"/>
      <c r="IJ78" s="182"/>
      <c r="IK78" s="182"/>
      <c r="IL78" s="182"/>
      <c r="IM78" s="182"/>
      <c r="IN78" s="182"/>
      <c r="IO78" s="182"/>
      <c r="IP78" s="182"/>
      <c r="IQ78" s="182"/>
    </row>
    <row r="79" spans="1:251" s="148" customFormat="1" ht="21.75" customHeight="1">
      <c r="A79" s="186">
        <v>72</v>
      </c>
      <c r="B79" s="408" t="s">
        <v>374</v>
      </c>
      <c r="C79" s="409" t="s">
        <v>465</v>
      </c>
      <c r="D79" s="410">
        <v>24</v>
      </c>
      <c r="E79" s="410"/>
      <c r="F79" s="409" t="s">
        <v>466</v>
      </c>
      <c r="G79" s="410" t="s">
        <v>162</v>
      </c>
      <c r="H79" s="426" t="s">
        <v>152</v>
      </c>
      <c r="I79" s="187">
        <f t="shared" si="4"/>
        <v>97500</v>
      </c>
      <c r="J79" s="379" t="s">
        <v>158</v>
      </c>
      <c r="K79" s="190">
        <f t="shared" si="5"/>
        <v>75000</v>
      </c>
      <c r="L79" s="379" t="s">
        <v>56</v>
      </c>
      <c r="M79" s="188">
        <f t="shared" si="6"/>
        <v>0</v>
      </c>
      <c r="N79" s="188">
        <f t="shared" si="7"/>
        <v>172500</v>
      </c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O79" s="182"/>
      <c r="BP79" s="182"/>
      <c r="BQ79" s="182"/>
      <c r="BR79" s="182"/>
      <c r="BS79" s="182"/>
      <c r="BT79" s="182"/>
      <c r="BU79" s="182"/>
      <c r="BV79" s="182"/>
      <c r="BW79" s="182"/>
      <c r="BX79" s="182"/>
      <c r="BY79" s="182"/>
      <c r="BZ79" s="182"/>
      <c r="CA79" s="182"/>
      <c r="CB79" s="182"/>
      <c r="CC79" s="182"/>
      <c r="CD79" s="182"/>
      <c r="CE79" s="182"/>
      <c r="CF79" s="182"/>
      <c r="CG79" s="182"/>
      <c r="CH79" s="182"/>
      <c r="CI79" s="182"/>
      <c r="CJ79" s="182"/>
      <c r="CK79" s="182"/>
      <c r="CL79" s="182"/>
      <c r="CM79" s="182"/>
      <c r="CN79" s="182"/>
      <c r="CO79" s="182"/>
      <c r="CP79" s="182"/>
      <c r="CQ79" s="182"/>
      <c r="CR79" s="182"/>
      <c r="CS79" s="182"/>
      <c r="CT79" s="182"/>
      <c r="CU79" s="182"/>
      <c r="CV79" s="182"/>
      <c r="CW79" s="182"/>
      <c r="CX79" s="182"/>
      <c r="CY79" s="182"/>
      <c r="CZ79" s="182"/>
      <c r="DA79" s="182"/>
      <c r="DB79" s="182"/>
      <c r="DC79" s="182"/>
      <c r="DD79" s="182"/>
      <c r="DE79" s="182"/>
      <c r="DF79" s="182"/>
      <c r="DG79" s="182"/>
      <c r="DH79" s="182"/>
      <c r="DI79" s="182"/>
      <c r="DJ79" s="182"/>
      <c r="DK79" s="182"/>
      <c r="DL79" s="182"/>
      <c r="DM79" s="182"/>
      <c r="DN79" s="182"/>
      <c r="DO79" s="182"/>
      <c r="DP79" s="182"/>
      <c r="DQ79" s="182"/>
      <c r="DR79" s="182"/>
      <c r="DS79" s="182"/>
      <c r="DT79" s="182"/>
      <c r="DU79" s="182"/>
      <c r="DV79" s="182"/>
      <c r="DW79" s="182"/>
      <c r="DX79" s="182"/>
      <c r="DY79" s="182"/>
      <c r="DZ79" s="182"/>
      <c r="EA79" s="182"/>
      <c r="EB79" s="182"/>
      <c r="EC79" s="182"/>
      <c r="ED79" s="182"/>
      <c r="EE79" s="182"/>
      <c r="EF79" s="182"/>
      <c r="EG79" s="182"/>
      <c r="EH79" s="182"/>
      <c r="EI79" s="182"/>
      <c r="EJ79" s="182"/>
      <c r="EK79" s="182"/>
      <c r="EL79" s="182"/>
      <c r="EM79" s="182"/>
      <c r="EN79" s="182"/>
      <c r="EO79" s="182"/>
      <c r="EP79" s="182"/>
      <c r="EQ79" s="182"/>
      <c r="ER79" s="182"/>
      <c r="ES79" s="182"/>
      <c r="ET79" s="182"/>
      <c r="EU79" s="182"/>
      <c r="EV79" s="182"/>
      <c r="EW79" s="182"/>
      <c r="EX79" s="182"/>
      <c r="EY79" s="182"/>
      <c r="EZ79" s="182"/>
      <c r="FA79" s="182"/>
      <c r="FB79" s="182"/>
      <c r="FC79" s="182"/>
      <c r="FD79" s="182"/>
      <c r="FE79" s="182"/>
      <c r="FF79" s="182"/>
      <c r="FG79" s="182"/>
      <c r="FH79" s="182"/>
      <c r="FI79" s="182"/>
      <c r="FJ79" s="182"/>
      <c r="FK79" s="182"/>
      <c r="FL79" s="182"/>
      <c r="FM79" s="182"/>
      <c r="FN79" s="182"/>
      <c r="FO79" s="182"/>
      <c r="FP79" s="182"/>
      <c r="FQ79" s="182"/>
      <c r="FR79" s="182"/>
      <c r="FS79" s="182"/>
      <c r="FT79" s="182"/>
      <c r="FU79" s="182"/>
      <c r="FV79" s="182"/>
      <c r="FW79" s="182"/>
      <c r="FX79" s="182"/>
      <c r="FY79" s="182"/>
      <c r="FZ79" s="182"/>
      <c r="GA79" s="182"/>
      <c r="GB79" s="182"/>
      <c r="GC79" s="182"/>
      <c r="GD79" s="182"/>
      <c r="GE79" s="182"/>
      <c r="GF79" s="182"/>
      <c r="GG79" s="182"/>
      <c r="GH79" s="182"/>
      <c r="GI79" s="182"/>
      <c r="GJ79" s="182"/>
      <c r="GK79" s="182"/>
      <c r="GL79" s="182"/>
      <c r="GM79" s="182"/>
      <c r="GN79" s="182"/>
      <c r="GO79" s="182"/>
      <c r="GP79" s="182"/>
      <c r="GQ79" s="182"/>
      <c r="GR79" s="182"/>
      <c r="GS79" s="182"/>
      <c r="GT79" s="182"/>
      <c r="GU79" s="182"/>
      <c r="GV79" s="182"/>
      <c r="GW79" s="182"/>
      <c r="GX79" s="182"/>
      <c r="GY79" s="182"/>
      <c r="GZ79" s="182"/>
      <c r="HA79" s="182"/>
      <c r="HB79" s="182"/>
      <c r="HC79" s="182"/>
      <c r="HD79" s="182"/>
      <c r="HE79" s="182"/>
      <c r="HF79" s="182"/>
      <c r="HG79" s="182"/>
      <c r="HH79" s="182"/>
      <c r="HI79" s="182"/>
      <c r="HJ79" s="182"/>
      <c r="HK79" s="182"/>
      <c r="HL79" s="182"/>
      <c r="HM79" s="182"/>
      <c r="HN79" s="182"/>
      <c r="HO79" s="182"/>
      <c r="HP79" s="182"/>
      <c r="HQ79" s="182"/>
      <c r="HR79" s="182"/>
      <c r="HS79" s="182"/>
      <c r="HT79" s="182"/>
      <c r="HU79" s="182"/>
      <c r="HV79" s="182"/>
      <c r="HW79" s="182"/>
      <c r="HX79" s="182"/>
      <c r="HY79" s="182"/>
      <c r="HZ79" s="182"/>
      <c r="IA79" s="182"/>
      <c r="IB79" s="182"/>
      <c r="IC79" s="182"/>
      <c r="ID79" s="182"/>
      <c r="IE79" s="182"/>
      <c r="IF79" s="182"/>
      <c r="IG79" s="182"/>
      <c r="IH79" s="182"/>
      <c r="II79" s="182"/>
      <c r="IJ79" s="182"/>
      <c r="IK79" s="182"/>
      <c r="IL79" s="182"/>
      <c r="IM79" s="182"/>
      <c r="IN79" s="182"/>
      <c r="IO79" s="182"/>
      <c r="IP79" s="182"/>
      <c r="IQ79" s="182"/>
    </row>
    <row r="80" spans="1:251" s="148" customFormat="1" ht="21.75" customHeight="1">
      <c r="A80" s="186">
        <v>73</v>
      </c>
      <c r="B80" s="408" t="s">
        <v>374</v>
      </c>
      <c r="C80" s="409" t="s">
        <v>467</v>
      </c>
      <c r="D80" s="410"/>
      <c r="E80" s="410">
        <v>31</v>
      </c>
      <c r="F80" s="409" t="s">
        <v>466</v>
      </c>
      <c r="G80" s="410" t="s">
        <v>163</v>
      </c>
      <c r="H80" s="426" t="s">
        <v>153</v>
      </c>
      <c r="I80" s="187">
        <f t="shared" si="4"/>
        <v>97500</v>
      </c>
      <c r="J80" s="379" t="s">
        <v>160</v>
      </c>
      <c r="K80" s="190">
        <f t="shared" si="5"/>
        <v>75000</v>
      </c>
      <c r="L80" s="379" t="s">
        <v>56</v>
      </c>
      <c r="M80" s="188">
        <f t="shared" si="6"/>
        <v>0</v>
      </c>
      <c r="N80" s="188">
        <f t="shared" si="7"/>
        <v>172500</v>
      </c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82"/>
      <c r="BY80" s="182"/>
      <c r="BZ80" s="182"/>
      <c r="CA80" s="182"/>
      <c r="CB80" s="182"/>
      <c r="CC80" s="182"/>
      <c r="CD80" s="182"/>
      <c r="CE80" s="182"/>
      <c r="CF80" s="182"/>
      <c r="CG80" s="182"/>
      <c r="CH80" s="182"/>
      <c r="CI80" s="182"/>
      <c r="CJ80" s="182"/>
      <c r="CK80" s="182"/>
      <c r="CL80" s="182"/>
      <c r="CM80" s="182"/>
      <c r="CN80" s="182"/>
      <c r="CO80" s="182"/>
      <c r="CP80" s="182"/>
      <c r="CQ80" s="182"/>
      <c r="CR80" s="182"/>
      <c r="CS80" s="182"/>
      <c r="CT80" s="182"/>
      <c r="CU80" s="182"/>
      <c r="CV80" s="182"/>
      <c r="CW80" s="182"/>
      <c r="CX80" s="182"/>
      <c r="CY80" s="182"/>
      <c r="CZ80" s="182"/>
      <c r="DA80" s="182"/>
      <c r="DB80" s="182"/>
      <c r="DC80" s="182"/>
      <c r="DD80" s="182"/>
      <c r="DE80" s="182"/>
      <c r="DF80" s="182"/>
      <c r="DG80" s="182"/>
      <c r="DH80" s="182"/>
      <c r="DI80" s="182"/>
      <c r="DJ80" s="182"/>
      <c r="DK80" s="182"/>
      <c r="DL80" s="182"/>
      <c r="DM80" s="182"/>
      <c r="DN80" s="182"/>
      <c r="DO80" s="182"/>
      <c r="DP80" s="182"/>
      <c r="DQ80" s="182"/>
      <c r="DR80" s="182"/>
      <c r="DS80" s="182"/>
      <c r="DT80" s="182"/>
      <c r="DU80" s="182"/>
      <c r="DV80" s="182"/>
      <c r="DW80" s="182"/>
      <c r="DX80" s="182"/>
      <c r="DY80" s="182"/>
      <c r="DZ80" s="182"/>
      <c r="EA80" s="182"/>
      <c r="EB80" s="182"/>
      <c r="EC80" s="182"/>
      <c r="ED80" s="182"/>
      <c r="EE80" s="182"/>
      <c r="EF80" s="182"/>
      <c r="EG80" s="182"/>
      <c r="EH80" s="182"/>
      <c r="EI80" s="182"/>
      <c r="EJ80" s="182"/>
      <c r="EK80" s="182"/>
      <c r="EL80" s="182"/>
      <c r="EM80" s="182"/>
      <c r="EN80" s="182"/>
      <c r="EO80" s="182"/>
      <c r="EP80" s="182"/>
      <c r="EQ80" s="182"/>
      <c r="ER80" s="182"/>
      <c r="ES80" s="182"/>
      <c r="ET80" s="182"/>
      <c r="EU80" s="182"/>
      <c r="EV80" s="182"/>
      <c r="EW80" s="182"/>
      <c r="EX80" s="182"/>
      <c r="EY80" s="182"/>
      <c r="EZ80" s="182"/>
      <c r="FA80" s="182"/>
      <c r="FB80" s="182"/>
      <c r="FC80" s="182"/>
      <c r="FD80" s="182"/>
      <c r="FE80" s="182"/>
      <c r="FF80" s="182"/>
      <c r="FG80" s="182"/>
      <c r="FH80" s="182"/>
      <c r="FI80" s="182"/>
      <c r="FJ80" s="182"/>
      <c r="FK80" s="182"/>
      <c r="FL80" s="182"/>
      <c r="FM80" s="182"/>
      <c r="FN80" s="182"/>
      <c r="FO80" s="182"/>
      <c r="FP80" s="182"/>
      <c r="FQ80" s="182"/>
      <c r="FR80" s="182"/>
      <c r="FS80" s="182"/>
      <c r="FT80" s="182"/>
      <c r="FU80" s="182"/>
      <c r="FV80" s="182"/>
      <c r="FW80" s="182"/>
      <c r="FX80" s="182"/>
      <c r="FY80" s="182"/>
      <c r="FZ80" s="182"/>
      <c r="GA80" s="182"/>
      <c r="GB80" s="182"/>
      <c r="GC80" s="182"/>
      <c r="GD80" s="182"/>
      <c r="GE80" s="182"/>
      <c r="GF80" s="182"/>
      <c r="GG80" s="182"/>
      <c r="GH80" s="182"/>
      <c r="GI80" s="182"/>
      <c r="GJ80" s="182"/>
      <c r="GK80" s="182"/>
      <c r="GL80" s="182"/>
      <c r="GM80" s="182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182"/>
      <c r="HQ80" s="182"/>
      <c r="HR80" s="182"/>
      <c r="HS80" s="182"/>
      <c r="HT80" s="182"/>
      <c r="HU80" s="182"/>
      <c r="HV80" s="182"/>
      <c r="HW80" s="182"/>
      <c r="HX80" s="182"/>
      <c r="HY80" s="182"/>
      <c r="HZ80" s="182"/>
      <c r="IA80" s="182"/>
      <c r="IB80" s="182"/>
      <c r="IC80" s="182"/>
      <c r="ID80" s="182"/>
      <c r="IE80" s="182"/>
      <c r="IF80" s="182"/>
      <c r="IG80" s="182"/>
      <c r="IH80" s="182"/>
      <c r="II80" s="182"/>
      <c r="IJ80" s="182"/>
      <c r="IK80" s="182"/>
      <c r="IL80" s="182"/>
      <c r="IM80" s="182"/>
      <c r="IN80" s="182"/>
      <c r="IO80" s="182"/>
      <c r="IP80" s="182"/>
      <c r="IQ80" s="182"/>
    </row>
    <row r="81" spans="1:251" s="148" customFormat="1" ht="21.75" customHeight="1">
      <c r="A81" s="186">
        <v>74</v>
      </c>
      <c r="B81" s="408" t="s">
        <v>374</v>
      </c>
      <c r="C81" s="409" t="s">
        <v>468</v>
      </c>
      <c r="D81" s="410"/>
      <c r="E81" s="410">
        <v>22</v>
      </c>
      <c r="F81" s="409" t="s">
        <v>466</v>
      </c>
      <c r="G81" s="410" t="s">
        <v>162</v>
      </c>
      <c r="H81" s="426" t="s">
        <v>155</v>
      </c>
      <c r="I81" s="187">
        <f t="shared" si="4"/>
        <v>97500</v>
      </c>
      <c r="J81" s="379" t="s">
        <v>157</v>
      </c>
      <c r="K81" s="190">
        <f t="shared" si="5"/>
        <v>75000</v>
      </c>
      <c r="L81" s="379" t="s">
        <v>56</v>
      </c>
      <c r="M81" s="188">
        <f t="shared" si="6"/>
        <v>0</v>
      </c>
      <c r="N81" s="188">
        <f t="shared" si="7"/>
        <v>172500</v>
      </c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O81" s="182"/>
      <c r="BP81" s="182"/>
      <c r="BQ81" s="182"/>
      <c r="BR81" s="182"/>
      <c r="BS81" s="182"/>
      <c r="BT81" s="182"/>
      <c r="BU81" s="182"/>
      <c r="BV81" s="182"/>
      <c r="BW81" s="182"/>
      <c r="BX81" s="182"/>
      <c r="BY81" s="182"/>
      <c r="BZ81" s="182"/>
      <c r="CA81" s="182"/>
      <c r="CB81" s="182"/>
      <c r="CC81" s="182"/>
      <c r="CD81" s="182"/>
      <c r="CE81" s="182"/>
      <c r="CF81" s="182"/>
      <c r="CG81" s="182"/>
      <c r="CH81" s="182"/>
      <c r="CI81" s="182"/>
      <c r="CJ81" s="182"/>
      <c r="CK81" s="182"/>
      <c r="CL81" s="182"/>
      <c r="CM81" s="182"/>
      <c r="CN81" s="182"/>
      <c r="CO81" s="182"/>
      <c r="CP81" s="182"/>
      <c r="CQ81" s="182"/>
      <c r="CR81" s="182"/>
      <c r="CS81" s="182"/>
      <c r="CT81" s="182"/>
      <c r="CU81" s="182"/>
      <c r="CV81" s="182"/>
      <c r="CW81" s="182"/>
      <c r="CX81" s="182"/>
      <c r="CY81" s="182"/>
      <c r="CZ81" s="182"/>
      <c r="DA81" s="182"/>
      <c r="DB81" s="182"/>
      <c r="DC81" s="182"/>
      <c r="DD81" s="182"/>
      <c r="DE81" s="182"/>
      <c r="DF81" s="182"/>
      <c r="DG81" s="182"/>
      <c r="DH81" s="182"/>
      <c r="DI81" s="182"/>
      <c r="DJ81" s="182"/>
      <c r="DK81" s="182"/>
      <c r="DL81" s="182"/>
      <c r="DM81" s="182"/>
      <c r="DN81" s="182"/>
      <c r="DO81" s="182"/>
      <c r="DP81" s="182"/>
      <c r="DQ81" s="182"/>
      <c r="DR81" s="182"/>
      <c r="DS81" s="182"/>
      <c r="DT81" s="182"/>
      <c r="DU81" s="182"/>
      <c r="DV81" s="182"/>
      <c r="DW81" s="182"/>
      <c r="DX81" s="182"/>
      <c r="DY81" s="182"/>
      <c r="DZ81" s="182"/>
      <c r="EA81" s="182"/>
      <c r="EB81" s="182"/>
      <c r="EC81" s="182"/>
      <c r="ED81" s="182"/>
      <c r="EE81" s="182"/>
      <c r="EF81" s="182"/>
      <c r="EG81" s="182"/>
      <c r="EH81" s="182"/>
      <c r="EI81" s="182"/>
      <c r="EJ81" s="182"/>
      <c r="EK81" s="182"/>
      <c r="EL81" s="182"/>
      <c r="EM81" s="182"/>
      <c r="EN81" s="182"/>
      <c r="EO81" s="182"/>
      <c r="EP81" s="182"/>
      <c r="EQ81" s="182"/>
      <c r="ER81" s="182"/>
      <c r="ES81" s="182"/>
      <c r="ET81" s="182"/>
      <c r="EU81" s="182"/>
      <c r="EV81" s="182"/>
      <c r="EW81" s="182"/>
      <c r="EX81" s="182"/>
      <c r="EY81" s="182"/>
      <c r="EZ81" s="182"/>
      <c r="FA81" s="182"/>
      <c r="FB81" s="182"/>
      <c r="FC81" s="182"/>
      <c r="FD81" s="182"/>
      <c r="FE81" s="182"/>
      <c r="FF81" s="182"/>
      <c r="FG81" s="182"/>
      <c r="FH81" s="182"/>
      <c r="FI81" s="182"/>
      <c r="FJ81" s="182"/>
      <c r="FK81" s="182"/>
      <c r="FL81" s="182"/>
      <c r="FM81" s="182"/>
      <c r="FN81" s="182"/>
      <c r="FO81" s="182"/>
      <c r="FP81" s="182"/>
      <c r="FQ81" s="182"/>
      <c r="FR81" s="182"/>
      <c r="FS81" s="182"/>
      <c r="FT81" s="182"/>
      <c r="FU81" s="182"/>
      <c r="FV81" s="182"/>
      <c r="FW81" s="182"/>
      <c r="FX81" s="182"/>
      <c r="FY81" s="182"/>
      <c r="FZ81" s="182"/>
      <c r="GA81" s="182"/>
      <c r="GB81" s="182"/>
      <c r="GC81" s="182"/>
      <c r="GD81" s="182"/>
      <c r="GE81" s="182"/>
      <c r="GF81" s="182"/>
      <c r="GG81" s="182"/>
      <c r="GH81" s="182"/>
      <c r="GI81" s="182"/>
      <c r="GJ81" s="182"/>
      <c r="GK81" s="182"/>
      <c r="GL81" s="182"/>
      <c r="GM81" s="182"/>
      <c r="GN81" s="182"/>
      <c r="GO81" s="182"/>
      <c r="GP81" s="182"/>
      <c r="GQ81" s="182"/>
      <c r="GR81" s="182"/>
      <c r="GS81" s="182"/>
      <c r="GT81" s="182"/>
      <c r="GU81" s="182"/>
      <c r="GV81" s="182"/>
      <c r="GW81" s="182"/>
      <c r="GX81" s="182"/>
      <c r="GY81" s="182"/>
      <c r="GZ81" s="182"/>
      <c r="HA81" s="182"/>
      <c r="HB81" s="182"/>
      <c r="HC81" s="182"/>
      <c r="HD81" s="182"/>
      <c r="HE81" s="182"/>
      <c r="HF81" s="182"/>
      <c r="HG81" s="182"/>
      <c r="HH81" s="182"/>
      <c r="HI81" s="182"/>
      <c r="HJ81" s="182"/>
      <c r="HK81" s="182"/>
      <c r="HL81" s="182"/>
      <c r="HM81" s="182"/>
      <c r="HN81" s="182"/>
      <c r="HO81" s="182"/>
      <c r="HP81" s="182"/>
      <c r="HQ81" s="182"/>
      <c r="HR81" s="182"/>
      <c r="HS81" s="182"/>
      <c r="HT81" s="182"/>
      <c r="HU81" s="182"/>
      <c r="HV81" s="182"/>
      <c r="HW81" s="182"/>
      <c r="HX81" s="182"/>
      <c r="HY81" s="182"/>
      <c r="HZ81" s="182"/>
      <c r="IA81" s="182"/>
      <c r="IB81" s="182"/>
      <c r="IC81" s="182"/>
      <c r="ID81" s="182"/>
      <c r="IE81" s="182"/>
      <c r="IF81" s="182"/>
      <c r="IG81" s="182"/>
      <c r="IH81" s="182"/>
      <c r="II81" s="182"/>
      <c r="IJ81" s="182"/>
      <c r="IK81" s="182"/>
      <c r="IL81" s="182"/>
      <c r="IM81" s="182"/>
      <c r="IN81" s="182"/>
      <c r="IO81" s="182"/>
      <c r="IP81" s="182"/>
      <c r="IQ81" s="182"/>
    </row>
    <row r="82" spans="1:251" s="148" customFormat="1" ht="21.75" customHeight="1">
      <c r="A82" s="186">
        <v>75</v>
      </c>
      <c r="B82" s="408" t="s">
        <v>374</v>
      </c>
      <c r="C82" s="409" t="s">
        <v>469</v>
      </c>
      <c r="D82" s="410"/>
      <c r="E82" s="410">
        <v>74</v>
      </c>
      <c r="F82" s="409" t="s">
        <v>269</v>
      </c>
      <c r="G82" s="410" t="s">
        <v>162</v>
      </c>
      <c r="H82" s="426" t="s">
        <v>153</v>
      </c>
      <c r="I82" s="187">
        <f t="shared" si="4"/>
        <v>97500</v>
      </c>
      <c r="J82" s="379" t="s">
        <v>158</v>
      </c>
      <c r="K82" s="190">
        <f t="shared" si="5"/>
        <v>75000</v>
      </c>
      <c r="L82" s="379" t="s">
        <v>56</v>
      </c>
      <c r="M82" s="188">
        <f t="shared" si="6"/>
        <v>0</v>
      </c>
      <c r="N82" s="188">
        <f t="shared" si="7"/>
        <v>172500</v>
      </c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82"/>
      <c r="BY82" s="182"/>
      <c r="BZ82" s="182"/>
      <c r="CA82" s="182"/>
      <c r="CB82" s="182"/>
      <c r="CC82" s="182"/>
      <c r="CD82" s="182"/>
      <c r="CE82" s="182"/>
      <c r="CF82" s="182"/>
      <c r="CG82" s="182"/>
      <c r="CH82" s="182"/>
      <c r="CI82" s="182"/>
      <c r="CJ82" s="182"/>
      <c r="CK82" s="182"/>
      <c r="CL82" s="182"/>
      <c r="CM82" s="182"/>
      <c r="CN82" s="182"/>
      <c r="CO82" s="182"/>
      <c r="CP82" s="182"/>
      <c r="CQ82" s="182"/>
      <c r="CR82" s="182"/>
      <c r="CS82" s="182"/>
      <c r="CT82" s="182"/>
      <c r="CU82" s="182"/>
      <c r="CV82" s="182"/>
      <c r="CW82" s="182"/>
      <c r="CX82" s="182"/>
      <c r="CY82" s="182"/>
      <c r="CZ82" s="182"/>
      <c r="DA82" s="182"/>
      <c r="DB82" s="182"/>
      <c r="DC82" s="182"/>
      <c r="DD82" s="182"/>
      <c r="DE82" s="182"/>
      <c r="DF82" s="182"/>
      <c r="DG82" s="182"/>
      <c r="DH82" s="182"/>
      <c r="DI82" s="182"/>
      <c r="DJ82" s="182"/>
      <c r="DK82" s="182"/>
      <c r="DL82" s="182"/>
      <c r="DM82" s="182"/>
      <c r="DN82" s="182"/>
      <c r="DO82" s="182"/>
      <c r="DP82" s="182"/>
      <c r="DQ82" s="182"/>
      <c r="DR82" s="182"/>
      <c r="DS82" s="182"/>
      <c r="DT82" s="182"/>
      <c r="DU82" s="182"/>
      <c r="DV82" s="182"/>
      <c r="DW82" s="182"/>
      <c r="DX82" s="182"/>
      <c r="DY82" s="182"/>
      <c r="DZ82" s="182"/>
      <c r="EA82" s="182"/>
      <c r="EB82" s="182"/>
      <c r="EC82" s="182"/>
      <c r="ED82" s="182"/>
      <c r="EE82" s="182"/>
      <c r="EF82" s="182"/>
      <c r="EG82" s="182"/>
      <c r="EH82" s="182"/>
      <c r="EI82" s="182"/>
      <c r="EJ82" s="182"/>
      <c r="EK82" s="182"/>
      <c r="EL82" s="182"/>
      <c r="EM82" s="182"/>
      <c r="EN82" s="182"/>
      <c r="EO82" s="182"/>
      <c r="EP82" s="182"/>
      <c r="EQ82" s="182"/>
      <c r="ER82" s="182"/>
      <c r="ES82" s="182"/>
      <c r="ET82" s="182"/>
      <c r="EU82" s="182"/>
      <c r="EV82" s="182"/>
      <c r="EW82" s="182"/>
      <c r="EX82" s="182"/>
      <c r="EY82" s="182"/>
      <c r="EZ82" s="182"/>
      <c r="FA82" s="182"/>
      <c r="FB82" s="182"/>
      <c r="FC82" s="182"/>
      <c r="FD82" s="182"/>
      <c r="FE82" s="182"/>
      <c r="FF82" s="182"/>
      <c r="FG82" s="182"/>
      <c r="FH82" s="182"/>
      <c r="FI82" s="182"/>
      <c r="FJ82" s="182"/>
      <c r="FK82" s="182"/>
      <c r="FL82" s="182"/>
      <c r="FM82" s="182"/>
      <c r="FN82" s="182"/>
      <c r="FO82" s="182"/>
      <c r="FP82" s="182"/>
      <c r="FQ82" s="182"/>
      <c r="FR82" s="182"/>
      <c r="FS82" s="182"/>
      <c r="FT82" s="182"/>
      <c r="FU82" s="182"/>
      <c r="FV82" s="182"/>
      <c r="FW82" s="182"/>
      <c r="FX82" s="182"/>
      <c r="FY82" s="182"/>
      <c r="FZ82" s="182"/>
      <c r="GA82" s="182"/>
      <c r="GB82" s="182"/>
      <c r="GC82" s="182"/>
      <c r="GD82" s="182"/>
      <c r="GE82" s="182"/>
      <c r="GF82" s="182"/>
      <c r="GG82" s="182"/>
      <c r="GH82" s="182"/>
      <c r="GI82" s="182"/>
      <c r="GJ82" s="182"/>
      <c r="GK82" s="182"/>
      <c r="GL82" s="182"/>
      <c r="GM82" s="182"/>
      <c r="GN82" s="182"/>
      <c r="GO82" s="182"/>
      <c r="GP82" s="182"/>
      <c r="GQ82" s="182"/>
      <c r="GR82" s="182"/>
      <c r="GS82" s="182"/>
      <c r="GT82" s="182"/>
      <c r="GU82" s="182"/>
      <c r="GV82" s="182"/>
      <c r="GW82" s="182"/>
      <c r="GX82" s="182"/>
      <c r="GY82" s="182"/>
      <c r="GZ82" s="182"/>
      <c r="HA82" s="182"/>
      <c r="HB82" s="182"/>
      <c r="HC82" s="182"/>
      <c r="HD82" s="182"/>
      <c r="HE82" s="182"/>
      <c r="HF82" s="182"/>
      <c r="HG82" s="182"/>
      <c r="HH82" s="182"/>
      <c r="HI82" s="182"/>
      <c r="HJ82" s="182"/>
      <c r="HK82" s="182"/>
      <c r="HL82" s="182"/>
      <c r="HM82" s="182"/>
      <c r="HN82" s="182"/>
      <c r="HO82" s="182"/>
      <c r="HP82" s="182"/>
      <c r="HQ82" s="182"/>
      <c r="HR82" s="182"/>
      <c r="HS82" s="182"/>
      <c r="HT82" s="182"/>
      <c r="HU82" s="182"/>
      <c r="HV82" s="182"/>
      <c r="HW82" s="182"/>
      <c r="HX82" s="182"/>
      <c r="HY82" s="182"/>
      <c r="HZ82" s="182"/>
      <c r="IA82" s="182"/>
      <c r="IB82" s="182"/>
      <c r="IC82" s="182"/>
      <c r="ID82" s="182"/>
      <c r="IE82" s="182"/>
      <c r="IF82" s="182"/>
      <c r="IG82" s="182"/>
      <c r="IH82" s="182"/>
      <c r="II82" s="182"/>
      <c r="IJ82" s="182"/>
      <c r="IK82" s="182"/>
      <c r="IL82" s="182"/>
      <c r="IM82" s="182"/>
      <c r="IN82" s="182"/>
      <c r="IO82" s="182"/>
      <c r="IP82" s="182"/>
      <c r="IQ82" s="182"/>
    </row>
    <row r="83" spans="1:251" s="148" customFormat="1" ht="21.75" customHeight="1">
      <c r="A83" s="186">
        <v>76</v>
      </c>
      <c r="B83" s="408" t="s">
        <v>377</v>
      </c>
      <c r="C83" s="409" t="s">
        <v>470</v>
      </c>
      <c r="D83" s="410">
        <v>49</v>
      </c>
      <c r="E83" s="410"/>
      <c r="F83" s="409" t="s">
        <v>269</v>
      </c>
      <c r="G83" s="410" t="s">
        <v>162</v>
      </c>
      <c r="H83" s="426" t="s">
        <v>154</v>
      </c>
      <c r="I83" s="187">
        <f t="shared" si="4"/>
        <v>97500</v>
      </c>
      <c r="J83" s="379" t="s">
        <v>157</v>
      </c>
      <c r="K83" s="190">
        <f t="shared" si="5"/>
        <v>75000</v>
      </c>
      <c r="L83" s="379" t="s">
        <v>56</v>
      </c>
      <c r="M83" s="188">
        <f t="shared" si="6"/>
        <v>0</v>
      </c>
      <c r="N83" s="188">
        <f t="shared" si="7"/>
        <v>172500</v>
      </c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182"/>
      <c r="BV83" s="182"/>
      <c r="BW83" s="182"/>
      <c r="BX83" s="182"/>
      <c r="BY83" s="182"/>
      <c r="BZ83" s="182"/>
      <c r="CA83" s="182"/>
      <c r="CB83" s="182"/>
      <c r="CC83" s="182"/>
      <c r="CD83" s="182"/>
      <c r="CE83" s="182"/>
      <c r="CF83" s="182"/>
      <c r="CG83" s="182"/>
      <c r="CH83" s="182"/>
      <c r="CI83" s="182"/>
      <c r="CJ83" s="182"/>
      <c r="CK83" s="182"/>
      <c r="CL83" s="182"/>
      <c r="CM83" s="182"/>
      <c r="CN83" s="182"/>
      <c r="CO83" s="182"/>
      <c r="CP83" s="182"/>
      <c r="CQ83" s="182"/>
      <c r="CR83" s="182"/>
      <c r="CS83" s="182"/>
      <c r="CT83" s="182"/>
      <c r="CU83" s="182"/>
      <c r="CV83" s="182"/>
      <c r="CW83" s="182"/>
      <c r="CX83" s="182"/>
      <c r="CY83" s="182"/>
      <c r="CZ83" s="182"/>
      <c r="DA83" s="182"/>
      <c r="DB83" s="182"/>
      <c r="DC83" s="182"/>
      <c r="DD83" s="182"/>
      <c r="DE83" s="182"/>
      <c r="DF83" s="182"/>
      <c r="DG83" s="182"/>
      <c r="DH83" s="182"/>
      <c r="DI83" s="182"/>
      <c r="DJ83" s="182"/>
      <c r="DK83" s="182"/>
      <c r="DL83" s="182"/>
      <c r="DM83" s="182"/>
      <c r="DN83" s="182"/>
      <c r="DO83" s="182"/>
      <c r="DP83" s="182"/>
      <c r="DQ83" s="182"/>
      <c r="DR83" s="182"/>
      <c r="DS83" s="182"/>
      <c r="DT83" s="182"/>
      <c r="DU83" s="182"/>
      <c r="DV83" s="182"/>
      <c r="DW83" s="182"/>
      <c r="DX83" s="182"/>
      <c r="DY83" s="182"/>
      <c r="DZ83" s="182"/>
      <c r="EA83" s="182"/>
      <c r="EB83" s="182"/>
      <c r="EC83" s="182"/>
      <c r="ED83" s="182"/>
      <c r="EE83" s="182"/>
      <c r="EF83" s="182"/>
      <c r="EG83" s="182"/>
      <c r="EH83" s="182"/>
      <c r="EI83" s="182"/>
      <c r="EJ83" s="182"/>
      <c r="EK83" s="182"/>
      <c r="EL83" s="182"/>
      <c r="EM83" s="182"/>
      <c r="EN83" s="182"/>
      <c r="EO83" s="182"/>
      <c r="EP83" s="182"/>
      <c r="EQ83" s="182"/>
      <c r="ER83" s="182"/>
      <c r="ES83" s="182"/>
      <c r="ET83" s="182"/>
      <c r="EU83" s="182"/>
      <c r="EV83" s="182"/>
      <c r="EW83" s="182"/>
      <c r="EX83" s="182"/>
      <c r="EY83" s="182"/>
      <c r="EZ83" s="182"/>
      <c r="FA83" s="182"/>
      <c r="FB83" s="182"/>
      <c r="FC83" s="182"/>
      <c r="FD83" s="182"/>
      <c r="FE83" s="182"/>
      <c r="FF83" s="182"/>
      <c r="FG83" s="182"/>
      <c r="FH83" s="182"/>
      <c r="FI83" s="182"/>
      <c r="FJ83" s="182"/>
      <c r="FK83" s="182"/>
      <c r="FL83" s="182"/>
      <c r="FM83" s="182"/>
      <c r="FN83" s="182"/>
      <c r="FO83" s="182"/>
      <c r="FP83" s="182"/>
      <c r="FQ83" s="182"/>
      <c r="FR83" s="182"/>
      <c r="FS83" s="182"/>
      <c r="FT83" s="182"/>
      <c r="FU83" s="182"/>
      <c r="FV83" s="182"/>
      <c r="FW83" s="182"/>
      <c r="FX83" s="182"/>
      <c r="FY83" s="182"/>
      <c r="FZ83" s="182"/>
      <c r="GA83" s="182"/>
      <c r="GB83" s="182"/>
      <c r="GC83" s="182"/>
      <c r="GD83" s="182"/>
      <c r="GE83" s="182"/>
      <c r="GF83" s="182"/>
      <c r="GG83" s="182"/>
      <c r="GH83" s="182"/>
      <c r="GI83" s="182"/>
      <c r="GJ83" s="182"/>
      <c r="GK83" s="182"/>
      <c r="GL83" s="182"/>
      <c r="GM83" s="182"/>
      <c r="GN83" s="182"/>
      <c r="GO83" s="182"/>
      <c r="GP83" s="182"/>
      <c r="GQ83" s="182"/>
      <c r="GR83" s="182"/>
      <c r="GS83" s="182"/>
      <c r="GT83" s="182"/>
      <c r="GU83" s="182"/>
      <c r="GV83" s="182"/>
      <c r="GW83" s="182"/>
      <c r="GX83" s="182"/>
      <c r="GY83" s="182"/>
      <c r="GZ83" s="182"/>
      <c r="HA83" s="182"/>
      <c r="HB83" s="182"/>
      <c r="HC83" s="182"/>
      <c r="HD83" s="182"/>
      <c r="HE83" s="182"/>
      <c r="HF83" s="182"/>
      <c r="HG83" s="182"/>
      <c r="HH83" s="182"/>
      <c r="HI83" s="182"/>
      <c r="HJ83" s="182"/>
      <c r="HK83" s="182"/>
      <c r="HL83" s="182"/>
      <c r="HM83" s="182"/>
      <c r="HN83" s="182"/>
      <c r="HO83" s="182"/>
      <c r="HP83" s="182"/>
      <c r="HQ83" s="182"/>
      <c r="HR83" s="182"/>
      <c r="HS83" s="182"/>
      <c r="HT83" s="182"/>
      <c r="HU83" s="182"/>
      <c r="HV83" s="182"/>
      <c r="HW83" s="182"/>
      <c r="HX83" s="182"/>
      <c r="HY83" s="182"/>
      <c r="HZ83" s="182"/>
      <c r="IA83" s="182"/>
      <c r="IB83" s="182"/>
      <c r="IC83" s="182"/>
      <c r="ID83" s="182"/>
      <c r="IE83" s="182"/>
      <c r="IF83" s="182"/>
      <c r="IG83" s="182"/>
      <c r="IH83" s="182"/>
      <c r="II83" s="182"/>
      <c r="IJ83" s="182"/>
      <c r="IK83" s="182"/>
      <c r="IL83" s="182"/>
      <c r="IM83" s="182"/>
      <c r="IN83" s="182"/>
      <c r="IO83" s="182"/>
      <c r="IP83" s="182"/>
      <c r="IQ83" s="182"/>
    </row>
    <row r="84" spans="1:251" s="148" customFormat="1" ht="21.75" customHeight="1">
      <c r="A84" s="186">
        <v>77</v>
      </c>
      <c r="B84" s="408" t="s">
        <v>377</v>
      </c>
      <c r="C84" s="409" t="s">
        <v>471</v>
      </c>
      <c r="D84" s="410"/>
      <c r="E84" s="410">
        <v>31</v>
      </c>
      <c r="F84" s="409" t="s">
        <v>472</v>
      </c>
      <c r="G84" s="410" t="s">
        <v>162</v>
      </c>
      <c r="H84" s="426" t="s">
        <v>155</v>
      </c>
      <c r="I84" s="187">
        <f t="shared" si="4"/>
        <v>97500</v>
      </c>
      <c r="J84" s="379" t="s">
        <v>157</v>
      </c>
      <c r="K84" s="190">
        <f t="shared" si="5"/>
        <v>75000</v>
      </c>
      <c r="L84" s="379" t="s">
        <v>56</v>
      </c>
      <c r="M84" s="188">
        <f t="shared" si="6"/>
        <v>0</v>
      </c>
      <c r="N84" s="188">
        <f t="shared" si="7"/>
        <v>172500</v>
      </c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O84" s="182"/>
      <c r="BP84" s="182"/>
      <c r="BQ84" s="182"/>
      <c r="BR84" s="182"/>
      <c r="BS84" s="182"/>
      <c r="BT84" s="182"/>
      <c r="BU84" s="182"/>
      <c r="BV84" s="182"/>
      <c r="BW84" s="182"/>
      <c r="BX84" s="182"/>
      <c r="BY84" s="182"/>
      <c r="BZ84" s="182"/>
      <c r="CA84" s="182"/>
      <c r="CB84" s="182"/>
      <c r="CC84" s="182"/>
      <c r="CD84" s="182"/>
      <c r="CE84" s="182"/>
      <c r="CF84" s="182"/>
      <c r="CG84" s="182"/>
      <c r="CH84" s="182"/>
      <c r="CI84" s="182"/>
      <c r="CJ84" s="182"/>
      <c r="CK84" s="182"/>
      <c r="CL84" s="182"/>
      <c r="CM84" s="182"/>
      <c r="CN84" s="182"/>
      <c r="CO84" s="182"/>
      <c r="CP84" s="182"/>
      <c r="CQ84" s="182"/>
      <c r="CR84" s="182"/>
      <c r="CS84" s="182"/>
      <c r="CT84" s="182"/>
      <c r="CU84" s="182"/>
      <c r="CV84" s="182"/>
      <c r="CW84" s="182"/>
      <c r="CX84" s="182"/>
      <c r="CY84" s="182"/>
      <c r="CZ84" s="182"/>
      <c r="DA84" s="182"/>
      <c r="DB84" s="182"/>
      <c r="DC84" s="182"/>
      <c r="DD84" s="182"/>
      <c r="DE84" s="182"/>
      <c r="DF84" s="182"/>
      <c r="DG84" s="182"/>
      <c r="DH84" s="182"/>
      <c r="DI84" s="182"/>
      <c r="DJ84" s="182"/>
      <c r="DK84" s="182"/>
      <c r="DL84" s="182"/>
      <c r="DM84" s="182"/>
      <c r="DN84" s="182"/>
      <c r="DO84" s="182"/>
      <c r="DP84" s="182"/>
      <c r="DQ84" s="182"/>
      <c r="DR84" s="182"/>
      <c r="DS84" s="182"/>
      <c r="DT84" s="182"/>
      <c r="DU84" s="182"/>
      <c r="DV84" s="182"/>
      <c r="DW84" s="182"/>
      <c r="DX84" s="182"/>
      <c r="DY84" s="182"/>
      <c r="DZ84" s="182"/>
      <c r="EA84" s="182"/>
      <c r="EB84" s="182"/>
      <c r="EC84" s="182"/>
      <c r="ED84" s="182"/>
      <c r="EE84" s="182"/>
      <c r="EF84" s="182"/>
      <c r="EG84" s="182"/>
      <c r="EH84" s="182"/>
      <c r="EI84" s="182"/>
      <c r="EJ84" s="182"/>
      <c r="EK84" s="182"/>
      <c r="EL84" s="182"/>
      <c r="EM84" s="182"/>
      <c r="EN84" s="182"/>
      <c r="EO84" s="182"/>
      <c r="EP84" s="182"/>
      <c r="EQ84" s="182"/>
      <c r="ER84" s="182"/>
      <c r="ES84" s="182"/>
      <c r="ET84" s="182"/>
      <c r="EU84" s="182"/>
      <c r="EV84" s="182"/>
      <c r="EW84" s="182"/>
      <c r="EX84" s="182"/>
      <c r="EY84" s="182"/>
      <c r="EZ84" s="182"/>
      <c r="FA84" s="182"/>
      <c r="FB84" s="182"/>
      <c r="FC84" s="182"/>
      <c r="FD84" s="182"/>
      <c r="FE84" s="182"/>
      <c r="FF84" s="182"/>
      <c r="FG84" s="182"/>
      <c r="FH84" s="182"/>
      <c r="FI84" s="182"/>
      <c r="FJ84" s="182"/>
      <c r="FK84" s="182"/>
      <c r="FL84" s="182"/>
      <c r="FM84" s="182"/>
      <c r="FN84" s="182"/>
      <c r="FO84" s="182"/>
      <c r="FP84" s="182"/>
      <c r="FQ84" s="182"/>
      <c r="FR84" s="182"/>
      <c r="FS84" s="182"/>
      <c r="FT84" s="182"/>
      <c r="FU84" s="182"/>
      <c r="FV84" s="182"/>
      <c r="FW84" s="182"/>
      <c r="FX84" s="182"/>
      <c r="FY84" s="182"/>
      <c r="FZ84" s="182"/>
      <c r="GA84" s="182"/>
      <c r="GB84" s="182"/>
      <c r="GC84" s="182"/>
      <c r="GD84" s="182"/>
      <c r="GE84" s="182"/>
      <c r="GF84" s="182"/>
      <c r="GG84" s="182"/>
      <c r="GH84" s="182"/>
      <c r="GI84" s="182"/>
      <c r="GJ84" s="182"/>
      <c r="GK84" s="182"/>
      <c r="GL84" s="182"/>
      <c r="GM84" s="182"/>
      <c r="GN84" s="182"/>
      <c r="GO84" s="182"/>
      <c r="GP84" s="182"/>
      <c r="GQ84" s="182"/>
      <c r="GR84" s="182"/>
      <c r="GS84" s="182"/>
      <c r="GT84" s="182"/>
      <c r="GU84" s="182"/>
      <c r="GV84" s="182"/>
      <c r="GW84" s="182"/>
      <c r="GX84" s="182"/>
      <c r="GY84" s="182"/>
      <c r="GZ84" s="182"/>
      <c r="HA84" s="182"/>
      <c r="HB84" s="182"/>
      <c r="HC84" s="182"/>
      <c r="HD84" s="182"/>
      <c r="HE84" s="182"/>
      <c r="HF84" s="182"/>
      <c r="HG84" s="182"/>
      <c r="HH84" s="182"/>
      <c r="HI84" s="182"/>
      <c r="HJ84" s="182"/>
      <c r="HK84" s="182"/>
      <c r="HL84" s="182"/>
      <c r="HM84" s="182"/>
      <c r="HN84" s="182"/>
      <c r="HO84" s="182"/>
      <c r="HP84" s="182"/>
      <c r="HQ84" s="182"/>
      <c r="HR84" s="182"/>
      <c r="HS84" s="182"/>
      <c r="HT84" s="182"/>
      <c r="HU84" s="182"/>
      <c r="HV84" s="182"/>
      <c r="HW84" s="182"/>
      <c r="HX84" s="182"/>
      <c r="HY84" s="182"/>
      <c r="HZ84" s="182"/>
      <c r="IA84" s="182"/>
      <c r="IB84" s="182"/>
      <c r="IC84" s="182"/>
      <c r="ID84" s="182"/>
      <c r="IE84" s="182"/>
      <c r="IF84" s="182"/>
      <c r="IG84" s="182"/>
      <c r="IH84" s="182"/>
      <c r="II84" s="182"/>
      <c r="IJ84" s="182"/>
      <c r="IK84" s="182"/>
      <c r="IL84" s="182"/>
      <c r="IM84" s="182"/>
      <c r="IN84" s="182"/>
      <c r="IO84" s="182"/>
      <c r="IP84" s="182"/>
      <c r="IQ84" s="182"/>
    </row>
    <row r="85" spans="1:251" s="148" customFormat="1" ht="21.75" customHeight="1">
      <c r="A85" s="186">
        <v>78</v>
      </c>
      <c r="B85" s="408" t="s">
        <v>380</v>
      </c>
      <c r="C85" s="409" t="s">
        <v>473</v>
      </c>
      <c r="D85" s="410">
        <v>27</v>
      </c>
      <c r="E85" s="410"/>
      <c r="F85" s="409" t="s">
        <v>466</v>
      </c>
      <c r="G85" s="410" t="s">
        <v>162</v>
      </c>
      <c r="H85" s="426" t="s">
        <v>153</v>
      </c>
      <c r="I85" s="187">
        <f t="shared" si="4"/>
        <v>97500</v>
      </c>
      <c r="J85" s="379" t="s">
        <v>161</v>
      </c>
      <c r="K85" s="190">
        <f t="shared" si="5"/>
        <v>75000</v>
      </c>
      <c r="L85" s="379" t="s">
        <v>56</v>
      </c>
      <c r="M85" s="188">
        <f t="shared" si="6"/>
        <v>0</v>
      </c>
      <c r="N85" s="188">
        <f t="shared" si="7"/>
        <v>172500</v>
      </c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82"/>
      <c r="BY85" s="182"/>
      <c r="BZ85" s="182"/>
      <c r="CA85" s="182"/>
      <c r="CB85" s="182"/>
      <c r="CC85" s="182"/>
      <c r="CD85" s="182"/>
      <c r="CE85" s="182"/>
      <c r="CF85" s="182"/>
      <c r="CG85" s="182"/>
      <c r="CH85" s="182"/>
      <c r="CI85" s="182"/>
      <c r="CJ85" s="182"/>
      <c r="CK85" s="182"/>
      <c r="CL85" s="182"/>
      <c r="CM85" s="182"/>
      <c r="CN85" s="182"/>
      <c r="CO85" s="182"/>
      <c r="CP85" s="182"/>
      <c r="CQ85" s="182"/>
      <c r="CR85" s="182"/>
      <c r="CS85" s="182"/>
      <c r="CT85" s="182"/>
      <c r="CU85" s="182"/>
      <c r="CV85" s="182"/>
      <c r="CW85" s="182"/>
      <c r="CX85" s="182"/>
      <c r="CY85" s="182"/>
      <c r="CZ85" s="182"/>
      <c r="DA85" s="182"/>
      <c r="DB85" s="182"/>
      <c r="DC85" s="182"/>
      <c r="DD85" s="182"/>
      <c r="DE85" s="182"/>
      <c r="DF85" s="182"/>
      <c r="DG85" s="182"/>
      <c r="DH85" s="182"/>
      <c r="DI85" s="182"/>
      <c r="DJ85" s="182"/>
      <c r="DK85" s="182"/>
      <c r="DL85" s="182"/>
      <c r="DM85" s="182"/>
      <c r="DN85" s="182"/>
      <c r="DO85" s="182"/>
      <c r="DP85" s="182"/>
      <c r="DQ85" s="182"/>
      <c r="DR85" s="182"/>
      <c r="DS85" s="182"/>
      <c r="DT85" s="182"/>
      <c r="DU85" s="182"/>
      <c r="DV85" s="182"/>
      <c r="DW85" s="182"/>
      <c r="DX85" s="182"/>
      <c r="DY85" s="182"/>
      <c r="DZ85" s="182"/>
      <c r="EA85" s="182"/>
      <c r="EB85" s="182"/>
      <c r="EC85" s="182"/>
      <c r="ED85" s="182"/>
      <c r="EE85" s="182"/>
      <c r="EF85" s="182"/>
      <c r="EG85" s="182"/>
      <c r="EH85" s="182"/>
      <c r="EI85" s="182"/>
      <c r="EJ85" s="182"/>
      <c r="EK85" s="182"/>
      <c r="EL85" s="182"/>
      <c r="EM85" s="182"/>
      <c r="EN85" s="182"/>
      <c r="EO85" s="182"/>
      <c r="EP85" s="182"/>
      <c r="EQ85" s="182"/>
      <c r="ER85" s="182"/>
      <c r="ES85" s="182"/>
      <c r="ET85" s="182"/>
      <c r="EU85" s="182"/>
      <c r="EV85" s="182"/>
      <c r="EW85" s="182"/>
      <c r="EX85" s="182"/>
      <c r="EY85" s="182"/>
      <c r="EZ85" s="182"/>
      <c r="FA85" s="182"/>
      <c r="FB85" s="182"/>
      <c r="FC85" s="182"/>
      <c r="FD85" s="182"/>
      <c r="FE85" s="182"/>
      <c r="FF85" s="182"/>
      <c r="FG85" s="182"/>
      <c r="FH85" s="182"/>
      <c r="FI85" s="182"/>
      <c r="FJ85" s="182"/>
      <c r="FK85" s="182"/>
      <c r="FL85" s="182"/>
      <c r="FM85" s="182"/>
      <c r="FN85" s="182"/>
      <c r="FO85" s="182"/>
      <c r="FP85" s="182"/>
      <c r="FQ85" s="182"/>
      <c r="FR85" s="182"/>
      <c r="FS85" s="182"/>
      <c r="FT85" s="182"/>
      <c r="FU85" s="182"/>
      <c r="FV85" s="182"/>
      <c r="FW85" s="182"/>
      <c r="FX85" s="182"/>
      <c r="FY85" s="182"/>
      <c r="FZ85" s="182"/>
      <c r="GA85" s="182"/>
      <c r="GB85" s="182"/>
      <c r="GC85" s="182"/>
      <c r="GD85" s="182"/>
      <c r="GE85" s="182"/>
      <c r="GF85" s="182"/>
      <c r="GG85" s="182"/>
      <c r="GH85" s="182"/>
      <c r="GI85" s="182"/>
      <c r="GJ85" s="182"/>
      <c r="GK85" s="182"/>
      <c r="GL85" s="182"/>
      <c r="GM85" s="182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182"/>
      <c r="HQ85" s="182"/>
      <c r="HR85" s="182"/>
      <c r="HS85" s="182"/>
      <c r="HT85" s="182"/>
      <c r="HU85" s="182"/>
      <c r="HV85" s="182"/>
      <c r="HW85" s="182"/>
      <c r="HX85" s="182"/>
      <c r="HY85" s="182"/>
      <c r="HZ85" s="182"/>
      <c r="IA85" s="182"/>
      <c r="IB85" s="182"/>
      <c r="IC85" s="182"/>
      <c r="ID85" s="182"/>
      <c r="IE85" s="182"/>
      <c r="IF85" s="182"/>
      <c r="IG85" s="182"/>
      <c r="IH85" s="182"/>
      <c r="II85" s="182"/>
      <c r="IJ85" s="182"/>
      <c r="IK85" s="182"/>
      <c r="IL85" s="182"/>
      <c r="IM85" s="182"/>
      <c r="IN85" s="182"/>
      <c r="IO85" s="182"/>
      <c r="IP85" s="182"/>
      <c r="IQ85" s="182"/>
    </row>
    <row r="86" spans="1:251" s="148" customFormat="1" ht="21.75" customHeight="1">
      <c r="A86" s="186">
        <v>79</v>
      </c>
      <c r="B86" s="408" t="s">
        <v>382</v>
      </c>
      <c r="C86" s="409" t="s">
        <v>469</v>
      </c>
      <c r="D86" s="410"/>
      <c r="E86" s="410">
        <v>74</v>
      </c>
      <c r="F86" s="409" t="s">
        <v>269</v>
      </c>
      <c r="G86" s="410" t="s">
        <v>162</v>
      </c>
      <c r="H86" s="426" t="s">
        <v>152</v>
      </c>
      <c r="I86" s="187">
        <f t="shared" si="4"/>
        <v>97500</v>
      </c>
      <c r="J86" s="379" t="s">
        <v>158</v>
      </c>
      <c r="K86" s="190">
        <f t="shared" si="5"/>
        <v>75000</v>
      </c>
      <c r="L86" s="379" t="s">
        <v>56</v>
      </c>
      <c r="M86" s="188">
        <f t="shared" si="6"/>
        <v>0</v>
      </c>
      <c r="N86" s="188">
        <f t="shared" si="7"/>
        <v>172500</v>
      </c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2"/>
      <c r="CF86" s="182"/>
      <c r="CG86" s="182"/>
      <c r="CH86" s="182"/>
      <c r="CI86" s="182"/>
      <c r="CJ86" s="182"/>
      <c r="CK86" s="182"/>
      <c r="CL86" s="182"/>
      <c r="CM86" s="182"/>
      <c r="CN86" s="182"/>
      <c r="CO86" s="182"/>
      <c r="CP86" s="182"/>
      <c r="CQ86" s="182"/>
      <c r="CR86" s="182"/>
      <c r="CS86" s="182"/>
      <c r="CT86" s="182"/>
      <c r="CU86" s="182"/>
      <c r="CV86" s="182"/>
      <c r="CW86" s="182"/>
      <c r="CX86" s="182"/>
      <c r="CY86" s="182"/>
      <c r="CZ86" s="182"/>
      <c r="DA86" s="182"/>
      <c r="DB86" s="182"/>
      <c r="DC86" s="182"/>
      <c r="DD86" s="182"/>
      <c r="DE86" s="182"/>
      <c r="DF86" s="182"/>
      <c r="DG86" s="182"/>
      <c r="DH86" s="182"/>
      <c r="DI86" s="182"/>
      <c r="DJ86" s="182"/>
      <c r="DK86" s="182"/>
      <c r="DL86" s="182"/>
      <c r="DM86" s="182"/>
      <c r="DN86" s="182"/>
      <c r="DO86" s="182"/>
      <c r="DP86" s="182"/>
      <c r="DQ86" s="182"/>
      <c r="DR86" s="182"/>
      <c r="DS86" s="182"/>
      <c r="DT86" s="182"/>
      <c r="DU86" s="182"/>
      <c r="DV86" s="182"/>
      <c r="DW86" s="182"/>
      <c r="DX86" s="182"/>
      <c r="DY86" s="182"/>
      <c r="DZ86" s="182"/>
      <c r="EA86" s="182"/>
      <c r="EB86" s="182"/>
      <c r="EC86" s="182"/>
      <c r="ED86" s="182"/>
      <c r="EE86" s="182"/>
      <c r="EF86" s="182"/>
      <c r="EG86" s="182"/>
      <c r="EH86" s="182"/>
      <c r="EI86" s="182"/>
      <c r="EJ86" s="182"/>
      <c r="EK86" s="182"/>
      <c r="EL86" s="182"/>
      <c r="EM86" s="182"/>
      <c r="EN86" s="182"/>
      <c r="EO86" s="182"/>
      <c r="EP86" s="182"/>
      <c r="EQ86" s="182"/>
      <c r="ER86" s="182"/>
      <c r="ES86" s="182"/>
      <c r="ET86" s="182"/>
      <c r="EU86" s="182"/>
      <c r="EV86" s="182"/>
      <c r="EW86" s="182"/>
      <c r="EX86" s="182"/>
      <c r="EY86" s="182"/>
      <c r="EZ86" s="182"/>
      <c r="FA86" s="182"/>
      <c r="FB86" s="182"/>
      <c r="FC86" s="182"/>
      <c r="FD86" s="182"/>
      <c r="FE86" s="182"/>
      <c r="FF86" s="182"/>
      <c r="FG86" s="182"/>
      <c r="FH86" s="182"/>
      <c r="FI86" s="182"/>
      <c r="FJ86" s="182"/>
      <c r="FK86" s="182"/>
      <c r="FL86" s="182"/>
      <c r="FM86" s="182"/>
      <c r="FN86" s="182"/>
      <c r="FO86" s="182"/>
      <c r="FP86" s="182"/>
      <c r="FQ86" s="182"/>
      <c r="FR86" s="182"/>
      <c r="FS86" s="182"/>
      <c r="FT86" s="182"/>
      <c r="FU86" s="182"/>
      <c r="FV86" s="182"/>
      <c r="FW86" s="182"/>
      <c r="FX86" s="182"/>
      <c r="FY86" s="182"/>
      <c r="FZ86" s="182"/>
      <c r="GA86" s="182"/>
      <c r="GB86" s="182"/>
      <c r="GC86" s="182"/>
      <c r="GD86" s="182"/>
      <c r="GE86" s="182"/>
      <c r="GF86" s="182"/>
      <c r="GG86" s="182"/>
      <c r="GH86" s="182"/>
      <c r="GI86" s="182"/>
      <c r="GJ86" s="182"/>
      <c r="GK86" s="182"/>
      <c r="GL86" s="182"/>
      <c r="GM86" s="182"/>
      <c r="GN86" s="182"/>
      <c r="GO86" s="182"/>
      <c r="GP86" s="182"/>
      <c r="GQ86" s="182"/>
      <c r="GR86" s="182"/>
      <c r="GS86" s="182"/>
      <c r="GT86" s="182"/>
      <c r="GU86" s="182"/>
      <c r="GV86" s="182"/>
      <c r="GW86" s="182"/>
      <c r="GX86" s="182"/>
      <c r="GY86" s="182"/>
      <c r="GZ86" s="182"/>
      <c r="HA86" s="182"/>
      <c r="HB86" s="182"/>
      <c r="HC86" s="182"/>
      <c r="HD86" s="182"/>
      <c r="HE86" s="182"/>
      <c r="HF86" s="182"/>
      <c r="HG86" s="182"/>
      <c r="HH86" s="182"/>
      <c r="HI86" s="182"/>
      <c r="HJ86" s="182"/>
      <c r="HK86" s="182"/>
      <c r="HL86" s="182"/>
      <c r="HM86" s="182"/>
      <c r="HN86" s="182"/>
      <c r="HO86" s="182"/>
      <c r="HP86" s="182"/>
      <c r="HQ86" s="182"/>
      <c r="HR86" s="182"/>
      <c r="HS86" s="182"/>
      <c r="HT86" s="182"/>
      <c r="HU86" s="182"/>
      <c r="HV86" s="182"/>
      <c r="HW86" s="182"/>
      <c r="HX86" s="182"/>
      <c r="HY86" s="182"/>
      <c r="HZ86" s="182"/>
      <c r="IA86" s="182"/>
      <c r="IB86" s="182"/>
      <c r="IC86" s="182"/>
      <c r="ID86" s="182"/>
      <c r="IE86" s="182"/>
      <c r="IF86" s="182"/>
      <c r="IG86" s="182"/>
      <c r="IH86" s="182"/>
      <c r="II86" s="182"/>
      <c r="IJ86" s="182"/>
      <c r="IK86" s="182"/>
      <c r="IL86" s="182"/>
      <c r="IM86" s="182"/>
      <c r="IN86" s="182"/>
      <c r="IO86" s="182"/>
      <c r="IP86" s="182"/>
      <c r="IQ86" s="182"/>
    </row>
    <row r="87" spans="1:251" s="148" customFormat="1" ht="21.75" customHeight="1">
      <c r="A87" s="186">
        <v>80</v>
      </c>
      <c r="B87" s="408" t="s">
        <v>390</v>
      </c>
      <c r="C87" s="409" t="s">
        <v>383</v>
      </c>
      <c r="D87" s="410">
        <v>71</v>
      </c>
      <c r="E87" s="410"/>
      <c r="F87" s="409" t="s">
        <v>269</v>
      </c>
      <c r="G87" s="410" t="s">
        <v>163</v>
      </c>
      <c r="H87" s="426" t="s">
        <v>152</v>
      </c>
      <c r="I87" s="187">
        <f t="shared" si="4"/>
        <v>97500</v>
      </c>
      <c r="J87" s="379" t="s">
        <v>160</v>
      </c>
      <c r="K87" s="190">
        <f t="shared" si="5"/>
        <v>75000</v>
      </c>
      <c r="L87" s="379" t="s">
        <v>56</v>
      </c>
      <c r="M87" s="188">
        <f t="shared" si="6"/>
        <v>0</v>
      </c>
      <c r="N87" s="188">
        <f t="shared" si="7"/>
        <v>172500</v>
      </c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  <c r="BM87" s="182"/>
      <c r="BN87" s="182"/>
      <c r="BO87" s="182"/>
      <c r="BP87" s="182"/>
      <c r="BQ87" s="182"/>
      <c r="BR87" s="182"/>
      <c r="BS87" s="182"/>
      <c r="BT87" s="182"/>
      <c r="BU87" s="182"/>
      <c r="BV87" s="182"/>
      <c r="BW87" s="182"/>
      <c r="BX87" s="182"/>
      <c r="BY87" s="182"/>
      <c r="BZ87" s="182"/>
      <c r="CA87" s="182"/>
      <c r="CB87" s="182"/>
      <c r="CC87" s="182"/>
      <c r="CD87" s="182"/>
      <c r="CE87" s="182"/>
      <c r="CF87" s="182"/>
      <c r="CG87" s="182"/>
      <c r="CH87" s="182"/>
      <c r="CI87" s="182"/>
      <c r="CJ87" s="182"/>
      <c r="CK87" s="182"/>
      <c r="CL87" s="182"/>
      <c r="CM87" s="182"/>
      <c r="CN87" s="182"/>
      <c r="CO87" s="182"/>
      <c r="CP87" s="182"/>
      <c r="CQ87" s="182"/>
      <c r="CR87" s="182"/>
      <c r="CS87" s="182"/>
      <c r="CT87" s="182"/>
      <c r="CU87" s="182"/>
      <c r="CV87" s="182"/>
      <c r="CW87" s="182"/>
      <c r="CX87" s="182"/>
      <c r="CY87" s="182"/>
      <c r="CZ87" s="182"/>
      <c r="DA87" s="182"/>
      <c r="DB87" s="182"/>
      <c r="DC87" s="182"/>
      <c r="DD87" s="182"/>
      <c r="DE87" s="182"/>
      <c r="DF87" s="182"/>
      <c r="DG87" s="182"/>
      <c r="DH87" s="182"/>
      <c r="DI87" s="182"/>
      <c r="DJ87" s="182"/>
      <c r="DK87" s="182"/>
      <c r="DL87" s="182"/>
      <c r="DM87" s="182"/>
      <c r="DN87" s="182"/>
      <c r="DO87" s="182"/>
      <c r="DP87" s="182"/>
      <c r="DQ87" s="182"/>
      <c r="DR87" s="182"/>
      <c r="DS87" s="182"/>
      <c r="DT87" s="182"/>
      <c r="DU87" s="182"/>
      <c r="DV87" s="182"/>
      <c r="DW87" s="182"/>
      <c r="DX87" s="182"/>
      <c r="DY87" s="182"/>
      <c r="DZ87" s="182"/>
      <c r="EA87" s="182"/>
      <c r="EB87" s="182"/>
      <c r="EC87" s="182"/>
      <c r="ED87" s="182"/>
      <c r="EE87" s="182"/>
      <c r="EF87" s="182"/>
      <c r="EG87" s="182"/>
      <c r="EH87" s="182"/>
      <c r="EI87" s="182"/>
      <c r="EJ87" s="182"/>
      <c r="EK87" s="182"/>
      <c r="EL87" s="182"/>
      <c r="EM87" s="182"/>
      <c r="EN87" s="182"/>
      <c r="EO87" s="182"/>
      <c r="EP87" s="182"/>
      <c r="EQ87" s="182"/>
      <c r="ER87" s="182"/>
      <c r="ES87" s="182"/>
      <c r="ET87" s="182"/>
      <c r="EU87" s="182"/>
      <c r="EV87" s="182"/>
      <c r="EW87" s="182"/>
      <c r="EX87" s="182"/>
      <c r="EY87" s="182"/>
      <c r="EZ87" s="182"/>
      <c r="FA87" s="182"/>
      <c r="FB87" s="182"/>
      <c r="FC87" s="182"/>
      <c r="FD87" s="182"/>
      <c r="FE87" s="182"/>
      <c r="FF87" s="182"/>
      <c r="FG87" s="182"/>
      <c r="FH87" s="182"/>
      <c r="FI87" s="182"/>
      <c r="FJ87" s="182"/>
      <c r="FK87" s="182"/>
      <c r="FL87" s="182"/>
      <c r="FM87" s="182"/>
      <c r="FN87" s="182"/>
      <c r="FO87" s="182"/>
      <c r="FP87" s="182"/>
      <c r="FQ87" s="182"/>
      <c r="FR87" s="182"/>
      <c r="FS87" s="182"/>
      <c r="FT87" s="182"/>
      <c r="FU87" s="182"/>
      <c r="FV87" s="182"/>
      <c r="FW87" s="182"/>
      <c r="FX87" s="182"/>
      <c r="FY87" s="182"/>
      <c r="FZ87" s="182"/>
      <c r="GA87" s="182"/>
      <c r="GB87" s="182"/>
      <c r="GC87" s="182"/>
      <c r="GD87" s="182"/>
      <c r="GE87" s="182"/>
      <c r="GF87" s="182"/>
      <c r="GG87" s="182"/>
      <c r="GH87" s="182"/>
      <c r="GI87" s="182"/>
      <c r="GJ87" s="182"/>
      <c r="GK87" s="182"/>
      <c r="GL87" s="182"/>
      <c r="GM87" s="182"/>
      <c r="GN87" s="182"/>
      <c r="GO87" s="182"/>
      <c r="GP87" s="182"/>
      <c r="GQ87" s="182"/>
      <c r="GR87" s="182"/>
      <c r="GS87" s="182"/>
      <c r="GT87" s="182"/>
      <c r="GU87" s="182"/>
      <c r="GV87" s="182"/>
      <c r="GW87" s="182"/>
      <c r="GX87" s="182"/>
      <c r="GY87" s="182"/>
      <c r="GZ87" s="182"/>
      <c r="HA87" s="182"/>
      <c r="HB87" s="182"/>
      <c r="HC87" s="182"/>
      <c r="HD87" s="182"/>
      <c r="HE87" s="182"/>
      <c r="HF87" s="182"/>
      <c r="HG87" s="182"/>
      <c r="HH87" s="182"/>
      <c r="HI87" s="182"/>
      <c r="HJ87" s="182"/>
      <c r="HK87" s="182"/>
      <c r="HL87" s="182"/>
      <c r="HM87" s="182"/>
      <c r="HN87" s="182"/>
      <c r="HO87" s="182"/>
      <c r="HP87" s="182"/>
      <c r="HQ87" s="182"/>
      <c r="HR87" s="182"/>
      <c r="HS87" s="182"/>
      <c r="HT87" s="182"/>
      <c r="HU87" s="182"/>
      <c r="HV87" s="182"/>
      <c r="HW87" s="182"/>
      <c r="HX87" s="182"/>
      <c r="HY87" s="182"/>
      <c r="HZ87" s="182"/>
      <c r="IA87" s="182"/>
      <c r="IB87" s="182"/>
      <c r="IC87" s="182"/>
      <c r="ID87" s="182"/>
      <c r="IE87" s="182"/>
      <c r="IF87" s="182"/>
      <c r="IG87" s="182"/>
      <c r="IH87" s="182"/>
      <c r="II87" s="182"/>
      <c r="IJ87" s="182"/>
      <c r="IK87" s="182"/>
      <c r="IL87" s="182"/>
      <c r="IM87" s="182"/>
      <c r="IN87" s="182"/>
      <c r="IO87" s="182"/>
      <c r="IP87" s="182"/>
      <c r="IQ87" s="182"/>
    </row>
    <row r="88" spans="1:251" s="148" customFormat="1" ht="21.75" customHeight="1">
      <c r="A88" s="186">
        <v>81</v>
      </c>
      <c r="B88" s="408" t="s">
        <v>396</v>
      </c>
      <c r="C88" s="409" t="s">
        <v>474</v>
      </c>
      <c r="D88" s="410">
        <v>44</v>
      </c>
      <c r="E88" s="410"/>
      <c r="F88" s="409" t="s">
        <v>269</v>
      </c>
      <c r="G88" s="410" t="s">
        <v>162</v>
      </c>
      <c r="H88" s="426" t="s">
        <v>152</v>
      </c>
      <c r="I88" s="187">
        <f t="shared" si="4"/>
        <v>97500</v>
      </c>
      <c r="J88" s="379" t="s">
        <v>281</v>
      </c>
      <c r="K88" s="190">
        <f t="shared" si="5"/>
        <v>75000</v>
      </c>
      <c r="L88" s="379" t="s">
        <v>56</v>
      </c>
      <c r="M88" s="188">
        <f t="shared" si="6"/>
        <v>0</v>
      </c>
      <c r="N88" s="188">
        <f t="shared" si="7"/>
        <v>172500</v>
      </c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N88" s="182"/>
      <c r="BO88" s="182"/>
      <c r="BP88" s="182"/>
      <c r="BQ88" s="182"/>
      <c r="BR88" s="182"/>
      <c r="BS88" s="182"/>
      <c r="BT88" s="182"/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2"/>
      <c r="CF88" s="182"/>
      <c r="CG88" s="182"/>
      <c r="CH88" s="182"/>
      <c r="CI88" s="182"/>
      <c r="CJ88" s="182"/>
      <c r="CK88" s="182"/>
      <c r="CL88" s="182"/>
      <c r="CM88" s="182"/>
      <c r="CN88" s="182"/>
      <c r="CO88" s="182"/>
      <c r="CP88" s="182"/>
      <c r="CQ88" s="182"/>
      <c r="CR88" s="182"/>
      <c r="CS88" s="182"/>
      <c r="CT88" s="182"/>
      <c r="CU88" s="182"/>
      <c r="CV88" s="182"/>
      <c r="CW88" s="182"/>
      <c r="CX88" s="182"/>
      <c r="CY88" s="182"/>
      <c r="CZ88" s="182"/>
      <c r="DA88" s="182"/>
      <c r="DB88" s="182"/>
      <c r="DC88" s="182"/>
      <c r="DD88" s="182"/>
      <c r="DE88" s="182"/>
      <c r="DF88" s="182"/>
      <c r="DG88" s="182"/>
      <c r="DH88" s="182"/>
      <c r="DI88" s="182"/>
      <c r="DJ88" s="182"/>
      <c r="DK88" s="182"/>
      <c r="DL88" s="182"/>
      <c r="DM88" s="182"/>
      <c r="DN88" s="182"/>
      <c r="DO88" s="182"/>
      <c r="DP88" s="182"/>
      <c r="DQ88" s="182"/>
      <c r="DR88" s="182"/>
      <c r="DS88" s="182"/>
      <c r="DT88" s="182"/>
      <c r="DU88" s="182"/>
      <c r="DV88" s="182"/>
      <c r="DW88" s="182"/>
      <c r="DX88" s="182"/>
      <c r="DY88" s="182"/>
      <c r="DZ88" s="182"/>
      <c r="EA88" s="182"/>
      <c r="EB88" s="182"/>
      <c r="EC88" s="182"/>
      <c r="ED88" s="182"/>
      <c r="EE88" s="182"/>
      <c r="EF88" s="182"/>
      <c r="EG88" s="182"/>
      <c r="EH88" s="182"/>
      <c r="EI88" s="182"/>
      <c r="EJ88" s="182"/>
      <c r="EK88" s="182"/>
      <c r="EL88" s="182"/>
      <c r="EM88" s="182"/>
      <c r="EN88" s="182"/>
      <c r="EO88" s="182"/>
      <c r="EP88" s="182"/>
      <c r="EQ88" s="182"/>
      <c r="ER88" s="182"/>
      <c r="ES88" s="182"/>
      <c r="ET88" s="182"/>
      <c r="EU88" s="182"/>
      <c r="EV88" s="182"/>
      <c r="EW88" s="182"/>
      <c r="EX88" s="182"/>
      <c r="EY88" s="182"/>
      <c r="EZ88" s="182"/>
      <c r="FA88" s="182"/>
      <c r="FB88" s="182"/>
      <c r="FC88" s="182"/>
      <c r="FD88" s="182"/>
      <c r="FE88" s="182"/>
      <c r="FF88" s="182"/>
      <c r="FG88" s="182"/>
      <c r="FH88" s="182"/>
      <c r="FI88" s="182"/>
      <c r="FJ88" s="182"/>
      <c r="FK88" s="182"/>
      <c r="FL88" s="182"/>
      <c r="FM88" s="182"/>
      <c r="FN88" s="182"/>
      <c r="FO88" s="182"/>
      <c r="FP88" s="182"/>
      <c r="FQ88" s="182"/>
      <c r="FR88" s="182"/>
      <c r="FS88" s="182"/>
      <c r="FT88" s="182"/>
      <c r="FU88" s="182"/>
      <c r="FV88" s="182"/>
      <c r="FW88" s="182"/>
      <c r="FX88" s="182"/>
      <c r="FY88" s="182"/>
      <c r="FZ88" s="182"/>
      <c r="GA88" s="182"/>
      <c r="GB88" s="182"/>
      <c r="GC88" s="182"/>
      <c r="GD88" s="182"/>
      <c r="GE88" s="182"/>
      <c r="GF88" s="182"/>
      <c r="GG88" s="182"/>
      <c r="GH88" s="182"/>
      <c r="GI88" s="182"/>
      <c r="GJ88" s="182"/>
      <c r="GK88" s="182"/>
      <c r="GL88" s="182"/>
      <c r="GM88" s="182"/>
      <c r="GN88" s="182"/>
      <c r="GO88" s="182"/>
      <c r="GP88" s="182"/>
      <c r="GQ88" s="182"/>
      <c r="GR88" s="182"/>
      <c r="GS88" s="182"/>
      <c r="GT88" s="182"/>
      <c r="GU88" s="182"/>
      <c r="GV88" s="182"/>
      <c r="GW88" s="182"/>
      <c r="GX88" s="182"/>
      <c r="GY88" s="182"/>
      <c r="GZ88" s="182"/>
      <c r="HA88" s="182"/>
      <c r="HB88" s="182"/>
      <c r="HC88" s="182"/>
      <c r="HD88" s="182"/>
      <c r="HE88" s="182"/>
      <c r="HF88" s="182"/>
      <c r="HG88" s="182"/>
      <c r="HH88" s="182"/>
      <c r="HI88" s="182"/>
      <c r="HJ88" s="182"/>
      <c r="HK88" s="182"/>
      <c r="HL88" s="182"/>
      <c r="HM88" s="182"/>
      <c r="HN88" s="182"/>
      <c r="HO88" s="182"/>
      <c r="HP88" s="182"/>
      <c r="HQ88" s="182"/>
      <c r="HR88" s="182"/>
      <c r="HS88" s="182"/>
      <c r="HT88" s="182"/>
      <c r="HU88" s="182"/>
      <c r="HV88" s="182"/>
      <c r="HW88" s="182"/>
      <c r="HX88" s="182"/>
      <c r="HY88" s="182"/>
      <c r="HZ88" s="182"/>
      <c r="IA88" s="182"/>
      <c r="IB88" s="182"/>
      <c r="IC88" s="182"/>
      <c r="ID88" s="182"/>
      <c r="IE88" s="182"/>
      <c r="IF88" s="182"/>
      <c r="IG88" s="182"/>
      <c r="IH88" s="182"/>
      <c r="II88" s="182"/>
      <c r="IJ88" s="182"/>
      <c r="IK88" s="182"/>
      <c r="IL88" s="182"/>
      <c r="IM88" s="182"/>
      <c r="IN88" s="182"/>
      <c r="IO88" s="182"/>
      <c r="IP88" s="182"/>
      <c r="IQ88" s="182"/>
    </row>
    <row r="89" spans="1:251" s="148" customFormat="1" ht="21.75" customHeight="1">
      <c r="A89" s="186">
        <v>82</v>
      </c>
      <c r="B89" s="408" t="s">
        <v>407</v>
      </c>
      <c r="C89" s="409" t="s">
        <v>475</v>
      </c>
      <c r="D89" s="410"/>
      <c r="E89" s="410">
        <v>83</v>
      </c>
      <c r="F89" s="409" t="s">
        <v>476</v>
      </c>
      <c r="G89" s="410" t="s">
        <v>162</v>
      </c>
      <c r="H89" s="426" t="s">
        <v>153</v>
      </c>
      <c r="I89" s="187">
        <f t="shared" si="4"/>
        <v>97500</v>
      </c>
      <c r="J89" s="379" t="s">
        <v>161</v>
      </c>
      <c r="K89" s="190">
        <f t="shared" si="5"/>
        <v>75000</v>
      </c>
      <c r="L89" s="379" t="s">
        <v>56</v>
      </c>
      <c r="M89" s="188">
        <f t="shared" si="6"/>
        <v>0</v>
      </c>
      <c r="N89" s="188">
        <f t="shared" si="7"/>
        <v>172500</v>
      </c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82"/>
      <c r="BY89" s="182"/>
      <c r="BZ89" s="182"/>
      <c r="CA89" s="182"/>
      <c r="CB89" s="182"/>
      <c r="CC89" s="182"/>
      <c r="CD89" s="182"/>
      <c r="CE89" s="182"/>
      <c r="CF89" s="182"/>
      <c r="CG89" s="182"/>
      <c r="CH89" s="182"/>
      <c r="CI89" s="182"/>
      <c r="CJ89" s="182"/>
      <c r="CK89" s="182"/>
      <c r="CL89" s="182"/>
      <c r="CM89" s="182"/>
      <c r="CN89" s="182"/>
      <c r="CO89" s="182"/>
      <c r="CP89" s="182"/>
      <c r="CQ89" s="182"/>
      <c r="CR89" s="182"/>
      <c r="CS89" s="182"/>
      <c r="CT89" s="182"/>
      <c r="CU89" s="182"/>
      <c r="CV89" s="182"/>
      <c r="CW89" s="182"/>
      <c r="CX89" s="182"/>
      <c r="CY89" s="182"/>
      <c r="CZ89" s="182"/>
      <c r="DA89" s="182"/>
      <c r="DB89" s="182"/>
      <c r="DC89" s="182"/>
      <c r="DD89" s="182"/>
      <c r="DE89" s="182"/>
      <c r="DF89" s="182"/>
      <c r="DG89" s="182"/>
      <c r="DH89" s="182"/>
      <c r="DI89" s="182"/>
      <c r="DJ89" s="182"/>
      <c r="DK89" s="182"/>
      <c r="DL89" s="182"/>
      <c r="DM89" s="182"/>
      <c r="DN89" s="182"/>
      <c r="DO89" s="182"/>
      <c r="DP89" s="182"/>
      <c r="DQ89" s="182"/>
      <c r="DR89" s="182"/>
      <c r="DS89" s="182"/>
      <c r="DT89" s="182"/>
      <c r="DU89" s="182"/>
      <c r="DV89" s="182"/>
      <c r="DW89" s="182"/>
      <c r="DX89" s="182"/>
      <c r="DY89" s="182"/>
      <c r="DZ89" s="182"/>
      <c r="EA89" s="182"/>
      <c r="EB89" s="182"/>
      <c r="EC89" s="182"/>
      <c r="ED89" s="182"/>
      <c r="EE89" s="182"/>
      <c r="EF89" s="182"/>
      <c r="EG89" s="182"/>
      <c r="EH89" s="182"/>
      <c r="EI89" s="182"/>
      <c r="EJ89" s="182"/>
      <c r="EK89" s="182"/>
      <c r="EL89" s="182"/>
      <c r="EM89" s="182"/>
      <c r="EN89" s="182"/>
      <c r="EO89" s="182"/>
      <c r="EP89" s="182"/>
      <c r="EQ89" s="182"/>
      <c r="ER89" s="182"/>
      <c r="ES89" s="182"/>
      <c r="ET89" s="182"/>
      <c r="EU89" s="182"/>
      <c r="EV89" s="182"/>
      <c r="EW89" s="182"/>
      <c r="EX89" s="182"/>
      <c r="EY89" s="182"/>
      <c r="EZ89" s="182"/>
      <c r="FA89" s="182"/>
      <c r="FB89" s="182"/>
      <c r="FC89" s="182"/>
      <c r="FD89" s="182"/>
      <c r="FE89" s="182"/>
      <c r="FF89" s="182"/>
      <c r="FG89" s="182"/>
      <c r="FH89" s="182"/>
      <c r="FI89" s="182"/>
      <c r="FJ89" s="182"/>
      <c r="FK89" s="182"/>
      <c r="FL89" s="182"/>
      <c r="FM89" s="182"/>
      <c r="FN89" s="182"/>
      <c r="FO89" s="182"/>
      <c r="FP89" s="182"/>
      <c r="FQ89" s="182"/>
      <c r="FR89" s="182"/>
      <c r="FS89" s="182"/>
      <c r="FT89" s="182"/>
      <c r="FU89" s="182"/>
      <c r="FV89" s="182"/>
      <c r="FW89" s="182"/>
      <c r="FX89" s="182"/>
      <c r="FY89" s="182"/>
      <c r="FZ89" s="182"/>
      <c r="GA89" s="182"/>
      <c r="GB89" s="182"/>
      <c r="GC89" s="182"/>
      <c r="GD89" s="182"/>
      <c r="GE89" s="182"/>
      <c r="GF89" s="182"/>
      <c r="GG89" s="182"/>
      <c r="GH89" s="182"/>
      <c r="GI89" s="182"/>
      <c r="GJ89" s="182"/>
      <c r="GK89" s="182"/>
      <c r="GL89" s="182"/>
      <c r="GM89" s="182"/>
      <c r="GN89" s="182"/>
      <c r="GO89" s="182"/>
      <c r="GP89" s="182"/>
      <c r="GQ89" s="182"/>
      <c r="GR89" s="182"/>
      <c r="GS89" s="182"/>
      <c r="GT89" s="182"/>
      <c r="GU89" s="182"/>
      <c r="GV89" s="182"/>
      <c r="GW89" s="182"/>
      <c r="GX89" s="182"/>
      <c r="GY89" s="182"/>
      <c r="GZ89" s="182"/>
      <c r="HA89" s="182"/>
      <c r="HB89" s="182"/>
      <c r="HC89" s="182"/>
      <c r="HD89" s="182"/>
      <c r="HE89" s="182"/>
      <c r="HF89" s="182"/>
      <c r="HG89" s="182"/>
      <c r="HH89" s="182"/>
      <c r="HI89" s="182"/>
      <c r="HJ89" s="182"/>
      <c r="HK89" s="182"/>
      <c r="HL89" s="182"/>
      <c r="HM89" s="182"/>
      <c r="HN89" s="182"/>
      <c r="HO89" s="182"/>
      <c r="HP89" s="182"/>
      <c r="HQ89" s="182"/>
      <c r="HR89" s="182"/>
      <c r="HS89" s="182"/>
      <c r="HT89" s="182"/>
      <c r="HU89" s="182"/>
      <c r="HV89" s="182"/>
      <c r="HW89" s="182"/>
      <c r="HX89" s="182"/>
      <c r="HY89" s="182"/>
      <c r="HZ89" s="182"/>
      <c r="IA89" s="182"/>
      <c r="IB89" s="182"/>
      <c r="IC89" s="182"/>
      <c r="ID89" s="182"/>
      <c r="IE89" s="182"/>
      <c r="IF89" s="182"/>
      <c r="IG89" s="182"/>
      <c r="IH89" s="182"/>
      <c r="II89" s="182"/>
      <c r="IJ89" s="182"/>
      <c r="IK89" s="182"/>
      <c r="IL89" s="182"/>
      <c r="IM89" s="182"/>
      <c r="IN89" s="182"/>
      <c r="IO89" s="182"/>
      <c r="IP89" s="182"/>
      <c r="IQ89" s="182"/>
    </row>
    <row r="90" spans="1:251" s="148" customFormat="1" ht="21.75" customHeight="1">
      <c r="A90" s="186">
        <v>83</v>
      </c>
      <c r="B90" s="408" t="s">
        <v>477</v>
      </c>
      <c r="C90" s="409" t="s">
        <v>286</v>
      </c>
      <c r="D90" s="410">
        <v>86</v>
      </c>
      <c r="E90" s="410"/>
      <c r="F90" s="409" t="s">
        <v>174</v>
      </c>
      <c r="G90" s="410" t="s">
        <v>162</v>
      </c>
      <c r="H90" s="426" t="s">
        <v>152</v>
      </c>
      <c r="I90" s="187">
        <f t="shared" si="4"/>
        <v>97500</v>
      </c>
      <c r="J90" s="379" t="s">
        <v>157</v>
      </c>
      <c r="K90" s="190">
        <f t="shared" si="5"/>
        <v>75000</v>
      </c>
      <c r="L90" s="379" t="s">
        <v>56</v>
      </c>
      <c r="M90" s="188">
        <f t="shared" si="6"/>
        <v>0</v>
      </c>
      <c r="N90" s="188">
        <f t="shared" si="7"/>
        <v>172500</v>
      </c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N90" s="182"/>
      <c r="BO90" s="182"/>
      <c r="BP90" s="182"/>
      <c r="BQ90" s="182"/>
      <c r="BR90" s="182"/>
      <c r="BS90" s="182"/>
      <c r="BT90" s="182"/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2"/>
      <c r="CF90" s="182"/>
      <c r="CG90" s="182"/>
      <c r="CH90" s="182"/>
      <c r="CI90" s="182"/>
      <c r="CJ90" s="182"/>
      <c r="CK90" s="182"/>
      <c r="CL90" s="182"/>
      <c r="CM90" s="182"/>
      <c r="CN90" s="182"/>
      <c r="CO90" s="182"/>
      <c r="CP90" s="182"/>
      <c r="CQ90" s="182"/>
      <c r="CR90" s="182"/>
      <c r="CS90" s="182"/>
      <c r="CT90" s="182"/>
      <c r="CU90" s="182"/>
      <c r="CV90" s="182"/>
      <c r="CW90" s="182"/>
      <c r="CX90" s="182"/>
      <c r="CY90" s="182"/>
      <c r="CZ90" s="182"/>
      <c r="DA90" s="182"/>
      <c r="DB90" s="182"/>
      <c r="DC90" s="182"/>
      <c r="DD90" s="182"/>
      <c r="DE90" s="182"/>
      <c r="DF90" s="182"/>
      <c r="DG90" s="182"/>
      <c r="DH90" s="182"/>
      <c r="DI90" s="182"/>
      <c r="DJ90" s="182"/>
      <c r="DK90" s="182"/>
      <c r="DL90" s="182"/>
      <c r="DM90" s="182"/>
      <c r="DN90" s="182"/>
      <c r="DO90" s="182"/>
      <c r="DP90" s="182"/>
      <c r="DQ90" s="182"/>
      <c r="DR90" s="182"/>
      <c r="DS90" s="182"/>
      <c r="DT90" s="182"/>
      <c r="DU90" s="182"/>
      <c r="DV90" s="182"/>
      <c r="DW90" s="182"/>
      <c r="DX90" s="182"/>
      <c r="DY90" s="182"/>
      <c r="DZ90" s="182"/>
      <c r="EA90" s="182"/>
      <c r="EB90" s="182"/>
      <c r="EC90" s="182"/>
      <c r="ED90" s="182"/>
      <c r="EE90" s="182"/>
      <c r="EF90" s="182"/>
      <c r="EG90" s="182"/>
      <c r="EH90" s="182"/>
      <c r="EI90" s="182"/>
      <c r="EJ90" s="182"/>
      <c r="EK90" s="182"/>
      <c r="EL90" s="182"/>
      <c r="EM90" s="182"/>
      <c r="EN90" s="182"/>
      <c r="EO90" s="182"/>
      <c r="EP90" s="182"/>
      <c r="EQ90" s="182"/>
      <c r="ER90" s="182"/>
      <c r="ES90" s="182"/>
      <c r="ET90" s="182"/>
      <c r="EU90" s="182"/>
      <c r="EV90" s="182"/>
      <c r="EW90" s="182"/>
      <c r="EX90" s="182"/>
      <c r="EY90" s="182"/>
      <c r="EZ90" s="182"/>
      <c r="FA90" s="182"/>
      <c r="FB90" s="182"/>
      <c r="FC90" s="182"/>
      <c r="FD90" s="182"/>
      <c r="FE90" s="182"/>
      <c r="FF90" s="182"/>
      <c r="FG90" s="182"/>
      <c r="FH90" s="182"/>
      <c r="FI90" s="182"/>
      <c r="FJ90" s="182"/>
      <c r="FK90" s="182"/>
      <c r="FL90" s="182"/>
      <c r="FM90" s="182"/>
      <c r="FN90" s="182"/>
      <c r="FO90" s="182"/>
      <c r="FP90" s="182"/>
      <c r="FQ90" s="182"/>
      <c r="FR90" s="182"/>
      <c r="FS90" s="182"/>
      <c r="FT90" s="182"/>
      <c r="FU90" s="182"/>
      <c r="FV90" s="182"/>
      <c r="FW90" s="182"/>
      <c r="FX90" s="182"/>
      <c r="FY90" s="182"/>
      <c r="FZ90" s="182"/>
      <c r="GA90" s="182"/>
      <c r="GB90" s="182"/>
      <c r="GC90" s="182"/>
      <c r="GD90" s="182"/>
      <c r="GE90" s="182"/>
      <c r="GF90" s="182"/>
      <c r="GG90" s="182"/>
      <c r="GH90" s="182"/>
      <c r="GI90" s="182"/>
      <c r="GJ90" s="182"/>
      <c r="GK90" s="182"/>
      <c r="GL90" s="182"/>
      <c r="GM90" s="182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182"/>
      <c r="HQ90" s="182"/>
      <c r="HR90" s="182"/>
      <c r="HS90" s="182"/>
      <c r="HT90" s="182"/>
      <c r="HU90" s="182"/>
      <c r="HV90" s="182"/>
      <c r="HW90" s="182"/>
      <c r="HX90" s="182"/>
      <c r="HY90" s="182"/>
      <c r="HZ90" s="182"/>
      <c r="IA90" s="182"/>
      <c r="IB90" s="182"/>
      <c r="IC90" s="182"/>
      <c r="ID90" s="182"/>
      <c r="IE90" s="182"/>
      <c r="IF90" s="182"/>
      <c r="IG90" s="182"/>
      <c r="IH90" s="182"/>
      <c r="II90" s="182"/>
      <c r="IJ90" s="182"/>
      <c r="IK90" s="182"/>
      <c r="IL90" s="182"/>
      <c r="IM90" s="182"/>
      <c r="IN90" s="182"/>
      <c r="IO90" s="182"/>
      <c r="IP90" s="182"/>
      <c r="IQ90" s="182"/>
    </row>
    <row r="91" spans="1:251" s="148" customFormat="1" ht="21.75" customHeight="1">
      <c r="A91" s="186">
        <v>84</v>
      </c>
      <c r="B91" s="408" t="s">
        <v>477</v>
      </c>
      <c r="C91" s="409" t="s">
        <v>478</v>
      </c>
      <c r="D91" s="410"/>
      <c r="E91" s="410">
        <v>21</v>
      </c>
      <c r="F91" s="409" t="s">
        <v>466</v>
      </c>
      <c r="G91" s="410" t="s">
        <v>162</v>
      </c>
      <c r="H91" s="426" t="s">
        <v>152</v>
      </c>
      <c r="I91" s="187">
        <f t="shared" si="4"/>
        <v>97500</v>
      </c>
      <c r="J91" s="379" t="s">
        <v>281</v>
      </c>
      <c r="K91" s="190">
        <f t="shared" si="5"/>
        <v>75000</v>
      </c>
      <c r="L91" s="379" t="s">
        <v>56</v>
      </c>
      <c r="M91" s="188">
        <f t="shared" si="6"/>
        <v>0</v>
      </c>
      <c r="N91" s="188">
        <f t="shared" si="7"/>
        <v>172500</v>
      </c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2"/>
      <c r="BN91" s="182"/>
      <c r="BO91" s="182"/>
      <c r="BP91" s="182"/>
      <c r="BQ91" s="182"/>
      <c r="BR91" s="182"/>
      <c r="BS91" s="182"/>
      <c r="BT91" s="182"/>
      <c r="BU91" s="182"/>
      <c r="BV91" s="182"/>
      <c r="BW91" s="182"/>
      <c r="BX91" s="182"/>
      <c r="BY91" s="182"/>
      <c r="BZ91" s="182"/>
      <c r="CA91" s="182"/>
      <c r="CB91" s="182"/>
      <c r="CC91" s="182"/>
      <c r="CD91" s="182"/>
      <c r="CE91" s="182"/>
      <c r="CF91" s="182"/>
      <c r="CG91" s="182"/>
      <c r="CH91" s="182"/>
      <c r="CI91" s="182"/>
      <c r="CJ91" s="182"/>
      <c r="CK91" s="182"/>
      <c r="CL91" s="182"/>
      <c r="CM91" s="182"/>
      <c r="CN91" s="182"/>
      <c r="CO91" s="182"/>
      <c r="CP91" s="182"/>
      <c r="CQ91" s="182"/>
      <c r="CR91" s="182"/>
      <c r="CS91" s="182"/>
      <c r="CT91" s="182"/>
      <c r="CU91" s="182"/>
      <c r="CV91" s="182"/>
      <c r="CW91" s="182"/>
      <c r="CX91" s="182"/>
      <c r="CY91" s="182"/>
      <c r="CZ91" s="182"/>
      <c r="DA91" s="182"/>
      <c r="DB91" s="182"/>
      <c r="DC91" s="182"/>
      <c r="DD91" s="182"/>
      <c r="DE91" s="182"/>
      <c r="DF91" s="182"/>
      <c r="DG91" s="182"/>
      <c r="DH91" s="182"/>
      <c r="DI91" s="182"/>
      <c r="DJ91" s="182"/>
      <c r="DK91" s="182"/>
      <c r="DL91" s="182"/>
      <c r="DM91" s="182"/>
      <c r="DN91" s="182"/>
      <c r="DO91" s="182"/>
      <c r="DP91" s="182"/>
      <c r="DQ91" s="182"/>
      <c r="DR91" s="182"/>
      <c r="DS91" s="182"/>
      <c r="DT91" s="182"/>
      <c r="DU91" s="182"/>
      <c r="DV91" s="182"/>
      <c r="DW91" s="182"/>
      <c r="DX91" s="182"/>
      <c r="DY91" s="182"/>
      <c r="DZ91" s="182"/>
      <c r="EA91" s="182"/>
      <c r="EB91" s="182"/>
      <c r="EC91" s="182"/>
      <c r="ED91" s="182"/>
      <c r="EE91" s="182"/>
      <c r="EF91" s="182"/>
      <c r="EG91" s="182"/>
      <c r="EH91" s="182"/>
      <c r="EI91" s="182"/>
      <c r="EJ91" s="182"/>
      <c r="EK91" s="182"/>
      <c r="EL91" s="182"/>
      <c r="EM91" s="182"/>
      <c r="EN91" s="182"/>
      <c r="EO91" s="182"/>
      <c r="EP91" s="182"/>
      <c r="EQ91" s="182"/>
      <c r="ER91" s="182"/>
      <c r="ES91" s="182"/>
      <c r="ET91" s="182"/>
      <c r="EU91" s="182"/>
      <c r="EV91" s="182"/>
      <c r="EW91" s="182"/>
      <c r="EX91" s="182"/>
      <c r="EY91" s="182"/>
      <c r="EZ91" s="182"/>
      <c r="FA91" s="182"/>
      <c r="FB91" s="182"/>
      <c r="FC91" s="182"/>
      <c r="FD91" s="182"/>
      <c r="FE91" s="182"/>
      <c r="FF91" s="182"/>
      <c r="FG91" s="182"/>
      <c r="FH91" s="182"/>
      <c r="FI91" s="182"/>
      <c r="FJ91" s="182"/>
      <c r="FK91" s="182"/>
      <c r="FL91" s="182"/>
      <c r="FM91" s="182"/>
      <c r="FN91" s="182"/>
      <c r="FO91" s="182"/>
      <c r="FP91" s="182"/>
      <c r="FQ91" s="182"/>
      <c r="FR91" s="182"/>
      <c r="FS91" s="182"/>
      <c r="FT91" s="182"/>
      <c r="FU91" s="182"/>
      <c r="FV91" s="182"/>
      <c r="FW91" s="182"/>
      <c r="FX91" s="182"/>
      <c r="FY91" s="182"/>
      <c r="FZ91" s="182"/>
      <c r="GA91" s="182"/>
      <c r="GB91" s="182"/>
      <c r="GC91" s="182"/>
      <c r="GD91" s="182"/>
      <c r="GE91" s="182"/>
      <c r="GF91" s="182"/>
      <c r="GG91" s="182"/>
      <c r="GH91" s="182"/>
      <c r="GI91" s="182"/>
      <c r="GJ91" s="182"/>
      <c r="GK91" s="182"/>
      <c r="GL91" s="182"/>
      <c r="GM91" s="182"/>
      <c r="GN91" s="182"/>
      <c r="GO91" s="182"/>
      <c r="GP91" s="182"/>
      <c r="GQ91" s="182"/>
      <c r="GR91" s="182"/>
      <c r="GS91" s="182"/>
      <c r="GT91" s="182"/>
      <c r="GU91" s="182"/>
      <c r="GV91" s="182"/>
      <c r="GW91" s="182"/>
      <c r="GX91" s="182"/>
      <c r="GY91" s="182"/>
      <c r="GZ91" s="182"/>
      <c r="HA91" s="182"/>
      <c r="HB91" s="182"/>
      <c r="HC91" s="182"/>
      <c r="HD91" s="182"/>
      <c r="HE91" s="182"/>
      <c r="HF91" s="182"/>
      <c r="HG91" s="182"/>
      <c r="HH91" s="182"/>
      <c r="HI91" s="182"/>
      <c r="HJ91" s="182"/>
      <c r="HK91" s="182"/>
      <c r="HL91" s="182"/>
      <c r="HM91" s="182"/>
      <c r="HN91" s="182"/>
      <c r="HO91" s="182"/>
      <c r="HP91" s="182"/>
      <c r="HQ91" s="182"/>
      <c r="HR91" s="182"/>
      <c r="HS91" s="182"/>
      <c r="HT91" s="182"/>
      <c r="HU91" s="182"/>
      <c r="HV91" s="182"/>
      <c r="HW91" s="182"/>
      <c r="HX91" s="182"/>
      <c r="HY91" s="182"/>
      <c r="HZ91" s="182"/>
      <c r="IA91" s="182"/>
      <c r="IB91" s="182"/>
      <c r="IC91" s="182"/>
      <c r="ID91" s="182"/>
      <c r="IE91" s="182"/>
      <c r="IF91" s="182"/>
      <c r="IG91" s="182"/>
      <c r="IH91" s="182"/>
      <c r="II91" s="182"/>
      <c r="IJ91" s="182"/>
      <c r="IK91" s="182"/>
      <c r="IL91" s="182"/>
      <c r="IM91" s="182"/>
      <c r="IN91" s="182"/>
      <c r="IO91" s="182"/>
      <c r="IP91" s="182"/>
      <c r="IQ91" s="182"/>
    </row>
    <row r="92" spans="1:251" s="148" customFormat="1" ht="21.75" customHeight="1">
      <c r="A92" s="186">
        <v>85</v>
      </c>
      <c r="B92" s="408" t="s">
        <v>411</v>
      </c>
      <c r="C92" s="409" t="s">
        <v>479</v>
      </c>
      <c r="D92" s="410">
        <v>22</v>
      </c>
      <c r="E92" s="410"/>
      <c r="F92" s="409" t="s">
        <v>480</v>
      </c>
      <c r="G92" s="410" t="s">
        <v>162</v>
      </c>
      <c r="H92" s="426" t="s">
        <v>155</v>
      </c>
      <c r="I92" s="187">
        <f t="shared" si="4"/>
        <v>97500</v>
      </c>
      <c r="J92" s="379" t="s">
        <v>159</v>
      </c>
      <c r="K92" s="190">
        <f t="shared" si="5"/>
        <v>75000</v>
      </c>
      <c r="L92" s="379" t="s">
        <v>56</v>
      </c>
      <c r="M92" s="188">
        <f t="shared" si="6"/>
        <v>0</v>
      </c>
      <c r="N92" s="188">
        <f t="shared" si="7"/>
        <v>172500</v>
      </c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2"/>
      <c r="BN92" s="182"/>
      <c r="BO92" s="182"/>
      <c r="BP92" s="182"/>
      <c r="BQ92" s="182"/>
      <c r="BR92" s="182"/>
      <c r="BS92" s="182"/>
      <c r="BT92" s="182"/>
      <c r="BU92" s="182"/>
      <c r="BV92" s="182"/>
      <c r="BW92" s="182"/>
      <c r="BX92" s="182"/>
      <c r="BY92" s="182"/>
      <c r="BZ92" s="182"/>
      <c r="CA92" s="182"/>
      <c r="CB92" s="182"/>
      <c r="CC92" s="182"/>
      <c r="CD92" s="182"/>
      <c r="CE92" s="182"/>
      <c r="CF92" s="182"/>
      <c r="CG92" s="182"/>
      <c r="CH92" s="182"/>
      <c r="CI92" s="182"/>
      <c r="CJ92" s="182"/>
      <c r="CK92" s="182"/>
      <c r="CL92" s="182"/>
      <c r="CM92" s="182"/>
      <c r="CN92" s="182"/>
      <c r="CO92" s="182"/>
      <c r="CP92" s="182"/>
      <c r="CQ92" s="182"/>
      <c r="CR92" s="182"/>
      <c r="CS92" s="182"/>
      <c r="CT92" s="182"/>
      <c r="CU92" s="182"/>
      <c r="CV92" s="182"/>
      <c r="CW92" s="182"/>
      <c r="CX92" s="182"/>
      <c r="CY92" s="182"/>
      <c r="CZ92" s="182"/>
      <c r="DA92" s="182"/>
      <c r="DB92" s="182"/>
      <c r="DC92" s="182"/>
      <c r="DD92" s="182"/>
      <c r="DE92" s="182"/>
      <c r="DF92" s="182"/>
      <c r="DG92" s="182"/>
      <c r="DH92" s="182"/>
      <c r="DI92" s="182"/>
      <c r="DJ92" s="182"/>
      <c r="DK92" s="182"/>
      <c r="DL92" s="182"/>
      <c r="DM92" s="182"/>
      <c r="DN92" s="182"/>
      <c r="DO92" s="182"/>
      <c r="DP92" s="182"/>
      <c r="DQ92" s="182"/>
      <c r="DR92" s="182"/>
      <c r="DS92" s="182"/>
      <c r="DT92" s="182"/>
      <c r="DU92" s="182"/>
      <c r="DV92" s="182"/>
      <c r="DW92" s="182"/>
      <c r="DX92" s="182"/>
      <c r="DY92" s="182"/>
      <c r="DZ92" s="182"/>
      <c r="EA92" s="182"/>
      <c r="EB92" s="182"/>
      <c r="EC92" s="182"/>
      <c r="ED92" s="182"/>
      <c r="EE92" s="182"/>
      <c r="EF92" s="182"/>
      <c r="EG92" s="182"/>
      <c r="EH92" s="182"/>
      <c r="EI92" s="182"/>
      <c r="EJ92" s="182"/>
      <c r="EK92" s="182"/>
      <c r="EL92" s="182"/>
      <c r="EM92" s="182"/>
      <c r="EN92" s="182"/>
      <c r="EO92" s="182"/>
      <c r="EP92" s="182"/>
      <c r="EQ92" s="182"/>
      <c r="ER92" s="182"/>
      <c r="ES92" s="182"/>
      <c r="ET92" s="182"/>
      <c r="EU92" s="182"/>
      <c r="EV92" s="182"/>
      <c r="EW92" s="182"/>
      <c r="EX92" s="182"/>
      <c r="EY92" s="182"/>
      <c r="EZ92" s="182"/>
      <c r="FA92" s="182"/>
      <c r="FB92" s="182"/>
      <c r="FC92" s="182"/>
      <c r="FD92" s="182"/>
      <c r="FE92" s="182"/>
      <c r="FF92" s="182"/>
      <c r="FG92" s="182"/>
      <c r="FH92" s="182"/>
      <c r="FI92" s="182"/>
      <c r="FJ92" s="182"/>
      <c r="FK92" s="182"/>
      <c r="FL92" s="182"/>
      <c r="FM92" s="182"/>
      <c r="FN92" s="182"/>
      <c r="FO92" s="182"/>
      <c r="FP92" s="182"/>
      <c r="FQ92" s="182"/>
      <c r="FR92" s="182"/>
      <c r="FS92" s="182"/>
      <c r="FT92" s="182"/>
      <c r="FU92" s="182"/>
      <c r="FV92" s="182"/>
      <c r="FW92" s="182"/>
      <c r="FX92" s="182"/>
      <c r="FY92" s="182"/>
      <c r="FZ92" s="182"/>
      <c r="GA92" s="182"/>
      <c r="GB92" s="182"/>
      <c r="GC92" s="182"/>
      <c r="GD92" s="182"/>
      <c r="GE92" s="182"/>
      <c r="GF92" s="182"/>
      <c r="GG92" s="182"/>
      <c r="GH92" s="182"/>
      <c r="GI92" s="182"/>
      <c r="GJ92" s="182"/>
      <c r="GK92" s="182"/>
      <c r="GL92" s="182"/>
      <c r="GM92" s="182"/>
      <c r="GN92" s="182"/>
      <c r="GO92" s="182"/>
      <c r="GP92" s="182"/>
      <c r="GQ92" s="182"/>
      <c r="GR92" s="182"/>
      <c r="GS92" s="182"/>
      <c r="GT92" s="182"/>
      <c r="GU92" s="182"/>
      <c r="GV92" s="182"/>
      <c r="GW92" s="182"/>
      <c r="GX92" s="182"/>
      <c r="GY92" s="182"/>
      <c r="GZ92" s="182"/>
      <c r="HA92" s="182"/>
      <c r="HB92" s="182"/>
      <c r="HC92" s="182"/>
      <c r="HD92" s="182"/>
      <c r="HE92" s="182"/>
      <c r="HF92" s="182"/>
      <c r="HG92" s="182"/>
      <c r="HH92" s="182"/>
      <c r="HI92" s="182"/>
      <c r="HJ92" s="182"/>
      <c r="HK92" s="182"/>
      <c r="HL92" s="182"/>
      <c r="HM92" s="182"/>
      <c r="HN92" s="182"/>
      <c r="HO92" s="182"/>
      <c r="HP92" s="182"/>
      <c r="HQ92" s="182"/>
      <c r="HR92" s="182"/>
      <c r="HS92" s="182"/>
      <c r="HT92" s="182"/>
      <c r="HU92" s="182"/>
      <c r="HV92" s="182"/>
      <c r="HW92" s="182"/>
      <c r="HX92" s="182"/>
      <c r="HY92" s="182"/>
      <c r="HZ92" s="182"/>
      <c r="IA92" s="182"/>
      <c r="IB92" s="182"/>
      <c r="IC92" s="182"/>
      <c r="ID92" s="182"/>
      <c r="IE92" s="182"/>
      <c r="IF92" s="182"/>
      <c r="IG92" s="182"/>
      <c r="IH92" s="182"/>
      <c r="II92" s="182"/>
      <c r="IJ92" s="182"/>
      <c r="IK92" s="182"/>
      <c r="IL92" s="182"/>
      <c r="IM92" s="182"/>
      <c r="IN92" s="182"/>
      <c r="IO92" s="182"/>
      <c r="IP92" s="182"/>
      <c r="IQ92" s="182"/>
    </row>
    <row r="93" spans="1:251" s="148" customFormat="1" ht="21.75" customHeight="1">
      <c r="A93" s="186">
        <v>86</v>
      </c>
      <c r="B93" s="408" t="s">
        <v>411</v>
      </c>
      <c r="C93" s="409" t="s">
        <v>286</v>
      </c>
      <c r="D93" s="410">
        <v>86</v>
      </c>
      <c r="E93" s="410"/>
      <c r="F93" s="409" t="s">
        <v>269</v>
      </c>
      <c r="G93" s="410" t="s">
        <v>162</v>
      </c>
      <c r="H93" s="426" t="s">
        <v>153</v>
      </c>
      <c r="I93" s="187">
        <f t="shared" si="4"/>
        <v>97500</v>
      </c>
      <c r="J93" s="379" t="s">
        <v>280</v>
      </c>
      <c r="K93" s="190">
        <f t="shared" si="5"/>
        <v>75000</v>
      </c>
      <c r="L93" s="379" t="s">
        <v>56</v>
      </c>
      <c r="M93" s="188">
        <f t="shared" si="6"/>
        <v>0</v>
      </c>
      <c r="N93" s="188">
        <f t="shared" si="7"/>
        <v>172500</v>
      </c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2"/>
      <c r="BN93" s="182"/>
      <c r="BO93" s="182"/>
      <c r="BP93" s="182"/>
      <c r="BQ93" s="182"/>
      <c r="BR93" s="182"/>
      <c r="BS93" s="182"/>
      <c r="BT93" s="182"/>
      <c r="BU93" s="182"/>
      <c r="BV93" s="182"/>
      <c r="BW93" s="182"/>
      <c r="BX93" s="182"/>
      <c r="BY93" s="182"/>
      <c r="BZ93" s="182"/>
      <c r="CA93" s="182"/>
      <c r="CB93" s="182"/>
      <c r="CC93" s="182"/>
      <c r="CD93" s="182"/>
      <c r="CE93" s="182"/>
      <c r="CF93" s="182"/>
      <c r="CG93" s="182"/>
      <c r="CH93" s="182"/>
      <c r="CI93" s="182"/>
      <c r="CJ93" s="182"/>
      <c r="CK93" s="182"/>
      <c r="CL93" s="182"/>
      <c r="CM93" s="182"/>
      <c r="CN93" s="182"/>
      <c r="CO93" s="182"/>
      <c r="CP93" s="182"/>
      <c r="CQ93" s="182"/>
      <c r="CR93" s="182"/>
      <c r="CS93" s="182"/>
      <c r="CT93" s="182"/>
      <c r="CU93" s="182"/>
      <c r="CV93" s="182"/>
      <c r="CW93" s="182"/>
      <c r="CX93" s="182"/>
      <c r="CY93" s="182"/>
      <c r="CZ93" s="182"/>
      <c r="DA93" s="182"/>
      <c r="DB93" s="182"/>
      <c r="DC93" s="182"/>
      <c r="DD93" s="182"/>
      <c r="DE93" s="182"/>
      <c r="DF93" s="182"/>
      <c r="DG93" s="182"/>
      <c r="DH93" s="182"/>
      <c r="DI93" s="182"/>
      <c r="DJ93" s="182"/>
      <c r="DK93" s="182"/>
      <c r="DL93" s="182"/>
      <c r="DM93" s="182"/>
      <c r="DN93" s="182"/>
      <c r="DO93" s="182"/>
      <c r="DP93" s="182"/>
      <c r="DQ93" s="182"/>
      <c r="DR93" s="182"/>
      <c r="DS93" s="182"/>
      <c r="DT93" s="182"/>
      <c r="DU93" s="182"/>
      <c r="DV93" s="182"/>
      <c r="DW93" s="182"/>
      <c r="DX93" s="182"/>
      <c r="DY93" s="182"/>
      <c r="DZ93" s="182"/>
      <c r="EA93" s="182"/>
      <c r="EB93" s="182"/>
      <c r="EC93" s="182"/>
      <c r="ED93" s="182"/>
      <c r="EE93" s="182"/>
      <c r="EF93" s="182"/>
      <c r="EG93" s="182"/>
      <c r="EH93" s="182"/>
      <c r="EI93" s="182"/>
      <c r="EJ93" s="182"/>
      <c r="EK93" s="182"/>
      <c r="EL93" s="182"/>
      <c r="EM93" s="182"/>
      <c r="EN93" s="182"/>
      <c r="EO93" s="182"/>
      <c r="EP93" s="182"/>
      <c r="EQ93" s="182"/>
      <c r="ER93" s="182"/>
      <c r="ES93" s="182"/>
      <c r="ET93" s="182"/>
      <c r="EU93" s="182"/>
      <c r="EV93" s="182"/>
      <c r="EW93" s="182"/>
      <c r="EX93" s="182"/>
      <c r="EY93" s="182"/>
      <c r="EZ93" s="182"/>
      <c r="FA93" s="182"/>
      <c r="FB93" s="182"/>
      <c r="FC93" s="182"/>
      <c r="FD93" s="182"/>
      <c r="FE93" s="182"/>
      <c r="FF93" s="182"/>
      <c r="FG93" s="182"/>
      <c r="FH93" s="182"/>
      <c r="FI93" s="182"/>
      <c r="FJ93" s="182"/>
      <c r="FK93" s="182"/>
      <c r="FL93" s="182"/>
      <c r="FM93" s="182"/>
      <c r="FN93" s="182"/>
      <c r="FO93" s="182"/>
      <c r="FP93" s="182"/>
      <c r="FQ93" s="182"/>
      <c r="FR93" s="182"/>
      <c r="FS93" s="182"/>
      <c r="FT93" s="182"/>
      <c r="FU93" s="182"/>
      <c r="FV93" s="182"/>
      <c r="FW93" s="182"/>
      <c r="FX93" s="182"/>
      <c r="FY93" s="182"/>
      <c r="FZ93" s="182"/>
      <c r="GA93" s="182"/>
      <c r="GB93" s="182"/>
      <c r="GC93" s="182"/>
      <c r="GD93" s="182"/>
      <c r="GE93" s="182"/>
      <c r="GF93" s="182"/>
      <c r="GG93" s="182"/>
      <c r="GH93" s="182"/>
      <c r="GI93" s="182"/>
      <c r="GJ93" s="182"/>
      <c r="GK93" s="182"/>
      <c r="GL93" s="182"/>
      <c r="GM93" s="182"/>
      <c r="GN93" s="182"/>
      <c r="GO93" s="182"/>
      <c r="GP93" s="182"/>
      <c r="GQ93" s="182"/>
      <c r="GR93" s="182"/>
      <c r="GS93" s="182"/>
      <c r="GT93" s="182"/>
      <c r="GU93" s="182"/>
      <c r="GV93" s="182"/>
      <c r="GW93" s="182"/>
      <c r="GX93" s="182"/>
      <c r="GY93" s="182"/>
      <c r="GZ93" s="182"/>
      <c r="HA93" s="182"/>
      <c r="HB93" s="182"/>
      <c r="HC93" s="182"/>
      <c r="HD93" s="182"/>
      <c r="HE93" s="182"/>
      <c r="HF93" s="182"/>
      <c r="HG93" s="182"/>
      <c r="HH93" s="182"/>
      <c r="HI93" s="182"/>
      <c r="HJ93" s="182"/>
      <c r="HK93" s="182"/>
      <c r="HL93" s="182"/>
      <c r="HM93" s="182"/>
      <c r="HN93" s="182"/>
      <c r="HO93" s="182"/>
      <c r="HP93" s="182"/>
      <c r="HQ93" s="182"/>
      <c r="HR93" s="182"/>
      <c r="HS93" s="182"/>
      <c r="HT93" s="182"/>
      <c r="HU93" s="182"/>
      <c r="HV93" s="182"/>
      <c r="HW93" s="182"/>
      <c r="HX93" s="182"/>
      <c r="HY93" s="182"/>
      <c r="HZ93" s="182"/>
      <c r="IA93" s="182"/>
      <c r="IB93" s="182"/>
      <c r="IC93" s="182"/>
      <c r="ID93" s="182"/>
      <c r="IE93" s="182"/>
      <c r="IF93" s="182"/>
      <c r="IG93" s="182"/>
      <c r="IH93" s="182"/>
      <c r="II93" s="182"/>
      <c r="IJ93" s="182"/>
      <c r="IK93" s="182"/>
      <c r="IL93" s="182"/>
      <c r="IM93" s="182"/>
      <c r="IN93" s="182"/>
      <c r="IO93" s="182"/>
      <c r="IP93" s="182"/>
      <c r="IQ93" s="182"/>
    </row>
    <row r="94" spans="1:251" s="148" customFormat="1" ht="21.75" customHeight="1">
      <c r="A94" s="186">
        <v>87</v>
      </c>
      <c r="B94" s="408" t="s">
        <v>419</v>
      </c>
      <c r="C94" s="409" t="s">
        <v>286</v>
      </c>
      <c r="D94" s="410">
        <v>86</v>
      </c>
      <c r="E94" s="410"/>
      <c r="F94" s="409" t="s">
        <v>481</v>
      </c>
      <c r="G94" s="410" t="s">
        <v>163</v>
      </c>
      <c r="H94" s="426" t="s">
        <v>155</v>
      </c>
      <c r="I94" s="187">
        <f t="shared" si="4"/>
        <v>97500</v>
      </c>
      <c r="J94" s="379" t="s">
        <v>158</v>
      </c>
      <c r="K94" s="190">
        <f t="shared" si="5"/>
        <v>75000</v>
      </c>
      <c r="L94" s="379" t="s">
        <v>56</v>
      </c>
      <c r="M94" s="188">
        <f t="shared" si="6"/>
        <v>0</v>
      </c>
      <c r="N94" s="188">
        <f t="shared" si="7"/>
        <v>172500</v>
      </c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182"/>
      <c r="BN94" s="182"/>
      <c r="BO94" s="182"/>
      <c r="BP94" s="182"/>
      <c r="BQ94" s="182"/>
      <c r="BR94" s="182"/>
      <c r="BS94" s="182"/>
      <c r="BT94" s="182"/>
      <c r="BU94" s="182"/>
      <c r="BV94" s="182"/>
      <c r="BW94" s="182"/>
      <c r="BX94" s="182"/>
      <c r="BY94" s="182"/>
      <c r="BZ94" s="182"/>
      <c r="CA94" s="182"/>
      <c r="CB94" s="182"/>
      <c r="CC94" s="182"/>
      <c r="CD94" s="182"/>
      <c r="CE94" s="182"/>
      <c r="CF94" s="182"/>
      <c r="CG94" s="182"/>
      <c r="CH94" s="182"/>
      <c r="CI94" s="182"/>
      <c r="CJ94" s="182"/>
      <c r="CK94" s="182"/>
      <c r="CL94" s="182"/>
      <c r="CM94" s="182"/>
      <c r="CN94" s="182"/>
      <c r="CO94" s="182"/>
      <c r="CP94" s="182"/>
      <c r="CQ94" s="182"/>
      <c r="CR94" s="182"/>
      <c r="CS94" s="182"/>
      <c r="CT94" s="182"/>
      <c r="CU94" s="182"/>
      <c r="CV94" s="182"/>
      <c r="CW94" s="182"/>
      <c r="CX94" s="182"/>
      <c r="CY94" s="182"/>
      <c r="CZ94" s="182"/>
      <c r="DA94" s="182"/>
      <c r="DB94" s="182"/>
      <c r="DC94" s="182"/>
      <c r="DD94" s="182"/>
      <c r="DE94" s="182"/>
      <c r="DF94" s="182"/>
      <c r="DG94" s="182"/>
      <c r="DH94" s="182"/>
      <c r="DI94" s="182"/>
      <c r="DJ94" s="182"/>
      <c r="DK94" s="182"/>
      <c r="DL94" s="182"/>
      <c r="DM94" s="182"/>
      <c r="DN94" s="182"/>
      <c r="DO94" s="182"/>
      <c r="DP94" s="182"/>
      <c r="DQ94" s="182"/>
      <c r="DR94" s="182"/>
      <c r="DS94" s="182"/>
      <c r="DT94" s="182"/>
      <c r="DU94" s="182"/>
      <c r="DV94" s="182"/>
      <c r="DW94" s="182"/>
      <c r="DX94" s="182"/>
      <c r="DY94" s="182"/>
      <c r="DZ94" s="182"/>
      <c r="EA94" s="182"/>
      <c r="EB94" s="182"/>
      <c r="EC94" s="182"/>
      <c r="ED94" s="182"/>
      <c r="EE94" s="182"/>
      <c r="EF94" s="182"/>
      <c r="EG94" s="182"/>
      <c r="EH94" s="182"/>
      <c r="EI94" s="182"/>
      <c r="EJ94" s="182"/>
      <c r="EK94" s="182"/>
      <c r="EL94" s="182"/>
      <c r="EM94" s="182"/>
      <c r="EN94" s="182"/>
      <c r="EO94" s="182"/>
      <c r="EP94" s="182"/>
      <c r="EQ94" s="182"/>
      <c r="ER94" s="182"/>
      <c r="ES94" s="182"/>
      <c r="ET94" s="182"/>
      <c r="EU94" s="182"/>
      <c r="EV94" s="182"/>
      <c r="EW94" s="182"/>
      <c r="EX94" s="182"/>
      <c r="EY94" s="182"/>
      <c r="EZ94" s="182"/>
      <c r="FA94" s="182"/>
      <c r="FB94" s="182"/>
      <c r="FC94" s="182"/>
      <c r="FD94" s="182"/>
      <c r="FE94" s="182"/>
      <c r="FF94" s="182"/>
      <c r="FG94" s="182"/>
      <c r="FH94" s="182"/>
      <c r="FI94" s="182"/>
      <c r="FJ94" s="182"/>
      <c r="FK94" s="182"/>
      <c r="FL94" s="182"/>
      <c r="FM94" s="182"/>
      <c r="FN94" s="182"/>
      <c r="FO94" s="182"/>
      <c r="FP94" s="182"/>
      <c r="FQ94" s="182"/>
      <c r="FR94" s="182"/>
      <c r="FS94" s="182"/>
      <c r="FT94" s="182"/>
      <c r="FU94" s="182"/>
      <c r="FV94" s="182"/>
      <c r="FW94" s="182"/>
      <c r="FX94" s="182"/>
      <c r="FY94" s="182"/>
      <c r="FZ94" s="182"/>
      <c r="GA94" s="182"/>
      <c r="GB94" s="182"/>
      <c r="GC94" s="182"/>
      <c r="GD94" s="182"/>
      <c r="GE94" s="182"/>
      <c r="GF94" s="182"/>
      <c r="GG94" s="182"/>
      <c r="GH94" s="182"/>
      <c r="GI94" s="182"/>
      <c r="GJ94" s="182"/>
      <c r="GK94" s="182"/>
      <c r="GL94" s="182"/>
      <c r="GM94" s="182"/>
      <c r="GN94" s="182"/>
      <c r="GO94" s="182"/>
      <c r="GP94" s="182"/>
      <c r="GQ94" s="182"/>
      <c r="GR94" s="182"/>
      <c r="GS94" s="182"/>
      <c r="GT94" s="182"/>
      <c r="GU94" s="182"/>
      <c r="GV94" s="182"/>
      <c r="GW94" s="182"/>
      <c r="GX94" s="182"/>
      <c r="GY94" s="182"/>
      <c r="GZ94" s="182"/>
      <c r="HA94" s="182"/>
      <c r="HB94" s="182"/>
      <c r="HC94" s="182"/>
      <c r="HD94" s="182"/>
      <c r="HE94" s="182"/>
      <c r="HF94" s="182"/>
      <c r="HG94" s="182"/>
      <c r="HH94" s="182"/>
      <c r="HI94" s="182"/>
      <c r="HJ94" s="182"/>
      <c r="HK94" s="182"/>
      <c r="HL94" s="182"/>
      <c r="HM94" s="182"/>
      <c r="HN94" s="182"/>
      <c r="HO94" s="182"/>
      <c r="HP94" s="182"/>
      <c r="HQ94" s="182"/>
      <c r="HR94" s="182"/>
      <c r="HS94" s="182"/>
      <c r="HT94" s="182"/>
      <c r="HU94" s="182"/>
      <c r="HV94" s="182"/>
      <c r="HW94" s="182"/>
      <c r="HX94" s="182"/>
      <c r="HY94" s="182"/>
      <c r="HZ94" s="182"/>
      <c r="IA94" s="182"/>
      <c r="IB94" s="182"/>
      <c r="IC94" s="182"/>
      <c r="ID94" s="182"/>
      <c r="IE94" s="182"/>
      <c r="IF94" s="182"/>
      <c r="IG94" s="182"/>
      <c r="IH94" s="182"/>
      <c r="II94" s="182"/>
      <c r="IJ94" s="182"/>
      <c r="IK94" s="182"/>
      <c r="IL94" s="182"/>
      <c r="IM94" s="182"/>
      <c r="IN94" s="182"/>
      <c r="IO94" s="182"/>
      <c r="IP94" s="182"/>
      <c r="IQ94" s="182"/>
    </row>
    <row r="95" spans="1:251" s="148" customFormat="1" ht="21.75" customHeight="1">
      <c r="A95" s="186">
        <v>88</v>
      </c>
      <c r="B95" s="408" t="s">
        <v>419</v>
      </c>
      <c r="C95" s="409" t="s">
        <v>383</v>
      </c>
      <c r="D95" s="410">
        <v>71</v>
      </c>
      <c r="E95" s="410"/>
      <c r="F95" s="409" t="s">
        <v>269</v>
      </c>
      <c r="G95" s="410" t="s">
        <v>163</v>
      </c>
      <c r="H95" s="426" t="s">
        <v>152</v>
      </c>
      <c r="I95" s="187">
        <f t="shared" si="4"/>
        <v>97500</v>
      </c>
      <c r="J95" s="379" t="s">
        <v>173</v>
      </c>
      <c r="K95" s="190">
        <f t="shared" si="5"/>
        <v>75000</v>
      </c>
      <c r="L95" s="379" t="s">
        <v>56</v>
      </c>
      <c r="M95" s="188">
        <f t="shared" si="6"/>
        <v>0</v>
      </c>
      <c r="N95" s="188">
        <f t="shared" si="7"/>
        <v>172500</v>
      </c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N95" s="182"/>
      <c r="BO95" s="182"/>
      <c r="BP95" s="182"/>
      <c r="BQ95" s="182"/>
      <c r="BR95" s="182"/>
      <c r="BS95" s="182"/>
      <c r="BT95" s="182"/>
      <c r="BU95" s="182"/>
      <c r="BV95" s="182"/>
      <c r="BW95" s="182"/>
      <c r="BX95" s="182"/>
      <c r="BY95" s="182"/>
      <c r="BZ95" s="182"/>
      <c r="CA95" s="182"/>
      <c r="CB95" s="182"/>
      <c r="CC95" s="182"/>
      <c r="CD95" s="182"/>
      <c r="CE95" s="182"/>
      <c r="CF95" s="182"/>
      <c r="CG95" s="182"/>
      <c r="CH95" s="182"/>
      <c r="CI95" s="182"/>
      <c r="CJ95" s="182"/>
      <c r="CK95" s="182"/>
      <c r="CL95" s="182"/>
      <c r="CM95" s="182"/>
      <c r="CN95" s="182"/>
      <c r="CO95" s="182"/>
      <c r="CP95" s="182"/>
      <c r="CQ95" s="182"/>
      <c r="CR95" s="182"/>
      <c r="CS95" s="182"/>
      <c r="CT95" s="182"/>
      <c r="CU95" s="182"/>
      <c r="CV95" s="182"/>
      <c r="CW95" s="182"/>
      <c r="CX95" s="182"/>
      <c r="CY95" s="182"/>
      <c r="CZ95" s="182"/>
      <c r="DA95" s="182"/>
      <c r="DB95" s="182"/>
      <c r="DC95" s="182"/>
      <c r="DD95" s="182"/>
      <c r="DE95" s="182"/>
      <c r="DF95" s="182"/>
      <c r="DG95" s="182"/>
      <c r="DH95" s="182"/>
      <c r="DI95" s="182"/>
      <c r="DJ95" s="182"/>
      <c r="DK95" s="182"/>
      <c r="DL95" s="182"/>
      <c r="DM95" s="182"/>
      <c r="DN95" s="182"/>
      <c r="DO95" s="182"/>
      <c r="DP95" s="182"/>
      <c r="DQ95" s="182"/>
      <c r="DR95" s="182"/>
      <c r="DS95" s="182"/>
      <c r="DT95" s="182"/>
      <c r="DU95" s="182"/>
      <c r="DV95" s="182"/>
      <c r="DW95" s="182"/>
      <c r="DX95" s="182"/>
      <c r="DY95" s="182"/>
      <c r="DZ95" s="182"/>
      <c r="EA95" s="182"/>
      <c r="EB95" s="182"/>
      <c r="EC95" s="182"/>
      <c r="ED95" s="182"/>
      <c r="EE95" s="182"/>
      <c r="EF95" s="182"/>
      <c r="EG95" s="182"/>
      <c r="EH95" s="182"/>
      <c r="EI95" s="182"/>
      <c r="EJ95" s="182"/>
      <c r="EK95" s="182"/>
      <c r="EL95" s="182"/>
      <c r="EM95" s="182"/>
      <c r="EN95" s="182"/>
      <c r="EO95" s="182"/>
      <c r="EP95" s="182"/>
      <c r="EQ95" s="182"/>
      <c r="ER95" s="182"/>
      <c r="ES95" s="182"/>
      <c r="ET95" s="182"/>
      <c r="EU95" s="182"/>
      <c r="EV95" s="182"/>
      <c r="EW95" s="182"/>
      <c r="EX95" s="182"/>
      <c r="EY95" s="182"/>
      <c r="EZ95" s="182"/>
      <c r="FA95" s="182"/>
      <c r="FB95" s="182"/>
      <c r="FC95" s="182"/>
      <c r="FD95" s="182"/>
      <c r="FE95" s="182"/>
      <c r="FF95" s="182"/>
      <c r="FG95" s="182"/>
      <c r="FH95" s="182"/>
      <c r="FI95" s="182"/>
      <c r="FJ95" s="182"/>
      <c r="FK95" s="182"/>
      <c r="FL95" s="182"/>
      <c r="FM95" s="182"/>
      <c r="FN95" s="182"/>
      <c r="FO95" s="182"/>
      <c r="FP95" s="182"/>
      <c r="FQ95" s="182"/>
      <c r="FR95" s="182"/>
      <c r="FS95" s="182"/>
      <c r="FT95" s="182"/>
      <c r="FU95" s="182"/>
      <c r="FV95" s="182"/>
      <c r="FW95" s="182"/>
      <c r="FX95" s="182"/>
      <c r="FY95" s="182"/>
      <c r="FZ95" s="182"/>
      <c r="GA95" s="182"/>
      <c r="GB95" s="182"/>
      <c r="GC95" s="182"/>
      <c r="GD95" s="182"/>
      <c r="GE95" s="182"/>
      <c r="GF95" s="182"/>
      <c r="GG95" s="182"/>
      <c r="GH95" s="182"/>
      <c r="GI95" s="182"/>
      <c r="GJ95" s="182"/>
      <c r="GK95" s="182"/>
      <c r="GL95" s="182"/>
      <c r="GM95" s="182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182"/>
      <c r="HQ95" s="182"/>
      <c r="HR95" s="182"/>
      <c r="HS95" s="182"/>
      <c r="HT95" s="182"/>
      <c r="HU95" s="182"/>
      <c r="HV95" s="182"/>
      <c r="HW95" s="182"/>
      <c r="HX95" s="182"/>
      <c r="HY95" s="182"/>
      <c r="HZ95" s="182"/>
      <c r="IA95" s="182"/>
      <c r="IB95" s="182"/>
      <c r="IC95" s="182"/>
      <c r="ID95" s="182"/>
      <c r="IE95" s="182"/>
      <c r="IF95" s="182"/>
      <c r="IG95" s="182"/>
      <c r="IH95" s="182"/>
      <c r="II95" s="182"/>
      <c r="IJ95" s="182"/>
      <c r="IK95" s="182"/>
      <c r="IL95" s="182"/>
      <c r="IM95" s="182"/>
      <c r="IN95" s="182"/>
      <c r="IO95" s="182"/>
      <c r="IP95" s="182"/>
      <c r="IQ95" s="182"/>
    </row>
    <row r="96" spans="1:251" s="148" customFormat="1" ht="21.75" customHeight="1">
      <c r="A96" s="186">
        <v>89</v>
      </c>
      <c r="B96" s="408" t="s">
        <v>419</v>
      </c>
      <c r="C96" s="409" t="s">
        <v>482</v>
      </c>
      <c r="D96" s="410">
        <v>71</v>
      </c>
      <c r="E96" s="410"/>
      <c r="F96" s="409" t="s">
        <v>269</v>
      </c>
      <c r="G96" s="410" t="s">
        <v>162</v>
      </c>
      <c r="H96" s="426" t="s">
        <v>150</v>
      </c>
      <c r="I96" s="187">
        <f t="shared" si="4"/>
        <v>97500</v>
      </c>
      <c r="J96" s="379" t="s">
        <v>152</v>
      </c>
      <c r="K96" s="190">
        <f t="shared" si="5"/>
        <v>75000</v>
      </c>
      <c r="L96" s="379" t="s">
        <v>56</v>
      </c>
      <c r="M96" s="188">
        <f t="shared" si="6"/>
        <v>0</v>
      </c>
      <c r="N96" s="188">
        <f t="shared" si="7"/>
        <v>172500</v>
      </c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2"/>
      <c r="BL96" s="182"/>
      <c r="BM96" s="182"/>
      <c r="BN96" s="182"/>
      <c r="BO96" s="182"/>
      <c r="BP96" s="182"/>
      <c r="BQ96" s="182"/>
      <c r="BR96" s="182"/>
      <c r="BS96" s="182"/>
      <c r="BT96" s="182"/>
      <c r="BU96" s="182"/>
      <c r="BV96" s="182"/>
      <c r="BW96" s="182"/>
      <c r="BX96" s="182"/>
      <c r="BY96" s="182"/>
      <c r="BZ96" s="182"/>
      <c r="CA96" s="182"/>
      <c r="CB96" s="182"/>
      <c r="CC96" s="182"/>
      <c r="CD96" s="182"/>
      <c r="CE96" s="182"/>
      <c r="CF96" s="182"/>
      <c r="CG96" s="182"/>
      <c r="CH96" s="182"/>
      <c r="CI96" s="182"/>
      <c r="CJ96" s="182"/>
      <c r="CK96" s="182"/>
      <c r="CL96" s="182"/>
      <c r="CM96" s="182"/>
      <c r="CN96" s="182"/>
      <c r="CO96" s="182"/>
      <c r="CP96" s="182"/>
      <c r="CQ96" s="182"/>
      <c r="CR96" s="182"/>
      <c r="CS96" s="182"/>
      <c r="CT96" s="182"/>
      <c r="CU96" s="182"/>
      <c r="CV96" s="182"/>
      <c r="CW96" s="182"/>
      <c r="CX96" s="182"/>
      <c r="CY96" s="182"/>
      <c r="CZ96" s="182"/>
      <c r="DA96" s="182"/>
      <c r="DB96" s="182"/>
      <c r="DC96" s="182"/>
      <c r="DD96" s="182"/>
      <c r="DE96" s="182"/>
      <c r="DF96" s="182"/>
      <c r="DG96" s="182"/>
      <c r="DH96" s="182"/>
      <c r="DI96" s="182"/>
      <c r="DJ96" s="182"/>
      <c r="DK96" s="182"/>
      <c r="DL96" s="182"/>
      <c r="DM96" s="182"/>
      <c r="DN96" s="182"/>
      <c r="DO96" s="182"/>
      <c r="DP96" s="182"/>
      <c r="DQ96" s="182"/>
      <c r="DR96" s="182"/>
      <c r="DS96" s="182"/>
      <c r="DT96" s="182"/>
      <c r="DU96" s="182"/>
      <c r="DV96" s="182"/>
      <c r="DW96" s="182"/>
      <c r="DX96" s="182"/>
      <c r="DY96" s="182"/>
      <c r="DZ96" s="182"/>
      <c r="EA96" s="182"/>
      <c r="EB96" s="182"/>
      <c r="EC96" s="182"/>
      <c r="ED96" s="182"/>
      <c r="EE96" s="182"/>
      <c r="EF96" s="182"/>
      <c r="EG96" s="182"/>
      <c r="EH96" s="182"/>
      <c r="EI96" s="182"/>
      <c r="EJ96" s="182"/>
      <c r="EK96" s="182"/>
      <c r="EL96" s="182"/>
      <c r="EM96" s="182"/>
      <c r="EN96" s="182"/>
      <c r="EO96" s="182"/>
      <c r="EP96" s="182"/>
      <c r="EQ96" s="182"/>
      <c r="ER96" s="182"/>
      <c r="ES96" s="182"/>
      <c r="ET96" s="182"/>
      <c r="EU96" s="182"/>
      <c r="EV96" s="182"/>
      <c r="EW96" s="182"/>
      <c r="EX96" s="182"/>
      <c r="EY96" s="182"/>
      <c r="EZ96" s="182"/>
      <c r="FA96" s="182"/>
      <c r="FB96" s="182"/>
      <c r="FC96" s="182"/>
      <c r="FD96" s="182"/>
      <c r="FE96" s="182"/>
      <c r="FF96" s="182"/>
      <c r="FG96" s="182"/>
      <c r="FH96" s="182"/>
      <c r="FI96" s="182"/>
      <c r="FJ96" s="182"/>
      <c r="FK96" s="182"/>
      <c r="FL96" s="182"/>
      <c r="FM96" s="182"/>
      <c r="FN96" s="182"/>
      <c r="FO96" s="182"/>
      <c r="FP96" s="182"/>
      <c r="FQ96" s="182"/>
      <c r="FR96" s="182"/>
      <c r="FS96" s="182"/>
      <c r="FT96" s="182"/>
      <c r="FU96" s="182"/>
      <c r="FV96" s="182"/>
      <c r="FW96" s="182"/>
      <c r="FX96" s="182"/>
      <c r="FY96" s="182"/>
      <c r="FZ96" s="182"/>
      <c r="GA96" s="182"/>
      <c r="GB96" s="182"/>
      <c r="GC96" s="182"/>
      <c r="GD96" s="182"/>
      <c r="GE96" s="182"/>
      <c r="GF96" s="182"/>
      <c r="GG96" s="182"/>
      <c r="GH96" s="182"/>
      <c r="GI96" s="182"/>
      <c r="GJ96" s="182"/>
      <c r="GK96" s="182"/>
      <c r="GL96" s="182"/>
      <c r="GM96" s="182"/>
      <c r="GN96" s="182"/>
      <c r="GO96" s="182"/>
      <c r="GP96" s="182"/>
      <c r="GQ96" s="182"/>
      <c r="GR96" s="182"/>
      <c r="GS96" s="182"/>
      <c r="GT96" s="182"/>
      <c r="GU96" s="182"/>
      <c r="GV96" s="182"/>
      <c r="GW96" s="182"/>
      <c r="GX96" s="182"/>
      <c r="GY96" s="182"/>
      <c r="GZ96" s="182"/>
      <c r="HA96" s="182"/>
      <c r="HB96" s="182"/>
      <c r="HC96" s="182"/>
      <c r="HD96" s="182"/>
      <c r="HE96" s="182"/>
      <c r="HF96" s="182"/>
      <c r="HG96" s="182"/>
      <c r="HH96" s="182"/>
      <c r="HI96" s="182"/>
      <c r="HJ96" s="182"/>
      <c r="HK96" s="182"/>
      <c r="HL96" s="182"/>
      <c r="HM96" s="182"/>
      <c r="HN96" s="182"/>
      <c r="HO96" s="182"/>
      <c r="HP96" s="182"/>
      <c r="HQ96" s="182"/>
      <c r="HR96" s="182"/>
      <c r="HS96" s="182"/>
      <c r="HT96" s="182"/>
      <c r="HU96" s="182"/>
      <c r="HV96" s="182"/>
      <c r="HW96" s="182"/>
      <c r="HX96" s="182"/>
      <c r="HY96" s="182"/>
      <c r="HZ96" s="182"/>
      <c r="IA96" s="182"/>
      <c r="IB96" s="182"/>
      <c r="IC96" s="182"/>
      <c r="ID96" s="182"/>
      <c r="IE96" s="182"/>
      <c r="IF96" s="182"/>
      <c r="IG96" s="182"/>
      <c r="IH96" s="182"/>
      <c r="II96" s="182"/>
      <c r="IJ96" s="182"/>
      <c r="IK96" s="182"/>
      <c r="IL96" s="182"/>
      <c r="IM96" s="182"/>
      <c r="IN96" s="182"/>
      <c r="IO96" s="182"/>
      <c r="IP96" s="182"/>
      <c r="IQ96" s="182"/>
    </row>
    <row r="97" spans="1:251" s="148" customFormat="1" ht="21.75" customHeight="1">
      <c r="A97" s="186">
        <v>90</v>
      </c>
      <c r="B97" s="408" t="s">
        <v>419</v>
      </c>
      <c r="C97" s="409" t="s">
        <v>474</v>
      </c>
      <c r="D97" s="410">
        <v>44</v>
      </c>
      <c r="E97" s="410"/>
      <c r="F97" s="409" t="s">
        <v>483</v>
      </c>
      <c r="G97" s="410" t="s">
        <v>162</v>
      </c>
      <c r="H97" s="426" t="s">
        <v>152</v>
      </c>
      <c r="I97" s="187">
        <f t="shared" si="4"/>
        <v>97500</v>
      </c>
      <c r="J97" s="379" t="s">
        <v>280</v>
      </c>
      <c r="K97" s="190">
        <f t="shared" si="5"/>
        <v>75000</v>
      </c>
      <c r="L97" s="379" t="s">
        <v>56</v>
      </c>
      <c r="M97" s="188">
        <f t="shared" si="6"/>
        <v>0</v>
      </c>
      <c r="N97" s="188">
        <f t="shared" si="7"/>
        <v>172500</v>
      </c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  <c r="BG97" s="182"/>
      <c r="BH97" s="182"/>
      <c r="BI97" s="182"/>
      <c r="BJ97" s="182"/>
      <c r="BK97" s="182"/>
      <c r="BL97" s="182"/>
      <c r="BM97" s="182"/>
      <c r="BN97" s="182"/>
      <c r="BO97" s="182"/>
      <c r="BP97" s="182"/>
      <c r="BQ97" s="182"/>
      <c r="BR97" s="182"/>
      <c r="BS97" s="182"/>
      <c r="BT97" s="182"/>
      <c r="BU97" s="182"/>
      <c r="BV97" s="182"/>
      <c r="BW97" s="182"/>
      <c r="BX97" s="182"/>
      <c r="BY97" s="182"/>
      <c r="BZ97" s="182"/>
      <c r="CA97" s="182"/>
      <c r="CB97" s="182"/>
      <c r="CC97" s="182"/>
      <c r="CD97" s="182"/>
      <c r="CE97" s="182"/>
      <c r="CF97" s="182"/>
      <c r="CG97" s="182"/>
      <c r="CH97" s="182"/>
      <c r="CI97" s="182"/>
      <c r="CJ97" s="182"/>
      <c r="CK97" s="182"/>
      <c r="CL97" s="182"/>
      <c r="CM97" s="182"/>
      <c r="CN97" s="182"/>
      <c r="CO97" s="182"/>
      <c r="CP97" s="182"/>
      <c r="CQ97" s="182"/>
      <c r="CR97" s="182"/>
      <c r="CS97" s="182"/>
      <c r="CT97" s="182"/>
      <c r="CU97" s="182"/>
      <c r="CV97" s="182"/>
      <c r="CW97" s="182"/>
      <c r="CX97" s="182"/>
      <c r="CY97" s="182"/>
      <c r="CZ97" s="182"/>
      <c r="DA97" s="182"/>
      <c r="DB97" s="182"/>
      <c r="DC97" s="182"/>
      <c r="DD97" s="182"/>
      <c r="DE97" s="182"/>
      <c r="DF97" s="182"/>
      <c r="DG97" s="182"/>
      <c r="DH97" s="182"/>
      <c r="DI97" s="182"/>
      <c r="DJ97" s="182"/>
      <c r="DK97" s="182"/>
      <c r="DL97" s="182"/>
      <c r="DM97" s="182"/>
      <c r="DN97" s="182"/>
      <c r="DO97" s="182"/>
      <c r="DP97" s="182"/>
      <c r="DQ97" s="182"/>
      <c r="DR97" s="182"/>
      <c r="DS97" s="182"/>
      <c r="DT97" s="182"/>
      <c r="DU97" s="182"/>
      <c r="DV97" s="182"/>
      <c r="DW97" s="182"/>
      <c r="DX97" s="182"/>
      <c r="DY97" s="182"/>
      <c r="DZ97" s="182"/>
      <c r="EA97" s="182"/>
      <c r="EB97" s="182"/>
      <c r="EC97" s="182"/>
      <c r="ED97" s="182"/>
      <c r="EE97" s="182"/>
      <c r="EF97" s="182"/>
      <c r="EG97" s="182"/>
      <c r="EH97" s="182"/>
      <c r="EI97" s="182"/>
      <c r="EJ97" s="182"/>
      <c r="EK97" s="182"/>
      <c r="EL97" s="182"/>
      <c r="EM97" s="182"/>
      <c r="EN97" s="182"/>
      <c r="EO97" s="182"/>
      <c r="EP97" s="182"/>
      <c r="EQ97" s="182"/>
      <c r="ER97" s="182"/>
      <c r="ES97" s="182"/>
      <c r="ET97" s="182"/>
      <c r="EU97" s="182"/>
      <c r="EV97" s="182"/>
      <c r="EW97" s="182"/>
      <c r="EX97" s="182"/>
      <c r="EY97" s="182"/>
      <c r="EZ97" s="182"/>
      <c r="FA97" s="182"/>
      <c r="FB97" s="182"/>
      <c r="FC97" s="182"/>
      <c r="FD97" s="182"/>
      <c r="FE97" s="182"/>
      <c r="FF97" s="182"/>
      <c r="FG97" s="182"/>
      <c r="FH97" s="182"/>
      <c r="FI97" s="182"/>
      <c r="FJ97" s="182"/>
      <c r="FK97" s="182"/>
      <c r="FL97" s="182"/>
      <c r="FM97" s="182"/>
      <c r="FN97" s="182"/>
      <c r="FO97" s="182"/>
      <c r="FP97" s="182"/>
      <c r="FQ97" s="182"/>
      <c r="FR97" s="182"/>
      <c r="FS97" s="182"/>
      <c r="FT97" s="182"/>
      <c r="FU97" s="182"/>
      <c r="FV97" s="182"/>
      <c r="FW97" s="182"/>
      <c r="FX97" s="182"/>
      <c r="FY97" s="182"/>
      <c r="FZ97" s="182"/>
      <c r="GA97" s="182"/>
      <c r="GB97" s="182"/>
      <c r="GC97" s="182"/>
      <c r="GD97" s="182"/>
      <c r="GE97" s="182"/>
      <c r="GF97" s="182"/>
      <c r="GG97" s="182"/>
      <c r="GH97" s="182"/>
      <c r="GI97" s="182"/>
      <c r="GJ97" s="182"/>
      <c r="GK97" s="182"/>
      <c r="GL97" s="182"/>
      <c r="GM97" s="182"/>
      <c r="GN97" s="182"/>
      <c r="GO97" s="182"/>
      <c r="GP97" s="182"/>
      <c r="GQ97" s="182"/>
      <c r="GR97" s="182"/>
      <c r="GS97" s="182"/>
      <c r="GT97" s="182"/>
      <c r="GU97" s="182"/>
      <c r="GV97" s="182"/>
      <c r="GW97" s="182"/>
      <c r="GX97" s="182"/>
      <c r="GY97" s="182"/>
      <c r="GZ97" s="182"/>
      <c r="HA97" s="182"/>
      <c r="HB97" s="182"/>
      <c r="HC97" s="182"/>
      <c r="HD97" s="182"/>
      <c r="HE97" s="182"/>
      <c r="HF97" s="182"/>
      <c r="HG97" s="182"/>
      <c r="HH97" s="182"/>
      <c r="HI97" s="182"/>
      <c r="HJ97" s="182"/>
      <c r="HK97" s="182"/>
      <c r="HL97" s="182"/>
      <c r="HM97" s="182"/>
      <c r="HN97" s="182"/>
      <c r="HO97" s="182"/>
      <c r="HP97" s="182"/>
      <c r="HQ97" s="182"/>
      <c r="HR97" s="182"/>
      <c r="HS97" s="182"/>
      <c r="HT97" s="182"/>
      <c r="HU97" s="182"/>
      <c r="HV97" s="182"/>
      <c r="HW97" s="182"/>
      <c r="HX97" s="182"/>
      <c r="HY97" s="182"/>
      <c r="HZ97" s="182"/>
      <c r="IA97" s="182"/>
      <c r="IB97" s="182"/>
      <c r="IC97" s="182"/>
      <c r="ID97" s="182"/>
      <c r="IE97" s="182"/>
      <c r="IF97" s="182"/>
      <c r="IG97" s="182"/>
      <c r="IH97" s="182"/>
      <c r="II97" s="182"/>
      <c r="IJ97" s="182"/>
      <c r="IK97" s="182"/>
      <c r="IL97" s="182"/>
      <c r="IM97" s="182"/>
      <c r="IN97" s="182"/>
      <c r="IO97" s="182"/>
      <c r="IP97" s="182"/>
      <c r="IQ97" s="182"/>
    </row>
    <row r="98" spans="1:251" s="148" customFormat="1" ht="21.75" customHeight="1">
      <c r="A98" s="186">
        <v>91</v>
      </c>
      <c r="B98" s="408" t="s">
        <v>423</v>
      </c>
      <c r="C98" s="409" t="s">
        <v>484</v>
      </c>
      <c r="D98" s="410">
        <v>20</v>
      </c>
      <c r="E98" s="410"/>
      <c r="F98" s="409" t="s">
        <v>269</v>
      </c>
      <c r="G98" s="410" t="s">
        <v>163</v>
      </c>
      <c r="H98" s="426" t="s">
        <v>154</v>
      </c>
      <c r="I98" s="187">
        <f t="shared" si="4"/>
        <v>97500</v>
      </c>
      <c r="J98" s="379" t="s">
        <v>159</v>
      </c>
      <c r="K98" s="190">
        <f t="shared" si="5"/>
        <v>75000</v>
      </c>
      <c r="L98" s="379" t="s">
        <v>56</v>
      </c>
      <c r="M98" s="188">
        <f t="shared" si="6"/>
        <v>0</v>
      </c>
      <c r="N98" s="188">
        <f t="shared" si="7"/>
        <v>172500</v>
      </c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2"/>
      <c r="BL98" s="182"/>
      <c r="BM98" s="182"/>
      <c r="BN98" s="182"/>
      <c r="BO98" s="182"/>
      <c r="BP98" s="182"/>
      <c r="BQ98" s="182"/>
      <c r="BR98" s="182"/>
      <c r="BS98" s="182"/>
      <c r="BT98" s="182"/>
      <c r="BU98" s="182"/>
      <c r="BV98" s="182"/>
      <c r="BW98" s="182"/>
      <c r="BX98" s="182"/>
      <c r="BY98" s="182"/>
      <c r="BZ98" s="182"/>
      <c r="CA98" s="182"/>
      <c r="CB98" s="182"/>
      <c r="CC98" s="182"/>
      <c r="CD98" s="182"/>
      <c r="CE98" s="182"/>
      <c r="CF98" s="182"/>
      <c r="CG98" s="182"/>
      <c r="CH98" s="182"/>
      <c r="CI98" s="182"/>
      <c r="CJ98" s="182"/>
      <c r="CK98" s="182"/>
      <c r="CL98" s="182"/>
      <c r="CM98" s="182"/>
      <c r="CN98" s="182"/>
      <c r="CO98" s="182"/>
      <c r="CP98" s="182"/>
      <c r="CQ98" s="182"/>
      <c r="CR98" s="182"/>
      <c r="CS98" s="182"/>
      <c r="CT98" s="182"/>
      <c r="CU98" s="182"/>
      <c r="CV98" s="182"/>
      <c r="CW98" s="182"/>
      <c r="CX98" s="182"/>
      <c r="CY98" s="182"/>
      <c r="CZ98" s="182"/>
      <c r="DA98" s="182"/>
      <c r="DB98" s="182"/>
      <c r="DC98" s="182"/>
      <c r="DD98" s="182"/>
      <c r="DE98" s="182"/>
      <c r="DF98" s="182"/>
      <c r="DG98" s="182"/>
      <c r="DH98" s="182"/>
      <c r="DI98" s="182"/>
      <c r="DJ98" s="182"/>
      <c r="DK98" s="182"/>
      <c r="DL98" s="182"/>
      <c r="DM98" s="182"/>
      <c r="DN98" s="182"/>
      <c r="DO98" s="182"/>
      <c r="DP98" s="182"/>
      <c r="DQ98" s="182"/>
      <c r="DR98" s="182"/>
      <c r="DS98" s="182"/>
      <c r="DT98" s="182"/>
      <c r="DU98" s="182"/>
      <c r="DV98" s="182"/>
      <c r="DW98" s="182"/>
      <c r="DX98" s="182"/>
      <c r="DY98" s="182"/>
      <c r="DZ98" s="182"/>
      <c r="EA98" s="182"/>
      <c r="EB98" s="182"/>
      <c r="EC98" s="182"/>
      <c r="ED98" s="182"/>
      <c r="EE98" s="182"/>
      <c r="EF98" s="182"/>
      <c r="EG98" s="182"/>
      <c r="EH98" s="182"/>
      <c r="EI98" s="182"/>
      <c r="EJ98" s="182"/>
      <c r="EK98" s="182"/>
      <c r="EL98" s="182"/>
      <c r="EM98" s="182"/>
      <c r="EN98" s="182"/>
      <c r="EO98" s="182"/>
      <c r="EP98" s="182"/>
      <c r="EQ98" s="182"/>
      <c r="ER98" s="182"/>
      <c r="ES98" s="182"/>
      <c r="ET98" s="182"/>
      <c r="EU98" s="182"/>
      <c r="EV98" s="182"/>
      <c r="EW98" s="182"/>
      <c r="EX98" s="182"/>
      <c r="EY98" s="182"/>
      <c r="EZ98" s="182"/>
      <c r="FA98" s="182"/>
      <c r="FB98" s="182"/>
      <c r="FC98" s="182"/>
      <c r="FD98" s="182"/>
      <c r="FE98" s="182"/>
      <c r="FF98" s="182"/>
      <c r="FG98" s="182"/>
      <c r="FH98" s="182"/>
      <c r="FI98" s="182"/>
      <c r="FJ98" s="182"/>
      <c r="FK98" s="182"/>
      <c r="FL98" s="182"/>
      <c r="FM98" s="182"/>
      <c r="FN98" s="182"/>
      <c r="FO98" s="182"/>
      <c r="FP98" s="182"/>
      <c r="FQ98" s="182"/>
      <c r="FR98" s="182"/>
      <c r="FS98" s="182"/>
      <c r="FT98" s="182"/>
      <c r="FU98" s="182"/>
      <c r="FV98" s="182"/>
      <c r="FW98" s="182"/>
      <c r="FX98" s="182"/>
      <c r="FY98" s="182"/>
      <c r="FZ98" s="182"/>
      <c r="GA98" s="182"/>
      <c r="GB98" s="182"/>
      <c r="GC98" s="182"/>
      <c r="GD98" s="182"/>
      <c r="GE98" s="182"/>
      <c r="GF98" s="182"/>
      <c r="GG98" s="182"/>
      <c r="GH98" s="182"/>
      <c r="GI98" s="182"/>
      <c r="GJ98" s="182"/>
      <c r="GK98" s="182"/>
      <c r="GL98" s="182"/>
      <c r="GM98" s="182"/>
      <c r="GN98" s="182"/>
      <c r="GO98" s="182"/>
      <c r="GP98" s="182"/>
      <c r="GQ98" s="182"/>
      <c r="GR98" s="182"/>
      <c r="GS98" s="182"/>
      <c r="GT98" s="182"/>
      <c r="GU98" s="182"/>
      <c r="GV98" s="182"/>
      <c r="GW98" s="182"/>
      <c r="GX98" s="182"/>
      <c r="GY98" s="182"/>
      <c r="GZ98" s="182"/>
      <c r="HA98" s="182"/>
      <c r="HB98" s="182"/>
      <c r="HC98" s="182"/>
      <c r="HD98" s="182"/>
      <c r="HE98" s="182"/>
      <c r="HF98" s="182"/>
      <c r="HG98" s="182"/>
      <c r="HH98" s="182"/>
      <c r="HI98" s="182"/>
      <c r="HJ98" s="182"/>
      <c r="HK98" s="182"/>
      <c r="HL98" s="182"/>
      <c r="HM98" s="182"/>
      <c r="HN98" s="182"/>
      <c r="HO98" s="182"/>
      <c r="HP98" s="182"/>
      <c r="HQ98" s="182"/>
      <c r="HR98" s="182"/>
      <c r="HS98" s="182"/>
      <c r="HT98" s="182"/>
      <c r="HU98" s="182"/>
      <c r="HV98" s="182"/>
      <c r="HW98" s="182"/>
      <c r="HX98" s="182"/>
      <c r="HY98" s="182"/>
      <c r="HZ98" s="182"/>
      <c r="IA98" s="182"/>
      <c r="IB98" s="182"/>
      <c r="IC98" s="182"/>
      <c r="ID98" s="182"/>
      <c r="IE98" s="182"/>
      <c r="IF98" s="182"/>
      <c r="IG98" s="182"/>
      <c r="IH98" s="182"/>
      <c r="II98" s="182"/>
      <c r="IJ98" s="182"/>
      <c r="IK98" s="182"/>
      <c r="IL98" s="182"/>
      <c r="IM98" s="182"/>
      <c r="IN98" s="182"/>
      <c r="IO98" s="182"/>
      <c r="IP98" s="182"/>
      <c r="IQ98" s="182"/>
    </row>
    <row r="99" spans="1:251" s="148" customFormat="1" ht="21.75" customHeight="1">
      <c r="A99" s="186">
        <v>92</v>
      </c>
      <c r="B99" s="408" t="s">
        <v>423</v>
      </c>
      <c r="C99" s="409" t="s">
        <v>485</v>
      </c>
      <c r="D99" s="410">
        <v>60</v>
      </c>
      <c r="E99" s="410"/>
      <c r="F99" s="409" t="s">
        <v>466</v>
      </c>
      <c r="G99" s="410" t="s">
        <v>162</v>
      </c>
      <c r="H99" s="426" t="s">
        <v>152</v>
      </c>
      <c r="I99" s="187">
        <f t="shared" si="4"/>
        <v>97500</v>
      </c>
      <c r="J99" s="379" t="s">
        <v>173</v>
      </c>
      <c r="K99" s="190">
        <f t="shared" si="5"/>
        <v>75000</v>
      </c>
      <c r="L99" s="379" t="s">
        <v>56</v>
      </c>
      <c r="M99" s="188">
        <f t="shared" si="6"/>
        <v>0</v>
      </c>
      <c r="N99" s="188">
        <f t="shared" si="7"/>
        <v>172500</v>
      </c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2"/>
      <c r="CA99" s="182"/>
      <c r="CB99" s="182"/>
      <c r="CC99" s="182"/>
      <c r="CD99" s="182"/>
      <c r="CE99" s="182"/>
      <c r="CF99" s="182"/>
      <c r="CG99" s="182"/>
      <c r="CH99" s="182"/>
      <c r="CI99" s="182"/>
      <c r="CJ99" s="182"/>
      <c r="CK99" s="182"/>
      <c r="CL99" s="182"/>
      <c r="CM99" s="182"/>
      <c r="CN99" s="182"/>
      <c r="CO99" s="182"/>
      <c r="CP99" s="182"/>
      <c r="CQ99" s="182"/>
      <c r="CR99" s="182"/>
      <c r="CS99" s="182"/>
      <c r="CT99" s="182"/>
      <c r="CU99" s="182"/>
      <c r="CV99" s="182"/>
      <c r="CW99" s="182"/>
      <c r="CX99" s="182"/>
      <c r="CY99" s="182"/>
      <c r="CZ99" s="182"/>
      <c r="DA99" s="182"/>
      <c r="DB99" s="182"/>
      <c r="DC99" s="182"/>
      <c r="DD99" s="182"/>
      <c r="DE99" s="182"/>
      <c r="DF99" s="182"/>
      <c r="DG99" s="182"/>
      <c r="DH99" s="182"/>
      <c r="DI99" s="182"/>
      <c r="DJ99" s="182"/>
      <c r="DK99" s="182"/>
      <c r="DL99" s="182"/>
      <c r="DM99" s="182"/>
      <c r="DN99" s="182"/>
      <c r="DO99" s="182"/>
      <c r="DP99" s="182"/>
      <c r="DQ99" s="182"/>
      <c r="DR99" s="182"/>
      <c r="DS99" s="182"/>
      <c r="DT99" s="182"/>
      <c r="DU99" s="182"/>
      <c r="DV99" s="182"/>
      <c r="DW99" s="182"/>
      <c r="DX99" s="182"/>
      <c r="DY99" s="182"/>
      <c r="DZ99" s="182"/>
      <c r="EA99" s="182"/>
      <c r="EB99" s="182"/>
      <c r="EC99" s="182"/>
      <c r="ED99" s="182"/>
      <c r="EE99" s="182"/>
      <c r="EF99" s="182"/>
      <c r="EG99" s="182"/>
      <c r="EH99" s="182"/>
      <c r="EI99" s="182"/>
      <c r="EJ99" s="182"/>
      <c r="EK99" s="182"/>
      <c r="EL99" s="182"/>
      <c r="EM99" s="182"/>
      <c r="EN99" s="182"/>
      <c r="EO99" s="182"/>
      <c r="EP99" s="182"/>
      <c r="EQ99" s="182"/>
      <c r="ER99" s="182"/>
      <c r="ES99" s="182"/>
      <c r="ET99" s="182"/>
      <c r="EU99" s="182"/>
      <c r="EV99" s="182"/>
      <c r="EW99" s="182"/>
      <c r="EX99" s="182"/>
      <c r="EY99" s="182"/>
      <c r="EZ99" s="182"/>
      <c r="FA99" s="182"/>
      <c r="FB99" s="182"/>
      <c r="FC99" s="182"/>
      <c r="FD99" s="182"/>
      <c r="FE99" s="182"/>
      <c r="FF99" s="182"/>
      <c r="FG99" s="182"/>
      <c r="FH99" s="182"/>
      <c r="FI99" s="182"/>
      <c r="FJ99" s="182"/>
      <c r="FK99" s="182"/>
      <c r="FL99" s="182"/>
      <c r="FM99" s="182"/>
      <c r="FN99" s="182"/>
      <c r="FO99" s="182"/>
      <c r="FP99" s="182"/>
      <c r="FQ99" s="182"/>
      <c r="FR99" s="182"/>
      <c r="FS99" s="182"/>
      <c r="FT99" s="182"/>
      <c r="FU99" s="182"/>
      <c r="FV99" s="182"/>
      <c r="FW99" s="182"/>
      <c r="FX99" s="182"/>
      <c r="FY99" s="182"/>
      <c r="FZ99" s="182"/>
      <c r="GA99" s="182"/>
      <c r="GB99" s="182"/>
      <c r="GC99" s="182"/>
      <c r="GD99" s="182"/>
      <c r="GE99" s="182"/>
      <c r="GF99" s="182"/>
      <c r="GG99" s="182"/>
      <c r="GH99" s="182"/>
      <c r="GI99" s="182"/>
      <c r="GJ99" s="182"/>
      <c r="GK99" s="182"/>
      <c r="GL99" s="182"/>
      <c r="GM99" s="182"/>
      <c r="GN99" s="182"/>
      <c r="GO99" s="182"/>
      <c r="GP99" s="182"/>
      <c r="GQ99" s="182"/>
      <c r="GR99" s="182"/>
      <c r="GS99" s="182"/>
      <c r="GT99" s="182"/>
      <c r="GU99" s="182"/>
      <c r="GV99" s="182"/>
      <c r="GW99" s="182"/>
      <c r="GX99" s="182"/>
      <c r="GY99" s="182"/>
      <c r="GZ99" s="182"/>
      <c r="HA99" s="182"/>
      <c r="HB99" s="182"/>
      <c r="HC99" s="182"/>
      <c r="HD99" s="182"/>
      <c r="HE99" s="182"/>
      <c r="HF99" s="182"/>
      <c r="HG99" s="182"/>
      <c r="HH99" s="182"/>
      <c r="HI99" s="182"/>
      <c r="HJ99" s="182"/>
      <c r="HK99" s="182"/>
      <c r="HL99" s="182"/>
      <c r="HM99" s="182"/>
      <c r="HN99" s="182"/>
      <c r="HO99" s="182"/>
      <c r="HP99" s="182"/>
      <c r="HQ99" s="182"/>
      <c r="HR99" s="182"/>
      <c r="HS99" s="182"/>
      <c r="HT99" s="182"/>
      <c r="HU99" s="182"/>
      <c r="HV99" s="182"/>
      <c r="HW99" s="182"/>
      <c r="HX99" s="182"/>
      <c r="HY99" s="182"/>
      <c r="HZ99" s="182"/>
      <c r="IA99" s="182"/>
      <c r="IB99" s="182"/>
      <c r="IC99" s="182"/>
      <c r="ID99" s="182"/>
      <c r="IE99" s="182"/>
      <c r="IF99" s="182"/>
      <c r="IG99" s="182"/>
      <c r="IH99" s="182"/>
      <c r="II99" s="182"/>
      <c r="IJ99" s="182"/>
      <c r="IK99" s="182"/>
      <c r="IL99" s="182"/>
      <c r="IM99" s="182"/>
      <c r="IN99" s="182"/>
      <c r="IO99" s="182"/>
      <c r="IP99" s="182"/>
      <c r="IQ99" s="182"/>
    </row>
    <row r="100" spans="1:251" s="148" customFormat="1" ht="21.75" customHeight="1">
      <c r="A100" s="186">
        <v>93</v>
      </c>
      <c r="B100" s="408" t="s">
        <v>423</v>
      </c>
      <c r="C100" s="409" t="s">
        <v>486</v>
      </c>
      <c r="D100" s="410"/>
      <c r="E100" s="410">
        <v>39</v>
      </c>
      <c r="F100" s="409" t="s">
        <v>466</v>
      </c>
      <c r="G100" s="410" t="s">
        <v>162</v>
      </c>
      <c r="H100" s="426" t="s">
        <v>153</v>
      </c>
      <c r="I100" s="187">
        <f t="shared" si="4"/>
        <v>97500</v>
      </c>
      <c r="J100" s="379" t="s">
        <v>173</v>
      </c>
      <c r="K100" s="190">
        <f t="shared" si="5"/>
        <v>75000</v>
      </c>
      <c r="L100" s="379" t="s">
        <v>56</v>
      </c>
      <c r="M100" s="188">
        <f t="shared" si="6"/>
        <v>0</v>
      </c>
      <c r="N100" s="188">
        <f t="shared" si="7"/>
        <v>172500</v>
      </c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N100" s="182"/>
      <c r="BO100" s="182"/>
      <c r="BP100" s="182"/>
      <c r="BQ100" s="182"/>
      <c r="BR100" s="182"/>
      <c r="BS100" s="182"/>
      <c r="BT100" s="182"/>
      <c r="BU100" s="182"/>
      <c r="BV100" s="182"/>
      <c r="BW100" s="182"/>
      <c r="BX100" s="182"/>
      <c r="BY100" s="182"/>
      <c r="BZ100" s="182"/>
      <c r="CA100" s="182"/>
      <c r="CB100" s="182"/>
      <c r="CC100" s="182"/>
      <c r="CD100" s="182"/>
      <c r="CE100" s="182"/>
      <c r="CF100" s="182"/>
      <c r="CG100" s="182"/>
      <c r="CH100" s="182"/>
      <c r="CI100" s="182"/>
      <c r="CJ100" s="182"/>
      <c r="CK100" s="182"/>
      <c r="CL100" s="182"/>
      <c r="CM100" s="182"/>
      <c r="CN100" s="182"/>
      <c r="CO100" s="182"/>
      <c r="CP100" s="182"/>
      <c r="CQ100" s="182"/>
      <c r="CR100" s="182"/>
      <c r="CS100" s="182"/>
      <c r="CT100" s="182"/>
      <c r="CU100" s="182"/>
      <c r="CV100" s="182"/>
      <c r="CW100" s="182"/>
      <c r="CX100" s="182"/>
      <c r="CY100" s="182"/>
      <c r="CZ100" s="182"/>
      <c r="DA100" s="182"/>
      <c r="DB100" s="182"/>
      <c r="DC100" s="182"/>
      <c r="DD100" s="182"/>
      <c r="DE100" s="182"/>
      <c r="DF100" s="182"/>
      <c r="DG100" s="182"/>
      <c r="DH100" s="182"/>
      <c r="DI100" s="182"/>
      <c r="DJ100" s="182"/>
      <c r="DK100" s="182"/>
      <c r="DL100" s="182"/>
      <c r="DM100" s="182"/>
      <c r="DN100" s="182"/>
      <c r="DO100" s="182"/>
      <c r="DP100" s="182"/>
      <c r="DQ100" s="182"/>
      <c r="DR100" s="182"/>
      <c r="DS100" s="182"/>
      <c r="DT100" s="182"/>
      <c r="DU100" s="182"/>
      <c r="DV100" s="182"/>
      <c r="DW100" s="182"/>
      <c r="DX100" s="182"/>
      <c r="DY100" s="182"/>
      <c r="DZ100" s="182"/>
      <c r="EA100" s="182"/>
      <c r="EB100" s="182"/>
      <c r="EC100" s="182"/>
      <c r="ED100" s="182"/>
      <c r="EE100" s="182"/>
      <c r="EF100" s="182"/>
      <c r="EG100" s="182"/>
      <c r="EH100" s="182"/>
      <c r="EI100" s="182"/>
      <c r="EJ100" s="182"/>
      <c r="EK100" s="182"/>
      <c r="EL100" s="182"/>
      <c r="EM100" s="182"/>
      <c r="EN100" s="182"/>
      <c r="EO100" s="182"/>
      <c r="EP100" s="182"/>
      <c r="EQ100" s="182"/>
      <c r="ER100" s="182"/>
      <c r="ES100" s="182"/>
      <c r="ET100" s="182"/>
      <c r="EU100" s="182"/>
      <c r="EV100" s="182"/>
      <c r="EW100" s="182"/>
      <c r="EX100" s="182"/>
      <c r="EY100" s="182"/>
      <c r="EZ100" s="182"/>
      <c r="FA100" s="182"/>
      <c r="FB100" s="182"/>
      <c r="FC100" s="182"/>
      <c r="FD100" s="182"/>
      <c r="FE100" s="182"/>
      <c r="FF100" s="182"/>
      <c r="FG100" s="182"/>
      <c r="FH100" s="182"/>
      <c r="FI100" s="182"/>
      <c r="FJ100" s="182"/>
      <c r="FK100" s="182"/>
      <c r="FL100" s="182"/>
      <c r="FM100" s="182"/>
      <c r="FN100" s="182"/>
      <c r="FO100" s="182"/>
      <c r="FP100" s="182"/>
      <c r="FQ100" s="182"/>
      <c r="FR100" s="182"/>
      <c r="FS100" s="182"/>
      <c r="FT100" s="182"/>
      <c r="FU100" s="182"/>
      <c r="FV100" s="182"/>
      <c r="FW100" s="182"/>
      <c r="FX100" s="182"/>
      <c r="FY100" s="182"/>
      <c r="FZ100" s="182"/>
      <c r="GA100" s="182"/>
      <c r="GB100" s="182"/>
      <c r="GC100" s="182"/>
      <c r="GD100" s="182"/>
      <c r="GE100" s="182"/>
      <c r="GF100" s="182"/>
      <c r="GG100" s="182"/>
      <c r="GH100" s="182"/>
      <c r="GI100" s="182"/>
      <c r="GJ100" s="182"/>
      <c r="GK100" s="182"/>
      <c r="GL100" s="182"/>
      <c r="GM100" s="182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182"/>
      <c r="HQ100" s="182"/>
      <c r="HR100" s="182"/>
      <c r="HS100" s="182"/>
      <c r="HT100" s="182"/>
      <c r="HU100" s="182"/>
      <c r="HV100" s="182"/>
      <c r="HW100" s="182"/>
      <c r="HX100" s="182"/>
      <c r="HY100" s="182"/>
      <c r="HZ100" s="182"/>
      <c r="IA100" s="182"/>
      <c r="IB100" s="182"/>
      <c r="IC100" s="182"/>
      <c r="ID100" s="182"/>
      <c r="IE100" s="182"/>
      <c r="IF100" s="182"/>
      <c r="IG100" s="182"/>
      <c r="IH100" s="182"/>
      <c r="II100" s="182"/>
      <c r="IJ100" s="182"/>
      <c r="IK100" s="182"/>
      <c r="IL100" s="182"/>
      <c r="IM100" s="182"/>
      <c r="IN100" s="182"/>
      <c r="IO100" s="182"/>
      <c r="IP100" s="182"/>
      <c r="IQ100" s="182"/>
    </row>
    <row r="101" spans="1:251" s="148" customFormat="1" ht="21.75" customHeight="1">
      <c r="A101" s="186">
        <v>94</v>
      </c>
      <c r="B101" s="408" t="s">
        <v>423</v>
      </c>
      <c r="C101" s="409" t="s">
        <v>487</v>
      </c>
      <c r="D101" s="410"/>
      <c r="E101" s="410">
        <v>60</v>
      </c>
      <c r="F101" s="409" t="s">
        <v>466</v>
      </c>
      <c r="G101" s="410" t="s">
        <v>162</v>
      </c>
      <c r="H101" s="426" t="s">
        <v>152</v>
      </c>
      <c r="I101" s="187">
        <f t="shared" si="4"/>
        <v>97500</v>
      </c>
      <c r="J101" s="379" t="s">
        <v>161</v>
      </c>
      <c r="K101" s="190">
        <f t="shared" si="5"/>
        <v>75000</v>
      </c>
      <c r="L101" s="379" t="s">
        <v>56</v>
      </c>
      <c r="M101" s="188">
        <f t="shared" si="6"/>
        <v>0</v>
      </c>
      <c r="N101" s="188">
        <f t="shared" si="7"/>
        <v>172500</v>
      </c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2"/>
      <c r="CS101" s="182"/>
      <c r="CT101" s="182"/>
      <c r="CU101" s="182"/>
      <c r="CV101" s="182"/>
      <c r="CW101" s="182"/>
      <c r="CX101" s="182"/>
      <c r="CY101" s="182"/>
      <c r="CZ101" s="182"/>
      <c r="DA101" s="182"/>
      <c r="DB101" s="182"/>
      <c r="DC101" s="182"/>
      <c r="DD101" s="182"/>
      <c r="DE101" s="182"/>
      <c r="DF101" s="182"/>
      <c r="DG101" s="182"/>
      <c r="DH101" s="182"/>
      <c r="DI101" s="182"/>
      <c r="DJ101" s="182"/>
      <c r="DK101" s="182"/>
      <c r="DL101" s="182"/>
      <c r="DM101" s="182"/>
      <c r="DN101" s="182"/>
      <c r="DO101" s="182"/>
      <c r="DP101" s="182"/>
      <c r="DQ101" s="182"/>
      <c r="DR101" s="182"/>
      <c r="DS101" s="182"/>
      <c r="DT101" s="182"/>
      <c r="DU101" s="182"/>
      <c r="DV101" s="182"/>
      <c r="DW101" s="182"/>
      <c r="DX101" s="182"/>
      <c r="DY101" s="182"/>
      <c r="DZ101" s="182"/>
      <c r="EA101" s="182"/>
      <c r="EB101" s="182"/>
      <c r="EC101" s="182"/>
      <c r="ED101" s="182"/>
      <c r="EE101" s="182"/>
      <c r="EF101" s="182"/>
      <c r="EG101" s="182"/>
      <c r="EH101" s="182"/>
      <c r="EI101" s="182"/>
      <c r="EJ101" s="182"/>
      <c r="EK101" s="182"/>
      <c r="EL101" s="182"/>
      <c r="EM101" s="182"/>
      <c r="EN101" s="182"/>
      <c r="EO101" s="182"/>
      <c r="EP101" s="182"/>
      <c r="EQ101" s="182"/>
      <c r="ER101" s="182"/>
      <c r="ES101" s="182"/>
      <c r="ET101" s="182"/>
      <c r="EU101" s="182"/>
      <c r="EV101" s="182"/>
      <c r="EW101" s="182"/>
      <c r="EX101" s="182"/>
      <c r="EY101" s="182"/>
      <c r="EZ101" s="182"/>
      <c r="FA101" s="182"/>
      <c r="FB101" s="182"/>
      <c r="FC101" s="182"/>
      <c r="FD101" s="182"/>
      <c r="FE101" s="182"/>
      <c r="FF101" s="182"/>
      <c r="FG101" s="182"/>
      <c r="FH101" s="182"/>
      <c r="FI101" s="182"/>
      <c r="FJ101" s="182"/>
      <c r="FK101" s="182"/>
      <c r="FL101" s="182"/>
      <c r="FM101" s="182"/>
      <c r="FN101" s="182"/>
      <c r="FO101" s="182"/>
      <c r="FP101" s="182"/>
      <c r="FQ101" s="182"/>
      <c r="FR101" s="182"/>
      <c r="FS101" s="182"/>
      <c r="FT101" s="182"/>
      <c r="FU101" s="182"/>
      <c r="FV101" s="182"/>
      <c r="FW101" s="182"/>
      <c r="FX101" s="182"/>
      <c r="FY101" s="182"/>
      <c r="FZ101" s="182"/>
      <c r="GA101" s="182"/>
      <c r="GB101" s="182"/>
      <c r="GC101" s="182"/>
      <c r="GD101" s="182"/>
      <c r="GE101" s="182"/>
      <c r="GF101" s="182"/>
      <c r="GG101" s="182"/>
      <c r="GH101" s="182"/>
      <c r="GI101" s="182"/>
      <c r="GJ101" s="182"/>
      <c r="GK101" s="182"/>
      <c r="GL101" s="182"/>
      <c r="GM101" s="182"/>
      <c r="GN101" s="182"/>
      <c r="GO101" s="182"/>
      <c r="GP101" s="182"/>
      <c r="GQ101" s="182"/>
      <c r="GR101" s="182"/>
      <c r="GS101" s="182"/>
      <c r="GT101" s="182"/>
      <c r="GU101" s="182"/>
      <c r="GV101" s="182"/>
      <c r="GW101" s="182"/>
      <c r="GX101" s="182"/>
      <c r="GY101" s="182"/>
      <c r="GZ101" s="182"/>
      <c r="HA101" s="182"/>
      <c r="HB101" s="182"/>
      <c r="HC101" s="182"/>
      <c r="HD101" s="182"/>
      <c r="HE101" s="182"/>
      <c r="HF101" s="182"/>
      <c r="HG101" s="182"/>
      <c r="HH101" s="182"/>
      <c r="HI101" s="182"/>
      <c r="HJ101" s="182"/>
      <c r="HK101" s="182"/>
      <c r="HL101" s="182"/>
      <c r="HM101" s="182"/>
      <c r="HN101" s="182"/>
      <c r="HO101" s="182"/>
      <c r="HP101" s="182"/>
      <c r="HQ101" s="182"/>
      <c r="HR101" s="182"/>
      <c r="HS101" s="182"/>
      <c r="HT101" s="182"/>
      <c r="HU101" s="182"/>
      <c r="HV101" s="182"/>
      <c r="HW101" s="182"/>
      <c r="HX101" s="182"/>
      <c r="HY101" s="182"/>
      <c r="HZ101" s="182"/>
      <c r="IA101" s="182"/>
      <c r="IB101" s="182"/>
      <c r="IC101" s="182"/>
      <c r="ID101" s="182"/>
      <c r="IE101" s="182"/>
      <c r="IF101" s="182"/>
      <c r="IG101" s="182"/>
      <c r="IH101" s="182"/>
      <c r="II101" s="182"/>
      <c r="IJ101" s="182"/>
      <c r="IK101" s="182"/>
      <c r="IL101" s="182"/>
      <c r="IM101" s="182"/>
      <c r="IN101" s="182"/>
      <c r="IO101" s="182"/>
      <c r="IP101" s="182"/>
      <c r="IQ101" s="182"/>
    </row>
    <row r="102" spans="1:251" s="148" customFormat="1" ht="21.75" customHeight="1">
      <c r="A102" s="186">
        <v>95</v>
      </c>
      <c r="B102" s="408" t="s">
        <v>428</v>
      </c>
      <c r="C102" s="409" t="s">
        <v>488</v>
      </c>
      <c r="D102" s="410">
        <v>70</v>
      </c>
      <c r="E102" s="410"/>
      <c r="F102" s="409" t="s">
        <v>489</v>
      </c>
      <c r="G102" s="410" t="s">
        <v>162</v>
      </c>
      <c r="H102" s="426" t="s">
        <v>153</v>
      </c>
      <c r="I102" s="187">
        <f t="shared" si="4"/>
        <v>97500</v>
      </c>
      <c r="J102" s="379" t="s">
        <v>173</v>
      </c>
      <c r="K102" s="190">
        <f t="shared" si="5"/>
        <v>75000</v>
      </c>
      <c r="L102" s="379" t="s">
        <v>56</v>
      </c>
      <c r="M102" s="188">
        <f t="shared" si="6"/>
        <v>0</v>
      </c>
      <c r="N102" s="188">
        <f t="shared" si="7"/>
        <v>172500</v>
      </c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  <c r="BC102" s="182"/>
      <c r="BD102" s="182"/>
      <c r="BE102" s="182"/>
      <c r="BF102" s="182"/>
      <c r="BG102" s="182"/>
      <c r="BH102" s="182"/>
      <c r="BI102" s="182"/>
      <c r="BJ102" s="182"/>
      <c r="BK102" s="182"/>
      <c r="BL102" s="182"/>
      <c r="BM102" s="182"/>
      <c r="BN102" s="182"/>
      <c r="BO102" s="182"/>
      <c r="BP102" s="182"/>
      <c r="BQ102" s="182"/>
      <c r="BR102" s="182"/>
      <c r="BS102" s="182"/>
      <c r="BT102" s="182"/>
      <c r="BU102" s="182"/>
      <c r="BV102" s="182"/>
      <c r="BW102" s="182"/>
      <c r="BX102" s="182"/>
      <c r="BY102" s="182"/>
      <c r="BZ102" s="182"/>
      <c r="CA102" s="182"/>
      <c r="CB102" s="182"/>
      <c r="CC102" s="182"/>
      <c r="CD102" s="182"/>
      <c r="CE102" s="182"/>
      <c r="CF102" s="182"/>
      <c r="CG102" s="182"/>
      <c r="CH102" s="182"/>
      <c r="CI102" s="182"/>
      <c r="CJ102" s="182"/>
      <c r="CK102" s="182"/>
      <c r="CL102" s="182"/>
      <c r="CM102" s="182"/>
      <c r="CN102" s="182"/>
      <c r="CO102" s="182"/>
      <c r="CP102" s="182"/>
      <c r="CQ102" s="182"/>
      <c r="CR102" s="182"/>
      <c r="CS102" s="182"/>
      <c r="CT102" s="182"/>
      <c r="CU102" s="182"/>
      <c r="CV102" s="182"/>
      <c r="CW102" s="182"/>
      <c r="CX102" s="182"/>
      <c r="CY102" s="182"/>
      <c r="CZ102" s="182"/>
      <c r="DA102" s="182"/>
      <c r="DB102" s="182"/>
      <c r="DC102" s="182"/>
      <c r="DD102" s="182"/>
      <c r="DE102" s="182"/>
      <c r="DF102" s="182"/>
      <c r="DG102" s="182"/>
      <c r="DH102" s="182"/>
      <c r="DI102" s="182"/>
      <c r="DJ102" s="182"/>
      <c r="DK102" s="182"/>
      <c r="DL102" s="182"/>
      <c r="DM102" s="182"/>
      <c r="DN102" s="182"/>
      <c r="DO102" s="182"/>
      <c r="DP102" s="182"/>
      <c r="DQ102" s="182"/>
      <c r="DR102" s="182"/>
      <c r="DS102" s="182"/>
      <c r="DT102" s="182"/>
      <c r="DU102" s="182"/>
      <c r="DV102" s="182"/>
      <c r="DW102" s="182"/>
      <c r="DX102" s="182"/>
      <c r="DY102" s="182"/>
      <c r="DZ102" s="182"/>
      <c r="EA102" s="182"/>
      <c r="EB102" s="182"/>
      <c r="EC102" s="182"/>
      <c r="ED102" s="182"/>
      <c r="EE102" s="182"/>
      <c r="EF102" s="182"/>
      <c r="EG102" s="182"/>
      <c r="EH102" s="182"/>
      <c r="EI102" s="182"/>
      <c r="EJ102" s="182"/>
      <c r="EK102" s="182"/>
      <c r="EL102" s="182"/>
      <c r="EM102" s="182"/>
      <c r="EN102" s="182"/>
      <c r="EO102" s="182"/>
      <c r="EP102" s="182"/>
      <c r="EQ102" s="182"/>
      <c r="ER102" s="182"/>
      <c r="ES102" s="182"/>
      <c r="ET102" s="182"/>
      <c r="EU102" s="182"/>
      <c r="EV102" s="182"/>
      <c r="EW102" s="182"/>
      <c r="EX102" s="182"/>
      <c r="EY102" s="182"/>
      <c r="EZ102" s="182"/>
      <c r="FA102" s="182"/>
      <c r="FB102" s="182"/>
      <c r="FC102" s="182"/>
      <c r="FD102" s="182"/>
      <c r="FE102" s="182"/>
      <c r="FF102" s="182"/>
      <c r="FG102" s="182"/>
      <c r="FH102" s="182"/>
      <c r="FI102" s="182"/>
      <c r="FJ102" s="182"/>
      <c r="FK102" s="182"/>
      <c r="FL102" s="182"/>
      <c r="FM102" s="182"/>
      <c r="FN102" s="182"/>
      <c r="FO102" s="182"/>
      <c r="FP102" s="182"/>
      <c r="FQ102" s="182"/>
      <c r="FR102" s="182"/>
      <c r="FS102" s="182"/>
      <c r="FT102" s="182"/>
      <c r="FU102" s="182"/>
      <c r="FV102" s="182"/>
      <c r="FW102" s="182"/>
      <c r="FX102" s="182"/>
      <c r="FY102" s="182"/>
      <c r="FZ102" s="182"/>
      <c r="GA102" s="182"/>
      <c r="GB102" s="182"/>
      <c r="GC102" s="182"/>
      <c r="GD102" s="182"/>
      <c r="GE102" s="182"/>
      <c r="GF102" s="182"/>
      <c r="GG102" s="182"/>
      <c r="GH102" s="182"/>
      <c r="GI102" s="182"/>
      <c r="GJ102" s="182"/>
      <c r="GK102" s="182"/>
      <c r="GL102" s="182"/>
      <c r="GM102" s="182"/>
      <c r="GN102" s="182"/>
      <c r="GO102" s="182"/>
      <c r="GP102" s="182"/>
      <c r="GQ102" s="182"/>
      <c r="GR102" s="182"/>
      <c r="GS102" s="182"/>
      <c r="GT102" s="182"/>
      <c r="GU102" s="182"/>
      <c r="GV102" s="182"/>
      <c r="GW102" s="182"/>
      <c r="GX102" s="182"/>
      <c r="GY102" s="182"/>
      <c r="GZ102" s="182"/>
      <c r="HA102" s="182"/>
      <c r="HB102" s="182"/>
      <c r="HC102" s="182"/>
      <c r="HD102" s="182"/>
      <c r="HE102" s="182"/>
      <c r="HF102" s="182"/>
      <c r="HG102" s="182"/>
      <c r="HH102" s="182"/>
      <c r="HI102" s="182"/>
      <c r="HJ102" s="182"/>
      <c r="HK102" s="182"/>
      <c r="HL102" s="182"/>
      <c r="HM102" s="182"/>
      <c r="HN102" s="182"/>
      <c r="HO102" s="182"/>
      <c r="HP102" s="182"/>
      <c r="HQ102" s="182"/>
      <c r="HR102" s="182"/>
      <c r="HS102" s="182"/>
      <c r="HT102" s="182"/>
      <c r="HU102" s="182"/>
      <c r="HV102" s="182"/>
      <c r="HW102" s="182"/>
      <c r="HX102" s="182"/>
      <c r="HY102" s="182"/>
      <c r="HZ102" s="182"/>
      <c r="IA102" s="182"/>
      <c r="IB102" s="182"/>
      <c r="IC102" s="182"/>
      <c r="ID102" s="182"/>
      <c r="IE102" s="182"/>
      <c r="IF102" s="182"/>
      <c r="IG102" s="182"/>
      <c r="IH102" s="182"/>
      <c r="II102" s="182"/>
      <c r="IJ102" s="182"/>
      <c r="IK102" s="182"/>
      <c r="IL102" s="182"/>
      <c r="IM102" s="182"/>
      <c r="IN102" s="182"/>
      <c r="IO102" s="182"/>
      <c r="IP102" s="182"/>
      <c r="IQ102" s="182"/>
    </row>
    <row r="103" spans="1:251" s="148" customFormat="1" ht="21.75" customHeight="1">
      <c r="A103" s="186">
        <v>96</v>
      </c>
      <c r="B103" s="408" t="s">
        <v>428</v>
      </c>
      <c r="C103" s="409" t="s">
        <v>490</v>
      </c>
      <c r="D103" s="410">
        <v>75</v>
      </c>
      <c r="E103" s="410"/>
      <c r="F103" s="409" t="s">
        <v>269</v>
      </c>
      <c r="G103" s="410" t="s">
        <v>162</v>
      </c>
      <c r="H103" s="426" t="s">
        <v>153</v>
      </c>
      <c r="I103" s="187">
        <f t="shared" si="4"/>
        <v>97500</v>
      </c>
      <c r="J103" s="379" t="s">
        <v>157</v>
      </c>
      <c r="K103" s="190">
        <f t="shared" si="5"/>
        <v>75000</v>
      </c>
      <c r="L103" s="379" t="s">
        <v>56</v>
      </c>
      <c r="M103" s="188">
        <f t="shared" si="6"/>
        <v>0</v>
      </c>
      <c r="N103" s="188">
        <f t="shared" si="7"/>
        <v>172500</v>
      </c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182"/>
      <c r="BG103" s="182"/>
      <c r="BH103" s="182"/>
      <c r="BI103" s="182"/>
      <c r="BJ103" s="182"/>
      <c r="BK103" s="182"/>
      <c r="BL103" s="182"/>
      <c r="BM103" s="182"/>
      <c r="BN103" s="182"/>
      <c r="BO103" s="182"/>
      <c r="BP103" s="182"/>
      <c r="BQ103" s="182"/>
      <c r="BR103" s="182"/>
      <c r="BS103" s="182"/>
      <c r="BT103" s="182"/>
      <c r="BU103" s="182"/>
      <c r="BV103" s="182"/>
      <c r="BW103" s="182"/>
      <c r="BX103" s="182"/>
      <c r="BY103" s="182"/>
      <c r="BZ103" s="182"/>
      <c r="CA103" s="182"/>
      <c r="CB103" s="182"/>
      <c r="CC103" s="182"/>
      <c r="CD103" s="182"/>
      <c r="CE103" s="182"/>
      <c r="CF103" s="182"/>
      <c r="CG103" s="182"/>
      <c r="CH103" s="182"/>
      <c r="CI103" s="182"/>
      <c r="CJ103" s="182"/>
      <c r="CK103" s="182"/>
      <c r="CL103" s="182"/>
      <c r="CM103" s="182"/>
      <c r="CN103" s="182"/>
      <c r="CO103" s="182"/>
      <c r="CP103" s="182"/>
      <c r="CQ103" s="182"/>
      <c r="CR103" s="182"/>
      <c r="CS103" s="182"/>
      <c r="CT103" s="182"/>
      <c r="CU103" s="182"/>
      <c r="CV103" s="182"/>
      <c r="CW103" s="182"/>
      <c r="CX103" s="182"/>
      <c r="CY103" s="182"/>
      <c r="CZ103" s="182"/>
      <c r="DA103" s="182"/>
      <c r="DB103" s="182"/>
      <c r="DC103" s="182"/>
      <c r="DD103" s="182"/>
      <c r="DE103" s="182"/>
      <c r="DF103" s="182"/>
      <c r="DG103" s="182"/>
      <c r="DH103" s="182"/>
      <c r="DI103" s="182"/>
      <c r="DJ103" s="182"/>
      <c r="DK103" s="182"/>
      <c r="DL103" s="182"/>
      <c r="DM103" s="182"/>
      <c r="DN103" s="182"/>
      <c r="DO103" s="182"/>
      <c r="DP103" s="182"/>
      <c r="DQ103" s="182"/>
      <c r="DR103" s="182"/>
      <c r="DS103" s="182"/>
      <c r="DT103" s="182"/>
      <c r="DU103" s="182"/>
      <c r="DV103" s="182"/>
      <c r="DW103" s="182"/>
      <c r="DX103" s="182"/>
      <c r="DY103" s="182"/>
      <c r="DZ103" s="182"/>
      <c r="EA103" s="182"/>
      <c r="EB103" s="182"/>
      <c r="EC103" s="182"/>
      <c r="ED103" s="182"/>
      <c r="EE103" s="182"/>
      <c r="EF103" s="182"/>
      <c r="EG103" s="182"/>
      <c r="EH103" s="182"/>
      <c r="EI103" s="182"/>
      <c r="EJ103" s="182"/>
      <c r="EK103" s="182"/>
      <c r="EL103" s="182"/>
      <c r="EM103" s="182"/>
      <c r="EN103" s="182"/>
      <c r="EO103" s="182"/>
      <c r="EP103" s="182"/>
      <c r="EQ103" s="182"/>
      <c r="ER103" s="182"/>
      <c r="ES103" s="182"/>
      <c r="ET103" s="182"/>
      <c r="EU103" s="182"/>
      <c r="EV103" s="182"/>
      <c r="EW103" s="182"/>
      <c r="EX103" s="182"/>
      <c r="EY103" s="182"/>
      <c r="EZ103" s="182"/>
      <c r="FA103" s="182"/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82"/>
      <c r="FO103" s="182"/>
      <c r="FP103" s="182"/>
      <c r="FQ103" s="182"/>
      <c r="FR103" s="182"/>
      <c r="FS103" s="182"/>
      <c r="FT103" s="182"/>
      <c r="FU103" s="182"/>
      <c r="FV103" s="182"/>
      <c r="FW103" s="182"/>
      <c r="FX103" s="182"/>
      <c r="FY103" s="182"/>
      <c r="FZ103" s="182"/>
      <c r="GA103" s="182"/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/>
      <c r="GO103" s="182"/>
      <c r="GP103" s="182"/>
      <c r="GQ103" s="182"/>
      <c r="GR103" s="182"/>
      <c r="GS103" s="182"/>
      <c r="GT103" s="182"/>
      <c r="GU103" s="182"/>
      <c r="GV103" s="182"/>
      <c r="GW103" s="182"/>
      <c r="GX103" s="182"/>
      <c r="GY103" s="182"/>
      <c r="GZ103" s="182"/>
      <c r="HA103" s="182"/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/>
      <c r="HO103" s="182"/>
      <c r="HP103" s="182"/>
      <c r="HQ103" s="182"/>
      <c r="HR103" s="182"/>
      <c r="HS103" s="182"/>
      <c r="HT103" s="182"/>
      <c r="HU103" s="182"/>
      <c r="HV103" s="182"/>
      <c r="HW103" s="182"/>
      <c r="HX103" s="182"/>
      <c r="HY103" s="182"/>
      <c r="HZ103" s="182"/>
      <c r="IA103" s="182"/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/>
      <c r="IO103" s="182"/>
      <c r="IP103" s="182"/>
      <c r="IQ103" s="182"/>
    </row>
    <row r="104" spans="1:251" s="148" customFormat="1" ht="21.75" customHeight="1">
      <c r="A104" s="186">
        <v>97</v>
      </c>
      <c r="B104" s="408" t="s">
        <v>430</v>
      </c>
      <c r="C104" s="409" t="s">
        <v>383</v>
      </c>
      <c r="D104" s="410">
        <v>71</v>
      </c>
      <c r="E104" s="410"/>
      <c r="F104" s="409" t="s">
        <v>491</v>
      </c>
      <c r="G104" s="410" t="s">
        <v>163</v>
      </c>
      <c r="H104" s="426" t="s">
        <v>152</v>
      </c>
      <c r="I104" s="187">
        <f t="shared" si="4"/>
        <v>97500</v>
      </c>
      <c r="J104" s="379" t="s">
        <v>173</v>
      </c>
      <c r="K104" s="190">
        <f t="shared" si="5"/>
        <v>75000</v>
      </c>
      <c r="L104" s="379" t="s">
        <v>56</v>
      </c>
      <c r="M104" s="188">
        <f t="shared" si="6"/>
        <v>0</v>
      </c>
      <c r="N104" s="188">
        <f t="shared" si="7"/>
        <v>172500</v>
      </c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2"/>
      <c r="BG104" s="182"/>
      <c r="BH104" s="182"/>
      <c r="BI104" s="182"/>
      <c r="BJ104" s="182"/>
      <c r="BK104" s="182"/>
      <c r="BL104" s="182"/>
      <c r="BM104" s="182"/>
      <c r="BN104" s="182"/>
      <c r="BO104" s="182"/>
      <c r="BP104" s="182"/>
      <c r="BQ104" s="182"/>
      <c r="BR104" s="182"/>
      <c r="BS104" s="182"/>
      <c r="BT104" s="182"/>
      <c r="BU104" s="182"/>
      <c r="BV104" s="182"/>
      <c r="BW104" s="182"/>
      <c r="BX104" s="182"/>
      <c r="BY104" s="182"/>
      <c r="BZ104" s="182"/>
      <c r="CA104" s="182"/>
      <c r="CB104" s="182"/>
      <c r="CC104" s="182"/>
      <c r="CD104" s="182"/>
      <c r="CE104" s="182"/>
      <c r="CF104" s="182"/>
      <c r="CG104" s="182"/>
      <c r="CH104" s="182"/>
      <c r="CI104" s="182"/>
      <c r="CJ104" s="182"/>
      <c r="CK104" s="182"/>
      <c r="CL104" s="182"/>
      <c r="CM104" s="182"/>
      <c r="CN104" s="182"/>
      <c r="CO104" s="182"/>
      <c r="CP104" s="182"/>
      <c r="CQ104" s="182"/>
      <c r="CR104" s="182"/>
      <c r="CS104" s="182"/>
      <c r="CT104" s="182"/>
      <c r="CU104" s="182"/>
      <c r="CV104" s="182"/>
      <c r="CW104" s="182"/>
      <c r="CX104" s="182"/>
      <c r="CY104" s="182"/>
      <c r="CZ104" s="182"/>
      <c r="DA104" s="182"/>
      <c r="DB104" s="182"/>
      <c r="DC104" s="182"/>
      <c r="DD104" s="182"/>
      <c r="DE104" s="182"/>
      <c r="DF104" s="182"/>
      <c r="DG104" s="182"/>
      <c r="DH104" s="182"/>
      <c r="DI104" s="182"/>
      <c r="DJ104" s="182"/>
      <c r="DK104" s="182"/>
      <c r="DL104" s="182"/>
      <c r="DM104" s="182"/>
      <c r="DN104" s="182"/>
      <c r="DO104" s="182"/>
      <c r="DP104" s="182"/>
      <c r="DQ104" s="182"/>
      <c r="DR104" s="182"/>
      <c r="DS104" s="182"/>
      <c r="DT104" s="182"/>
      <c r="DU104" s="182"/>
      <c r="DV104" s="182"/>
      <c r="DW104" s="182"/>
      <c r="DX104" s="182"/>
      <c r="DY104" s="182"/>
      <c r="DZ104" s="182"/>
      <c r="EA104" s="182"/>
      <c r="EB104" s="182"/>
      <c r="EC104" s="182"/>
      <c r="ED104" s="182"/>
      <c r="EE104" s="182"/>
      <c r="EF104" s="182"/>
      <c r="EG104" s="182"/>
      <c r="EH104" s="182"/>
      <c r="EI104" s="182"/>
      <c r="EJ104" s="182"/>
      <c r="EK104" s="182"/>
      <c r="EL104" s="182"/>
      <c r="EM104" s="182"/>
      <c r="EN104" s="182"/>
      <c r="EO104" s="182"/>
      <c r="EP104" s="182"/>
      <c r="EQ104" s="182"/>
      <c r="ER104" s="182"/>
      <c r="ES104" s="182"/>
      <c r="ET104" s="182"/>
      <c r="EU104" s="182"/>
      <c r="EV104" s="182"/>
      <c r="EW104" s="182"/>
      <c r="EX104" s="182"/>
      <c r="EY104" s="182"/>
      <c r="EZ104" s="182"/>
      <c r="FA104" s="182"/>
      <c r="FB104" s="182"/>
      <c r="FC104" s="182"/>
      <c r="FD104" s="182"/>
      <c r="FE104" s="182"/>
      <c r="FF104" s="182"/>
      <c r="FG104" s="182"/>
      <c r="FH104" s="182"/>
      <c r="FI104" s="182"/>
      <c r="FJ104" s="182"/>
      <c r="FK104" s="182"/>
      <c r="FL104" s="182"/>
      <c r="FM104" s="182"/>
      <c r="FN104" s="182"/>
      <c r="FO104" s="182"/>
      <c r="FP104" s="182"/>
      <c r="FQ104" s="182"/>
      <c r="FR104" s="182"/>
      <c r="FS104" s="182"/>
      <c r="FT104" s="182"/>
      <c r="FU104" s="182"/>
      <c r="FV104" s="182"/>
      <c r="FW104" s="182"/>
      <c r="FX104" s="182"/>
      <c r="FY104" s="182"/>
      <c r="FZ104" s="182"/>
      <c r="GA104" s="182"/>
      <c r="GB104" s="182"/>
      <c r="GC104" s="182"/>
      <c r="GD104" s="182"/>
      <c r="GE104" s="182"/>
      <c r="GF104" s="182"/>
      <c r="GG104" s="182"/>
      <c r="GH104" s="182"/>
      <c r="GI104" s="182"/>
      <c r="GJ104" s="182"/>
      <c r="GK104" s="182"/>
      <c r="GL104" s="182"/>
      <c r="GM104" s="182"/>
      <c r="GN104" s="182"/>
      <c r="GO104" s="182"/>
      <c r="GP104" s="182"/>
      <c r="GQ104" s="182"/>
      <c r="GR104" s="182"/>
      <c r="GS104" s="182"/>
      <c r="GT104" s="182"/>
      <c r="GU104" s="182"/>
      <c r="GV104" s="182"/>
      <c r="GW104" s="182"/>
      <c r="GX104" s="182"/>
      <c r="GY104" s="182"/>
      <c r="GZ104" s="182"/>
      <c r="HA104" s="182"/>
      <c r="HB104" s="182"/>
      <c r="HC104" s="182"/>
      <c r="HD104" s="182"/>
      <c r="HE104" s="182"/>
      <c r="HF104" s="182"/>
      <c r="HG104" s="182"/>
      <c r="HH104" s="182"/>
      <c r="HI104" s="182"/>
      <c r="HJ104" s="182"/>
      <c r="HK104" s="182"/>
      <c r="HL104" s="182"/>
      <c r="HM104" s="182"/>
      <c r="HN104" s="182"/>
      <c r="HO104" s="182"/>
      <c r="HP104" s="182"/>
      <c r="HQ104" s="182"/>
      <c r="HR104" s="182"/>
      <c r="HS104" s="182"/>
      <c r="HT104" s="182"/>
      <c r="HU104" s="182"/>
      <c r="HV104" s="182"/>
      <c r="HW104" s="182"/>
      <c r="HX104" s="182"/>
      <c r="HY104" s="182"/>
      <c r="HZ104" s="182"/>
      <c r="IA104" s="182"/>
      <c r="IB104" s="182"/>
      <c r="IC104" s="182"/>
      <c r="ID104" s="182"/>
      <c r="IE104" s="182"/>
      <c r="IF104" s="182"/>
      <c r="IG104" s="182"/>
      <c r="IH104" s="182"/>
      <c r="II104" s="182"/>
      <c r="IJ104" s="182"/>
      <c r="IK104" s="182"/>
      <c r="IL104" s="182"/>
      <c r="IM104" s="182"/>
      <c r="IN104" s="182"/>
      <c r="IO104" s="182"/>
      <c r="IP104" s="182"/>
      <c r="IQ104" s="182"/>
    </row>
    <row r="105" spans="1:251" s="148" customFormat="1" ht="21.75" customHeight="1">
      <c r="A105" s="186">
        <v>98</v>
      </c>
      <c r="B105" s="408" t="s">
        <v>430</v>
      </c>
      <c r="C105" s="409" t="s">
        <v>492</v>
      </c>
      <c r="D105" s="410">
        <v>49</v>
      </c>
      <c r="E105" s="410"/>
      <c r="F105" s="409" t="s">
        <v>269</v>
      </c>
      <c r="G105" s="410" t="s">
        <v>162</v>
      </c>
      <c r="H105" s="426" t="s">
        <v>152</v>
      </c>
      <c r="I105" s="187">
        <f t="shared" si="4"/>
        <v>97500</v>
      </c>
      <c r="J105" s="379" t="s">
        <v>173</v>
      </c>
      <c r="K105" s="190">
        <f t="shared" si="5"/>
        <v>75000</v>
      </c>
      <c r="L105" s="379" t="s">
        <v>56</v>
      </c>
      <c r="M105" s="188">
        <f t="shared" si="6"/>
        <v>0</v>
      </c>
      <c r="N105" s="188">
        <f t="shared" si="7"/>
        <v>172500</v>
      </c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2"/>
      <c r="BL105" s="182"/>
      <c r="BM105" s="182"/>
      <c r="BN105" s="182"/>
      <c r="BO105" s="182"/>
      <c r="BP105" s="182"/>
      <c r="BQ105" s="182"/>
      <c r="BR105" s="182"/>
      <c r="BS105" s="182"/>
      <c r="BT105" s="182"/>
      <c r="BU105" s="182"/>
      <c r="BV105" s="182"/>
      <c r="BW105" s="182"/>
      <c r="BX105" s="182"/>
      <c r="BY105" s="182"/>
      <c r="BZ105" s="182"/>
      <c r="CA105" s="182"/>
      <c r="CB105" s="182"/>
      <c r="CC105" s="182"/>
      <c r="CD105" s="182"/>
      <c r="CE105" s="182"/>
      <c r="CF105" s="182"/>
      <c r="CG105" s="182"/>
      <c r="CH105" s="182"/>
      <c r="CI105" s="182"/>
      <c r="CJ105" s="182"/>
      <c r="CK105" s="182"/>
      <c r="CL105" s="182"/>
      <c r="CM105" s="182"/>
      <c r="CN105" s="182"/>
      <c r="CO105" s="182"/>
      <c r="CP105" s="182"/>
      <c r="CQ105" s="182"/>
      <c r="CR105" s="182"/>
      <c r="CS105" s="182"/>
      <c r="CT105" s="182"/>
      <c r="CU105" s="182"/>
      <c r="CV105" s="182"/>
      <c r="CW105" s="182"/>
      <c r="CX105" s="182"/>
      <c r="CY105" s="182"/>
      <c r="CZ105" s="182"/>
      <c r="DA105" s="182"/>
      <c r="DB105" s="182"/>
      <c r="DC105" s="182"/>
      <c r="DD105" s="182"/>
      <c r="DE105" s="182"/>
      <c r="DF105" s="182"/>
      <c r="DG105" s="182"/>
      <c r="DH105" s="182"/>
      <c r="DI105" s="182"/>
      <c r="DJ105" s="182"/>
      <c r="DK105" s="182"/>
      <c r="DL105" s="182"/>
      <c r="DM105" s="182"/>
      <c r="DN105" s="182"/>
      <c r="DO105" s="182"/>
      <c r="DP105" s="182"/>
      <c r="DQ105" s="182"/>
      <c r="DR105" s="182"/>
      <c r="DS105" s="182"/>
      <c r="DT105" s="182"/>
      <c r="DU105" s="182"/>
      <c r="DV105" s="182"/>
      <c r="DW105" s="182"/>
      <c r="DX105" s="182"/>
      <c r="DY105" s="182"/>
      <c r="DZ105" s="182"/>
      <c r="EA105" s="182"/>
      <c r="EB105" s="182"/>
      <c r="EC105" s="182"/>
      <c r="ED105" s="182"/>
      <c r="EE105" s="182"/>
      <c r="EF105" s="182"/>
      <c r="EG105" s="182"/>
      <c r="EH105" s="182"/>
      <c r="EI105" s="182"/>
      <c r="EJ105" s="182"/>
      <c r="EK105" s="182"/>
      <c r="EL105" s="182"/>
      <c r="EM105" s="182"/>
      <c r="EN105" s="182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182"/>
      <c r="FB105" s="182"/>
      <c r="FC105" s="182"/>
      <c r="FD105" s="182"/>
      <c r="FE105" s="182"/>
      <c r="FF105" s="182"/>
      <c r="FG105" s="182"/>
      <c r="FH105" s="182"/>
      <c r="FI105" s="182"/>
      <c r="FJ105" s="182"/>
      <c r="FK105" s="182"/>
      <c r="FL105" s="182"/>
      <c r="FM105" s="182"/>
      <c r="FN105" s="182"/>
      <c r="FO105" s="182"/>
      <c r="FP105" s="182"/>
      <c r="FQ105" s="182"/>
      <c r="FR105" s="182"/>
      <c r="FS105" s="182"/>
      <c r="FT105" s="182"/>
      <c r="FU105" s="182"/>
      <c r="FV105" s="182"/>
      <c r="FW105" s="182"/>
      <c r="FX105" s="182"/>
      <c r="FY105" s="182"/>
      <c r="FZ105" s="182"/>
      <c r="GA105" s="182"/>
      <c r="GB105" s="182"/>
      <c r="GC105" s="182"/>
      <c r="GD105" s="182"/>
      <c r="GE105" s="182"/>
      <c r="GF105" s="182"/>
      <c r="GG105" s="182"/>
      <c r="GH105" s="182"/>
      <c r="GI105" s="182"/>
      <c r="GJ105" s="182"/>
      <c r="GK105" s="182"/>
      <c r="GL105" s="182"/>
      <c r="GM105" s="182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182"/>
      <c r="HQ105" s="182"/>
      <c r="HR105" s="182"/>
      <c r="HS105" s="182"/>
      <c r="HT105" s="182"/>
      <c r="HU105" s="182"/>
      <c r="HV105" s="182"/>
      <c r="HW105" s="182"/>
      <c r="HX105" s="182"/>
      <c r="HY105" s="182"/>
      <c r="HZ105" s="182"/>
      <c r="IA105" s="182"/>
      <c r="IB105" s="182"/>
      <c r="IC105" s="182"/>
      <c r="ID105" s="182"/>
      <c r="IE105" s="182"/>
      <c r="IF105" s="182"/>
      <c r="IG105" s="182"/>
      <c r="IH105" s="182"/>
      <c r="II105" s="182"/>
      <c r="IJ105" s="182"/>
      <c r="IK105" s="182"/>
      <c r="IL105" s="182"/>
      <c r="IM105" s="182"/>
      <c r="IN105" s="182"/>
      <c r="IO105" s="182"/>
      <c r="IP105" s="182"/>
      <c r="IQ105" s="182"/>
    </row>
    <row r="106" spans="1:251" s="148" customFormat="1" ht="21.75" customHeight="1">
      <c r="A106" s="186">
        <v>99</v>
      </c>
      <c r="B106" s="408" t="s">
        <v>430</v>
      </c>
      <c r="C106" s="409" t="s">
        <v>287</v>
      </c>
      <c r="D106" s="410">
        <v>60</v>
      </c>
      <c r="E106" s="410"/>
      <c r="F106" s="409" t="s">
        <v>269</v>
      </c>
      <c r="G106" s="410" t="s">
        <v>162</v>
      </c>
      <c r="H106" s="426" t="s">
        <v>153</v>
      </c>
      <c r="I106" s="187">
        <f t="shared" si="4"/>
        <v>97500</v>
      </c>
      <c r="J106" s="379" t="s">
        <v>157</v>
      </c>
      <c r="K106" s="190">
        <f t="shared" si="5"/>
        <v>75000</v>
      </c>
      <c r="L106" s="379" t="s">
        <v>56</v>
      </c>
      <c r="M106" s="188">
        <f t="shared" si="6"/>
        <v>0</v>
      </c>
      <c r="N106" s="188">
        <f t="shared" si="7"/>
        <v>172500</v>
      </c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2"/>
      <c r="BH106" s="182"/>
      <c r="BI106" s="182"/>
      <c r="BJ106" s="182"/>
      <c r="BK106" s="182"/>
      <c r="BL106" s="182"/>
      <c r="BM106" s="182"/>
      <c r="BN106" s="182"/>
      <c r="BO106" s="182"/>
      <c r="BP106" s="182"/>
      <c r="BQ106" s="182"/>
      <c r="BR106" s="182"/>
      <c r="BS106" s="182"/>
      <c r="BT106" s="182"/>
      <c r="BU106" s="182"/>
      <c r="BV106" s="182"/>
      <c r="BW106" s="182"/>
      <c r="BX106" s="182"/>
      <c r="BY106" s="182"/>
      <c r="BZ106" s="182"/>
      <c r="CA106" s="182"/>
      <c r="CB106" s="182"/>
      <c r="CC106" s="182"/>
      <c r="CD106" s="182"/>
      <c r="CE106" s="182"/>
      <c r="CF106" s="182"/>
      <c r="CG106" s="182"/>
      <c r="CH106" s="182"/>
      <c r="CI106" s="182"/>
      <c r="CJ106" s="182"/>
      <c r="CK106" s="182"/>
      <c r="CL106" s="182"/>
      <c r="CM106" s="182"/>
      <c r="CN106" s="182"/>
      <c r="CO106" s="182"/>
      <c r="CP106" s="182"/>
      <c r="CQ106" s="182"/>
      <c r="CR106" s="182"/>
      <c r="CS106" s="182"/>
      <c r="CT106" s="182"/>
      <c r="CU106" s="182"/>
      <c r="CV106" s="182"/>
      <c r="CW106" s="182"/>
      <c r="CX106" s="182"/>
      <c r="CY106" s="182"/>
      <c r="CZ106" s="182"/>
      <c r="DA106" s="182"/>
      <c r="DB106" s="182"/>
      <c r="DC106" s="182"/>
      <c r="DD106" s="182"/>
      <c r="DE106" s="182"/>
      <c r="DF106" s="182"/>
      <c r="DG106" s="182"/>
      <c r="DH106" s="182"/>
      <c r="DI106" s="182"/>
      <c r="DJ106" s="182"/>
      <c r="DK106" s="182"/>
      <c r="DL106" s="182"/>
      <c r="DM106" s="182"/>
      <c r="DN106" s="182"/>
      <c r="DO106" s="182"/>
      <c r="DP106" s="182"/>
      <c r="DQ106" s="182"/>
      <c r="DR106" s="182"/>
      <c r="DS106" s="182"/>
      <c r="DT106" s="182"/>
      <c r="DU106" s="182"/>
      <c r="DV106" s="182"/>
      <c r="DW106" s="182"/>
      <c r="DX106" s="182"/>
      <c r="DY106" s="182"/>
      <c r="DZ106" s="182"/>
      <c r="EA106" s="182"/>
      <c r="EB106" s="182"/>
      <c r="EC106" s="182"/>
      <c r="ED106" s="182"/>
      <c r="EE106" s="182"/>
      <c r="EF106" s="182"/>
      <c r="EG106" s="182"/>
      <c r="EH106" s="182"/>
      <c r="EI106" s="182"/>
      <c r="EJ106" s="182"/>
      <c r="EK106" s="182"/>
      <c r="EL106" s="182"/>
      <c r="EM106" s="182"/>
      <c r="EN106" s="182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182"/>
      <c r="FB106" s="182"/>
      <c r="FC106" s="182"/>
      <c r="FD106" s="182"/>
      <c r="FE106" s="182"/>
      <c r="FF106" s="182"/>
      <c r="FG106" s="182"/>
      <c r="FH106" s="182"/>
      <c r="FI106" s="182"/>
      <c r="FJ106" s="182"/>
      <c r="FK106" s="182"/>
      <c r="FL106" s="182"/>
      <c r="FM106" s="182"/>
      <c r="FN106" s="182"/>
      <c r="FO106" s="182"/>
      <c r="FP106" s="182"/>
      <c r="FQ106" s="182"/>
      <c r="FR106" s="182"/>
      <c r="FS106" s="182"/>
      <c r="FT106" s="182"/>
      <c r="FU106" s="182"/>
      <c r="FV106" s="182"/>
      <c r="FW106" s="182"/>
      <c r="FX106" s="182"/>
      <c r="FY106" s="182"/>
      <c r="FZ106" s="182"/>
      <c r="GA106" s="182"/>
      <c r="GB106" s="182"/>
      <c r="GC106" s="182"/>
      <c r="GD106" s="182"/>
      <c r="GE106" s="182"/>
      <c r="GF106" s="182"/>
      <c r="GG106" s="182"/>
      <c r="GH106" s="182"/>
      <c r="GI106" s="182"/>
      <c r="GJ106" s="182"/>
      <c r="GK106" s="182"/>
      <c r="GL106" s="182"/>
      <c r="GM106" s="182"/>
      <c r="GN106" s="182"/>
      <c r="GO106" s="182"/>
      <c r="GP106" s="182"/>
      <c r="GQ106" s="182"/>
      <c r="GR106" s="182"/>
      <c r="GS106" s="182"/>
      <c r="GT106" s="182"/>
      <c r="GU106" s="182"/>
      <c r="GV106" s="182"/>
      <c r="GW106" s="182"/>
      <c r="GX106" s="182"/>
      <c r="GY106" s="182"/>
      <c r="GZ106" s="182"/>
      <c r="HA106" s="182"/>
      <c r="HB106" s="182"/>
      <c r="HC106" s="182"/>
      <c r="HD106" s="182"/>
      <c r="HE106" s="182"/>
      <c r="HF106" s="182"/>
      <c r="HG106" s="182"/>
      <c r="HH106" s="182"/>
      <c r="HI106" s="182"/>
      <c r="HJ106" s="182"/>
      <c r="HK106" s="182"/>
      <c r="HL106" s="182"/>
      <c r="HM106" s="182"/>
      <c r="HN106" s="182"/>
      <c r="HO106" s="182"/>
      <c r="HP106" s="182"/>
      <c r="HQ106" s="182"/>
      <c r="HR106" s="182"/>
      <c r="HS106" s="182"/>
      <c r="HT106" s="182"/>
      <c r="HU106" s="182"/>
      <c r="HV106" s="182"/>
      <c r="HW106" s="182"/>
      <c r="HX106" s="182"/>
      <c r="HY106" s="182"/>
      <c r="HZ106" s="182"/>
      <c r="IA106" s="182"/>
      <c r="IB106" s="182"/>
      <c r="IC106" s="182"/>
      <c r="ID106" s="182"/>
      <c r="IE106" s="182"/>
      <c r="IF106" s="182"/>
      <c r="IG106" s="182"/>
      <c r="IH106" s="182"/>
      <c r="II106" s="182"/>
      <c r="IJ106" s="182"/>
      <c r="IK106" s="182"/>
      <c r="IL106" s="182"/>
      <c r="IM106" s="182"/>
      <c r="IN106" s="182"/>
      <c r="IO106" s="182"/>
      <c r="IP106" s="182"/>
      <c r="IQ106" s="182"/>
    </row>
    <row r="107" spans="1:251" s="148" customFormat="1" ht="21.75" customHeight="1">
      <c r="A107" s="186">
        <v>100</v>
      </c>
      <c r="B107" s="408" t="s">
        <v>435</v>
      </c>
      <c r="C107" s="409" t="s">
        <v>484</v>
      </c>
      <c r="D107" s="410">
        <v>20</v>
      </c>
      <c r="E107" s="410"/>
      <c r="F107" s="409" t="s">
        <v>269</v>
      </c>
      <c r="G107" s="410" t="s">
        <v>163</v>
      </c>
      <c r="H107" s="426" t="s">
        <v>154</v>
      </c>
      <c r="I107" s="187">
        <f t="shared" si="4"/>
        <v>97500</v>
      </c>
      <c r="J107" s="379" t="s">
        <v>280</v>
      </c>
      <c r="K107" s="190">
        <f t="shared" si="5"/>
        <v>75000</v>
      </c>
      <c r="L107" s="379" t="s">
        <v>56</v>
      </c>
      <c r="M107" s="188">
        <f t="shared" si="6"/>
        <v>0</v>
      </c>
      <c r="N107" s="188">
        <f t="shared" si="7"/>
        <v>172500</v>
      </c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  <c r="BG107" s="182"/>
      <c r="BH107" s="182"/>
      <c r="BI107" s="182"/>
      <c r="BJ107" s="182"/>
      <c r="BK107" s="182"/>
      <c r="BL107" s="182"/>
      <c r="BM107" s="182"/>
      <c r="BN107" s="182"/>
      <c r="BO107" s="182"/>
      <c r="BP107" s="182"/>
      <c r="BQ107" s="182"/>
      <c r="BR107" s="182"/>
      <c r="BS107" s="182"/>
      <c r="BT107" s="182"/>
      <c r="BU107" s="182"/>
      <c r="BV107" s="182"/>
      <c r="BW107" s="182"/>
      <c r="BX107" s="182"/>
      <c r="BY107" s="182"/>
      <c r="BZ107" s="182"/>
      <c r="CA107" s="182"/>
      <c r="CB107" s="182"/>
      <c r="CC107" s="182"/>
      <c r="CD107" s="182"/>
      <c r="CE107" s="182"/>
      <c r="CF107" s="182"/>
      <c r="CG107" s="182"/>
      <c r="CH107" s="182"/>
      <c r="CI107" s="182"/>
      <c r="CJ107" s="182"/>
      <c r="CK107" s="182"/>
      <c r="CL107" s="182"/>
      <c r="CM107" s="182"/>
      <c r="CN107" s="182"/>
      <c r="CO107" s="182"/>
      <c r="CP107" s="182"/>
      <c r="CQ107" s="182"/>
      <c r="CR107" s="182"/>
      <c r="CS107" s="182"/>
      <c r="CT107" s="182"/>
      <c r="CU107" s="182"/>
      <c r="CV107" s="182"/>
      <c r="CW107" s="182"/>
      <c r="CX107" s="182"/>
      <c r="CY107" s="182"/>
      <c r="CZ107" s="182"/>
      <c r="DA107" s="182"/>
      <c r="DB107" s="182"/>
      <c r="DC107" s="182"/>
      <c r="DD107" s="182"/>
      <c r="DE107" s="182"/>
      <c r="DF107" s="182"/>
      <c r="DG107" s="182"/>
      <c r="DH107" s="182"/>
      <c r="DI107" s="182"/>
      <c r="DJ107" s="182"/>
      <c r="DK107" s="182"/>
      <c r="DL107" s="182"/>
      <c r="DM107" s="182"/>
      <c r="DN107" s="182"/>
      <c r="DO107" s="182"/>
      <c r="DP107" s="182"/>
      <c r="DQ107" s="182"/>
      <c r="DR107" s="182"/>
      <c r="DS107" s="182"/>
      <c r="DT107" s="182"/>
      <c r="DU107" s="182"/>
      <c r="DV107" s="182"/>
      <c r="DW107" s="182"/>
      <c r="DX107" s="182"/>
      <c r="DY107" s="182"/>
      <c r="DZ107" s="182"/>
      <c r="EA107" s="182"/>
      <c r="EB107" s="182"/>
      <c r="EC107" s="182"/>
      <c r="ED107" s="182"/>
      <c r="EE107" s="182"/>
      <c r="EF107" s="182"/>
      <c r="EG107" s="182"/>
      <c r="EH107" s="182"/>
      <c r="EI107" s="182"/>
      <c r="EJ107" s="182"/>
      <c r="EK107" s="182"/>
      <c r="EL107" s="182"/>
      <c r="EM107" s="182"/>
      <c r="EN107" s="182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182"/>
      <c r="FB107" s="182"/>
      <c r="FC107" s="182"/>
      <c r="FD107" s="182"/>
      <c r="FE107" s="182"/>
      <c r="FF107" s="182"/>
      <c r="FG107" s="182"/>
      <c r="FH107" s="182"/>
      <c r="FI107" s="182"/>
      <c r="FJ107" s="182"/>
      <c r="FK107" s="182"/>
      <c r="FL107" s="182"/>
      <c r="FM107" s="182"/>
      <c r="FN107" s="182"/>
      <c r="FO107" s="182"/>
      <c r="FP107" s="182"/>
      <c r="FQ107" s="182"/>
      <c r="FR107" s="182"/>
      <c r="FS107" s="182"/>
      <c r="FT107" s="182"/>
      <c r="FU107" s="182"/>
      <c r="FV107" s="182"/>
      <c r="FW107" s="182"/>
      <c r="FX107" s="182"/>
      <c r="FY107" s="182"/>
      <c r="FZ107" s="182"/>
      <c r="GA107" s="182"/>
      <c r="GB107" s="182"/>
      <c r="GC107" s="182"/>
      <c r="GD107" s="182"/>
      <c r="GE107" s="182"/>
      <c r="GF107" s="182"/>
      <c r="GG107" s="182"/>
      <c r="GH107" s="182"/>
      <c r="GI107" s="182"/>
      <c r="GJ107" s="182"/>
      <c r="GK107" s="182"/>
      <c r="GL107" s="182"/>
      <c r="GM107" s="182"/>
      <c r="GN107" s="182"/>
      <c r="GO107" s="182"/>
      <c r="GP107" s="182"/>
      <c r="GQ107" s="182"/>
      <c r="GR107" s="182"/>
      <c r="GS107" s="182"/>
      <c r="GT107" s="182"/>
      <c r="GU107" s="182"/>
      <c r="GV107" s="182"/>
      <c r="GW107" s="182"/>
      <c r="GX107" s="182"/>
      <c r="GY107" s="182"/>
      <c r="GZ107" s="182"/>
      <c r="HA107" s="182"/>
      <c r="HB107" s="182"/>
      <c r="HC107" s="182"/>
      <c r="HD107" s="182"/>
      <c r="HE107" s="182"/>
      <c r="HF107" s="182"/>
      <c r="HG107" s="182"/>
      <c r="HH107" s="182"/>
      <c r="HI107" s="182"/>
      <c r="HJ107" s="182"/>
      <c r="HK107" s="182"/>
      <c r="HL107" s="182"/>
      <c r="HM107" s="182"/>
      <c r="HN107" s="182"/>
      <c r="HO107" s="182"/>
      <c r="HP107" s="182"/>
      <c r="HQ107" s="182"/>
      <c r="HR107" s="182"/>
      <c r="HS107" s="182"/>
      <c r="HT107" s="182"/>
      <c r="HU107" s="182"/>
      <c r="HV107" s="182"/>
      <c r="HW107" s="182"/>
      <c r="HX107" s="182"/>
      <c r="HY107" s="182"/>
      <c r="HZ107" s="182"/>
      <c r="IA107" s="182"/>
      <c r="IB107" s="182"/>
      <c r="IC107" s="182"/>
      <c r="ID107" s="182"/>
      <c r="IE107" s="182"/>
      <c r="IF107" s="182"/>
      <c r="IG107" s="182"/>
      <c r="IH107" s="182"/>
      <c r="II107" s="182"/>
      <c r="IJ107" s="182"/>
      <c r="IK107" s="182"/>
      <c r="IL107" s="182"/>
      <c r="IM107" s="182"/>
      <c r="IN107" s="182"/>
      <c r="IO107" s="182"/>
      <c r="IP107" s="182"/>
      <c r="IQ107" s="182"/>
    </row>
    <row r="108" spans="1:251" s="148" customFormat="1" ht="21.75" customHeight="1">
      <c r="A108" s="186">
        <v>101</v>
      </c>
      <c r="B108" s="408" t="s">
        <v>493</v>
      </c>
      <c r="C108" s="409" t="s">
        <v>494</v>
      </c>
      <c r="D108" s="410">
        <v>35</v>
      </c>
      <c r="E108" s="410"/>
      <c r="F108" s="409" t="s">
        <v>285</v>
      </c>
      <c r="G108" s="410" t="s">
        <v>162</v>
      </c>
      <c r="H108" s="426" t="s">
        <v>156</v>
      </c>
      <c r="I108" s="187">
        <f t="shared" si="4"/>
        <v>97500</v>
      </c>
      <c r="J108" s="379" t="s">
        <v>151</v>
      </c>
      <c r="K108" s="190">
        <f t="shared" si="5"/>
        <v>75000</v>
      </c>
      <c r="L108" s="379" t="s">
        <v>56</v>
      </c>
      <c r="M108" s="188">
        <f t="shared" si="6"/>
        <v>0</v>
      </c>
      <c r="N108" s="188">
        <f t="shared" si="7"/>
        <v>172500</v>
      </c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82"/>
      <c r="BH108" s="182"/>
      <c r="BI108" s="182"/>
      <c r="BJ108" s="182"/>
      <c r="BK108" s="182"/>
      <c r="BL108" s="182"/>
      <c r="BM108" s="182"/>
      <c r="BN108" s="182"/>
      <c r="BO108" s="182"/>
      <c r="BP108" s="182"/>
      <c r="BQ108" s="182"/>
      <c r="BR108" s="182"/>
      <c r="BS108" s="182"/>
      <c r="BT108" s="182"/>
      <c r="BU108" s="182"/>
      <c r="BV108" s="182"/>
      <c r="BW108" s="182"/>
      <c r="BX108" s="182"/>
      <c r="BY108" s="182"/>
      <c r="BZ108" s="182"/>
      <c r="CA108" s="182"/>
      <c r="CB108" s="182"/>
      <c r="CC108" s="182"/>
      <c r="CD108" s="182"/>
      <c r="CE108" s="182"/>
      <c r="CF108" s="182"/>
      <c r="CG108" s="182"/>
      <c r="CH108" s="182"/>
      <c r="CI108" s="182"/>
      <c r="CJ108" s="182"/>
      <c r="CK108" s="182"/>
      <c r="CL108" s="182"/>
      <c r="CM108" s="182"/>
      <c r="CN108" s="182"/>
      <c r="CO108" s="182"/>
      <c r="CP108" s="182"/>
      <c r="CQ108" s="182"/>
      <c r="CR108" s="182"/>
      <c r="CS108" s="182"/>
      <c r="CT108" s="182"/>
      <c r="CU108" s="182"/>
      <c r="CV108" s="182"/>
      <c r="CW108" s="182"/>
      <c r="CX108" s="182"/>
      <c r="CY108" s="182"/>
      <c r="CZ108" s="182"/>
      <c r="DA108" s="182"/>
      <c r="DB108" s="182"/>
      <c r="DC108" s="182"/>
      <c r="DD108" s="182"/>
      <c r="DE108" s="182"/>
      <c r="DF108" s="182"/>
      <c r="DG108" s="182"/>
      <c r="DH108" s="182"/>
      <c r="DI108" s="182"/>
      <c r="DJ108" s="182"/>
      <c r="DK108" s="182"/>
      <c r="DL108" s="182"/>
      <c r="DM108" s="182"/>
      <c r="DN108" s="182"/>
      <c r="DO108" s="182"/>
      <c r="DP108" s="182"/>
      <c r="DQ108" s="182"/>
      <c r="DR108" s="182"/>
      <c r="DS108" s="182"/>
      <c r="DT108" s="182"/>
      <c r="DU108" s="182"/>
      <c r="DV108" s="182"/>
      <c r="DW108" s="182"/>
      <c r="DX108" s="182"/>
      <c r="DY108" s="182"/>
      <c r="DZ108" s="182"/>
      <c r="EA108" s="182"/>
      <c r="EB108" s="182"/>
      <c r="EC108" s="182"/>
      <c r="ED108" s="182"/>
      <c r="EE108" s="182"/>
      <c r="EF108" s="182"/>
      <c r="EG108" s="182"/>
      <c r="EH108" s="182"/>
      <c r="EI108" s="182"/>
      <c r="EJ108" s="182"/>
      <c r="EK108" s="182"/>
      <c r="EL108" s="182"/>
      <c r="EM108" s="182"/>
      <c r="EN108" s="182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182"/>
      <c r="FB108" s="182"/>
      <c r="FC108" s="182"/>
      <c r="FD108" s="182"/>
      <c r="FE108" s="182"/>
      <c r="FF108" s="182"/>
      <c r="FG108" s="182"/>
      <c r="FH108" s="182"/>
      <c r="FI108" s="182"/>
      <c r="FJ108" s="182"/>
      <c r="FK108" s="182"/>
      <c r="FL108" s="182"/>
      <c r="FM108" s="182"/>
      <c r="FN108" s="182"/>
      <c r="FO108" s="182"/>
      <c r="FP108" s="182"/>
      <c r="FQ108" s="182"/>
      <c r="FR108" s="182"/>
      <c r="FS108" s="182"/>
      <c r="FT108" s="182"/>
      <c r="FU108" s="182"/>
      <c r="FV108" s="182"/>
      <c r="FW108" s="182"/>
      <c r="FX108" s="182"/>
      <c r="FY108" s="182"/>
      <c r="FZ108" s="182"/>
      <c r="GA108" s="182"/>
      <c r="GB108" s="182"/>
      <c r="GC108" s="182"/>
      <c r="GD108" s="182"/>
      <c r="GE108" s="182"/>
      <c r="GF108" s="182"/>
      <c r="GG108" s="182"/>
      <c r="GH108" s="182"/>
      <c r="GI108" s="182"/>
      <c r="GJ108" s="182"/>
      <c r="GK108" s="182"/>
      <c r="GL108" s="182"/>
      <c r="GM108" s="182"/>
      <c r="GN108" s="182"/>
      <c r="GO108" s="182"/>
      <c r="GP108" s="182"/>
      <c r="GQ108" s="182"/>
      <c r="GR108" s="182"/>
      <c r="GS108" s="182"/>
      <c r="GT108" s="182"/>
      <c r="GU108" s="182"/>
      <c r="GV108" s="182"/>
      <c r="GW108" s="182"/>
      <c r="GX108" s="182"/>
      <c r="GY108" s="182"/>
      <c r="GZ108" s="182"/>
      <c r="HA108" s="182"/>
      <c r="HB108" s="182"/>
      <c r="HC108" s="182"/>
      <c r="HD108" s="182"/>
      <c r="HE108" s="182"/>
      <c r="HF108" s="182"/>
      <c r="HG108" s="182"/>
      <c r="HH108" s="182"/>
      <c r="HI108" s="182"/>
      <c r="HJ108" s="182"/>
      <c r="HK108" s="182"/>
      <c r="HL108" s="182"/>
      <c r="HM108" s="182"/>
      <c r="HN108" s="182"/>
      <c r="HO108" s="182"/>
      <c r="HP108" s="182"/>
      <c r="HQ108" s="182"/>
      <c r="HR108" s="182"/>
      <c r="HS108" s="182"/>
      <c r="HT108" s="182"/>
      <c r="HU108" s="182"/>
      <c r="HV108" s="182"/>
      <c r="HW108" s="182"/>
      <c r="HX108" s="182"/>
      <c r="HY108" s="182"/>
      <c r="HZ108" s="182"/>
      <c r="IA108" s="182"/>
      <c r="IB108" s="182"/>
      <c r="IC108" s="182"/>
      <c r="ID108" s="182"/>
      <c r="IE108" s="182"/>
      <c r="IF108" s="182"/>
      <c r="IG108" s="182"/>
      <c r="IH108" s="182"/>
      <c r="II108" s="182"/>
      <c r="IJ108" s="182"/>
      <c r="IK108" s="182"/>
      <c r="IL108" s="182"/>
      <c r="IM108" s="182"/>
      <c r="IN108" s="182"/>
      <c r="IO108" s="182"/>
      <c r="IP108" s="182"/>
      <c r="IQ108" s="182"/>
    </row>
    <row r="109" spans="1:251" s="148" customFormat="1" ht="21.75" customHeight="1">
      <c r="A109" s="186">
        <v>102</v>
      </c>
      <c r="B109" s="408" t="s">
        <v>437</v>
      </c>
      <c r="C109" s="409" t="s">
        <v>495</v>
      </c>
      <c r="D109" s="410"/>
      <c r="E109" s="410">
        <v>63</v>
      </c>
      <c r="F109" s="409" t="s">
        <v>496</v>
      </c>
      <c r="G109" s="410" t="s">
        <v>162</v>
      </c>
      <c r="H109" s="426" t="s">
        <v>156</v>
      </c>
      <c r="I109" s="187">
        <f t="shared" si="4"/>
        <v>97500</v>
      </c>
      <c r="J109" s="379" t="s">
        <v>151</v>
      </c>
      <c r="K109" s="190">
        <f t="shared" si="5"/>
        <v>75000</v>
      </c>
      <c r="L109" s="379" t="s">
        <v>56</v>
      </c>
      <c r="M109" s="188">
        <f t="shared" si="6"/>
        <v>0</v>
      </c>
      <c r="N109" s="188">
        <f t="shared" si="7"/>
        <v>172500</v>
      </c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/>
      <c r="BK109" s="182"/>
      <c r="BL109" s="182"/>
      <c r="BM109" s="182"/>
      <c r="BN109" s="182"/>
      <c r="BO109" s="182"/>
      <c r="BP109" s="182"/>
      <c r="BQ109" s="182"/>
      <c r="BR109" s="182"/>
      <c r="BS109" s="182"/>
      <c r="BT109" s="182"/>
      <c r="BU109" s="182"/>
      <c r="BV109" s="182"/>
      <c r="BW109" s="182"/>
      <c r="BX109" s="182"/>
      <c r="BY109" s="182"/>
      <c r="BZ109" s="182"/>
      <c r="CA109" s="182"/>
      <c r="CB109" s="182"/>
      <c r="CC109" s="182"/>
      <c r="CD109" s="182"/>
      <c r="CE109" s="182"/>
      <c r="CF109" s="182"/>
      <c r="CG109" s="182"/>
      <c r="CH109" s="182"/>
      <c r="CI109" s="182"/>
      <c r="CJ109" s="182"/>
      <c r="CK109" s="182"/>
      <c r="CL109" s="182"/>
      <c r="CM109" s="182"/>
      <c r="CN109" s="182"/>
      <c r="CO109" s="182"/>
      <c r="CP109" s="182"/>
      <c r="CQ109" s="182"/>
      <c r="CR109" s="182"/>
      <c r="CS109" s="182"/>
      <c r="CT109" s="182"/>
      <c r="CU109" s="182"/>
      <c r="CV109" s="182"/>
      <c r="CW109" s="182"/>
      <c r="CX109" s="182"/>
      <c r="CY109" s="182"/>
      <c r="CZ109" s="182"/>
      <c r="DA109" s="182"/>
      <c r="DB109" s="182"/>
      <c r="DC109" s="182"/>
      <c r="DD109" s="182"/>
      <c r="DE109" s="182"/>
      <c r="DF109" s="182"/>
      <c r="DG109" s="182"/>
      <c r="DH109" s="182"/>
      <c r="DI109" s="182"/>
      <c r="DJ109" s="182"/>
      <c r="DK109" s="182"/>
      <c r="DL109" s="182"/>
      <c r="DM109" s="182"/>
      <c r="DN109" s="182"/>
      <c r="DO109" s="182"/>
      <c r="DP109" s="182"/>
      <c r="DQ109" s="182"/>
      <c r="DR109" s="182"/>
      <c r="DS109" s="182"/>
      <c r="DT109" s="182"/>
      <c r="DU109" s="182"/>
      <c r="DV109" s="182"/>
      <c r="DW109" s="182"/>
      <c r="DX109" s="182"/>
      <c r="DY109" s="182"/>
      <c r="DZ109" s="182"/>
      <c r="EA109" s="182"/>
      <c r="EB109" s="182"/>
      <c r="EC109" s="182"/>
      <c r="ED109" s="182"/>
      <c r="EE109" s="182"/>
      <c r="EF109" s="182"/>
      <c r="EG109" s="182"/>
      <c r="EH109" s="182"/>
      <c r="EI109" s="182"/>
      <c r="EJ109" s="182"/>
      <c r="EK109" s="182"/>
      <c r="EL109" s="182"/>
      <c r="EM109" s="182"/>
      <c r="EN109" s="182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182"/>
      <c r="FB109" s="182"/>
      <c r="FC109" s="182"/>
      <c r="FD109" s="182"/>
      <c r="FE109" s="182"/>
      <c r="FF109" s="182"/>
      <c r="FG109" s="182"/>
      <c r="FH109" s="182"/>
      <c r="FI109" s="182"/>
      <c r="FJ109" s="182"/>
      <c r="FK109" s="182"/>
      <c r="FL109" s="182"/>
      <c r="FM109" s="182"/>
      <c r="FN109" s="182"/>
      <c r="FO109" s="182"/>
      <c r="FP109" s="182"/>
      <c r="FQ109" s="182"/>
      <c r="FR109" s="182"/>
      <c r="FS109" s="182"/>
      <c r="FT109" s="182"/>
      <c r="FU109" s="182"/>
      <c r="FV109" s="182"/>
      <c r="FW109" s="182"/>
      <c r="FX109" s="182"/>
      <c r="FY109" s="182"/>
      <c r="FZ109" s="182"/>
      <c r="GA109" s="182"/>
      <c r="GB109" s="182"/>
      <c r="GC109" s="182"/>
      <c r="GD109" s="182"/>
      <c r="GE109" s="182"/>
      <c r="GF109" s="182"/>
      <c r="GG109" s="182"/>
      <c r="GH109" s="182"/>
      <c r="GI109" s="182"/>
      <c r="GJ109" s="182"/>
      <c r="GK109" s="182"/>
      <c r="GL109" s="182"/>
      <c r="GM109" s="182"/>
      <c r="GN109" s="182"/>
      <c r="GO109" s="182"/>
      <c r="GP109" s="182"/>
      <c r="GQ109" s="182"/>
      <c r="GR109" s="182"/>
      <c r="GS109" s="182"/>
      <c r="GT109" s="182"/>
      <c r="GU109" s="182"/>
      <c r="GV109" s="182"/>
      <c r="GW109" s="182"/>
      <c r="GX109" s="182"/>
      <c r="GY109" s="182"/>
      <c r="GZ109" s="182"/>
      <c r="HA109" s="182"/>
      <c r="HB109" s="182"/>
      <c r="HC109" s="182"/>
      <c r="HD109" s="182"/>
      <c r="HE109" s="182"/>
      <c r="HF109" s="182"/>
      <c r="HG109" s="182"/>
      <c r="HH109" s="182"/>
      <c r="HI109" s="182"/>
      <c r="HJ109" s="182"/>
      <c r="HK109" s="182"/>
      <c r="HL109" s="182"/>
      <c r="HM109" s="182"/>
      <c r="HN109" s="182"/>
      <c r="HO109" s="182"/>
      <c r="HP109" s="182"/>
      <c r="HQ109" s="182"/>
      <c r="HR109" s="182"/>
      <c r="HS109" s="182"/>
      <c r="HT109" s="182"/>
      <c r="HU109" s="182"/>
      <c r="HV109" s="182"/>
      <c r="HW109" s="182"/>
      <c r="HX109" s="182"/>
      <c r="HY109" s="182"/>
      <c r="HZ109" s="182"/>
      <c r="IA109" s="182"/>
      <c r="IB109" s="182"/>
      <c r="IC109" s="182"/>
      <c r="ID109" s="182"/>
      <c r="IE109" s="182"/>
      <c r="IF109" s="182"/>
      <c r="IG109" s="182"/>
      <c r="IH109" s="182"/>
      <c r="II109" s="182"/>
      <c r="IJ109" s="182"/>
      <c r="IK109" s="182"/>
      <c r="IL109" s="182"/>
      <c r="IM109" s="182"/>
      <c r="IN109" s="182"/>
      <c r="IO109" s="182"/>
      <c r="IP109" s="182"/>
      <c r="IQ109" s="182"/>
    </row>
    <row r="110" spans="1:251" s="148" customFormat="1" ht="21.75" customHeight="1">
      <c r="A110" s="186">
        <v>103</v>
      </c>
      <c r="B110" s="408" t="s">
        <v>437</v>
      </c>
      <c r="C110" s="409" t="s">
        <v>497</v>
      </c>
      <c r="D110" s="410">
        <v>77</v>
      </c>
      <c r="E110" s="410"/>
      <c r="F110" s="409" t="s">
        <v>498</v>
      </c>
      <c r="G110" s="410" t="s">
        <v>162</v>
      </c>
      <c r="H110" s="426" t="s">
        <v>152</v>
      </c>
      <c r="I110" s="187">
        <f t="shared" si="4"/>
        <v>97500</v>
      </c>
      <c r="J110" s="379" t="s">
        <v>157</v>
      </c>
      <c r="K110" s="190">
        <f t="shared" si="5"/>
        <v>75000</v>
      </c>
      <c r="L110" s="379" t="s">
        <v>56</v>
      </c>
      <c r="M110" s="188">
        <f t="shared" si="6"/>
        <v>0</v>
      </c>
      <c r="N110" s="188">
        <f t="shared" si="7"/>
        <v>172500</v>
      </c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  <c r="BC110" s="182"/>
      <c r="BD110" s="182"/>
      <c r="BE110" s="182"/>
      <c r="BF110" s="182"/>
      <c r="BG110" s="182"/>
      <c r="BH110" s="182"/>
      <c r="BI110" s="182"/>
      <c r="BJ110" s="182"/>
      <c r="BK110" s="182"/>
      <c r="BL110" s="182"/>
      <c r="BM110" s="182"/>
      <c r="BN110" s="182"/>
      <c r="BO110" s="182"/>
      <c r="BP110" s="182"/>
      <c r="BQ110" s="182"/>
      <c r="BR110" s="182"/>
      <c r="BS110" s="182"/>
      <c r="BT110" s="182"/>
      <c r="BU110" s="182"/>
      <c r="BV110" s="182"/>
      <c r="BW110" s="182"/>
      <c r="BX110" s="182"/>
      <c r="BY110" s="182"/>
      <c r="BZ110" s="182"/>
      <c r="CA110" s="182"/>
      <c r="CB110" s="182"/>
      <c r="CC110" s="182"/>
      <c r="CD110" s="182"/>
      <c r="CE110" s="182"/>
      <c r="CF110" s="182"/>
      <c r="CG110" s="182"/>
      <c r="CH110" s="182"/>
      <c r="CI110" s="182"/>
      <c r="CJ110" s="182"/>
      <c r="CK110" s="182"/>
      <c r="CL110" s="182"/>
      <c r="CM110" s="182"/>
      <c r="CN110" s="182"/>
      <c r="CO110" s="182"/>
      <c r="CP110" s="182"/>
      <c r="CQ110" s="182"/>
      <c r="CR110" s="182"/>
      <c r="CS110" s="182"/>
      <c r="CT110" s="182"/>
      <c r="CU110" s="182"/>
      <c r="CV110" s="182"/>
      <c r="CW110" s="182"/>
      <c r="CX110" s="182"/>
      <c r="CY110" s="182"/>
      <c r="CZ110" s="182"/>
      <c r="DA110" s="182"/>
      <c r="DB110" s="182"/>
      <c r="DC110" s="182"/>
      <c r="DD110" s="182"/>
      <c r="DE110" s="182"/>
      <c r="DF110" s="182"/>
      <c r="DG110" s="182"/>
      <c r="DH110" s="182"/>
      <c r="DI110" s="182"/>
      <c r="DJ110" s="182"/>
      <c r="DK110" s="182"/>
      <c r="DL110" s="182"/>
      <c r="DM110" s="182"/>
      <c r="DN110" s="182"/>
      <c r="DO110" s="182"/>
      <c r="DP110" s="182"/>
      <c r="DQ110" s="182"/>
      <c r="DR110" s="182"/>
      <c r="DS110" s="182"/>
      <c r="DT110" s="182"/>
      <c r="DU110" s="182"/>
      <c r="DV110" s="182"/>
      <c r="DW110" s="182"/>
      <c r="DX110" s="182"/>
      <c r="DY110" s="182"/>
      <c r="DZ110" s="182"/>
      <c r="EA110" s="182"/>
      <c r="EB110" s="182"/>
      <c r="EC110" s="182"/>
      <c r="ED110" s="182"/>
      <c r="EE110" s="182"/>
      <c r="EF110" s="182"/>
      <c r="EG110" s="182"/>
      <c r="EH110" s="182"/>
      <c r="EI110" s="182"/>
      <c r="EJ110" s="182"/>
      <c r="EK110" s="182"/>
      <c r="EL110" s="182"/>
      <c r="EM110" s="182"/>
      <c r="EN110" s="182"/>
      <c r="EO110" s="182"/>
      <c r="EP110" s="182"/>
      <c r="EQ110" s="182"/>
      <c r="ER110" s="182"/>
      <c r="ES110" s="182"/>
      <c r="ET110" s="182"/>
      <c r="EU110" s="182"/>
      <c r="EV110" s="182"/>
      <c r="EW110" s="182"/>
      <c r="EX110" s="182"/>
      <c r="EY110" s="182"/>
      <c r="EZ110" s="182"/>
      <c r="FA110" s="182"/>
      <c r="FB110" s="182"/>
      <c r="FC110" s="182"/>
      <c r="FD110" s="182"/>
      <c r="FE110" s="182"/>
      <c r="FF110" s="182"/>
      <c r="FG110" s="182"/>
      <c r="FH110" s="182"/>
      <c r="FI110" s="182"/>
      <c r="FJ110" s="182"/>
      <c r="FK110" s="182"/>
      <c r="FL110" s="182"/>
      <c r="FM110" s="182"/>
      <c r="FN110" s="182"/>
      <c r="FO110" s="182"/>
      <c r="FP110" s="182"/>
      <c r="FQ110" s="182"/>
      <c r="FR110" s="182"/>
      <c r="FS110" s="182"/>
      <c r="FT110" s="182"/>
      <c r="FU110" s="182"/>
      <c r="FV110" s="182"/>
      <c r="FW110" s="182"/>
      <c r="FX110" s="182"/>
      <c r="FY110" s="182"/>
      <c r="FZ110" s="182"/>
      <c r="GA110" s="182"/>
      <c r="GB110" s="182"/>
      <c r="GC110" s="182"/>
      <c r="GD110" s="182"/>
      <c r="GE110" s="182"/>
      <c r="GF110" s="182"/>
      <c r="GG110" s="182"/>
      <c r="GH110" s="182"/>
      <c r="GI110" s="182"/>
      <c r="GJ110" s="182"/>
      <c r="GK110" s="182"/>
      <c r="GL110" s="182"/>
      <c r="GM110" s="182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182"/>
      <c r="HQ110" s="182"/>
      <c r="HR110" s="182"/>
      <c r="HS110" s="182"/>
      <c r="HT110" s="182"/>
      <c r="HU110" s="182"/>
      <c r="HV110" s="182"/>
      <c r="HW110" s="182"/>
      <c r="HX110" s="182"/>
      <c r="HY110" s="182"/>
      <c r="HZ110" s="182"/>
      <c r="IA110" s="182"/>
      <c r="IB110" s="182"/>
      <c r="IC110" s="182"/>
      <c r="ID110" s="182"/>
      <c r="IE110" s="182"/>
      <c r="IF110" s="182"/>
      <c r="IG110" s="182"/>
      <c r="IH110" s="182"/>
      <c r="II110" s="182"/>
      <c r="IJ110" s="182"/>
      <c r="IK110" s="182"/>
      <c r="IL110" s="182"/>
      <c r="IM110" s="182"/>
      <c r="IN110" s="182"/>
      <c r="IO110" s="182"/>
      <c r="IP110" s="182"/>
      <c r="IQ110" s="182"/>
    </row>
    <row r="111" spans="1:251" s="148" customFormat="1" ht="21.75" customHeight="1">
      <c r="A111" s="186">
        <v>104</v>
      </c>
      <c r="B111" s="408" t="s">
        <v>437</v>
      </c>
      <c r="C111" s="409" t="s">
        <v>287</v>
      </c>
      <c r="D111" s="410">
        <v>65</v>
      </c>
      <c r="E111" s="410"/>
      <c r="F111" s="409" t="s">
        <v>499</v>
      </c>
      <c r="G111" s="410" t="s">
        <v>162</v>
      </c>
      <c r="H111" s="426" t="s">
        <v>153</v>
      </c>
      <c r="I111" s="187">
        <f t="shared" si="4"/>
        <v>97500</v>
      </c>
      <c r="J111" s="379" t="s">
        <v>160</v>
      </c>
      <c r="K111" s="190">
        <f t="shared" si="5"/>
        <v>75000</v>
      </c>
      <c r="L111" s="379" t="s">
        <v>56</v>
      </c>
      <c r="M111" s="188">
        <f t="shared" si="6"/>
        <v>0</v>
      </c>
      <c r="N111" s="188">
        <f t="shared" si="7"/>
        <v>172500</v>
      </c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  <c r="BG111" s="182"/>
      <c r="BH111" s="182"/>
      <c r="BI111" s="182"/>
      <c r="BJ111" s="182"/>
      <c r="BK111" s="182"/>
      <c r="BL111" s="182"/>
      <c r="BM111" s="182"/>
      <c r="BN111" s="182"/>
      <c r="BO111" s="182"/>
      <c r="BP111" s="182"/>
      <c r="BQ111" s="182"/>
      <c r="BR111" s="182"/>
      <c r="BS111" s="182"/>
      <c r="BT111" s="182"/>
      <c r="BU111" s="182"/>
      <c r="BV111" s="182"/>
      <c r="BW111" s="182"/>
      <c r="BX111" s="182"/>
      <c r="BY111" s="182"/>
      <c r="BZ111" s="182"/>
      <c r="CA111" s="182"/>
      <c r="CB111" s="182"/>
      <c r="CC111" s="182"/>
      <c r="CD111" s="182"/>
      <c r="CE111" s="182"/>
      <c r="CF111" s="182"/>
      <c r="CG111" s="182"/>
      <c r="CH111" s="182"/>
      <c r="CI111" s="182"/>
      <c r="CJ111" s="182"/>
      <c r="CK111" s="182"/>
      <c r="CL111" s="182"/>
      <c r="CM111" s="182"/>
      <c r="CN111" s="182"/>
      <c r="CO111" s="182"/>
      <c r="CP111" s="182"/>
      <c r="CQ111" s="182"/>
      <c r="CR111" s="182"/>
      <c r="CS111" s="182"/>
      <c r="CT111" s="182"/>
      <c r="CU111" s="182"/>
      <c r="CV111" s="182"/>
      <c r="CW111" s="182"/>
      <c r="CX111" s="182"/>
      <c r="CY111" s="182"/>
      <c r="CZ111" s="182"/>
      <c r="DA111" s="182"/>
      <c r="DB111" s="182"/>
      <c r="DC111" s="182"/>
      <c r="DD111" s="182"/>
      <c r="DE111" s="182"/>
      <c r="DF111" s="182"/>
      <c r="DG111" s="182"/>
      <c r="DH111" s="182"/>
      <c r="DI111" s="182"/>
      <c r="DJ111" s="182"/>
      <c r="DK111" s="182"/>
      <c r="DL111" s="182"/>
      <c r="DM111" s="182"/>
      <c r="DN111" s="182"/>
      <c r="DO111" s="182"/>
      <c r="DP111" s="182"/>
      <c r="DQ111" s="182"/>
      <c r="DR111" s="182"/>
      <c r="DS111" s="182"/>
      <c r="DT111" s="182"/>
      <c r="DU111" s="182"/>
      <c r="DV111" s="182"/>
      <c r="DW111" s="182"/>
      <c r="DX111" s="182"/>
      <c r="DY111" s="182"/>
      <c r="DZ111" s="182"/>
      <c r="EA111" s="182"/>
      <c r="EB111" s="182"/>
      <c r="EC111" s="182"/>
      <c r="ED111" s="182"/>
      <c r="EE111" s="182"/>
      <c r="EF111" s="182"/>
      <c r="EG111" s="182"/>
      <c r="EH111" s="182"/>
      <c r="EI111" s="182"/>
      <c r="EJ111" s="182"/>
      <c r="EK111" s="182"/>
      <c r="EL111" s="182"/>
      <c r="EM111" s="182"/>
      <c r="EN111" s="182"/>
      <c r="EO111" s="182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182"/>
      <c r="FC111" s="182"/>
      <c r="FD111" s="182"/>
      <c r="FE111" s="182"/>
      <c r="FF111" s="182"/>
      <c r="FG111" s="182"/>
      <c r="FH111" s="182"/>
      <c r="FI111" s="182"/>
      <c r="FJ111" s="182"/>
      <c r="FK111" s="182"/>
      <c r="FL111" s="182"/>
      <c r="FM111" s="182"/>
      <c r="FN111" s="182"/>
      <c r="FO111" s="182"/>
      <c r="FP111" s="182"/>
      <c r="FQ111" s="182"/>
      <c r="FR111" s="182"/>
      <c r="FS111" s="182"/>
      <c r="FT111" s="182"/>
      <c r="FU111" s="182"/>
      <c r="FV111" s="182"/>
      <c r="FW111" s="182"/>
      <c r="FX111" s="182"/>
      <c r="FY111" s="182"/>
      <c r="FZ111" s="182"/>
      <c r="GA111" s="182"/>
      <c r="GB111" s="182"/>
      <c r="GC111" s="182"/>
      <c r="GD111" s="182"/>
      <c r="GE111" s="182"/>
      <c r="GF111" s="182"/>
      <c r="GG111" s="182"/>
      <c r="GH111" s="182"/>
      <c r="GI111" s="182"/>
      <c r="GJ111" s="182"/>
      <c r="GK111" s="182"/>
      <c r="GL111" s="182"/>
      <c r="GM111" s="182"/>
      <c r="GN111" s="182"/>
      <c r="GO111" s="182"/>
      <c r="GP111" s="182"/>
      <c r="GQ111" s="182"/>
      <c r="GR111" s="182"/>
      <c r="GS111" s="182"/>
      <c r="GT111" s="182"/>
      <c r="GU111" s="182"/>
      <c r="GV111" s="182"/>
      <c r="GW111" s="182"/>
      <c r="GX111" s="182"/>
      <c r="GY111" s="182"/>
      <c r="GZ111" s="182"/>
      <c r="HA111" s="182"/>
      <c r="HB111" s="182"/>
      <c r="HC111" s="182"/>
      <c r="HD111" s="182"/>
      <c r="HE111" s="182"/>
      <c r="HF111" s="182"/>
      <c r="HG111" s="182"/>
      <c r="HH111" s="182"/>
      <c r="HI111" s="182"/>
      <c r="HJ111" s="182"/>
      <c r="HK111" s="182"/>
      <c r="HL111" s="182"/>
      <c r="HM111" s="182"/>
      <c r="HN111" s="182"/>
      <c r="HO111" s="182"/>
      <c r="HP111" s="182"/>
      <c r="HQ111" s="182"/>
      <c r="HR111" s="182"/>
      <c r="HS111" s="182"/>
      <c r="HT111" s="182"/>
      <c r="HU111" s="182"/>
      <c r="HV111" s="182"/>
      <c r="HW111" s="182"/>
      <c r="HX111" s="182"/>
      <c r="HY111" s="182"/>
      <c r="HZ111" s="182"/>
      <c r="IA111" s="182"/>
      <c r="IB111" s="182"/>
      <c r="IC111" s="182"/>
      <c r="ID111" s="182"/>
      <c r="IE111" s="182"/>
      <c r="IF111" s="182"/>
      <c r="IG111" s="182"/>
      <c r="IH111" s="182"/>
      <c r="II111" s="182"/>
      <c r="IJ111" s="182"/>
      <c r="IK111" s="182"/>
      <c r="IL111" s="182"/>
      <c r="IM111" s="182"/>
      <c r="IN111" s="182"/>
      <c r="IO111" s="182"/>
      <c r="IP111" s="182"/>
      <c r="IQ111" s="182"/>
    </row>
    <row r="112" spans="1:251" s="148" customFormat="1" ht="21.75" customHeight="1">
      <c r="A112" s="186">
        <v>105</v>
      </c>
      <c r="B112" s="408" t="s">
        <v>443</v>
      </c>
      <c r="C112" s="409" t="s">
        <v>500</v>
      </c>
      <c r="D112" s="410"/>
      <c r="E112" s="410">
        <v>65</v>
      </c>
      <c r="F112" s="409" t="s">
        <v>501</v>
      </c>
      <c r="G112" s="410" t="s">
        <v>163</v>
      </c>
      <c r="H112" s="426" t="s">
        <v>152</v>
      </c>
      <c r="I112" s="187">
        <f t="shared" si="4"/>
        <v>97500</v>
      </c>
      <c r="J112" s="379" t="s">
        <v>173</v>
      </c>
      <c r="K112" s="190">
        <f t="shared" si="5"/>
        <v>75000</v>
      </c>
      <c r="L112" s="379" t="s">
        <v>56</v>
      </c>
      <c r="M112" s="188">
        <f t="shared" si="6"/>
        <v>0</v>
      </c>
      <c r="N112" s="188">
        <f t="shared" si="7"/>
        <v>172500</v>
      </c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  <c r="BC112" s="182"/>
      <c r="BD112" s="182"/>
      <c r="BE112" s="182"/>
      <c r="BF112" s="182"/>
      <c r="BG112" s="182"/>
      <c r="BH112" s="182"/>
      <c r="BI112" s="182"/>
      <c r="BJ112" s="182"/>
      <c r="BK112" s="182"/>
      <c r="BL112" s="182"/>
      <c r="BM112" s="182"/>
      <c r="BN112" s="182"/>
      <c r="BO112" s="182"/>
      <c r="BP112" s="182"/>
      <c r="BQ112" s="182"/>
      <c r="BR112" s="182"/>
      <c r="BS112" s="182"/>
      <c r="BT112" s="182"/>
      <c r="BU112" s="182"/>
      <c r="BV112" s="182"/>
      <c r="BW112" s="182"/>
      <c r="BX112" s="182"/>
      <c r="BY112" s="182"/>
      <c r="BZ112" s="182"/>
      <c r="CA112" s="182"/>
      <c r="CB112" s="182"/>
      <c r="CC112" s="182"/>
      <c r="CD112" s="182"/>
      <c r="CE112" s="182"/>
      <c r="CF112" s="182"/>
      <c r="CG112" s="182"/>
      <c r="CH112" s="182"/>
      <c r="CI112" s="182"/>
      <c r="CJ112" s="182"/>
      <c r="CK112" s="182"/>
      <c r="CL112" s="182"/>
      <c r="CM112" s="182"/>
      <c r="CN112" s="182"/>
      <c r="CO112" s="182"/>
      <c r="CP112" s="182"/>
      <c r="CQ112" s="182"/>
      <c r="CR112" s="182"/>
      <c r="CS112" s="182"/>
      <c r="CT112" s="182"/>
      <c r="CU112" s="182"/>
      <c r="CV112" s="182"/>
      <c r="CW112" s="182"/>
      <c r="CX112" s="182"/>
      <c r="CY112" s="182"/>
      <c r="CZ112" s="182"/>
      <c r="DA112" s="182"/>
      <c r="DB112" s="182"/>
      <c r="DC112" s="182"/>
      <c r="DD112" s="182"/>
      <c r="DE112" s="182"/>
      <c r="DF112" s="182"/>
      <c r="DG112" s="182"/>
      <c r="DH112" s="182"/>
      <c r="DI112" s="182"/>
      <c r="DJ112" s="182"/>
      <c r="DK112" s="182"/>
      <c r="DL112" s="182"/>
      <c r="DM112" s="182"/>
      <c r="DN112" s="182"/>
      <c r="DO112" s="182"/>
      <c r="DP112" s="182"/>
      <c r="DQ112" s="182"/>
      <c r="DR112" s="182"/>
      <c r="DS112" s="182"/>
      <c r="DT112" s="182"/>
      <c r="DU112" s="182"/>
      <c r="DV112" s="182"/>
      <c r="DW112" s="182"/>
      <c r="DX112" s="182"/>
      <c r="DY112" s="182"/>
      <c r="DZ112" s="182"/>
      <c r="EA112" s="182"/>
      <c r="EB112" s="182"/>
      <c r="EC112" s="182"/>
      <c r="ED112" s="182"/>
      <c r="EE112" s="182"/>
      <c r="EF112" s="182"/>
      <c r="EG112" s="182"/>
      <c r="EH112" s="182"/>
      <c r="EI112" s="182"/>
      <c r="EJ112" s="182"/>
      <c r="EK112" s="182"/>
      <c r="EL112" s="182"/>
      <c r="EM112" s="182"/>
      <c r="EN112" s="182"/>
      <c r="EO112" s="182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182"/>
      <c r="FC112" s="182"/>
      <c r="FD112" s="182"/>
      <c r="FE112" s="182"/>
      <c r="FF112" s="182"/>
      <c r="FG112" s="182"/>
      <c r="FH112" s="182"/>
      <c r="FI112" s="182"/>
      <c r="FJ112" s="182"/>
      <c r="FK112" s="182"/>
      <c r="FL112" s="182"/>
      <c r="FM112" s="182"/>
      <c r="FN112" s="182"/>
      <c r="FO112" s="182"/>
      <c r="FP112" s="182"/>
      <c r="FQ112" s="182"/>
      <c r="FR112" s="182"/>
      <c r="FS112" s="182"/>
      <c r="FT112" s="182"/>
      <c r="FU112" s="182"/>
      <c r="FV112" s="182"/>
      <c r="FW112" s="182"/>
      <c r="FX112" s="182"/>
      <c r="FY112" s="182"/>
      <c r="FZ112" s="182"/>
      <c r="GA112" s="182"/>
      <c r="GB112" s="182"/>
      <c r="GC112" s="182"/>
      <c r="GD112" s="182"/>
      <c r="GE112" s="182"/>
      <c r="GF112" s="182"/>
      <c r="GG112" s="182"/>
      <c r="GH112" s="182"/>
      <c r="GI112" s="182"/>
      <c r="GJ112" s="182"/>
      <c r="GK112" s="182"/>
      <c r="GL112" s="182"/>
      <c r="GM112" s="182"/>
      <c r="GN112" s="182"/>
      <c r="GO112" s="182"/>
      <c r="GP112" s="182"/>
      <c r="GQ112" s="182"/>
      <c r="GR112" s="182"/>
      <c r="GS112" s="182"/>
      <c r="GT112" s="182"/>
      <c r="GU112" s="182"/>
      <c r="GV112" s="182"/>
      <c r="GW112" s="182"/>
      <c r="GX112" s="182"/>
      <c r="GY112" s="182"/>
      <c r="GZ112" s="182"/>
      <c r="HA112" s="182"/>
      <c r="HB112" s="182"/>
      <c r="HC112" s="182"/>
      <c r="HD112" s="182"/>
      <c r="HE112" s="182"/>
      <c r="HF112" s="182"/>
      <c r="HG112" s="182"/>
      <c r="HH112" s="182"/>
      <c r="HI112" s="182"/>
      <c r="HJ112" s="182"/>
      <c r="HK112" s="182"/>
      <c r="HL112" s="182"/>
      <c r="HM112" s="182"/>
      <c r="HN112" s="182"/>
      <c r="HO112" s="182"/>
      <c r="HP112" s="182"/>
      <c r="HQ112" s="182"/>
      <c r="HR112" s="182"/>
      <c r="HS112" s="182"/>
      <c r="HT112" s="182"/>
      <c r="HU112" s="182"/>
      <c r="HV112" s="182"/>
      <c r="HW112" s="182"/>
      <c r="HX112" s="182"/>
      <c r="HY112" s="182"/>
      <c r="HZ112" s="182"/>
      <c r="IA112" s="182"/>
      <c r="IB112" s="182"/>
      <c r="IC112" s="182"/>
      <c r="ID112" s="182"/>
      <c r="IE112" s="182"/>
      <c r="IF112" s="182"/>
      <c r="IG112" s="182"/>
      <c r="IH112" s="182"/>
      <c r="II112" s="182"/>
      <c r="IJ112" s="182"/>
      <c r="IK112" s="182"/>
      <c r="IL112" s="182"/>
      <c r="IM112" s="182"/>
      <c r="IN112" s="182"/>
      <c r="IO112" s="182"/>
      <c r="IP112" s="182"/>
      <c r="IQ112" s="182"/>
    </row>
    <row r="113" spans="1:251" s="148" customFormat="1" ht="21.75" customHeight="1">
      <c r="A113" s="186">
        <v>106</v>
      </c>
      <c r="B113" s="408" t="s">
        <v>443</v>
      </c>
      <c r="C113" s="409" t="s">
        <v>502</v>
      </c>
      <c r="D113" s="410"/>
      <c r="E113" s="410">
        <v>77</v>
      </c>
      <c r="F113" s="409" t="s">
        <v>269</v>
      </c>
      <c r="G113" s="410" t="s">
        <v>163</v>
      </c>
      <c r="H113" s="426" t="s">
        <v>153</v>
      </c>
      <c r="I113" s="187">
        <f t="shared" si="4"/>
        <v>97500</v>
      </c>
      <c r="J113" s="379" t="s">
        <v>161</v>
      </c>
      <c r="K113" s="190">
        <f t="shared" si="5"/>
        <v>75000</v>
      </c>
      <c r="L113" s="379" t="s">
        <v>56</v>
      </c>
      <c r="M113" s="188">
        <f t="shared" si="6"/>
        <v>0</v>
      </c>
      <c r="N113" s="188">
        <f t="shared" si="7"/>
        <v>172500</v>
      </c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  <c r="BG113" s="182"/>
      <c r="BH113" s="182"/>
      <c r="BI113" s="182"/>
      <c r="BJ113" s="182"/>
      <c r="BK113" s="182"/>
      <c r="BL113" s="182"/>
      <c r="BM113" s="182"/>
      <c r="BN113" s="182"/>
      <c r="BO113" s="182"/>
      <c r="BP113" s="182"/>
      <c r="BQ113" s="182"/>
      <c r="BR113" s="182"/>
      <c r="BS113" s="182"/>
      <c r="BT113" s="182"/>
      <c r="BU113" s="182"/>
      <c r="BV113" s="182"/>
      <c r="BW113" s="182"/>
      <c r="BX113" s="182"/>
      <c r="BY113" s="182"/>
      <c r="BZ113" s="182"/>
      <c r="CA113" s="182"/>
      <c r="CB113" s="182"/>
      <c r="CC113" s="182"/>
      <c r="CD113" s="182"/>
      <c r="CE113" s="182"/>
      <c r="CF113" s="182"/>
      <c r="CG113" s="182"/>
      <c r="CH113" s="182"/>
      <c r="CI113" s="182"/>
      <c r="CJ113" s="182"/>
      <c r="CK113" s="182"/>
      <c r="CL113" s="182"/>
      <c r="CM113" s="182"/>
      <c r="CN113" s="182"/>
      <c r="CO113" s="182"/>
      <c r="CP113" s="182"/>
      <c r="CQ113" s="182"/>
      <c r="CR113" s="182"/>
      <c r="CS113" s="182"/>
      <c r="CT113" s="182"/>
      <c r="CU113" s="182"/>
      <c r="CV113" s="182"/>
      <c r="CW113" s="182"/>
      <c r="CX113" s="182"/>
      <c r="CY113" s="182"/>
      <c r="CZ113" s="182"/>
      <c r="DA113" s="182"/>
      <c r="DB113" s="182"/>
      <c r="DC113" s="182"/>
      <c r="DD113" s="182"/>
      <c r="DE113" s="182"/>
      <c r="DF113" s="182"/>
      <c r="DG113" s="182"/>
      <c r="DH113" s="182"/>
      <c r="DI113" s="182"/>
      <c r="DJ113" s="182"/>
      <c r="DK113" s="182"/>
      <c r="DL113" s="182"/>
      <c r="DM113" s="182"/>
      <c r="DN113" s="182"/>
      <c r="DO113" s="182"/>
      <c r="DP113" s="182"/>
      <c r="DQ113" s="182"/>
      <c r="DR113" s="182"/>
      <c r="DS113" s="182"/>
      <c r="DT113" s="182"/>
      <c r="DU113" s="182"/>
      <c r="DV113" s="182"/>
      <c r="DW113" s="182"/>
      <c r="DX113" s="182"/>
      <c r="DY113" s="182"/>
      <c r="DZ113" s="182"/>
      <c r="EA113" s="182"/>
      <c r="EB113" s="182"/>
      <c r="EC113" s="182"/>
      <c r="ED113" s="182"/>
      <c r="EE113" s="182"/>
      <c r="EF113" s="182"/>
      <c r="EG113" s="182"/>
      <c r="EH113" s="182"/>
      <c r="EI113" s="182"/>
      <c r="EJ113" s="182"/>
      <c r="EK113" s="182"/>
      <c r="EL113" s="182"/>
      <c r="EM113" s="182"/>
      <c r="EN113" s="182"/>
      <c r="EO113" s="182"/>
      <c r="EP113" s="182"/>
      <c r="EQ113" s="182"/>
      <c r="ER113" s="182"/>
      <c r="ES113" s="182"/>
      <c r="ET113" s="182"/>
      <c r="EU113" s="182"/>
      <c r="EV113" s="182"/>
      <c r="EW113" s="182"/>
      <c r="EX113" s="182"/>
      <c r="EY113" s="182"/>
      <c r="EZ113" s="182"/>
      <c r="FA113" s="182"/>
      <c r="FB113" s="182"/>
      <c r="FC113" s="182"/>
      <c r="FD113" s="182"/>
      <c r="FE113" s="182"/>
      <c r="FF113" s="182"/>
      <c r="FG113" s="182"/>
      <c r="FH113" s="182"/>
      <c r="FI113" s="182"/>
      <c r="FJ113" s="182"/>
      <c r="FK113" s="182"/>
      <c r="FL113" s="182"/>
      <c r="FM113" s="182"/>
      <c r="FN113" s="182"/>
      <c r="FO113" s="182"/>
      <c r="FP113" s="182"/>
      <c r="FQ113" s="182"/>
      <c r="FR113" s="182"/>
      <c r="FS113" s="182"/>
      <c r="FT113" s="182"/>
      <c r="FU113" s="182"/>
      <c r="FV113" s="182"/>
      <c r="FW113" s="182"/>
      <c r="FX113" s="182"/>
      <c r="FY113" s="182"/>
      <c r="FZ113" s="182"/>
      <c r="GA113" s="182"/>
      <c r="GB113" s="182"/>
      <c r="GC113" s="182"/>
      <c r="GD113" s="182"/>
      <c r="GE113" s="182"/>
      <c r="GF113" s="182"/>
      <c r="GG113" s="182"/>
      <c r="GH113" s="182"/>
      <c r="GI113" s="182"/>
      <c r="GJ113" s="182"/>
      <c r="GK113" s="182"/>
      <c r="GL113" s="182"/>
      <c r="GM113" s="182"/>
      <c r="GN113" s="182"/>
      <c r="GO113" s="182"/>
      <c r="GP113" s="182"/>
      <c r="GQ113" s="182"/>
      <c r="GR113" s="182"/>
      <c r="GS113" s="182"/>
      <c r="GT113" s="182"/>
      <c r="GU113" s="182"/>
      <c r="GV113" s="182"/>
      <c r="GW113" s="182"/>
      <c r="GX113" s="182"/>
      <c r="GY113" s="182"/>
      <c r="GZ113" s="182"/>
      <c r="HA113" s="182"/>
      <c r="HB113" s="182"/>
      <c r="HC113" s="182"/>
      <c r="HD113" s="182"/>
      <c r="HE113" s="182"/>
      <c r="HF113" s="182"/>
      <c r="HG113" s="182"/>
      <c r="HH113" s="182"/>
      <c r="HI113" s="182"/>
      <c r="HJ113" s="182"/>
      <c r="HK113" s="182"/>
      <c r="HL113" s="182"/>
      <c r="HM113" s="182"/>
      <c r="HN113" s="182"/>
      <c r="HO113" s="182"/>
      <c r="HP113" s="182"/>
      <c r="HQ113" s="182"/>
      <c r="HR113" s="182"/>
      <c r="HS113" s="182"/>
      <c r="HT113" s="182"/>
      <c r="HU113" s="182"/>
      <c r="HV113" s="182"/>
      <c r="HW113" s="182"/>
      <c r="HX113" s="182"/>
      <c r="HY113" s="182"/>
      <c r="HZ113" s="182"/>
      <c r="IA113" s="182"/>
      <c r="IB113" s="182"/>
      <c r="IC113" s="182"/>
      <c r="ID113" s="182"/>
      <c r="IE113" s="182"/>
      <c r="IF113" s="182"/>
      <c r="IG113" s="182"/>
      <c r="IH113" s="182"/>
      <c r="II113" s="182"/>
      <c r="IJ113" s="182"/>
      <c r="IK113" s="182"/>
      <c r="IL113" s="182"/>
      <c r="IM113" s="182"/>
      <c r="IN113" s="182"/>
      <c r="IO113" s="182"/>
      <c r="IP113" s="182"/>
      <c r="IQ113" s="182"/>
    </row>
    <row r="114" spans="1:251" s="148" customFormat="1" ht="21.75" customHeight="1">
      <c r="A114" s="186">
        <v>107</v>
      </c>
      <c r="B114" s="408" t="s">
        <v>443</v>
      </c>
      <c r="C114" s="409" t="s">
        <v>503</v>
      </c>
      <c r="D114" s="410">
        <v>35</v>
      </c>
      <c r="E114" s="410"/>
      <c r="F114" s="409" t="s">
        <v>164</v>
      </c>
      <c r="G114" s="410" t="s">
        <v>162</v>
      </c>
      <c r="H114" s="426" t="s">
        <v>153</v>
      </c>
      <c r="I114" s="187">
        <f t="shared" si="4"/>
        <v>97500</v>
      </c>
      <c r="J114" s="411" t="s">
        <v>158</v>
      </c>
      <c r="K114" s="190">
        <f t="shared" si="5"/>
        <v>75000</v>
      </c>
      <c r="L114" s="379" t="s">
        <v>56</v>
      </c>
      <c r="M114" s="188">
        <f t="shared" si="6"/>
        <v>0</v>
      </c>
      <c r="N114" s="188">
        <f t="shared" si="7"/>
        <v>172500</v>
      </c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2"/>
      <c r="AR114" s="182"/>
      <c r="AS114" s="182"/>
      <c r="AT114" s="182"/>
      <c r="AU114" s="182"/>
      <c r="AV114" s="182"/>
      <c r="AW114" s="182"/>
      <c r="AX114" s="182"/>
      <c r="AY114" s="182"/>
      <c r="AZ114" s="182"/>
      <c r="BA114" s="182"/>
      <c r="BB114" s="182"/>
      <c r="BC114" s="182"/>
      <c r="BD114" s="182"/>
      <c r="BE114" s="182"/>
      <c r="BF114" s="182"/>
      <c r="BG114" s="182"/>
      <c r="BH114" s="182"/>
      <c r="BI114" s="182"/>
      <c r="BJ114" s="182"/>
      <c r="BK114" s="182"/>
      <c r="BL114" s="182"/>
      <c r="BM114" s="182"/>
      <c r="BN114" s="182"/>
      <c r="BO114" s="182"/>
      <c r="BP114" s="182"/>
      <c r="BQ114" s="182"/>
      <c r="BR114" s="182"/>
      <c r="BS114" s="182"/>
      <c r="BT114" s="182"/>
      <c r="BU114" s="182"/>
      <c r="BV114" s="182"/>
      <c r="BW114" s="182"/>
      <c r="BX114" s="182"/>
      <c r="BY114" s="182"/>
      <c r="BZ114" s="182"/>
      <c r="CA114" s="182"/>
      <c r="CB114" s="182"/>
      <c r="CC114" s="182"/>
      <c r="CD114" s="182"/>
      <c r="CE114" s="182"/>
      <c r="CF114" s="182"/>
      <c r="CG114" s="182"/>
      <c r="CH114" s="182"/>
      <c r="CI114" s="182"/>
      <c r="CJ114" s="182"/>
      <c r="CK114" s="182"/>
      <c r="CL114" s="182"/>
      <c r="CM114" s="182"/>
      <c r="CN114" s="182"/>
      <c r="CO114" s="182"/>
      <c r="CP114" s="182"/>
      <c r="CQ114" s="182"/>
      <c r="CR114" s="182"/>
      <c r="CS114" s="182"/>
      <c r="CT114" s="182"/>
      <c r="CU114" s="182"/>
      <c r="CV114" s="182"/>
      <c r="CW114" s="182"/>
      <c r="CX114" s="182"/>
      <c r="CY114" s="182"/>
      <c r="CZ114" s="182"/>
      <c r="DA114" s="182"/>
      <c r="DB114" s="182"/>
      <c r="DC114" s="182"/>
      <c r="DD114" s="182"/>
      <c r="DE114" s="182"/>
      <c r="DF114" s="182"/>
      <c r="DG114" s="182"/>
      <c r="DH114" s="182"/>
      <c r="DI114" s="182"/>
      <c r="DJ114" s="182"/>
      <c r="DK114" s="182"/>
      <c r="DL114" s="182"/>
      <c r="DM114" s="182"/>
      <c r="DN114" s="182"/>
      <c r="DO114" s="182"/>
      <c r="DP114" s="182"/>
      <c r="DQ114" s="182"/>
      <c r="DR114" s="182"/>
      <c r="DS114" s="182"/>
      <c r="DT114" s="182"/>
      <c r="DU114" s="182"/>
      <c r="DV114" s="182"/>
      <c r="DW114" s="182"/>
      <c r="DX114" s="182"/>
      <c r="DY114" s="182"/>
      <c r="DZ114" s="182"/>
      <c r="EA114" s="182"/>
      <c r="EB114" s="182"/>
      <c r="EC114" s="182"/>
      <c r="ED114" s="182"/>
      <c r="EE114" s="182"/>
      <c r="EF114" s="182"/>
      <c r="EG114" s="182"/>
      <c r="EH114" s="182"/>
      <c r="EI114" s="182"/>
      <c r="EJ114" s="182"/>
      <c r="EK114" s="182"/>
      <c r="EL114" s="182"/>
      <c r="EM114" s="182"/>
      <c r="EN114" s="182"/>
      <c r="EO114" s="182"/>
      <c r="EP114" s="182"/>
      <c r="EQ114" s="182"/>
      <c r="ER114" s="182"/>
      <c r="ES114" s="182"/>
      <c r="ET114" s="182"/>
      <c r="EU114" s="182"/>
      <c r="EV114" s="182"/>
      <c r="EW114" s="182"/>
      <c r="EX114" s="182"/>
      <c r="EY114" s="182"/>
      <c r="EZ114" s="182"/>
      <c r="FA114" s="182"/>
      <c r="FB114" s="182"/>
      <c r="FC114" s="182"/>
      <c r="FD114" s="182"/>
      <c r="FE114" s="182"/>
      <c r="FF114" s="182"/>
      <c r="FG114" s="182"/>
      <c r="FH114" s="182"/>
      <c r="FI114" s="182"/>
      <c r="FJ114" s="182"/>
      <c r="FK114" s="182"/>
      <c r="FL114" s="182"/>
      <c r="FM114" s="182"/>
      <c r="FN114" s="182"/>
      <c r="FO114" s="182"/>
      <c r="FP114" s="182"/>
      <c r="FQ114" s="182"/>
      <c r="FR114" s="182"/>
      <c r="FS114" s="182"/>
      <c r="FT114" s="182"/>
      <c r="FU114" s="182"/>
      <c r="FV114" s="182"/>
      <c r="FW114" s="182"/>
      <c r="FX114" s="182"/>
      <c r="FY114" s="182"/>
      <c r="FZ114" s="182"/>
      <c r="GA114" s="182"/>
      <c r="GB114" s="182"/>
      <c r="GC114" s="182"/>
      <c r="GD114" s="182"/>
      <c r="GE114" s="182"/>
      <c r="GF114" s="182"/>
      <c r="GG114" s="182"/>
      <c r="GH114" s="182"/>
      <c r="GI114" s="182"/>
      <c r="GJ114" s="182"/>
      <c r="GK114" s="182"/>
      <c r="GL114" s="182"/>
      <c r="GM114" s="182"/>
      <c r="GN114" s="182"/>
      <c r="GO114" s="182"/>
      <c r="GP114" s="182"/>
      <c r="GQ114" s="182"/>
      <c r="GR114" s="182"/>
      <c r="GS114" s="182"/>
      <c r="GT114" s="182"/>
      <c r="GU114" s="182"/>
      <c r="GV114" s="182"/>
      <c r="GW114" s="182"/>
      <c r="GX114" s="182"/>
      <c r="GY114" s="182"/>
      <c r="GZ114" s="182"/>
      <c r="HA114" s="182"/>
      <c r="HB114" s="182"/>
      <c r="HC114" s="182"/>
      <c r="HD114" s="182"/>
      <c r="HE114" s="182"/>
      <c r="HF114" s="182"/>
      <c r="HG114" s="182"/>
      <c r="HH114" s="182"/>
      <c r="HI114" s="182"/>
      <c r="HJ114" s="182"/>
      <c r="HK114" s="182"/>
      <c r="HL114" s="182"/>
      <c r="HM114" s="182"/>
      <c r="HN114" s="182"/>
      <c r="HO114" s="182"/>
      <c r="HP114" s="182"/>
      <c r="HQ114" s="182"/>
      <c r="HR114" s="182"/>
      <c r="HS114" s="182"/>
      <c r="HT114" s="182"/>
      <c r="HU114" s="182"/>
      <c r="HV114" s="182"/>
      <c r="HW114" s="182"/>
      <c r="HX114" s="182"/>
      <c r="HY114" s="182"/>
      <c r="HZ114" s="182"/>
      <c r="IA114" s="182"/>
      <c r="IB114" s="182"/>
      <c r="IC114" s="182"/>
      <c r="ID114" s="182"/>
      <c r="IE114" s="182"/>
      <c r="IF114" s="182"/>
      <c r="IG114" s="182"/>
      <c r="IH114" s="182"/>
      <c r="II114" s="182"/>
      <c r="IJ114" s="182"/>
      <c r="IK114" s="182"/>
      <c r="IL114" s="182"/>
      <c r="IM114" s="182"/>
      <c r="IN114" s="182"/>
      <c r="IO114" s="182"/>
      <c r="IP114" s="182"/>
      <c r="IQ114" s="182"/>
    </row>
    <row r="115" spans="1:251" s="148" customFormat="1" ht="21.75" customHeight="1">
      <c r="A115" s="186">
        <v>108</v>
      </c>
      <c r="B115" s="408" t="s">
        <v>451</v>
      </c>
      <c r="C115" s="409" t="s">
        <v>504</v>
      </c>
      <c r="D115" s="410"/>
      <c r="E115" s="410">
        <v>70</v>
      </c>
      <c r="F115" s="409" t="s">
        <v>269</v>
      </c>
      <c r="G115" s="410" t="s">
        <v>163</v>
      </c>
      <c r="H115" s="426" t="s">
        <v>154</v>
      </c>
      <c r="I115" s="187">
        <f t="shared" si="4"/>
        <v>97500</v>
      </c>
      <c r="J115" s="379" t="s">
        <v>159</v>
      </c>
      <c r="K115" s="190">
        <f t="shared" si="5"/>
        <v>75000</v>
      </c>
      <c r="L115" s="379" t="s">
        <v>56</v>
      </c>
      <c r="M115" s="188">
        <f t="shared" si="6"/>
        <v>0</v>
      </c>
      <c r="N115" s="188">
        <f t="shared" si="7"/>
        <v>172500</v>
      </c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  <c r="BC115" s="182"/>
      <c r="BD115" s="182"/>
      <c r="BE115" s="182"/>
      <c r="BF115" s="182"/>
      <c r="BG115" s="182"/>
      <c r="BH115" s="182"/>
      <c r="BI115" s="182"/>
      <c r="BJ115" s="182"/>
      <c r="BK115" s="182"/>
      <c r="BL115" s="182"/>
      <c r="BM115" s="182"/>
      <c r="BN115" s="182"/>
      <c r="BO115" s="182"/>
      <c r="BP115" s="182"/>
      <c r="BQ115" s="182"/>
      <c r="BR115" s="182"/>
      <c r="BS115" s="182"/>
      <c r="BT115" s="182"/>
      <c r="BU115" s="182"/>
      <c r="BV115" s="182"/>
      <c r="BW115" s="182"/>
      <c r="BX115" s="182"/>
      <c r="BY115" s="182"/>
      <c r="BZ115" s="182"/>
      <c r="CA115" s="182"/>
      <c r="CB115" s="182"/>
      <c r="CC115" s="182"/>
      <c r="CD115" s="182"/>
      <c r="CE115" s="182"/>
      <c r="CF115" s="182"/>
      <c r="CG115" s="182"/>
      <c r="CH115" s="182"/>
      <c r="CI115" s="182"/>
      <c r="CJ115" s="182"/>
      <c r="CK115" s="182"/>
      <c r="CL115" s="182"/>
      <c r="CM115" s="182"/>
      <c r="CN115" s="182"/>
      <c r="CO115" s="182"/>
      <c r="CP115" s="182"/>
      <c r="CQ115" s="182"/>
      <c r="CR115" s="182"/>
      <c r="CS115" s="182"/>
      <c r="CT115" s="182"/>
      <c r="CU115" s="182"/>
      <c r="CV115" s="182"/>
      <c r="CW115" s="182"/>
      <c r="CX115" s="182"/>
      <c r="CY115" s="182"/>
      <c r="CZ115" s="182"/>
      <c r="DA115" s="182"/>
      <c r="DB115" s="182"/>
      <c r="DC115" s="182"/>
      <c r="DD115" s="182"/>
      <c r="DE115" s="182"/>
      <c r="DF115" s="182"/>
      <c r="DG115" s="182"/>
      <c r="DH115" s="182"/>
      <c r="DI115" s="182"/>
      <c r="DJ115" s="182"/>
      <c r="DK115" s="182"/>
      <c r="DL115" s="182"/>
      <c r="DM115" s="182"/>
      <c r="DN115" s="182"/>
      <c r="DO115" s="182"/>
      <c r="DP115" s="182"/>
      <c r="DQ115" s="182"/>
      <c r="DR115" s="182"/>
      <c r="DS115" s="182"/>
      <c r="DT115" s="182"/>
      <c r="DU115" s="182"/>
      <c r="DV115" s="182"/>
      <c r="DW115" s="182"/>
      <c r="DX115" s="182"/>
      <c r="DY115" s="182"/>
      <c r="DZ115" s="182"/>
      <c r="EA115" s="182"/>
      <c r="EB115" s="182"/>
      <c r="EC115" s="182"/>
      <c r="ED115" s="182"/>
      <c r="EE115" s="182"/>
      <c r="EF115" s="182"/>
      <c r="EG115" s="182"/>
      <c r="EH115" s="182"/>
      <c r="EI115" s="182"/>
      <c r="EJ115" s="182"/>
      <c r="EK115" s="182"/>
      <c r="EL115" s="182"/>
      <c r="EM115" s="182"/>
      <c r="EN115" s="182"/>
      <c r="EO115" s="182"/>
      <c r="EP115" s="182"/>
      <c r="EQ115" s="182"/>
      <c r="ER115" s="182"/>
      <c r="ES115" s="182"/>
      <c r="ET115" s="182"/>
      <c r="EU115" s="182"/>
      <c r="EV115" s="182"/>
      <c r="EW115" s="182"/>
      <c r="EX115" s="182"/>
      <c r="EY115" s="182"/>
      <c r="EZ115" s="182"/>
      <c r="FA115" s="182"/>
      <c r="FB115" s="182"/>
      <c r="FC115" s="182"/>
      <c r="FD115" s="182"/>
      <c r="FE115" s="182"/>
      <c r="FF115" s="182"/>
      <c r="FG115" s="182"/>
      <c r="FH115" s="182"/>
      <c r="FI115" s="182"/>
      <c r="FJ115" s="182"/>
      <c r="FK115" s="182"/>
      <c r="FL115" s="182"/>
      <c r="FM115" s="182"/>
      <c r="FN115" s="182"/>
      <c r="FO115" s="182"/>
      <c r="FP115" s="182"/>
      <c r="FQ115" s="182"/>
      <c r="FR115" s="182"/>
      <c r="FS115" s="182"/>
      <c r="FT115" s="182"/>
      <c r="FU115" s="182"/>
      <c r="FV115" s="182"/>
      <c r="FW115" s="182"/>
      <c r="FX115" s="182"/>
      <c r="FY115" s="182"/>
      <c r="FZ115" s="182"/>
      <c r="GA115" s="182"/>
      <c r="GB115" s="182"/>
      <c r="GC115" s="182"/>
      <c r="GD115" s="182"/>
      <c r="GE115" s="182"/>
      <c r="GF115" s="182"/>
      <c r="GG115" s="182"/>
      <c r="GH115" s="182"/>
      <c r="GI115" s="182"/>
      <c r="GJ115" s="182"/>
      <c r="GK115" s="182"/>
      <c r="GL115" s="182"/>
      <c r="GM115" s="182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182"/>
      <c r="HQ115" s="182"/>
      <c r="HR115" s="182"/>
      <c r="HS115" s="182"/>
      <c r="HT115" s="182"/>
      <c r="HU115" s="182"/>
      <c r="HV115" s="182"/>
      <c r="HW115" s="182"/>
      <c r="HX115" s="182"/>
      <c r="HY115" s="182"/>
      <c r="HZ115" s="182"/>
      <c r="IA115" s="182"/>
      <c r="IB115" s="182"/>
      <c r="IC115" s="182"/>
      <c r="ID115" s="182"/>
      <c r="IE115" s="182"/>
      <c r="IF115" s="182"/>
      <c r="IG115" s="182"/>
      <c r="IH115" s="182"/>
      <c r="II115" s="182"/>
      <c r="IJ115" s="182"/>
      <c r="IK115" s="182"/>
      <c r="IL115" s="182"/>
      <c r="IM115" s="182"/>
      <c r="IN115" s="182"/>
      <c r="IO115" s="182"/>
      <c r="IP115" s="182"/>
      <c r="IQ115" s="182"/>
    </row>
    <row r="116" spans="1:251" s="148" customFormat="1" ht="21.75" customHeight="1">
      <c r="A116" s="186">
        <v>109</v>
      </c>
      <c r="B116" s="408" t="s">
        <v>454</v>
      </c>
      <c r="C116" s="409" t="s">
        <v>505</v>
      </c>
      <c r="D116" s="410">
        <v>35</v>
      </c>
      <c r="E116" s="410"/>
      <c r="F116" s="409" t="s">
        <v>164</v>
      </c>
      <c r="G116" s="410" t="s">
        <v>162</v>
      </c>
      <c r="H116" s="426" t="s">
        <v>155</v>
      </c>
      <c r="I116" s="187">
        <f t="shared" si="4"/>
        <v>97500</v>
      </c>
      <c r="J116" s="379" t="s">
        <v>160</v>
      </c>
      <c r="K116" s="190">
        <f t="shared" si="5"/>
        <v>75000</v>
      </c>
      <c r="L116" s="379" t="s">
        <v>56</v>
      </c>
      <c r="M116" s="188">
        <f t="shared" si="6"/>
        <v>0</v>
      </c>
      <c r="N116" s="188">
        <f t="shared" si="7"/>
        <v>172500</v>
      </c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I116" s="182"/>
      <c r="BJ116" s="182"/>
      <c r="BK116" s="182"/>
      <c r="BL116" s="182"/>
      <c r="BM116" s="182"/>
      <c r="BN116" s="182"/>
      <c r="BO116" s="182"/>
      <c r="BP116" s="182"/>
      <c r="BQ116" s="182"/>
      <c r="BR116" s="182"/>
      <c r="BS116" s="182"/>
      <c r="BT116" s="182"/>
      <c r="BU116" s="182"/>
      <c r="BV116" s="182"/>
      <c r="BW116" s="182"/>
      <c r="BX116" s="182"/>
      <c r="BY116" s="182"/>
      <c r="BZ116" s="182"/>
      <c r="CA116" s="182"/>
      <c r="CB116" s="182"/>
      <c r="CC116" s="182"/>
      <c r="CD116" s="182"/>
      <c r="CE116" s="182"/>
      <c r="CF116" s="182"/>
      <c r="CG116" s="182"/>
      <c r="CH116" s="182"/>
      <c r="CI116" s="182"/>
      <c r="CJ116" s="182"/>
      <c r="CK116" s="182"/>
      <c r="CL116" s="182"/>
      <c r="CM116" s="182"/>
      <c r="CN116" s="182"/>
      <c r="CO116" s="182"/>
      <c r="CP116" s="182"/>
      <c r="CQ116" s="182"/>
      <c r="CR116" s="182"/>
      <c r="CS116" s="182"/>
      <c r="CT116" s="182"/>
      <c r="CU116" s="182"/>
      <c r="CV116" s="182"/>
      <c r="CW116" s="182"/>
      <c r="CX116" s="182"/>
      <c r="CY116" s="182"/>
      <c r="CZ116" s="182"/>
      <c r="DA116" s="182"/>
      <c r="DB116" s="182"/>
      <c r="DC116" s="182"/>
      <c r="DD116" s="182"/>
      <c r="DE116" s="182"/>
      <c r="DF116" s="182"/>
      <c r="DG116" s="182"/>
      <c r="DH116" s="182"/>
      <c r="DI116" s="182"/>
      <c r="DJ116" s="182"/>
      <c r="DK116" s="182"/>
      <c r="DL116" s="182"/>
      <c r="DM116" s="182"/>
      <c r="DN116" s="182"/>
      <c r="DO116" s="182"/>
      <c r="DP116" s="182"/>
      <c r="DQ116" s="182"/>
      <c r="DR116" s="182"/>
      <c r="DS116" s="182"/>
      <c r="DT116" s="182"/>
      <c r="DU116" s="182"/>
      <c r="DV116" s="182"/>
      <c r="DW116" s="182"/>
      <c r="DX116" s="182"/>
      <c r="DY116" s="182"/>
      <c r="DZ116" s="182"/>
      <c r="EA116" s="182"/>
      <c r="EB116" s="182"/>
      <c r="EC116" s="182"/>
      <c r="ED116" s="182"/>
      <c r="EE116" s="182"/>
      <c r="EF116" s="182"/>
      <c r="EG116" s="182"/>
      <c r="EH116" s="182"/>
      <c r="EI116" s="182"/>
      <c r="EJ116" s="182"/>
      <c r="EK116" s="182"/>
      <c r="EL116" s="182"/>
      <c r="EM116" s="182"/>
      <c r="EN116" s="182"/>
      <c r="EO116" s="182"/>
      <c r="EP116" s="182"/>
      <c r="EQ116" s="182"/>
      <c r="ER116" s="182"/>
      <c r="ES116" s="182"/>
      <c r="ET116" s="182"/>
      <c r="EU116" s="182"/>
      <c r="EV116" s="182"/>
      <c r="EW116" s="182"/>
      <c r="EX116" s="182"/>
      <c r="EY116" s="182"/>
      <c r="EZ116" s="182"/>
      <c r="FA116" s="182"/>
      <c r="FB116" s="182"/>
      <c r="FC116" s="182"/>
      <c r="FD116" s="182"/>
      <c r="FE116" s="182"/>
      <c r="FF116" s="182"/>
      <c r="FG116" s="182"/>
      <c r="FH116" s="182"/>
      <c r="FI116" s="182"/>
      <c r="FJ116" s="182"/>
      <c r="FK116" s="182"/>
      <c r="FL116" s="182"/>
      <c r="FM116" s="182"/>
      <c r="FN116" s="182"/>
      <c r="FO116" s="182"/>
      <c r="FP116" s="182"/>
      <c r="FQ116" s="182"/>
      <c r="FR116" s="182"/>
      <c r="FS116" s="182"/>
      <c r="FT116" s="182"/>
      <c r="FU116" s="182"/>
      <c r="FV116" s="182"/>
      <c r="FW116" s="182"/>
      <c r="FX116" s="182"/>
      <c r="FY116" s="182"/>
      <c r="FZ116" s="182"/>
      <c r="GA116" s="182"/>
      <c r="GB116" s="182"/>
      <c r="GC116" s="182"/>
      <c r="GD116" s="182"/>
      <c r="GE116" s="182"/>
      <c r="GF116" s="182"/>
      <c r="GG116" s="182"/>
      <c r="GH116" s="182"/>
      <c r="GI116" s="182"/>
      <c r="GJ116" s="182"/>
      <c r="GK116" s="182"/>
      <c r="GL116" s="182"/>
      <c r="GM116" s="182"/>
      <c r="GN116" s="182"/>
      <c r="GO116" s="182"/>
      <c r="GP116" s="182"/>
      <c r="GQ116" s="182"/>
      <c r="GR116" s="182"/>
      <c r="GS116" s="182"/>
      <c r="GT116" s="182"/>
      <c r="GU116" s="182"/>
      <c r="GV116" s="182"/>
      <c r="GW116" s="182"/>
      <c r="GX116" s="182"/>
      <c r="GY116" s="182"/>
      <c r="GZ116" s="182"/>
      <c r="HA116" s="182"/>
      <c r="HB116" s="182"/>
      <c r="HC116" s="182"/>
      <c r="HD116" s="182"/>
      <c r="HE116" s="182"/>
      <c r="HF116" s="182"/>
      <c r="HG116" s="182"/>
      <c r="HH116" s="182"/>
      <c r="HI116" s="182"/>
      <c r="HJ116" s="182"/>
      <c r="HK116" s="182"/>
      <c r="HL116" s="182"/>
      <c r="HM116" s="182"/>
      <c r="HN116" s="182"/>
      <c r="HO116" s="182"/>
      <c r="HP116" s="182"/>
      <c r="HQ116" s="182"/>
      <c r="HR116" s="182"/>
      <c r="HS116" s="182"/>
      <c r="HT116" s="182"/>
      <c r="HU116" s="182"/>
      <c r="HV116" s="182"/>
      <c r="HW116" s="182"/>
      <c r="HX116" s="182"/>
      <c r="HY116" s="182"/>
      <c r="HZ116" s="182"/>
      <c r="IA116" s="182"/>
      <c r="IB116" s="182"/>
      <c r="IC116" s="182"/>
      <c r="ID116" s="182"/>
      <c r="IE116" s="182"/>
      <c r="IF116" s="182"/>
      <c r="IG116" s="182"/>
      <c r="IH116" s="182"/>
      <c r="II116" s="182"/>
      <c r="IJ116" s="182"/>
      <c r="IK116" s="182"/>
      <c r="IL116" s="182"/>
      <c r="IM116" s="182"/>
      <c r="IN116" s="182"/>
      <c r="IO116" s="182"/>
      <c r="IP116" s="182"/>
      <c r="IQ116" s="182"/>
    </row>
    <row r="117" spans="1:251" s="148" customFormat="1" ht="21.75" customHeight="1">
      <c r="A117" s="186">
        <v>110</v>
      </c>
      <c r="B117" s="408" t="s">
        <v>454</v>
      </c>
      <c r="C117" s="409" t="s">
        <v>506</v>
      </c>
      <c r="D117" s="410">
        <v>39</v>
      </c>
      <c r="E117" s="410"/>
      <c r="F117" s="409" t="s">
        <v>164</v>
      </c>
      <c r="G117" s="410" t="s">
        <v>162</v>
      </c>
      <c r="H117" s="426" t="s">
        <v>155</v>
      </c>
      <c r="I117" s="187">
        <f t="shared" si="4"/>
        <v>97500</v>
      </c>
      <c r="J117" s="379" t="s">
        <v>160</v>
      </c>
      <c r="K117" s="190">
        <f t="shared" si="5"/>
        <v>75000</v>
      </c>
      <c r="L117" s="379" t="s">
        <v>56</v>
      </c>
      <c r="M117" s="188">
        <f t="shared" si="6"/>
        <v>0</v>
      </c>
      <c r="N117" s="188">
        <f t="shared" si="7"/>
        <v>172500</v>
      </c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/>
      <c r="AU117" s="182"/>
      <c r="AV117" s="182"/>
      <c r="AW117" s="182"/>
      <c r="AX117" s="182"/>
      <c r="AY117" s="182"/>
      <c r="AZ117" s="182"/>
      <c r="BA117" s="182"/>
      <c r="BB117" s="182"/>
      <c r="BC117" s="182"/>
      <c r="BD117" s="182"/>
      <c r="BE117" s="182"/>
      <c r="BF117" s="182"/>
      <c r="BG117" s="182"/>
      <c r="BH117" s="182"/>
      <c r="BI117" s="182"/>
      <c r="BJ117" s="182"/>
      <c r="BK117" s="182"/>
      <c r="BL117" s="182"/>
      <c r="BM117" s="182"/>
      <c r="BN117" s="182"/>
      <c r="BO117" s="182"/>
      <c r="BP117" s="182"/>
      <c r="BQ117" s="182"/>
      <c r="BR117" s="182"/>
      <c r="BS117" s="182"/>
      <c r="BT117" s="182"/>
      <c r="BU117" s="182"/>
      <c r="BV117" s="182"/>
      <c r="BW117" s="182"/>
      <c r="BX117" s="182"/>
      <c r="BY117" s="182"/>
      <c r="BZ117" s="182"/>
      <c r="CA117" s="182"/>
      <c r="CB117" s="182"/>
      <c r="CC117" s="182"/>
      <c r="CD117" s="182"/>
      <c r="CE117" s="182"/>
      <c r="CF117" s="182"/>
      <c r="CG117" s="182"/>
      <c r="CH117" s="182"/>
      <c r="CI117" s="182"/>
      <c r="CJ117" s="182"/>
      <c r="CK117" s="182"/>
      <c r="CL117" s="182"/>
      <c r="CM117" s="182"/>
      <c r="CN117" s="182"/>
      <c r="CO117" s="182"/>
      <c r="CP117" s="182"/>
      <c r="CQ117" s="182"/>
      <c r="CR117" s="182"/>
      <c r="CS117" s="182"/>
      <c r="CT117" s="182"/>
      <c r="CU117" s="182"/>
      <c r="CV117" s="182"/>
      <c r="CW117" s="182"/>
      <c r="CX117" s="182"/>
      <c r="CY117" s="182"/>
      <c r="CZ117" s="182"/>
      <c r="DA117" s="182"/>
      <c r="DB117" s="182"/>
      <c r="DC117" s="182"/>
      <c r="DD117" s="182"/>
      <c r="DE117" s="182"/>
      <c r="DF117" s="182"/>
      <c r="DG117" s="182"/>
      <c r="DH117" s="182"/>
      <c r="DI117" s="182"/>
      <c r="DJ117" s="182"/>
      <c r="DK117" s="182"/>
      <c r="DL117" s="182"/>
      <c r="DM117" s="182"/>
      <c r="DN117" s="182"/>
      <c r="DO117" s="182"/>
      <c r="DP117" s="182"/>
      <c r="DQ117" s="182"/>
      <c r="DR117" s="182"/>
      <c r="DS117" s="182"/>
      <c r="DT117" s="182"/>
      <c r="DU117" s="182"/>
      <c r="DV117" s="182"/>
      <c r="DW117" s="182"/>
      <c r="DX117" s="182"/>
      <c r="DY117" s="182"/>
      <c r="DZ117" s="182"/>
      <c r="EA117" s="182"/>
      <c r="EB117" s="182"/>
      <c r="EC117" s="182"/>
      <c r="ED117" s="182"/>
      <c r="EE117" s="182"/>
      <c r="EF117" s="182"/>
      <c r="EG117" s="182"/>
      <c r="EH117" s="182"/>
      <c r="EI117" s="182"/>
      <c r="EJ117" s="182"/>
      <c r="EK117" s="182"/>
      <c r="EL117" s="182"/>
      <c r="EM117" s="182"/>
      <c r="EN117" s="182"/>
      <c r="EO117" s="182"/>
      <c r="EP117" s="182"/>
      <c r="EQ117" s="182"/>
      <c r="ER117" s="182"/>
      <c r="ES117" s="182"/>
      <c r="ET117" s="182"/>
      <c r="EU117" s="182"/>
      <c r="EV117" s="182"/>
      <c r="EW117" s="182"/>
      <c r="EX117" s="182"/>
      <c r="EY117" s="182"/>
      <c r="EZ117" s="182"/>
      <c r="FA117" s="182"/>
      <c r="FB117" s="182"/>
      <c r="FC117" s="182"/>
      <c r="FD117" s="182"/>
      <c r="FE117" s="182"/>
      <c r="FF117" s="182"/>
      <c r="FG117" s="182"/>
      <c r="FH117" s="182"/>
      <c r="FI117" s="182"/>
      <c r="FJ117" s="182"/>
      <c r="FK117" s="182"/>
      <c r="FL117" s="182"/>
      <c r="FM117" s="182"/>
      <c r="FN117" s="182"/>
      <c r="FO117" s="182"/>
      <c r="FP117" s="182"/>
      <c r="FQ117" s="182"/>
      <c r="FR117" s="182"/>
      <c r="FS117" s="182"/>
      <c r="FT117" s="182"/>
      <c r="FU117" s="182"/>
      <c r="FV117" s="182"/>
      <c r="FW117" s="182"/>
      <c r="FX117" s="182"/>
      <c r="FY117" s="182"/>
      <c r="FZ117" s="182"/>
      <c r="GA117" s="182"/>
      <c r="GB117" s="182"/>
      <c r="GC117" s="182"/>
      <c r="GD117" s="182"/>
      <c r="GE117" s="182"/>
      <c r="GF117" s="182"/>
      <c r="GG117" s="182"/>
      <c r="GH117" s="182"/>
      <c r="GI117" s="182"/>
      <c r="GJ117" s="182"/>
      <c r="GK117" s="182"/>
      <c r="GL117" s="182"/>
      <c r="GM117" s="182"/>
      <c r="GN117" s="182"/>
      <c r="GO117" s="182"/>
      <c r="GP117" s="182"/>
      <c r="GQ117" s="182"/>
      <c r="GR117" s="182"/>
      <c r="GS117" s="182"/>
      <c r="GT117" s="182"/>
      <c r="GU117" s="182"/>
      <c r="GV117" s="182"/>
      <c r="GW117" s="182"/>
      <c r="GX117" s="182"/>
      <c r="GY117" s="182"/>
      <c r="GZ117" s="182"/>
      <c r="HA117" s="182"/>
      <c r="HB117" s="182"/>
      <c r="HC117" s="182"/>
      <c r="HD117" s="182"/>
      <c r="HE117" s="182"/>
      <c r="HF117" s="182"/>
      <c r="HG117" s="182"/>
      <c r="HH117" s="182"/>
      <c r="HI117" s="182"/>
      <c r="HJ117" s="182"/>
      <c r="HK117" s="182"/>
      <c r="HL117" s="182"/>
      <c r="HM117" s="182"/>
      <c r="HN117" s="182"/>
      <c r="HO117" s="182"/>
      <c r="HP117" s="182"/>
      <c r="HQ117" s="182"/>
      <c r="HR117" s="182"/>
      <c r="HS117" s="182"/>
      <c r="HT117" s="182"/>
      <c r="HU117" s="182"/>
      <c r="HV117" s="182"/>
      <c r="HW117" s="182"/>
      <c r="HX117" s="182"/>
      <c r="HY117" s="182"/>
      <c r="HZ117" s="182"/>
      <c r="IA117" s="182"/>
      <c r="IB117" s="182"/>
      <c r="IC117" s="182"/>
      <c r="ID117" s="182"/>
      <c r="IE117" s="182"/>
      <c r="IF117" s="182"/>
      <c r="IG117" s="182"/>
      <c r="IH117" s="182"/>
      <c r="II117" s="182"/>
      <c r="IJ117" s="182"/>
      <c r="IK117" s="182"/>
      <c r="IL117" s="182"/>
      <c r="IM117" s="182"/>
      <c r="IN117" s="182"/>
      <c r="IO117" s="182"/>
      <c r="IP117" s="182"/>
      <c r="IQ117" s="182"/>
    </row>
    <row r="118" spans="1:251" s="148" customFormat="1" ht="21.75" customHeight="1">
      <c r="A118" s="186">
        <v>111</v>
      </c>
      <c r="B118" s="408" t="s">
        <v>454</v>
      </c>
      <c r="C118" s="409" t="s">
        <v>507</v>
      </c>
      <c r="D118" s="410"/>
      <c r="E118" s="410">
        <v>49</v>
      </c>
      <c r="F118" s="409" t="s">
        <v>269</v>
      </c>
      <c r="G118" s="410" t="s">
        <v>162</v>
      </c>
      <c r="H118" s="426" t="s">
        <v>155</v>
      </c>
      <c r="I118" s="187">
        <f t="shared" si="4"/>
        <v>97500</v>
      </c>
      <c r="J118" s="379" t="s">
        <v>291</v>
      </c>
      <c r="K118" s="190">
        <f t="shared" si="5"/>
        <v>75000</v>
      </c>
      <c r="L118" s="379" t="s">
        <v>56</v>
      </c>
      <c r="M118" s="188">
        <f t="shared" si="6"/>
        <v>0</v>
      </c>
      <c r="N118" s="188">
        <f t="shared" si="7"/>
        <v>172500</v>
      </c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2"/>
      <c r="BG118" s="182"/>
      <c r="BH118" s="182"/>
      <c r="BI118" s="182"/>
      <c r="BJ118" s="182"/>
      <c r="BK118" s="182"/>
      <c r="BL118" s="182"/>
      <c r="BM118" s="182"/>
      <c r="BN118" s="182"/>
      <c r="BO118" s="182"/>
      <c r="BP118" s="182"/>
      <c r="BQ118" s="182"/>
      <c r="BR118" s="182"/>
      <c r="BS118" s="182"/>
      <c r="BT118" s="182"/>
      <c r="BU118" s="182"/>
      <c r="BV118" s="182"/>
      <c r="BW118" s="182"/>
      <c r="BX118" s="182"/>
      <c r="BY118" s="182"/>
      <c r="BZ118" s="182"/>
      <c r="CA118" s="182"/>
      <c r="CB118" s="182"/>
      <c r="CC118" s="182"/>
      <c r="CD118" s="182"/>
      <c r="CE118" s="182"/>
      <c r="CF118" s="182"/>
      <c r="CG118" s="182"/>
      <c r="CH118" s="182"/>
      <c r="CI118" s="182"/>
      <c r="CJ118" s="182"/>
      <c r="CK118" s="182"/>
      <c r="CL118" s="182"/>
      <c r="CM118" s="182"/>
      <c r="CN118" s="182"/>
      <c r="CO118" s="182"/>
      <c r="CP118" s="182"/>
      <c r="CQ118" s="182"/>
      <c r="CR118" s="182"/>
      <c r="CS118" s="182"/>
      <c r="CT118" s="182"/>
      <c r="CU118" s="182"/>
      <c r="CV118" s="182"/>
      <c r="CW118" s="182"/>
      <c r="CX118" s="182"/>
      <c r="CY118" s="182"/>
      <c r="CZ118" s="182"/>
      <c r="DA118" s="182"/>
      <c r="DB118" s="182"/>
      <c r="DC118" s="182"/>
      <c r="DD118" s="182"/>
      <c r="DE118" s="182"/>
      <c r="DF118" s="182"/>
      <c r="DG118" s="182"/>
      <c r="DH118" s="182"/>
      <c r="DI118" s="182"/>
      <c r="DJ118" s="182"/>
      <c r="DK118" s="182"/>
      <c r="DL118" s="182"/>
      <c r="DM118" s="182"/>
      <c r="DN118" s="182"/>
      <c r="DO118" s="182"/>
      <c r="DP118" s="182"/>
      <c r="DQ118" s="182"/>
      <c r="DR118" s="182"/>
      <c r="DS118" s="182"/>
      <c r="DT118" s="182"/>
      <c r="DU118" s="182"/>
      <c r="DV118" s="182"/>
      <c r="DW118" s="182"/>
      <c r="DX118" s="182"/>
      <c r="DY118" s="182"/>
      <c r="DZ118" s="182"/>
      <c r="EA118" s="182"/>
      <c r="EB118" s="182"/>
      <c r="EC118" s="182"/>
      <c r="ED118" s="182"/>
      <c r="EE118" s="182"/>
      <c r="EF118" s="182"/>
      <c r="EG118" s="182"/>
      <c r="EH118" s="182"/>
      <c r="EI118" s="182"/>
      <c r="EJ118" s="182"/>
      <c r="EK118" s="182"/>
      <c r="EL118" s="182"/>
      <c r="EM118" s="182"/>
      <c r="EN118" s="182"/>
      <c r="EO118" s="182"/>
      <c r="EP118" s="182"/>
      <c r="EQ118" s="182"/>
      <c r="ER118" s="182"/>
      <c r="ES118" s="182"/>
      <c r="ET118" s="182"/>
      <c r="EU118" s="182"/>
      <c r="EV118" s="182"/>
      <c r="EW118" s="182"/>
      <c r="EX118" s="182"/>
      <c r="EY118" s="182"/>
      <c r="EZ118" s="182"/>
      <c r="FA118" s="182"/>
      <c r="FB118" s="182"/>
      <c r="FC118" s="182"/>
      <c r="FD118" s="182"/>
      <c r="FE118" s="182"/>
      <c r="FF118" s="182"/>
      <c r="FG118" s="182"/>
      <c r="FH118" s="182"/>
      <c r="FI118" s="182"/>
      <c r="FJ118" s="182"/>
      <c r="FK118" s="182"/>
      <c r="FL118" s="182"/>
      <c r="FM118" s="182"/>
      <c r="FN118" s="182"/>
      <c r="FO118" s="182"/>
      <c r="FP118" s="182"/>
      <c r="FQ118" s="182"/>
      <c r="FR118" s="182"/>
      <c r="FS118" s="182"/>
      <c r="FT118" s="182"/>
      <c r="FU118" s="182"/>
      <c r="FV118" s="182"/>
      <c r="FW118" s="182"/>
      <c r="FX118" s="182"/>
      <c r="FY118" s="182"/>
      <c r="FZ118" s="182"/>
      <c r="GA118" s="182"/>
      <c r="GB118" s="182"/>
      <c r="GC118" s="182"/>
      <c r="GD118" s="182"/>
      <c r="GE118" s="182"/>
      <c r="GF118" s="182"/>
      <c r="GG118" s="182"/>
      <c r="GH118" s="182"/>
      <c r="GI118" s="182"/>
      <c r="GJ118" s="182"/>
      <c r="GK118" s="182"/>
      <c r="GL118" s="182"/>
      <c r="GM118" s="182"/>
      <c r="GN118" s="182"/>
      <c r="GO118" s="182"/>
      <c r="GP118" s="182"/>
      <c r="GQ118" s="182"/>
      <c r="GR118" s="182"/>
      <c r="GS118" s="182"/>
      <c r="GT118" s="182"/>
      <c r="GU118" s="182"/>
      <c r="GV118" s="182"/>
      <c r="GW118" s="182"/>
      <c r="GX118" s="182"/>
      <c r="GY118" s="182"/>
      <c r="GZ118" s="182"/>
      <c r="HA118" s="182"/>
      <c r="HB118" s="182"/>
      <c r="HC118" s="182"/>
      <c r="HD118" s="182"/>
      <c r="HE118" s="182"/>
      <c r="HF118" s="182"/>
      <c r="HG118" s="182"/>
      <c r="HH118" s="182"/>
      <c r="HI118" s="182"/>
      <c r="HJ118" s="182"/>
      <c r="HK118" s="182"/>
      <c r="HL118" s="182"/>
      <c r="HM118" s="182"/>
      <c r="HN118" s="182"/>
      <c r="HO118" s="182"/>
      <c r="HP118" s="182"/>
      <c r="HQ118" s="182"/>
      <c r="HR118" s="182"/>
      <c r="HS118" s="182"/>
      <c r="HT118" s="182"/>
      <c r="HU118" s="182"/>
      <c r="HV118" s="182"/>
      <c r="HW118" s="182"/>
      <c r="HX118" s="182"/>
      <c r="HY118" s="182"/>
      <c r="HZ118" s="182"/>
      <c r="IA118" s="182"/>
      <c r="IB118" s="182"/>
      <c r="IC118" s="182"/>
      <c r="ID118" s="182"/>
      <c r="IE118" s="182"/>
      <c r="IF118" s="182"/>
      <c r="IG118" s="182"/>
      <c r="IH118" s="182"/>
      <c r="II118" s="182"/>
      <c r="IJ118" s="182"/>
      <c r="IK118" s="182"/>
      <c r="IL118" s="182"/>
      <c r="IM118" s="182"/>
      <c r="IN118" s="182"/>
      <c r="IO118" s="182"/>
      <c r="IP118" s="182"/>
      <c r="IQ118" s="182"/>
    </row>
    <row r="119" spans="1:251" s="148" customFormat="1" ht="21.75" customHeight="1">
      <c r="A119" s="186">
        <v>112</v>
      </c>
      <c r="B119" s="408" t="s">
        <v>508</v>
      </c>
      <c r="C119" s="409" t="s">
        <v>509</v>
      </c>
      <c r="D119" s="410"/>
      <c r="E119" s="410">
        <v>75</v>
      </c>
      <c r="F119" s="409" t="s">
        <v>510</v>
      </c>
      <c r="G119" s="410" t="s">
        <v>511</v>
      </c>
      <c r="H119" s="426" t="s">
        <v>155</v>
      </c>
      <c r="I119" s="187">
        <f t="shared" si="4"/>
        <v>75000</v>
      </c>
      <c r="J119" s="379" t="s">
        <v>158</v>
      </c>
      <c r="K119" s="190">
        <f t="shared" si="5"/>
        <v>45000</v>
      </c>
      <c r="L119" s="379" t="s">
        <v>56</v>
      </c>
      <c r="M119" s="188">
        <f t="shared" si="6"/>
        <v>0</v>
      </c>
      <c r="N119" s="188">
        <f t="shared" si="7"/>
        <v>120000</v>
      </c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2"/>
      <c r="BF119" s="182"/>
      <c r="BG119" s="182"/>
      <c r="BH119" s="182"/>
      <c r="BI119" s="182"/>
      <c r="BJ119" s="182"/>
      <c r="BK119" s="182"/>
      <c r="BL119" s="182"/>
      <c r="BM119" s="182"/>
      <c r="BN119" s="182"/>
      <c r="BO119" s="182"/>
      <c r="BP119" s="182"/>
      <c r="BQ119" s="182"/>
      <c r="BR119" s="182"/>
      <c r="BS119" s="182"/>
      <c r="BT119" s="182"/>
      <c r="BU119" s="182"/>
      <c r="BV119" s="182"/>
      <c r="BW119" s="182"/>
      <c r="BX119" s="182"/>
      <c r="BY119" s="182"/>
      <c r="BZ119" s="182"/>
      <c r="CA119" s="182"/>
      <c r="CB119" s="182"/>
      <c r="CC119" s="182"/>
      <c r="CD119" s="182"/>
      <c r="CE119" s="182"/>
      <c r="CF119" s="182"/>
      <c r="CG119" s="182"/>
      <c r="CH119" s="182"/>
      <c r="CI119" s="182"/>
      <c r="CJ119" s="182"/>
      <c r="CK119" s="182"/>
      <c r="CL119" s="182"/>
      <c r="CM119" s="182"/>
      <c r="CN119" s="182"/>
      <c r="CO119" s="182"/>
      <c r="CP119" s="182"/>
      <c r="CQ119" s="182"/>
      <c r="CR119" s="182"/>
      <c r="CS119" s="182"/>
      <c r="CT119" s="182"/>
      <c r="CU119" s="182"/>
      <c r="CV119" s="182"/>
      <c r="CW119" s="182"/>
      <c r="CX119" s="182"/>
      <c r="CY119" s="182"/>
      <c r="CZ119" s="182"/>
      <c r="DA119" s="182"/>
      <c r="DB119" s="182"/>
      <c r="DC119" s="182"/>
      <c r="DD119" s="182"/>
      <c r="DE119" s="182"/>
      <c r="DF119" s="182"/>
      <c r="DG119" s="182"/>
      <c r="DH119" s="182"/>
      <c r="DI119" s="182"/>
      <c r="DJ119" s="182"/>
      <c r="DK119" s="182"/>
      <c r="DL119" s="182"/>
      <c r="DM119" s="182"/>
      <c r="DN119" s="182"/>
      <c r="DO119" s="182"/>
      <c r="DP119" s="182"/>
      <c r="DQ119" s="182"/>
      <c r="DR119" s="182"/>
      <c r="DS119" s="182"/>
      <c r="DT119" s="182"/>
      <c r="DU119" s="182"/>
      <c r="DV119" s="182"/>
      <c r="DW119" s="182"/>
      <c r="DX119" s="182"/>
      <c r="DY119" s="182"/>
      <c r="DZ119" s="182"/>
      <c r="EA119" s="182"/>
      <c r="EB119" s="182"/>
      <c r="EC119" s="182"/>
      <c r="ED119" s="182"/>
      <c r="EE119" s="182"/>
      <c r="EF119" s="182"/>
      <c r="EG119" s="182"/>
      <c r="EH119" s="182"/>
      <c r="EI119" s="182"/>
      <c r="EJ119" s="182"/>
      <c r="EK119" s="182"/>
      <c r="EL119" s="182"/>
      <c r="EM119" s="182"/>
      <c r="EN119" s="182"/>
      <c r="EO119" s="182"/>
      <c r="EP119" s="182"/>
      <c r="EQ119" s="182"/>
      <c r="ER119" s="182"/>
      <c r="ES119" s="182"/>
      <c r="ET119" s="182"/>
      <c r="EU119" s="182"/>
      <c r="EV119" s="182"/>
      <c r="EW119" s="182"/>
      <c r="EX119" s="182"/>
      <c r="EY119" s="182"/>
      <c r="EZ119" s="182"/>
      <c r="FA119" s="182"/>
      <c r="FB119" s="182"/>
      <c r="FC119" s="182"/>
      <c r="FD119" s="182"/>
      <c r="FE119" s="182"/>
      <c r="FF119" s="182"/>
      <c r="FG119" s="182"/>
      <c r="FH119" s="182"/>
      <c r="FI119" s="182"/>
      <c r="FJ119" s="182"/>
      <c r="FK119" s="182"/>
      <c r="FL119" s="182"/>
      <c r="FM119" s="182"/>
      <c r="FN119" s="182"/>
      <c r="FO119" s="182"/>
      <c r="FP119" s="182"/>
      <c r="FQ119" s="182"/>
      <c r="FR119" s="182"/>
      <c r="FS119" s="182"/>
      <c r="FT119" s="182"/>
      <c r="FU119" s="182"/>
      <c r="FV119" s="182"/>
      <c r="FW119" s="182"/>
      <c r="FX119" s="182"/>
      <c r="FY119" s="182"/>
      <c r="FZ119" s="182"/>
      <c r="GA119" s="182"/>
      <c r="GB119" s="182"/>
      <c r="GC119" s="182"/>
      <c r="GD119" s="182"/>
      <c r="GE119" s="182"/>
      <c r="GF119" s="182"/>
      <c r="GG119" s="182"/>
      <c r="GH119" s="182"/>
      <c r="GI119" s="182"/>
      <c r="GJ119" s="182"/>
      <c r="GK119" s="182"/>
      <c r="GL119" s="182"/>
      <c r="GM119" s="182"/>
      <c r="GN119" s="182"/>
      <c r="GO119" s="182"/>
      <c r="GP119" s="182"/>
      <c r="GQ119" s="182"/>
      <c r="GR119" s="182"/>
      <c r="GS119" s="182"/>
      <c r="GT119" s="182"/>
      <c r="GU119" s="182"/>
      <c r="GV119" s="182"/>
      <c r="GW119" s="182"/>
      <c r="GX119" s="182"/>
      <c r="GY119" s="182"/>
      <c r="GZ119" s="182"/>
      <c r="HA119" s="182"/>
      <c r="HB119" s="182"/>
      <c r="HC119" s="182"/>
      <c r="HD119" s="182"/>
      <c r="HE119" s="182"/>
      <c r="HF119" s="182"/>
      <c r="HG119" s="182"/>
      <c r="HH119" s="182"/>
      <c r="HI119" s="182"/>
      <c r="HJ119" s="182"/>
      <c r="HK119" s="182"/>
      <c r="HL119" s="182"/>
      <c r="HM119" s="182"/>
      <c r="HN119" s="182"/>
      <c r="HO119" s="182"/>
      <c r="HP119" s="182"/>
      <c r="HQ119" s="182"/>
      <c r="HR119" s="182"/>
      <c r="HS119" s="182"/>
      <c r="HT119" s="182"/>
      <c r="HU119" s="182"/>
      <c r="HV119" s="182"/>
      <c r="HW119" s="182"/>
      <c r="HX119" s="182"/>
      <c r="HY119" s="182"/>
      <c r="HZ119" s="182"/>
      <c r="IA119" s="182"/>
      <c r="IB119" s="182"/>
      <c r="IC119" s="182"/>
      <c r="ID119" s="182"/>
      <c r="IE119" s="182"/>
      <c r="IF119" s="182"/>
      <c r="IG119" s="182"/>
      <c r="IH119" s="182"/>
      <c r="II119" s="182"/>
      <c r="IJ119" s="182"/>
      <c r="IK119" s="182"/>
      <c r="IL119" s="182"/>
      <c r="IM119" s="182"/>
      <c r="IN119" s="182"/>
      <c r="IO119" s="182"/>
      <c r="IP119" s="182"/>
      <c r="IQ119" s="182"/>
    </row>
    <row r="120" spans="1:251" s="148" customFormat="1" ht="21.75" customHeight="1">
      <c r="A120" s="186">
        <v>113</v>
      </c>
      <c r="B120" s="408" t="s">
        <v>512</v>
      </c>
      <c r="C120" s="409" t="s">
        <v>513</v>
      </c>
      <c r="D120" s="410"/>
      <c r="E120" s="410">
        <v>43</v>
      </c>
      <c r="F120" s="409" t="s">
        <v>514</v>
      </c>
      <c r="G120" s="410" t="s">
        <v>162</v>
      </c>
      <c r="H120" s="426" t="s">
        <v>152</v>
      </c>
      <c r="I120" s="187">
        <f t="shared" si="4"/>
        <v>97500</v>
      </c>
      <c r="J120" s="379" t="s">
        <v>173</v>
      </c>
      <c r="K120" s="190">
        <f t="shared" si="5"/>
        <v>75000</v>
      </c>
      <c r="L120" s="379" t="s">
        <v>56</v>
      </c>
      <c r="M120" s="188">
        <f t="shared" si="6"/>
        <v>0</v>
      </c>
      <c r="N120" s="188">
        <f t="shared" si="7"/>
        <v>172500</v>
      </c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2"/>
      <c r="AR120" s="182"/>
      <c r="AS120" s="182"/>
      <c r="AT120" s="182"/>
      <c r="AU120" s="182"/>
      <c r="AV120" s="182"/>
      <c r="AW120" s="182"/>
      <c r="AX120" s="182"/>
      <c r="AY120" s="182"/>
      <c r="AZ120" s="182"/>
      <c r="BA120" s="182"/>
      <c r="BB120" s="182"/>
      <c r="BC120" s="182"/>
      <c r="BD120" s="182"/>
      <c r="BE120" s="182"/>
      <c r="BF120" s="182"/>
      <c r="BG120" s="182"/>
      <c r="BH120" s="182"/>
      <c r="BI120" s="182"/>
      <c r="BJ120" s="182"/>
      <c r="BK120" s="182"/>
      <c r="BL120" s="182"/>
      <c r="BM120" s="182"/>
      <c r="BN120" s="182"/>
      <c r="BO120" s="182"/>
      <c r="BP120" s="182"/>
      <c r="BQ120" s="182"/>
      <c r="BR120" s="182"/>
      <c r="BS120" s="182"/>
      <c r="BT120" s="182"/>
      <c r="BU120" s="182"/>
      <c r="BV120" s="182"/>
      <c r="BW120" s="182"/>
      <c r="BX120" s="182"/>
      <c r="BY120" s="182"/>
      <c r="BZ120" s="182"/>
      <c r="CA120" s="182"/>
      <c r="CB120" s="182"/>
      <c r="CC120" s="182"/>
      <c r="CD120" s="182"/>
      <c r="CE120" s="182"/>
      <c r="CF120" s="182"/>
      <c r="CG120" s="182"/>
      <c r="CH120" s="182"/>
      <c r="CI120" s="182"/>
      <c r="CJ120" s="182"/>
      <c r="CK120" s="182"/>
      <c r="CL120" s="182"/>
      <c r="CM120" s="182"/>
      <c r="CN120" s="182"/>
      <c r="CO120" s="182"/>
      <c r="CP120" s="182"/>
      <c r="CQ120" s="182"/>
      <c r="CR120" s="182"/>
      <c r="CS120" s="182"/>
      <c r="CT120" s="182"/>
      <c r="CU120" s="182"/>
      <c r="CV120" s="182"/>
      <c r="CW120" s="182"/>
      <c r="CX120" s="182"/>
      <c r="CY120" s="182"/>
      <c r="CZ120" s="182"/>
      <c r="DA120" s="182"/>
      <c r="DB120" s="182"/>
      <c r="DC120" s="182"/>
      <c r="DD120" s="182"/>
      <c r="DE120" s="182"/>
      <c r="DF120" s="182"/>
      <c r="DG120" s="182"/>
      <c r="DH120" s="182"/>
      <c r="DI120" s="182"/>
      <c r="DJ120" s="182"/>
      <c r="DK120" s="182"/>
      <c r="DL120" s="182"/>
      <c r="DM120" s="182"/>
      <c r="DN120" s="182"/>
      <c r="DO120" s="182"/>
      <c r="DP120" s="182"/>
      <c r="DQ120" s="182"/>
      <c r="DR120" s="182"/>
      <c r="DS120" s="182"/>
      <c r="DT120" s="182"/>
      <c r="DU120" s="182"/>
      <c r="DV120" s="182"/>
      <c r="DW120" s="182"/>
      <c r="DX120" s="182"/>
      <c r="DY120" s="182"/>
      <c r="DZ120" s="182"/>
      <c r="EA120" s="182"/>
      <c r="EB120" s="182"/>
      <c r="EC120" s="182"/>
      <c r="ED120" s="182"/>
      <c r="EE120" s="182"/>
      <c r="EF120" s="182"/>
      <c r="EG120" s="182"/>
      <c r="EH120" s="182"/>
      <c r="EI120" s="182"/>
      <c r="EJ120" s="182"/>
      <c r="EK120" s="182"/>
      <c r="EL120" s="182"/>
      <c r="EM120" s="182"/>
      <c r="EN120" s="182"/>
      <c r="EO120" s="182"/>
      <c r="EP120" s="182"/>
      <c r="EQ120" s="182"/>
      <c r="ER120" s="182"/>
      <c r="ES120" s="182"/>
      <c r="ET120" s="182"/>
      <c r="EU120" s="182"/>
      <c r="EV120" s="182"/>
      <c r="EW120" s="182"/>
      <c r="EX120" s="182"/>
      <c r="EY120" s="182"/>
      <c r="EZ120" s="182"/>
      <c r="FA120" s="182"/>
      <c r="FB120" s="182"/>
      <c r="FC120" s="182"/>
      <c r="FD120" s="182"/>
      <c r="FE120" s="182"/>
      <c r="FF120" s="182"/>
      <c r="FG120" s="182"/>
      <c r="FH120" s="182"/>
      <c r="FI120" s="182"/>
      <c r="FJ120" s="182"/>
      <c r="FK120" s="182"/>
      <c r="FL120" s="182"/>
      <c r="FM120" s="182"/>
      <c r="FN120" s="182"/>
      <c r="FO120" s="182"/>
      <c r="FP120" s="182"/>
      <c r="FQ120" s="182"/>
      <c r="FR120" s="182"/>
      <c r="FS120" s="182"/>
      <c r="FT120" s="182"/>
      <c r="FU120" s="182"/>
      <c r="FV120" s="182"/>
      <c r="FW120" s="182"/>
      <c r="FX120" s="182"/>
      <c r="FY120" s="182"/>
      <c r="FZ120" s="182"/>
      <c r="GA120" s="182"/>
      <c r="GB120" s="182"/>
      <c r="GC120" s="182"/>
      <c r="GD120" s="182"/>
      <c r="GE120" s="182"/>
      <c r="GF120" s="182"/>
      <c r="GG120" s="182"/>
      <c r="GH120" s="182"/>
      <c r="GI120" s="182"/>
      <c r="GJ120" s="182"/>
      <c r="GK120" s="182"/>
      <c r="GL120" s="182"/>
      <c r="GM120" s="182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182"/>
      <c r="HQ120" s="182"/>
      <c r="HR120" s="182"/>
      <c r="HS120" s="182"/>
      <c r="HT120" s="182"/>
      <c r="HU120" s="182"/>
      <c r="HV120" s="182"/>
      <c r="HW120" s="182"/>
      <c r="HX120" s="182"/>
      <c r="HY120" s="182"/>
      <c r="HZ120" s="182"/>
      <c r="IA120" s="182"/>
      <c r="IB120" s="182"/>
      <c r="IC120" s="182"/>
      <c r="ID120" s="182"/>
      <c r="IE120" s="182"/>
      <c r="IF120" s="182"/>
      <c r="IG120" s="182"/>
      <c r="IH120" s="182"/>
      <c r="II120" s="182"/>
      <c r="IJ120" s="182"/>
      <c r="IK120" s="182"/>
      <c r="IL120" s="182"/>
      <c r="IM120" s="182"/>
      <c r="IN120" s="182"/>
      <c r="IO120" s="182"/>
      <c r="IP120" s="182"/>
      <c r="IQ120" s="182"/>
    </row>
    <row r="121" spans="1:251" s="149" customFormat="1" ht="21.75" customHeight="1">
      <c r="A121" s="186"/>
      <c r="B121" s="217"/>
      <c r="C121" s="218" t="s">
        <v>71</v>
      </c>
      <c r="D121" s="217"/>
      <c r="E121" s="217"/>
      <c r="F121" s="217"/>
      <c r="G121" s="217"/>
      <c r="H121" s="417"/>
      <c r="I121" s="219">
        <f>SUM(I8:I120)</f>
        <v>26572500</v>
      </c>
      <c r="J121" s="219"/>
      <c r="K121" s="219">
        <f>SUM(K8:K120)</f>
        <v>19260000</v>
      </c>
      <c r="L121" s="219"/>
      <c r="M121" s="219">
        <f>SUM(M8:M120)</f>
        <v>15465000</v>
      </c>
      <c r="N121" s="219">
        <f>SUM(N8:N120)</f>
        <v>61297500</v>
      </c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5"/>
      <c r="BM121" s="145"/>
      <c r="BN121" s="145"/>
      <c r="BO121" s="145"/>
      <c r="BP121" s="145"/>
      <c r="BQ121" s="145"/>
      <c r="BR121" s="145"/>
      <c r="BS121" s="145"/>
      <c r="BT121" s="145"/>
      <c r="BU121" s="145"/>
      <c r="BV121" s="145"/>
      <c r="BW121" s="145"/>
      <c r="BX121" s="145"/>
      <c r="BY121" s="145"/>
      <c r="BZ121" s="145"/>
      <c r="CA121" s="145"/>
      <c r="CB121" s="145"/>
      <c r="CC121" s="145"/>
      <c r="CD121" s="145"/>
      <c r="CE121" s="145"/>
      <c r="CF121" s="145"/>
      <c r="CG121" s="145"/>
      <c r="CH121" s="145"/>
      <c r="CI121" s="145"/>
      <c r="CJ121" s="145"/>
      <c r="CK121" s="145"/>
      <c r="CL121" s="145"/>
      <c r="CM121" s="145"/>
      <c r="CN121" s="145"/>
      <c r="CO121" s="145"/>
      <c r="CP121" s="145"/>
      <c r="CQ121" s="145"/>
      <c r="CR121" s="145"/>
      <c r="CS121" s="145"/>
      <c r="CT121" s="145"/>
      <c r="CU121" s="145"/>
      <c r="CV121" s="145"/>
      <c r="CW121" s="145"/>
      <c r="CX121" s="145"/>
      <c r="CY121" s="145"/>
      <c r="CZ121" s="145"/>
      <c r="DA121" s="145"/>
      <c r="DB121" s="145"/>
      <c r="DC121" s="145"/>
      <c r="DD121" s="145"/>
      <c r="DE121" s="145"/>
      <c r="DF121" s="145"/>
      <c r="DG121" s="145"/>
      <c r="DH121" s="145"/>
      <c r="DI121" s="145"/>
      <c r="DJ121" s="145"/>
      <c r="DK121" s="145"/>
      <c r="DL121" s="145"/>
      <c r="DM121" s="145"/>
      <c r="DN121" s="145"/>
      <c r="DO121" s="145"/>
      <c r="DP121" s="145"/>
      <c r="DQ121" s="145"/>
      <c r="DR121" s="145"/>
      <c r="DS121" s="145"/>
      <c r="DT121" s="145"/>
      <c r="DU121" s="145"/>
      <c r="DV121" s="145"/>
      <c r="DW121" s="145"/>
      <c r="DX121" s="145"/>
      <c r="DY121" s="145"/>
      <c r="DZ121" s="145"/>
      <c r="EA121" s="145"/>
      <c r="EB121" s="145"/>
      <c r="EC121" s="145"/>
      <c r="ED121" s="145"/>
      <c r="EE121" s="145"/>
      <c r="EF121" s="145"/>
      <c r="EG121" s="145"/>
      <c r="EH121" s="145"/>
      <c r="EI121" s="145"/>
      <c r="EJ121" s="145"/>
      <c r="EK121" s="145"/>
      <c r="EL121" s="145"/>
      <c r="EM121" s="145"/>
      <c r="EN121" s="145"/>
      <c r="EO121" s="145"/>
      <c r="EP121" s="145"/>
      <c r="EQ121" s="145"/>
      <c r="ER121" s="145"/>
      <c r="ES121" s="145"/>
      <c r="ET121" s="145"/>
      <c r="EU121" s="145"/>
      <c r="EV121" s="145"/>
      <c r="EW121" s="145"/>
      <c r="EX121" s="145"/>
      <c r="EY121" s="145"/>
      <c r="EZ121" s="145"/>
      <c r="FA121" s="145"/>
      <c r="FB121" s="145"/>
      <c r="FC121" s="145"/>
      <c r="FD121" s="145"/>
      <c r="FE121" s="145"/>
      <c r="FF121" s="145"/>
      <c r="FG121" s="145"/>
      <c r="FH121" s="145"/>
      <c r="FI121" s="145"/>
      <c r="FJ121" s="145"/>
      <c r="FK121" s="145"/>
      <c r="FL121" s="145"/>
      <c r="FM121" s="145"/>
      <c r="FN121" s="145"/>
      <c r="FO121" s="145"/>
      <c r="FP121" s="145"/>
      <c r="FQ121" s="145"/>
      <c r="FR121" s="145"/>
      <c r="FS121" s="145"/>
      <c r="FT121" s="145"/>
      <c r="FU121" s="145"/>
      <c r="FV121" s="145"/>
      <c r="FW121" s="145"/>
      <c r="FX121" s="145"/>
      <c r="FY121" s="145"/>
      <c r="FZ121" s="145"/>
      <c r="GA121" s="145"/>
      <c r="GB121" s="145"/>
      <c r="GC121" s="145"/>
      <c r="GD121" s="145"/>
      <c r="GE121" s="145"/>
      <c r="GF121" s="145"/>
      <c r="GG121" s="145"/>
      <c r="GH121" s="145"/>
      <c r="GI121" s="145"/>
      <c r="GJ121" s="145"/>
      <c r="GK121" s="145"/>
      <c r="GL121" s="145"/>
      <c r="GM121" s="145"/>
      <c r="GN121" s="145"/>
      <c r="GO121" s="145"/>
      <c r="GP121" s="145"/>
      <c r="GQ121" s="145"/>
      <c r="GR121" s="145"/>
      <c r="GS121" s="145"/>
      <c r="GT121" s="145"/>
      <c r="GU121" s="145"/>
      <c r="GV121" s="145"/>
      <c r="GW121" s="145"/>
      <c r="GX121" s="145"/>
      <c r="GY121" s="145"/>
      <c r="GZ121" s="145"/>
      <c r="HA121" s="145"/>
      <c r="HB121" s="145"/>
      <c r="HC121" s="145"/>
      <c r="HD121" s="145"/>
      <c r="HE121" s="145"/>
      <c r="HF121" s="145"/>
      <c r="HG121" s="145"/>
      <c r="HH121" s="145"/>
      <c r="HI121" s="145"/>
      <c r="HJ121" s="145"/>
      <c r="HK121" s="145"/>
      <c r="HL121" s="145"/>
      <c r="HM121" s="145"/>
      <c r="HN121" s="145"/>
      <c r="HO121" s="145"/>
      <c r="HP121" s="145"/>
      <c r="HQ121" s="145"/>
      <c r="HR121" s="145"/>
      <c r="HS121" s="145"/>
      <c r="HT121" s="145"/>
      <c r="HU121" s="145"/>
      <c r="HV121" s="145"/>
      <c r="HW121" s="145"/>
      <c r="HX121" s="145"/>
      <c r="HY121" s="145"/>
      <c r="HZ121" s="145"/>
      <c r="IA121" s="145"/>
      <c r="IB121" s="145"/>
      <c r="IC121" s="145"/>
      <c r="ID121" s="145"/>
      <c r="IE121" s="145"/>
      <c r="IF121" s="145"/>
      <c r="IG121" s="145"/>
      <c r="IH121" s="145"/>
      <c r="II121" s="145"/>
      <c r="IJ121" s="145"/>
      <c r="IK121" s="145"/>
      <c r="IL121" s="145"/>
      <c r="IM121" s="145"/>
      <c r="IN121" s="145"/>
      <c r="IO121" s="145"/>
      <c r="IP121" s="145"/>
      <c r="IQ121" s="145"/>
    </row>
    <row r="122" spans="1:251" ht="18.75">
      <c r="A122" s="111"/>
      <c r="B122" s="300"/>
      <c r="C122" s="301"/>
      <c r="D122" s="300"/>
      <c r="E122" s="127"/>
      <c r="F122" s="300"/>
      <c r="G122" s="127"/>
      <c r="H122" s="428"/>
      <c r="I122" s="302"/>
      <c r="J122" s="303"/>
      <c r="K122" s="460" t="s">
        <v>787</v>
      </c>
      <c r="L122" s="460"/>
      <c r="M122" s="460"/>
      <c r="N122" s="460"/>
    </row>
    <row r="123" spans="1:251" ht="18.75">
      <c r="A123" s="111"/>
      <c r="B123" s="459" t="s">
        <v>35</v>
      </c>
      <c r="C123" s="459"/>
      <c r="D123" s="300"/>
      <c r="E123" s="300"/>
      <c r="F123" s="300"/>
      <c r="G123" s="127"/>
      <c r="H123" s="429"/>
      <c r="I123" s="305"/>
      <c r="J123" s="303"/>
      <c r="K123" s="435" t="s">
        <v>21</v>
      </c>
      <c r="L123" s="435"/>
      <c r="M123" s="435"/>
      <c r="N123" s="435"/>
    </row>
    <row r="124" spans="1:251" ht="18.75">
      <c r="A124" s="111"/>
      <c r="B124" s="304"/>
      <c r="C124" s="304"/>
      <c r="D124" s="300"/>
      <c r="E124" s="300"/>
      <c r="F124" s="300"/>
      <c r="G124" s="127"/>
      <c r="H124" s="429"/>
      <c r="I124" s="305"/>
      <c r="J124" s="303"/>
      <c r="K124" s="298"/>
      <c r="L124" s="298"/>
      <c r="M124" s="298"/>
      <c r="N124" s="298"/>
    </row>
    <row r="125" spans="1:251" ht="18.75">
      <c r="B125" s="39"/>
      <c r="C125" s="146"/>
      <c r="D125" s="306"/>
      <c r="E125" s="306"/>
      <c r="F125" s="307"/>
      <c r="G125" s="39"/>
      <c r="I125" s="309"/>
      <c r="J125" s="310"/>
      <c r="K125" s="309"/>
      <c r="L125" s="308"/>
      <c r="M125" s="309"/>
      <c r="N125" s="128"/>
    </row>
    <row r="126" spans="1:251" ht="18.75">
      <c r="B126" s="39"/>
      <c r="C126" s="146"/>
      <c r="D126" s="306"/>
      <c r="E126" s="306"/>
      <c r="F126" s="306"/>
      <c r="G126" s="39"/>
      <c r="I126" s="309"/>
      <c r="J126" s="310"/>
      <c r="K126" s="309"/>
      <c r="L126" s="308"/>
      <c r="M126" s="309"/>
      <c r="N126" s="128"/>
    </row>
    <row r="127" spans="1:251" ht="21.75" customHeight="1">
      <c r="B127" s="436" t="s">
        <v>96</v>
      </c>
      <c r="C127" s="436"/>
      <c r="D127" s="306"/>
      <c r="E127" s="306"/>
      <c r="F127" s="306"/>
      <c r="G127" s="39"/>
      <c r="I127" s="309"/>
      <c r="J127" s="310"/>
      <c r="K127" s="458" t="s">
        <v>262</v>
      </c>
      <c r="L127" s="458"/>
      <c r="M127" s="458"/>
      <c r="N127" s="458"/>
    </row>
    <row r="128" spans="1:251" ht="18.75">
      <c r="B128" s="39"/>
      <c r="C128" s="146"/>
      <c r="D128" s="306"/>
      <c r="E128" s="306"/>
      <c r="F128" s="306"/>
      <c r="G128" s="39"/>
      <c r="I128" s="309"/>
      <c r="J128" s="310"/>
      <c r="K128" s="309"/>
      <c r="L128" s="308"/>
      <c r="M128" s="309"/>
      <c r="N128" s="128"/>
    </row>
    <row r="129" spans="2:14" ht="18.75">
      <c r="B129" s="39"/>
      <c r="C129" s="146"/>
      <c r="D129" s="306"/>
      <c r="E129" s="306"/>
      <c r="F129" s="306"/>
      <c r="G129" s="39"/>
      <c r="I129" s="309"/>
      <c r="J129" s="310"/>
      <c r="K129" s="309"/>
      <c r="L129" s="308"/>
      <c r="M129" s="309"/>
      <c r="N129" s="128"/>
    </row>
    <row r="130" spans="2:14" ht="18.75">
      <c r="B130" s="39"/>
      <c r="C130" s="146"/>
      <c r="D130" s="306"/>
      <c r="E130" s="306"/>
      <c r="F130" s="306"/>
      <c r="G130" s="39"/>
      <c r="I130" s="309"/>
      <c r="J130" s="310"/>
      <c r="K130" s="309"/>
      <c r="L130" s="308"/>
      <c r="M130" s="309"/>
      <c r="N130" s="128"/>
    </row>
    <row r="131" spans="2:14" ht="18.75">
      <c r="B131" s="39"/>
      <c r="C131" s="146"/>
      <c r="D131" s="306"/>
      <c r="E131" s="306"/>
      <c r="F131" s="306"/>
      <c r="G131" s="39"/>
      <c r="I131" s="309"/>
      <c r="J131" s="310"/>
      <c r="K131" s="309"/>
      <c r="L131" s="308"/>
      <c r="M131" s="309"/>
      <c r="N131" s="128"/>
    </row>
    <row r="132" spans="2:14" ht="18.75">
      <c r="B132" s="39"/>
      <c r="C132" s="146"/>
      <c r="D132" s="306"/>
      <c r="E132" s="306"/>
      <c r="F132" s="306"/>
      <c r="G132" s="39"/>
      <c r="I132" s="309"/>
      <c r="J132" s="310"/>
      <c r="K132" s="309"/>
      <c r="L132" s="308"/>
      <c r="M132" s="309"/>
      <c r="N132" s="128"/>
    </row>
  </sheetData>
  <autoFilter ref="A7:WWY123" xr:uid="{00000000-0009-0000-0000-000004000000}"/>
  <sortState xmlns:xlrd2="http://schemas.microsoft.com/office/spreadsheetml/2017/richdata2" ref="A8:WWY120">
    <sortCondition ref="A8:A120"/>
  </sortState>
  <mergeCells count="9">
    <mergeCell ref="A1:E1"/>
    <mergeCell ref="A2:E2"/>
    <mergeCell ref="B3:N3"/>
    <mergeCell ref="A4:N4"/>
    <mergeCell ref="B127:C127"/>
    <mergeCell ref="K127:N127"/>
    <mergeCell ref="B123:C123"/>
    <mergeCell ref="K122:N122"/>
    <mergeCell ref="K123:N123"/>
  </mergeCells>
  <pageMargins left="0.31" right="0.22" top="0.2" bottom="0.27" header="0.22" footer="0.2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view="pageLayout" topLeftCell="A4" zoomScaleNormal="100" workbookViewId="0">
      <selection activeCell="E26" sqref="E26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445" t="s">
        <v>0</v>
      </c>
      <c r="B1" s="445"/>
      <c r="C1" s="445"/>
    </row>
    <row r="2" spans="1:8" ht="16.5">
      <c r="A2" s="444" t="s">
        <v>75</v>
      </c>
      <c r="B2" s="444"/>
      <c r="C2" s="444"/>
    </row>
    <row r="3" spans="1:8" ht="20.25">
      <c r="A3" s="435" t="s">
        <v>786</v>
      </c>
      <c r="B3" s="435"/>
      <c r="C3" s="435"/>
      <c r="D3" s="435"/>
      <c r="E3" s="435"/>
      <c r="F3" s="435"/>
      <c r="G3" s="127"/>
      <c r="H3" s="2"/>
    </row>
    <row r="4" spans="1:8" ht="20.25">
      <c r="A4" s="461" t="s">
        <v>92</v>
      </c>
      <c r="B4" s="461"/>
      <c r="C4" s="461"/>
      <c r="D4" s="461"/>
      <c r="E4" s="461"/>
      <c r="F4" s="461"/>
      <c r="G4" s="461"/>
      <c r="H4" s="2"/>
    </row>
    <row r="5" spans="1:8" ht="10.5" customHeight="1">
      <c r="B5" s="39"/>
      <c r="C5" s="40"/>
      <c r="D5" s="40"/>
      <c r="H5" s="2"/>
    </row>
    <row r="6" spans="1:8" ht="21" customHeight="1">
      <c r="A6" s="114" t="s">
        <v>2</v>
      </c>
      <c r="B6" s="115" t="s">
        <v>13</v>
      </c>
      <c r="C6" s="116" t="s">
        <v>85</v>
      </c>
      <c r="D6" s="116" t="s">
        <v>116</v>
      </c>
      <c r="E6" s="116" t="s">
        <v>14</v>
      </c>
      <c r="F6" s="116" t="s">
        <v>119</v>
      </c>
      <c r="G6" s="47"/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86">
        <f>SUM(SUMIF(phauthuat_BHYT!$H$8:$H$126,"TRIỀU",phauthuat_BHYT!$I$8:$I$126),SUMIF(phauthuat_BHYT!$J$8:$J$126,"TRIỀU",phauthuat_BHYT!$K$8:$K$126),SUMIF(phauthuat_BHYT!$L$8:$L$126,"TRIỀU",phauthuat_BHYT!$M$8:$M$126))</f>
        <v>97500</v>
      </c>
      <c r="F7" s="117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86">
        <f>SUM(SUMIF(phauthuat_BHYT!$H$8:$H$126,"TẤN",phauthuat_BHYT!$I$8:$I$126),SUMIF(phauthuat_BHYT!$J$8:$J$126,"TẤN",phauthuat_BHYT!$K$8:$K$126),SUMIF(phauthuat_BHYT!$L$8:$L$126,"TẤN",phauthuat_BHYT!$M$8:$M$126))</f>
        <v>3322500</v>
      </c>
      <c r="F8" s="117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86">
        <f>SUM(SUMIF(phauthuat_BHYT!$H$8:$H$126,"HOAN",phauthuat_BHYT!$I$8:$I$126),SUMIF(phauthuat_BHYT!$J$8:$J$126,"HOAN",phauthuat_BHYT!$K$8:$K$126),SUMIF(phauthuat_BHYT!$L$8:$L$126,"HOAN",phauthuat_BHYT!$M$8:$M$126))</f>
        <v>0</v>
      </c>
      <c r="F9" s="117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86">
        <f>SUM(SUMIF(phauthuat_BHYT!$H$8:$H$126,"NGUYỆN",phauthuat_BHYT!$I$8:$I$126),SUMIF(phauthuat_BHYT!$J$8:$J$126,"NGUYỆN",phauthuat_BHYT!$K$8:$K$126),SUMIF(phauthuat_BHYT!$L$8:$L$126,"NGUYỆN",phauthuat_BHYT!$M$8:$M$126))</f>
        <v>4905000</v>
      </c>
      <c r="F10" s="117"/>
      <c r="G10" s="41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86">
        <f>SUM(SUMIF(phauthuat_BHYT!$H$8:$H$126,"ĐIỀN",phauthuat_BHYT!$I$8:$I$126),SUMIF(phauthuat_BHYT!$J$8:$J$126,"ĐIỀN",phauthuat_BHYT!$K$8:$K$126),SUMIF(phauthuat_BHYT!$L$8:$L$126,"ĐIỀN",phauthuat_BHYT!$M$8:$M$126))</f>
        <v>3217500</v>
      </c>
      <c r="F11" s="117"/>
      <c r="G11" s="41"/>
      <c r="H11" s="41"/>
    </row>
    <row r="12" spans="1:8" ht="20.25" customHeight="1">
      <c r="A12" s="112">
        <v>6</v>
      </c>
      <c r="B12" s="107" t="s">
        <v>113</v>
      </c>
      <c r="C12" s="108" t="s">
        <v>66</v>
      </c>
      <c r="D12" s="195">
        <v>107868829237</v>
      </c>
      <c r="E12" s="86">
        <f>SUM(SUMIF(phauthuat_BHYT!$H$8:$H$126,"TOẢN",phauthuat_BHYT!$I$8:$I$126),SUMIF(phauthuat_BHYT!$J$8:$J$126,"TOẢN",phauthuat_BHYT!$K$8:$K$126),SUMIF(phauthuat_BHYT!$L$8:$L$126,"TOẢN",phauthuat_BHYT!$M$8:$M$126))</f>
        <v>8265000</v>
      </c>
      <c r="F12" s="117"/>
      <c r="G12" s="41"/>
      <c r="H12" s="41"/>
    </row>
    <row r="13" spans="1:8" ht="20.25" customHeight="1">
      <c r="A13" s="112">
        <v>7</v>
      </c>
      <c r="B13" s="107" t="s">
        <v>94</v>
      </c>
      <c r="C13" s="108" t="s">
        <v>66</v>
      </c>
      <c r="D13" s="195">
        <v>105867664283</v>
      </c>
      <c r="E13" s="86">
        <f>SUM(SUMIF(phauthuat_BHYT!$H$8:$H$126,"giàu",phauthuat_BHYT!$I$8:$I$126),SUMIF(phauthuat_BHYT!$J$8:$J$126,"giàu",phauthuat_BHYT!$K$8:$K$126),SUMIF(phauthuat_BHYT!$L$8:$L$126,"giàu",phauthuat_BHYT!$M$8:$M$126))</f>
        <v>7395000</v>
      </c>
      <c r="F13" s="117"/>
      <c r="G13" s="41"/>
      <c r="H13" s="41"/>
    </row>
    <row r="14" spans="1:8" ht="16.5">
      <c r="A14" s="112">
        <v>8</v>
      </c>
      <c r="B14" s="107" t="s">
        <v>84</v>
      </c>
      <c r="C14" s="249" t="s">
        <v>26</v>
      </c>
      <c r="D14" s="320" t="s">
        <v>128</v>
      </c>
      <c r="E14" s="220">
        <f>SUM(SUMIF(phauthuat_BHYT!$H$8:$H$126,"v.tân",phauthuat_BHYT!$I$8:$I$126),SUMIF(phauthuat_BHYT!$J$8:$J$126,"v.tân",phauthuat_BHYT!$K$8:$K$126),SUMIF(phauthuat_BHYT!$L$8:$L$126,"v.tân",phauthuat_BHYT!$M$8:$M$126))</f>
        <v>4065000</v>
      </c>
      <c r="F14" s="250"/>
      <c r="G14" s="41"/>
      <c r="H14" s="41"/>
    </row>
    <row r="15" spans="1:8" ht="16.5">
      <c r="A15" s="112">
        <v>9</v>
      </c>
      <c r="B15" s="107" t="s">
        <v>68</v>
      </c>
      <c r="C15" s="249" t="s">
        <v>26</v>
      </c>
      <c r="D15" s="320" t="s">
        <v>169</v>
      </c>
      <c r="E15" s="220">
        <f>SUM(SUMIF(phauthuat_BHYT!$H$8:$H$126,"minh",phauthuat_BHYT!$I$8:$I$126),SUMIF(phauthuat_BHYT!$J$8:$J$126,"minh",phauthuat_BHYT!$K$8:$K$126),SUMIF(phauthuat_BHYT!$L$8:$L$126,"minh",phauthuat_BHYT!$M$8:$M$126))</f>
        <v>0</v>
      </c>
      <c r="F15" s="250"/>
      <c r="G15" s="41"/>
      <c r="H15" s="41"/>
    </row>
    <row r="16" spans="1:8" ht="16.5">
      <c r="A16" s="112">
        <v>10</v>
      </c>
      <c r="B16" s="107" t="s">
        <v>131</v>
      </c>
      <c r="C16" s="249" t="s">
        <v>26</v>
      </c>
      <c r="D16" s="320" t="s">
        <v>134</v>
      </c>
      <c r="E16" s="220">
        <f>SUM(SUMIF(phauthuat_BHYT!$H$8:$H$126,"TUẤN",phauthuat_BHYT!$I$8:$I$126),SUMIF(phauthuat_BHYT!$J$8:$J$126,"TUẤN",phauthuat_BHYT!$K$8:$K$126),SUMIF(phauthuat_BHYT!$L$8:$L$126,"TUẤN",phauthuat_BHYT!$M$8:$M$126))</f>
        <v>9255000</v>
      </c>
      <c r="F16" s="250"/>
      <c r="G16" s="41"/>
      <c r="H16" s="41"/>
    </row>
    <row r="17" spans="1:8" ht="16.5">
      <c r="A17" s="112">
        <v>11</v>
      </c>
      <c r="B17" s="107" t="s">
        <v>132</v>
      </c>
      <c r="C17" s="249" t="s">
        <v>26</v>
      </c>
      <c r="D17" s="320" t="s">
        <v>263</v>
      </c>
      <c r="E17" s="220">
        <f>SUM(SUMIF(phauthuat_BHYT!$H$8:$H$126,"đạt",phauthuat_BHYT!$I$8:$I$126),SUMIF(phauthuat_BHYT!$J$8:$J$126,"đạt",phauthuat_BHYT!$K$8:$K$126),SUMIF(phauthuat_BHYT!$L$8:$L$126,"đạt",phauthuat_BHYT!$M$8:$M$126))</f>
        <v>3450000</v>
      </c>
      <c r="F17" s="250"/>
      <c r="G17" s="41"/>
      <c r="H17" s="41"/>
    </row>
    <row r="18" spans="1:8" ht="16.5">
      <c r="A18" s="112">
        <v>14</v>
      </c>
      <c r="B18" s="107" t="s">
        <v>135</v>
      </c>
      <c r="C18" s="249" t="s">
        <v>60</v>
      </c>
      <c r="D18" s="321"/>
      <c r="E18" s="220">
        <f>SUM(SUMIF(phauthuat_BHYT!$H$8:$H$126,"thái",phauthuat_BHYT!$I$8:$I$126),SUMIF(phauthuat_BHYT!$J$8:$J$126,"thái",phauthuat_BHYT!$K$8:$K$126),SUMIF(phauthuat_BHYT!$L$8:$L$126,"thái",phauthuat_BHYT!$M$8:$M$126))</f>
        <v>1425000</v>
      </c>
      <c r="F18" s="250"/>
      <c r="G18" s="41"/>
      <c r="H18" s="41"/>
    </row>
    <row r="19" spans="1:8" ht="16.5">
      <c r="A19" s="112">
        <v>15</v>
      </c>
      <c r="B19" s="107" t="s">
        <v>136</v>
      </c>
      <c r="C19" s="249" t="s">
        <v>60</v>
      </c>
      <c r="D19" s="321"/>
      <c r="E19" s="220">
        <f>SUM(SUMIF(phauthuat_BHYT!$H$8:$H$126,"tùng",phauthuat_BHYT!$I$8:$I$126),SUMIF(phauthuat_BHYT!$J$8:$J$126,"tùng",phauthuat_BHYT!$K$8:$K$126),SUMIF(phauthuat_BHYT!$L$8:$L$126,"tùng",phauthuat_BHYT!$M$8:$M$126))</f>
        <v>4335000</v>
      </c>
      <c r="F19" s="250"/>
      <c r="G19" s="41"/>
      <c r="H19" s="41"/>
    </row>
    <row r="20" spans="1:8" ht="16.5">
      <c r="A20" s="112">
        <v>16</v>
      </c>
      <c r="B20" s="107" t="s">
        <v>137</v>
      </c>
      <c r="C20" s="249" t="s">
        <v>60</v>
      </c>
      <c r="D20" s="321"/>
      <c r="E20" s="220">
        <f>SUM(SUMIF(phauthuat_BHYT!$H$8:$H$126,"khén",phauthuat_BHYT!$I$8:$I$126),SUMIF(phauthuat_BHYT!$J$8:$J$126,"khén",phauthuat_BHYT!$K$8:$K$126),SUMIF(phauthuat_BHYT!$L$8:$L$126,"khén",phauthuat_BHYT!$M$8:$M$126))</f>
        <v>3300000</v>
      </c>
      <c r="F20" s="250"/>
      <c r="G20" s="41"/>
      <c r="H20" s="41"/>
    </row>
    <row r="21" spans="1:8" ht="16.5">
      <c r="A21" s="112">
        <v>17</v>
      </c>
      <c r="B21" s="107" t="s">
        <v>138</v>
      </c>
      <c r="C21" s="249" t="s">
        <v>60</v>
      </c>
      <c r="D21" s="321"/>
      <c r="E21" s="220">
        <f>SUM(SUMIF(phauthuat_BHYT!$H$8:$H$126,"T.hưởng",phauthuat_BHYT!$I$8:$I$126),SUMIF(phauthuat_BHYT!$J$8:$J$126,"T.hưởng",phauthuat_BHYT!$K$8:$K$126),SUMIF(phauthuat_BHYT!$L$8:$L$126,"T.hưởng",phauthuat_BHYT!$M$8:$M$126))</f>
        <v>4065000</v>
      </c>
      <c r="F21" s="250"/>
      <c r="G21" s="41"/>
      <c r="H21" s="41"/>
    </row>
    <row r="22" spans="1:8" ht="16.5">
      <c r="A22" s="112">
        <v>18</v>
      </c>
      <c r="B22" s="107" t="s">
        <v>139</v>
      </c>
      <c r="C22" s="249" t="s">
        <v>60</v>
      </c>
      <c r="D22" s="321"/>
      <c r="E22" s="220">
        <f>SUM(SUMIF(phauthuat_BHYT!$H$8:$H$126,"Đ.khang",phauthuat_BHYT!$I$8:$I$126),SUMIF(phauthuat_BHYT!$J$8:$J$126,"Đ.khang",phauthuat_BHYT!$K$8:$K$126),SUMIF(phauthuat_BHYT!$L$8:$L$126,"Đ.khang",phauthuat_BHYT!$M$8:$M$126))</f>
        <v>1845000</v>
      </c>
      <c r="F22" s="250"/>
      <c r="G22" s="41"/>
      <c r="H22" s="41"/>
    </row>
    <row r="23" spans="1:8" ht="16.5">
      <c r="A23" s="112">
        <v>19</v>
      </c>
      <c r="B23" s="107" t="s">
        <v>140</v>
      </c>
      <c r="C23" s="249" t="s">
        <v>60</v>
      </c>
      <c r="D23" s="321"/>
      <c r="E23" s="220">
        <f>SUM(SUMIF(phauthuat_BHYT!$H$8:$H$126,"luật",phauthuat_BHYT!$I$8:$I$126),SUMIF(phauthuat_BHYT!$J$8:$J$126,"luật",phauthuat_BHYT!$K$8:$K$126),SUMIF(phauthuat_BHYT!$L$8:$L$126,"luật",phauthuat_BHYT!$M$8:$M$126))</f>
        <v>1710000</v>
      </c>
      <c r="F23" s="250"/>
      <c r="G23" s="41"/>
      <c r="H23" s="41"/>
    </row>
    <row r="24" spans="1:8" ht="16.5">
      <c r="A24" s="112">
        <v>20</v>
      </c>
      <c r="B24" s="107" t="s">
        <v>356</v>
      </c>
      <c r="C24" s="249" t="s">
        <v>60</v>
      </c>
      <c r="D24" s="321"/>
      <c r="E24" s="220">
        <f>SUM(SUMIF(phauthuat_BHYT!$H$8:$H$126,"N.KHANG",phauthuat_BHYT!$I$8:$I$126),SUMIF(phauthuat_BHYT!$J$8:$J$126,"N.KHANG",phauthuat_BHYT!$K$8:$K$126),SUMIF(phauthuat_BHYT!$L$8:$L$126,"N.KHANG",phauthuat_BHYT!$M$8:$M$126))</f>
        <v>210000</v>
      </c>
      <c r="F24" s="250"/>
      <c r="G24" s="41"/>
      <c r="H24" s="41"/>
    </row>
    <row r="25" spans="1:8" ht="16.5">
      <c r="A25" s="112">
        <v>21</v>
      </c>
      <c r="B25" s="107" t="s">
        <v>357</v>
      </c>
      <c r="C25" s="249" t="s">
        <v>60</v>
      </c>
      <c r="D25" s="321"/>
      <c r="E25" s="220">
        <f>SUM(SUMIF(phauthuat_BHYT!$H$8:$H$126,"v.hưởng",phauthuat_BHYT!$I$8:$I$126),SUMIF(phauthuat_BHYT!$J$8:$J$126,"v.hưởng",phauthuat_BHYT!$K$8:$K$126),SUMIF(phauthuat_BHYT!$L$8:$L$126,"v.hưởng",phauthuat_BHYT!$M$8:$M$126))</f>
        <v>300000</v>
      </c>
      <c r="F25" s="250"/>
      <c r="G25" s="41"/>
      <c r="H25" s="41"/>
    </row>
    <row r="26" spans="1:8" ht="16.5">
      <c r="A26" s="112">
        <v>22</v>
      </c>
      <c r="B26" s="107" t="s">
        <v>355</v>
      </c>
      <c r="C26" s="249" t="s">
        <v>60</v>
      </c>
      <c r="D26" s="321"/>
      <c r="E26" s="220">
        <f>SUM(SUMIF(phauthuat_BHYT!$H$8:$H$126,"nghĩa",phauthuat_BHYT!$I$8:$I$126),SUMIF(phauthuat_BHYT!$J$8:$J$126,"nghĩa",phauthuat_BHYT!$K$8:$K$126),SUMIF(phauthuat_BHYT!$L$8:$L$126,"nghĩa",phauthuat_BHYT!$M$8:$M$126))</f>
        <v>135000</v>
      </c>
      <c r="F26" s="250"/>
      <c r="G26" s="41"/>
      <c r="H26" s="41"/>
    </row>
    <row r="27" spans="1:8" ht="20.25" customHeight="1">
      <c r="A27" s="107"/>
      <c r="B27" s="118" t="s">
        <v>28</v>
      </c>
      <c r="C27" s="119"/>
      <c r="D27" s="119"/>
      <c r="E27" s="86">
        <f>SUM(E7:E26)</f>
        <v>61297500</v>
      </c>
      <c r="F27" s="120"/>
      <c r="G27" s="49"/>
      <c r="H27" s="43"/>
    </row>
    <row r="28" spans="1:8" ht="12" customHeight="1">
      <c r="A28" s="1"/>
      <c r="B28" s="106"/>
    </row>
    <row r="29" spans="1:8" ht="15.75">
      <c r="D29" s="344" t="s">
        <v>130</v>
      </c>
      <c r="E29" s="344"/>
      <c r="F29" s="344"/>
      <c r="G29" s="344"/>
    </row>
    <row r="30" spans="1:8" ht="18.75">
      <c r="A30" s="435" t="s">
        <v>20</v>
      </c>
      <c r="B30" s="435"/>
      <c r="C30" s="40"/>
      <c r="D30" s="462" t="s">
        <v>21</v>
      </c>
      <c r="E30" s="462"/>
      <c r="F30" s="462"/>
      <c r="G30" s="462"/>
    </row>
    <row r="31" spans="1:8" ht="18.75">
      <c r="A31" s="39"/>
      <c r="B31" s="39"/>
      <c r="C31" s="40"/>
      <c r="D31" s="40"/>
      <c r="E31" s="40"/>
      <c r="F31" s="39"/>
      <c r="G31" s="39"/>
    </row>
    <row r="32" spans="1:8" ht="18.75">
      <c r="A32" s="39"/>
      <c r="B32" s="39"/>
      <c r="C32" s="40"/>
      <c r="D32" s="40"/>
      <c r="E32" s="40"/>
      <c r="F32" s="39"/>
      <c r="G32" s="39"/>
    </row>
    <row r="33" spans="1:7" ht="18.75">
      <c r="A33" s="39"/>
      <c r="B33" s="39"/>
      <c r="C33" s="40"/>
      <c r="D33" s="40"/>
      <c r="E33" s="40"/>
      <c r="F33" s="261"/>
      <c r="G33" s="39"/>
    </row>
    <row r="34" spans="1:7" ht="18.75">
      <c r="A34" s="435" t="s">
        <v>96</v>
      </c>
      <c r="B34" s="435"/>
      <c r="C34" s="40"/>
      <c r="D34" s="345" t="s">
        <v>109</v>
      </c>
      <c r="E34" s="345"/>
      <c r="F34" s="345"/>
      <c r="G34" s="345"/>
    </row>
    <row r="35" spans="1:7" ht="18.75">
      <c r="A35" s="39"/>
      <c r="B35" s="39"/>
      <c r="C35" s="40"/>
      <c r="D35" s="40"/>
      <c r="E35" s="40"/>
      <c r="F35" s="39"/>
      <c r="G35" s="39"/>
    </row>
  </sheetData>
  <mergeCells count="7">
    <mergeCell ref="A4:G4"/>
    <mergeCell ref="A3:F3"/>
    <mergeCell ref="A1:C1"/>
    <mergeCell ref="A2:C2"/>
    <mergeCell ref="A34:B34"/>
    <mergeCell ref="A30:B30"/>
    <mergeCell ref="D30:G30"/>
  </mergeCells>
  <pageMargins left="1.03" right="0.3125" top="0.22916666666666666" bottom="0.5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workbookViewId="0">
      <selection activeCell="N11" sqref="N11"/>
    </sheetView>
  </sheetViews>
  <sheetFormatPr defaultColWidth="9.140625" defaultRowHeight="12.75"/>
  <cols>
    <col min="1" max="1" width="7.140625" style="37" customWidth="1"/>
    <col min="2" max="2" width="23.140625" style="37" customWidth="1"/>
    <col min="3" max="3" width="14.85546875" style="38" customWidth="1"/>
    <col min="4" max="4" width="18" style="38" customWidth="1"/>
    <col min="5" max="5" width="12.7109375" style="38" hidden="1" customWidth="1"/>
    <col min="6" max="6" width="17.42578125" style="288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8" ht="16.5">
      <c r="A1" s="445" t="s">
        <v>0</v>
      </c>
      <c r="B1" s="445"/>
      <c r="C1" s="445"/>
    </row>
    <row r="2" spans="1:8" ht="16.5">
      <c r="A2" s="444" t="s">
        <v>75</v>
      </c>
      <c r="B2" s="444"/>
      <c r="C2" s="444"/>
    </row>
    <row r="3" spans="1:8" ht="20.25">
      <c r="A3" s="435" t="s">
        <v>786</v>
      </c>
      <c r="B3" s="435"/>
      <c r="C3" s="435"/>
      <c r="D3" s="435"/>
      <c r="E3" s="435"/>
      <c r="F3" s="435"/>
      <c r="G3" s="127"/>
      <c r="H3" s="2"/>
    </row>
    <row r="4" spans="1:8" ht="20.25">
      <c r="A4" s="461" t="s">
        <v>92</v>
      </c>
      <c r="B4" s="461"/>
      <c r="C4" s="461"/>
      <c r="D4" s="461"/>
      <c r="E4" s="461"/>
      <c r="F4" s="461"/>
      <c r="G4" s="461"/>
      <c r="H4" s="2"/>
    </row>
    <row r="5" spans="1:8" ht="10.5" customHeight="1">
      <c r="B5" s="39"/>
      <c r="C5" s="40"/>
      <c r="D5" s="40"/>
      <c r="H5" s="2"/>
    </row>
    <row r="6" spans="1:8" ht="21" customHeight="1">
      <c r="A6" s="239" t="s">
        <v>2</v>
      </c>
      <c r="B6" s="240" t="s">
        <v>13</v>
      </c>
      <c r="C6" s="241" t="s">
        <v>85</v>
      </c>
      <c r="D6" s="241" t="s">
        <v>116</v>
      </c>
      <c r="E6" s="241" t="s">
        <v>14</v>
      </c>
      <c r="F6" s="241" t="s">
        <v>14</v>
      </c>
      <c r="G6" s="247" t="s">
        <v>15</v>
      </c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242">
        <f>SUM(SUMIF(phauthuat_BHYT!$H$8:$H$126,"TRIỀU",phauthuat_BHYT!$I$8:$I$126),SUMIF(phauthuat_BHYT!$J$8:$J$126,"TRIỀU",phauthuat_BHYT!$K$8:$K$126),SUMIF(phauthuat_BHYT!$L$8:$L$126,"TRIỀU",phauthuat_BHYT!$M$8:$M$126))</f>
        <v>97500</v>
      </c>
      <c r="F7" s="290">
        <f>E7</f>
        <v>97500</v>
      </c>
      <c r="G7" s="138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242">
        <f>SUM(SUMIF(phauthuat_BHYT!$H$8:$H$126,"TẤN",phauthuat_BHYT!$I$8:$I$126),SUMIF(phauthuat_BHYT!$J$8:$J$126,"TẤN",phauthuat_BHYT!$K$8:$K$126),SUMIF(phauthuat_BHYT!$L$8:$L$126,"TẤN",phauthuat_BHYT!$M$8:$M$126))</f>
        <v>3322500</v>
      </c>
      <c r="F8" s="290">
        <f>E8</f>
        <v>3322500</v>
      </c>
      <c r="G8" s="138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242">
        <f>SUM(SUMIF(phauthuat_BHYT!$H$8:$H$126,"HOAN",phauthuat_BHYT!$I$8:$I$126),SUMIF(phauthuat_BHYT!$J$8:$J$126,"HOAN",phauthuat_BHYT!$K$8:$K$126),SUMIF(phauthuat_BHYT!$L$8:$L$126,"HOAN",phauthuat_BHYT!$M$8:$M$126))</f>
        <v>0</v>
      </c>
      <c r="F9" s="290">
        <f>E9</f>
        <v>0</v>
      </c>
      <c r="G9" s="138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242">
        <f>SUM(SUMIF(phauthuat_BHYT!$H$8:$H$126,"NGUYỆN",phauthuat_BHYT!$I$8:$I$126),SUMIF(phauthuat_BHYT!$J$8:$J$126,"NGUYỆN",phauthuat_BHYT!$K$8:$K$126),SUMIF(phauthuat_BHYT!$L$8:$L$126,"NGUYỆN",phauthuat_BHYT!$M$8:$M$126))</f>
        <v>4905000</v>
      </c>
      <c r="F10" s="290">
        <f>E10</f>
        <v>4905000</v>
      </c>
      <c r="G10" s="243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242">
        <f>SUM(SUMIF(phauthuat_BHYT!$H$8:$H$126,"ĐIỀN",phauthuat_BHYT!$I$8:$I$126),SUMIF(phauthuat_BHYT!$J$8:$J$126,"ĐIỀN",phauthuat_BHYT!$K$8:$K$126),SUMIF(phauthuat_BHYT!$L$8:$L$126,"ĐIỀN",phauthuat_BHYT!$M$8:$M$126))</f>
        <v>3217500</v>
      </c>
      <c r="F11" s="290">
        <f>E11+I18</f>
        <v>12277500</v>
      </c>
      <c r="G11" s="243"/>
      <c r="H11" s="41"/>
    </row>
    <row r="12" spans="1:8" ht="20.25" customHeight="1">
      <c r="A12" s="112">
        <v>6</v>
      </c>
      <c r="B12" s="107" t="s">
        <v>113</v>
      </c>
      <c r="C12" s="108" t="s">
        <v>66</v>
      </c>
      <c r="D12" s="195">
        <v>107868829237</v>
      </c>
      <c r="E12" s="242">
        <f>SUM(SUMIF(phauthuat_BHYT!$H$8:$H$126,"TOẢN",phauthuat_BHYT!$I$8:$I$126),SUMIF(phauthuat_BHYT!$J$8:$J$126,"TOẢN",phauthuat_BHYT!$K$8:$K$126),SUMIF(phauthuat_BHYT!$L$8:$L$126,"TOẢN",phauthuat_BHYT!$M$8:$M$126))</f>
        <v>8265000</v>
      </c>
      <c r="F12" s="290">
        <f>E12</f>
        <v>8265000</v>
      </c>
      <c r="G12" s="243"/>
      <c r="H12" s="41"/>
    </row>
    <row r="13" spans="1:8" ht="16.5">
      <c r="A13" s="112">
        <v>7</v>
      </c>
      <c r="B13" s="107" t="s">
        <v>94</v>
      </c>
      <c r="C13" s="108" t="s">
        <v>66</v>
      </c>
      <c r="D13" s="195">
        <v>105867664283</v>
      </c>
      <c r="E13" s="242">
        <f>SUM(SUMIF(phauthuat_BHYT!$H$8:$H$126,"giàu",phauthuat_BHYT!$I$8:$I$126),SUMIF(phauthuat_BHYT!$J$8:$J$126,"giàu",phauthuat_BHYT!$K$8:$K$126),SUMIF(phauthuat_BHYT!$L$8:$L$126,"giàu",phauthuat_BHYT!$M$8:$M$126))</f>
        <v>7395000</v>
      </c>
      <c r="F13" s="290">
        <f>E13+I24</f>
        <v>15660000</v>
      </c>
      <c r="G13" s="243"/>
      <c r="H13" s="41"/>
    </row>
    <row r="14" spans="1:8" ht="16.5">
      <c r="A14" s="112">
        <v>8</v>
      </c>
      <c r="B14" s="107" t="s">
        <v>84</v>
      </c>
      <c r="C14" s="249" t="s">
        <v>26</v>
      </c>
      <c r="D14" s="320" t="s">
        <v>128</v>
      </c>
      <c r="E14" s="242"/>
      <c r="F14" s="290">
        <f>'lanh tien PT_BHYT'!E14</f>
        <v>4065000</v>
      </c>
      <c r="G14" s="243"/>
      <c r="H14" s="41"/>
    </row>
    <row r="15" spans="1:8" ht="16.5">
      <c r="A15" s="112">
        <v>9</v>
      </c>
      <c r="B15" s="107" t="s">
        <v>68</v>
      </c>
      <c r="C15" s="249" t="s">
        <v>26</v>
      </c>
      <c r="D15" s="320" t="s">
        <v>169</v>
      </c>
      <c r="E15" s="242"/>
      <c r="F15" s="290">
        <f>'lanh tien PT_BHYT'!E15</f>
        <v>0</v>
      </c>
      <c r="G15" s="243"/>
      <c r="H15" s="41"/>
    </row>
    <row r="16" spans="1:8" ht="16.5">
      <c r="A16" s="112">
        <v>10</v>
      </c>
      <c r="B16" s="107" t="s">
        <v>131</v>
      </c>
      <c r="C16" s="249" t="s">
        <v>26</v>
      </c>
      <c r="D16" s="320" t="s">
        <v>134</v>
      </c>
      <c r="E16" s="242"/>
      <c r="F16" s="290">
        <f>'lanh tien PT_BHYT'!E16</f>
        <v>9255000</v>
      </c>
      <c r="G16" s="243"/>
      <c r="H16" s="41"/>
    </row>
    <row r="17" spans="1:9" ht="16.5">
      <c r="A17" s="112">
        <v>11</v>
      </c>
      <c r="B17" s="107" t="s">
        <v>132</v>
      </c>
      <c r="C17" s="249" t="s">
        <v>26</v>
      </c>
      <c r="D17" s="320" t="s">
        <v>263</v>
      </c>
      <c r="E17" s="242"/>
      <c r="F17" s="290">
        <f>'lanh tien PT_BHYT'!E17</f>
        <v>3450000</v>
      </c>
      <c r="G17" s="243"/>
      <c r="H17" s="41"/>
    </row>
    <row r="18" spans="1:9" s="368" customFormat="1" ht="16.5" hidden="1">
      <c r="A18" s="112">
        <v>14</v>
      </c>
      <c r="B18" s="360" t="s">
        <v>135</v>
      </c>
      <c r="C18" s="361" t="s">
        <v>60</v>
      </c>
      <c r="D18" s="362"/>
      <c r="E18" s="363"/>
      <c r="F18" s="364"/>
      <c r="G18" s="365"/>
      <c r="H18" s="366" t="s">
        <v>121</v>
      </c>
      <c r="I18" s="367">
        <f>SUM('lanh tien PT_BHYT'!E18:E20)</f>
        <v>9060000</v>
      </c>
    </row>
    <row r="19" spans="1:9" s="368" customFormat="1" ht="16.5" hidden="1">
      <c r="A19" s="112">
        <v>15</v>
      </c>
      <c r="B19" s="360" t="s">
        <v>136</v>
      </c>
      <c r="C19" s="361" t="s">
        <v>60</v>
      </c>
      <c r="D19" s="362"/>
      <c r="E19" s="363"/>
      <c r="F19" s="364"/>
      <c r="G19" s="365"/>
      <c r="H19" s="366"/>
      <c r="I19" s="367"/>
    </row>
    <row r="20" spans="1:9" s="368" customFormat="1" ht="16.5" hidden="1">
      <c r="A20" s="112">
        <v>16</v>
      </c>
      <c r="B20" s="360" t="s">
        <v>137</v>
      </c>
      <c r="C20" s="361" t="s">
        <v>60</v>
      </c>
      <c r="D20" s="362"/>
      <c r="E20" s="363"/>
      <c r="F20" s="364"/>
      <c r="G20" s="365"/>
      <c r="H20" s="366"/>
      <c r="I20" s="367"/>
    </row>
    <row r="21" spans="1:9" s="378" customFormat="1" ht="16.5" hidden="1">
      <c r="A21" s="112">
        <v>17</v>
      </c>
      <c r="B21" s="107" t="s">
        <v>138</v>
      </c>
      <c r="C21" s="371" t="s">
        <v>60</v>
      </c>
      <c r="D21" s="372"/>
      <c r="E21" s="373"/>
      <c r="F21" s="374"/>
      <c r="G21" s="375"/>
      <c r="I21" s="377"/>
    </row>
    <row r="22" spans="1:9" s="378" customFormat="1" ht="16.5" hidden="1">
      <c r="A22" s="112">
        <v>18</v>
      </c>
      <c r="B22" s="107" t="s">
        <v>139</v>
      </c>
      <c r="C22" s="371" t="s">
        <v>60</v>
      </c>
      <c r="D22" s="372"/>
      <c r="E22" s="373"/>
      <c r="F22" s="374"/>
      <c r="G22" s="375"/>
      <c r="H22" s="376"/>
      <c r="I22" s="377"/>
    </row>
    <row r="23" spans="1:9" s="378" customFormat="1" ht="16.5" hidden="1">
      <c r="A23" s="112">
        <v>19</v>
      </c>
      <c r="B23" s="107" t="s">
        <v>140</v>
      </c>
      <c r="C23" s="371" t="s">
        <v>60</v>
      </c>
      <c r="D23" s="372"/>
      <c r="E23" s="373"/>
      <c r="F23" s="374"/>
      <c r="G23" s="375"/>
      <c r="H23" s="376"/>
      <c r="I23" s="377"/>
    </row>
    <row r="24" spans="1:9" s="378" customFormat="1" ht="16.5" hidden="1">
      <c r="A24" s="112">
        <v>21</v>
      </c>
      <c r="B24" s="107" t="s">
        <v>357</v>
      </c>
      <c r="C24" s="371" t="s">
        <v>60</v>
      </c>
      <c r="D24" s="372"/>
      <c r="E24" s="373"/>
      <c r="F24" s="374"/>
      <c r="G24" s="375"/>
      <c r="H24" s="369" t="s">
        <v>126</v>
      </c>
      <c r="I24" s="370">
        <f>SUM('lanh tien PT_BHYT'!E21:E26)</f>
        <v>8265000</v>
      </c>
    </row>
    <row r="25" spans="1:9" ht="20.25" customHeight="1">
      <c r="A25" s="229"/>
      <c r="B25" s="244" t="s">
        <v>28</v>
      </c>
      <c r="C25" s="245"/>
      <c r="D25" s="245"/>
      <c r="E25" s="242">
        <f>SUM(E7:E16)</f>
        <v>27202500</v>
      </c>
      <c r="F25" s="287">
        <f>SUM(F7:F24)</f>
        <v>61297500</v>
      </c>
      <c r="G25" s="246"/>
      <c r="H25" s="106"/>
    </row>
    <row r="26" spans="1:9" ht="12" customHeight="1">
      <c r="A26" s="1"/>
      <c r="B26" s="106"/>
      <c r="H26" s="41"/>
    </row>
    <row r="27" spans="1:9" ht="15.75">
      <c r="D27" s="446" t="s">
        <v>787</v>
      </c>
      <c r="E27" s="446"/>
      <c r="F27" s="446"/>
      <c r="G27" s="446"/>
    </row>
    <row r="28" spans="1:9" ht="18.75">
      <c r="A28" s="435" t="s">
        <v>20</v>
      </c>
      <c r="B28" s="435"/>
      <c r="C28" s="40"/>
      <c r="D28" s="462" t="s">
        <v>21</v>
      </c>
      <c r="E28" s="462"/>
      <c r="F28" s="462"/>
      <c r="G28" s="462"/>
    </row>
    <row r="29" spans="1:9" ht="18.75">
      <c r="A29" s="39"/>
      <c r="B29" s="39"/>
      <c r="C29" s="40"/>
      <c r="D29" s="40"/>
      <c r="E29" s="40"/>
      <c r="F29" s="267"/>
      <c r="G29" s="39"/>
    </row>
    <row r="30" spans="1:9" ht="18.75">
      <c r="A30" s="39"/>
      <c r="B30" s="39"/>
      <c r="C30" s="40"/>
      <c r="D30" s="40"/>
      <c r="E30" s="40"/>
      <c r="F30" s="267"/>
      <c r="G30" s="39"/>
    </row>
    <row r="31" spans="1:9" ht="18.75">
      <c r="A31" s="39"/>
      <c r="B31" s="39"/>
      <c r="C31" s="40"/>
      <c r="D31" s="40"/>
      <c r="E31" s="40"/>
      <c r="F31" s="289"/>
      <c r="G31" s="39"/>
    </row>
    <row r="32" spans="1:9" ht="24.75" customHeight="1">
      <c r="A32" s="435" t="s">
        <v>96</v>
      </c>
      <c r="B32" s="435"/>
      <c r="C32" s="40"/>
      <c r="D32" s="462" t="s">
        <v>270</v>
      </c>
      <c r="E32" s="462"/>
      <c r="F32" s="462"/>
      <c r="G32" s="462"/>
    </row>
  </sheetData>
  <mergeCells count="9">
    <mergeCell ref="A32:B32"/>
    <mergeCell ref="D32:G32"/>
    <mergeCell ref="A28:B28"/>
    <mergeCell ref="D28:G28"/>
    <mergeCell ref="A1:C1"/>
    <mergeCell ref="A2:C2"/>
    <mergeCell ref="A3:F3"/>
    <mergeCell ref="A4:G4"/>
    <mergeCell ref="D27:G27"/>
  </mergeCells>
  <pageMargins left="0.56000000000000005" right="0.1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856"/>
  <sheetViews>
    <sheetView topLeftCell="B562" zoomScale="110" zoomScaleNormal="110" workbookViewId="0">
      <selection activeCell="I575" sqref="I575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59" customWidth="1"/>
    <col min="4" max="4" width="30.5703125" style="99" customWidth="1"/>
    <col min="5" max="5" width="10.85546875" style="248" customWidth="1"/>
    <col min="6" max="6" width="46" style="148" customWidth="1"/>
    <col min="7" max="7" width="9" style="159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356"/>
      <c r="D1" s="91"/>
      <c r="E1" s="347"/>
      <c r="F1" s="318"/>
      <c r="G1" s="254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10" t="s">
        <v>86</v>
      </c>
      <c r="C2" s="357"/>
      <c r="D2" s="110"/>
      <c r="E2" s="352"/>
      <c r="G2" s="254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465" t="s">
        <v>50</v>
      </c>
      <c r="C3" s="465"/>
      <c r="D3" s="465"/>
      <c r="E3" s="465"/>
      <c r="F3" s="465"/>
      <c r="G3" s="465"/>
      <c r="H3" s="465"/>
      <c r="I3" s="465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466" t="s">
        <v>360</v>
      </c>
      <c r="C4" s="466"/>
      <c r="D4" s="466"/>
      <c r="E4" s="466"/>
      <c r="F4" s="466"/>
      <c r="G4" s="466"/>
      <c r="H4" s="466"/>
      <c r="I4" s="466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9" customFormat="1" ht="18.75" customHeight="1">
      <c r="B5" s="464" t="s">
        <v>2</v>
      </c>
      <c r="C5" s="464" t="s">
        <v>104</v>
      </c>
      <c r="D5" s="464" t="s">
        <v>48</v>
      </c>
      <c r="E5" s="464" t="s">
        <v>49</v>
      </c>
      <c r="F5" s="463" t="s">
        <v>103</v>
      </c>
      <c r="G5" s="463" t="s">
        <v>53</v>
      </c>
      <c r="H5" s="463" t="s">
        <v>52</v>
      </c>
      <c r="I5" s="463" t="s">
        <v>51</v>
      </c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37"/>
      <c r="BV5" s="237"/>
      <c r="BW5" s="237"/>
      <c r="BX5" s="237"/>
      <c r="BY5" s="237"/>
      <c r="BZ5" s="237"/>
      <c r="CA5" s="237"/>
      <c r="CB5" s="237"/>
      <c r="CC5" s="237"/>
      <c r="CD5" s="237"/>
      <c r="CE5" s="237"/>
      <c r="CF5" s="237"/>
      <c r="CG5" s="237"/>
      <c r="CH5" s="237"/>
      <c r="CI5" s="237"/>
      <c r="CJ5" s="237"/>
      <c r="CK5" s="237"/>
      <c r="CL5" s="237"/>
      <c r="CM5" s="237"/>
      <c r="CN5" s="237"/>
      <c r="CO5" s="237"/>
      <c r="CP5" s="237"/>
      <c r="CQ5" s="237"/>
      <c r="CR5" s="237"/>
      <c r="CS5" s="237"/>
      <c r="CT5" s="237"/>
      <c r="CU5" s="237"/>
      <c r="CV5" s="237"/>
      <c r="CW5" s="237"/>
      <c r="CX5" s="237"/>
      <c r="CY5" s="237"/>
      <c r="CZ5" s="237"/>
      <c r="DA5" s="237"/>
      <c r="DB5" s="237"/>
      <c r="DC5" s="237"/>
      <c r="DD5" s="237"/>
      <c r="DE5" s="237"/>
      <c r="DF5" s="237"/>
      <c r="DG5" s="237"/>
      <c r="DH5" s="237"/>
      <c r="DI5" s="237"/>
      <c r="DJ5" s="237"/>
      <c r="DK5" s="237"/>
      <c r="DL5" s="237"/>
      <c r="DM5" s="237"/>
      <c r="DN5" s="237"/>
      <c r="DO5" s="237"/>
      <c r="DP5" s="237"/>
      <c r="DQ5" s="237"/>
      <c r="DR5" s="237"/>
      <c r="DS5" s="237"/>
      <c r="DT5" s="237"/>
      <c r="DU5" s="237"/>
      <c r="DV5" s="237"/>
      <c r="DW5" s="237"/>
      <c r="DX5" s="237"/>
      <c r="DY5" s="237"/>
      <c r="DZ5" s="237"/>
      <c r="EA5" s="237"/>
      <c r="EB5" s="237"/>
      <c r="EC5" s="237"/>
      <c r="ED5" s="237"/>
      <c r="EE5" s="237"/>
      <c r="EF5" s="237"/>
      <c r="EG5" s="237"/>
      <c r="EH5" s="237"/>
      <c r="EI5" s="237"/>
      <c r="EJ5" s="237"/>
      <c r="EK5" s="237"/>
      <c r="EL5" s="237"/>
      <c r="EM5" s="237"/>
      <c r="EN5" s="237"/>
      <c r="EO5" s="237"/>
      <c r="EP5" s="237"/>
      <c r="EQ5" s="237"/>
      <c r="ER5" s="237"/>
      <c r="ES5" s="237"/>
      <c r="ET5" s="237"/>
      <c r="EU5" s="237"/>
      <c r="EV5" s="237"/>
      <c r="EW5" s="237"/>
      <c r="EX5" s="237"/>
      <c r="EY5" s="237"/>
      <c r="EZ5" s="237"/>
      <c r="FA5" s="237"/>
      <c r="FB5" s="237"/>
      <c r="FC5" s="237"/>
      <c r="FD5" s="237"/>
      <c r="FE5" s="237"/>
      <c r="FF5" s="237"/>
      <c r="FG5" s="237"/>
      <c r="FH5" s="237"/>
      <c r="FI5" s="237"/>
      <c r="FJ5" s="237"/>
      <c r="FK5" s="237"/>
      <c r="FL5" s="237"/>
      <c r="FM5" s="237"/>
      <c r="FN5" s="237"/>
      <c r="FO5" s="237"/>
      <c r="FP5" s="237"/>
      <c r="FQ5" s="237"/>
      <c r="FR5" s="237"/>
      <c r="FS5" s="237"/>
      <c r="FT5" s="237"/>
      <c r="FU5" s="237"/>
      <c r="FV5" s="237"/>
      <c r="FW5" s="237"/>
      <c r="FX5" s="237"/>
      <c r="FY5" s="237"/>
      <c r="FZ5" s="237"/>
      <c r="GA5" s="237"/>
      <c r="GB5" s="237"/>
      <c r="GC5" s="237"/>
      <c r="GD5" s="237"/>
      <c r="GE5" s="237"/>
    </row>
    <row r="6" spans="2:187" s="149" customFormat="1" ht="16.5" customHeight="1">
      <c r="B6" s="464"/>
      <c r="C6" s="464"/>
      <c r="D6" s="464"/>
      <c r="E6" s="464"/>
      <c r="F6" s="463"/>
      <c r="G6" s="463"/>
      <c r="H6" s="463"/>
      <c r="I6" s="463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7"/>
      <c r="DP6" s="237"/>
      <c r="DQ6" s="237"/>
      <c r="DR6" s="237"/>
      <c r="DS6" s="237"/>
      <c r="DT6" s="237"/>
      <c r="DU6" s="237"/>
      <c r="DV6" s="237"/>
      <c r="DW6" s="237"/>
      <c r="DX6" s="237"/>
      <c r="DY6" s="237"/>
      <c r="DZ6" s="237"/>
      <c r="EA6" s="237"/>
      <c r="EB6" s="237"/>
      <c r="EC6" s="237"/>
      <c r="ED6" s="237"/>
      <c r="EE6" s="237"/>
      <c r="EF6" s="237"/>
      <c r="EG6" s="237"/>
      <c r="EH6" s="237"/>
      <c r="EI6" s="237"/>
      <c r="EJ6" s="237"/>
      <c r="EK6" s="237"/>
      <c r="EL6" s="237"/>
      <c r="EM6" s="237"/>
      <c r="EN6" s="237"/>
      <c r="EO6" s="237"/>
      <c r="EP6" s="237"/>
      <c r="EQ6" s="237"/>
      <c r="ER6" s="237"/>
      <c r="ES6" s="237"/>
      <c r="ET6" s="237"/>
      <c r="EU6" s="237"/>
      <c r="EV6" s="237"/>
      <c r="EW6" s="237"/>
      <c r="EX6" s="237"/>
      <c r="EY6" s="237"/>
      <c r="EZ6" s="237"/>
      <c r="FA6" s="237"/>
      <c r="FB6" s="237"/>
      <c r="FC6" s="237"/>
      <c r="FD6" s="237"/>
      <c r="FE6" s="237"/>
      <c r="FF6" s="237"/>
      <c r="FG6" s="237"/>
      <c r="FH6" s="237"/>
      <c r="FI6" s="237"/>
      <c r="FJ6" s="237"/>
      <c r="FK6" s="237"/>
      <c r="FL6" s="237"/>
      <c r="FM6" s="237"/>
      <c r="FN6" s="237"/>
      <c r="FO6" s="237"/>
      <c r="FP6" s="237"/>
      <c r="FQ6" s="237"/>
      <c r="FR6" s="237"/>
      <c r="FS6" s="237"/>
      <c r="FT6" s="237"/>
      <c r="FU6" s="237"/>
      <c r="FV6" s="237"/>
      <c r="FW6" s="237"/>
      <c r="FX6" s="237"/>
      <c r="FY6" s="237"/>
      <c r="FZ6" s="237"/>
      <c r="GA6" s="237"/>
      <c r="GB6" s="237"/>
      <c r="GC6" s="237"/>
      <c r="GD6" s="237"/>
      <c r="GE6" s="237"/>
    </row>
    <row r="7" spans="2:187" s="299" customFormat="1">
      <c r="B7" s="291">
        <v>1</v>
      </c>
      <c r="C7" s="413" t="s">
        <v>430</v>
      </c>
      <c r="D7" s="413" t="s">
        <v>321</v>
      </c>
      <c r="E7" s="413" t="s">
        <v>237</v>
      </c>
      <c r="F7" s="413" t="s">
        <v>180</v>
      </c>
      <c r="G7" s="418">
        <v>6</v>
      </c>
      <c r="H7" s="415">
        <v>600000</v>
      </c>
      <c r="I7" s="292">
        <f>H7*25%*75%</f>
        <v>112500</v>
      </c>
      <c r="J7" s="238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/>
      <c r="CQ7" s="149"/>
      <c r="CR7" s="149"/>
      <c r="CS7" s="149"/>
      <c r="CT7" s="149"/>
      <c r="CU7" s="149"/>
      <c r="CV7" s="149"/>
      <c r="CW7" s="149"/>
      <c r="CX7" s="149"/>
      <c r="CY7" s="149"/>
      <c r="CZ7" s="149"/>
      <c r="DA7" s="149"/>
      <c r="DB7" s="149"/>
      <c r="DC7" s="149"/>
      <c r="DD7" s="149"/>
      <c r="DE7" s="149"/>
      <c r="DF7" s="149"/>
      <c r="DG7" s="149"/>
      <c r="DH7" s="149"/>
      <c r="DI7" s="149"/>
      <c r="DJ7" s="149"/>
      <c r="DK7" s="149"/>
      <c r="DL7" s="149"/>
      <c r="DM7" s="149"/>
      <c r="DN7" s="149"/>
      <c r="DO7" s="149"/>
      <c r="DP7" s="149"/>
      <c r="DQ7" s="149"/>
      <c r="DR7" s="149"/>
      <c r="DS7" s="149"/>
      <c r="DT7" s="149"/>
      <c r="DU7" s="149"/>
      <c r="DV7" s="149"/>
      <c r="DW7" s="149"/>
      <c r="DX7" s="149"/>
      <c r="DY7" s="149"/>
      <c r="DZ7" s="149"/>
      <c r="EA7" s="149"/>
      <c r="EB7" s="149"/>
      <c r="EC7" s="149"/>
      <c r="ED7" s="149"/>
      <c r="EE7" s="149"/>
      <c r="EF7" s="149"/>
      <c r="EG7" s="149"/>
      <c r="EH7" s="149"/>
      <c r="EI7" s="149"/>
      <c r="EJ7" s="149"/>
      <c r="EK7" s="149"/>
      <c r="EL7" s="149"/>
      <c r="EM7" s="149"/>
      <c r="EN7" s="149"/>
      <c r="EO7" s="149"/>
      <c r="EP7" s="149"/>
      <c r="EQ7" s="149"/>
      <c r="ER7" s="149"/>
      <c r="ES7" s="149"/>
      <c r="ET7" s="149"/>
      <c r="EU7" s="149"/>
      <c r="EV7" s="149"/>
      <c r="EW7" s="149"/>
      <c r="EX7" s="149"/>
      <c r="EY7" s="149"/>
      <c r="EZ7" s="149"/>
      <c r="FA7" s="149"/>
      <c r="FB7" s="149"/>
      <c r="FC7" s="149"/>
      <c r="FD7" s="149"/>
      <c r="FE7" s="149"/>
      <c r="FF7" s="149"/>
      <c r="FG7" s="149"/>
      <c r="FH7" s="149"/>
      <c r="FI7" s="149"/>
      <c r="FJ7" s="149"/>
      <c r="FK7" s="149"/>
      <c r="FL7" s="149"/>
      <c r="FM7" s="149"/>
      <c r="FN7" s="149"/>
      <c r="FO7" s="149"/>
      <c r="FP7" s="149"/>
      <c r="FQ7" s="149"/>
      <c r="FR7" s="149"/>
      <c r="FS7" s="149"/>
      <c r="FT7" s="149"/>
      <c r="FU7" s="149"/>
      <c r="FV7" s="149"/>
      <c r="FW7" s="149"/>
      <c r="FX7" s="149"/>
      <c r="FY7" s="149"/>
      <c r="FZ7" s="149"/>
      <c r="GA7" s="149"/>
      <c r="GB7" s="149"/>
      <c r="GC7" s="149"/>
      <c r="GD7" s="149"/>
      <c r="GE7" s="149"/>
    </row>
    <row r="8" spans="2:187" s="299" customFormat="1">
      <c r="B8" s="291">
        <v>2</v>
      </c>
      <c r="C8" s="413" t="s">
        <v>555</v>
      </c>
      <c r="D8" s="413" t="s">
        <v>609</v>
      </c>
      <c r="E8" s="413" t="s">
        <v>183</v>
      </c>
      <c r="F8" s="413" t="s">
        <v>177</v>
      </c>
      <c r="G8" s="418">
        <v>6</v>
      </c>
      <c r="H8" s="415">
        <v>600000</v>
      </c>
      <c r="I8" s="292">
        <f t="shared" ref="I8:I71" si="0">H8*25%*75%</f>
        <v>112500</v>
      </c>
      <c r="J8" s="238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</row>
    <row r="9" spans="2:187" s="299" customFormat="1">
      <c r="B9" s="291">
        <v>3</v>
      </c>
      <c r="C9" s="413" t="s">
        <v>390</v>
      </c>
      <c r="D9" s="413" t="s">
        <v>302</v>
      </c>
      <c r="E9" s="413" t="s">
        <v>179</v>
      </c>
      <c r="F9" s="413" t="s">
        <v>189</v>
      </c>
      <c r="G9" s="418">
        <v>1</v>
      </c>
      <c r="H9" s="415">
        <v>40300</v>
      </c>
      <c r="I9" s="292">
        <f t="shared" si="0"/>
        <v>7556.25</v>
      </c>
      <c r="J9" s="326"/>
    </row>
    <row r="10" spans="2:187" s="299" customFormat="1">
      <c r="B10" s="291">
        <v>4</v>
      </c>
      <c r="C10" s="413" t="s">
        <v>430</v>
      </c>
      <c r="D10" s="413" t="s">
        <v>610</v>
      </c>
      <c r="E10" s="413" t="s">
        <v>211</v>
      </c>
      <c r="F10" s="413" t="s">
        <v>182</v>
      </c>
      <c r="G10" s="418">
        <v>1</v>
      </c>
      <c r="H10" s="415">
        <v>40300</v>
      </c>
      <c r="I10" s="292">
        <f t="shared" si="0"/>
        <v>7556.25</v>
      </c>
      <c r="J10" s="238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  <c r="DB10" s="149"/>
      <c r="DC10" s="149"/>
      <c r="DD10" s="149"/>
      <c r="DE10" s="149"/>
      <c r="DF10" s="149"/>
      <c r="DG10" s="149"/>
      <c r="DH10" s="149"/>
      <c r="DI10" s="149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9"/>
      <c r="EC10" s="149"/>
      <c r="ED10" s="149"/>
      <c r="EE10" s="149"/>
      <c r="EF10" s="149"/>
      <c r="EG10" s="149"/>
      <c r="EH10" s="149"/>
      <c r="EI10" s="149"/>
      <c r="EJ10" s="149"/>
      <c r="EK10" s="149"/>
      <c r="EL10" s="149"/>
      <c r="EM10" s="149"/>
      <c r="EN10" s="149"/>
      <c r="EO10" s="149"/>
      <c r="EP10" s="149"/>
      <c r="EQ10" s="149"/>
      <c r="ER10" s="149"/>
      <c r="ES10" s="149"/>
      <c r="ET10" s="149"/>
      <c r="EU10" s="149"/>
      <c r="EV10" s="149"/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49"/>
      <c r="FH10" s="149"/>
      <c r="FI10" s="149"/>
      <c r="FJ10" s="149"/>
      <c r="FK10" s="149"/>
      <c r="FL10" s="149"/>
      <c r="FM10" s="149"/>
      <c r="FN10" s="149"/>
      <c r="FO10" s="149"/>
      <c r="FP10" s="149"/>
      <c r="FQ10" s="149"/>
      <c r="FR10" s="149"/>
      <c r="FS10" s="149"/>
      <c r="FT10" s="149"/>
      <c r="FU10" s="149"/>
      <c r="FV10" s="149"/>
      <c r="FW10" s="149"/>
      <c r="FX10" s="149"/>
      <c r="FY10" s="149"/>
      <c r="FZ10" s="149"/>
      <c r="GA10" s="149"/>
      <c r="GB10" s="149"/>
      <c r="GC10" s="149"/>
      <c r="GD10" s="149"/>
      <c r="GE10" s="149"/>
    </row>
    <row r="11" spans="2:187" s="299" customFormat="1">
      <c r="B11" s="291">
        <v>5</v>
      </c>
      <c r="C11" s="413" t="s">
        <v>512</v>
      </c>
      <c r="D11" s="413" t="s">
        <v>611</v>
      </c>
      <c r="E11" s="413" t="s">
        <v>206</v>
      </c>
      <c r="F11" s="413" t="s">
        <v>189</v>
      </c>
      <c r="G11" s="418">
        <v>1</v>
      </c>
      <c r="H11" s="415">
        <v>100000</v>
      </c>
      <c r="I11" s="292">
        <f t="shared" si="0"/>
        <v>18750</v>
      </c>
      <c r="J11" s="238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  <c r="FX11" s="149"/>
      <c r="FY11" s="149"/>
      <c r="FZ11" s="149"/>
      <c r="GA11" s="149"/>
      <c r="GB11" s="149"/>
      <c r="GC11" s="149"/>
      <c r="GD11" s="149"/>
      <c r="GE11" s="149"/>
    </row>
    <row r="12" spans="2:187" s="299" customFormat="1">
      <c r="B12" s="291">
        <v>6</v>
      </c>
      <c r="C12" s="413" t="s">
        <v>542</v>
      </c>
      <c r="D12" s="413" t="s">
        <v>612</v>
      </c>
      <c r="E12" s="413" t="s">
        <v>217</v>
      </c>
      <c r="F12" s="413" t="s">
        <v>182</v>
      </c>
      <c r="G12" s="418">
        <v>1</v>
      </c>
      <c r="H12" s="415">
        <v>100000</v>
      </c>
      <c r="I12" s="292">
        <f t="shared" si="0"/>
        <v>18750</v>
      </c>
      <c r="J12" s="238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</row>
    <row r="13" spans="2:187" s="299" customFormat="1">
      <c r="B13" s="291">
        <v>7</v>
      </c>
      <c r="C13" s="413" t="s">
        <v>577</v>
      </c>
      <c r="D13" s="413" t="s">
        <v>323</v>
      </c>
      <c r="E13" s="413" t="s">
        <v>199</v>
      </c>
      <c r="F13" s="413" t="s">
        <v>180</v>
      </c>
      <c r="G13" s="418">
        <v>6</v>
      </c>
      <c r="H13" s="415">
        <v>600000</v>
      </c>
      <c r="I13" s="292">
        <f t="shared" si="0"/>
        <v>112500</v>
      </c>
      <c r="J13" s="238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</row>
    <row r="14" spans="2:187" s="299" customFormat="1">
      <c r="B14" s="291">
        <v>8</v>
      </c>
      <c r="C14" s="413" t="s">
        <v>555</v>
      </c>
      <c r="D14" s="413" t="s">
        <v>613</v>
      </c>
      <c r="E14" s="413" t="s">
        <v>199</v>
      </c>
      <c r="F14" s="413" t="s">
        <v>177</v>
      </c>
      <c r="G14" s="418">
        <v>1</v>
      </c>
      <c r="H14" s="415">
        <v>100000</v>
      </c>
      <c r="I14" s="292">
        <f t="shared" si="0"/>
        <v>18750</v>
      </c>
      <c r="J14" s="238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</row>
    <row r="15" spans="2:187" s="299" customFormat="1">
      <c r="B15" s="291">
        <v>9</v>
      </c>
      <c r="C15" s="413" t="s">
        <v>553</v>
      </c>
      <c r="D15" s="413" t="s">
        <v>614</v>
      </c>
      <c r="E15" s="413" t="s">
        <v>217</v>
      </c>
      <c r="F15" s="413" t="s">
        <v>189</v>
      </c>
      <c r="G15" s="418">
        <v>1</v>
      </c>
      <c r="H15" s="415">
        <v>100000</v>
      </c>
      <c r="I15" s="292">
        <f t="shared" si="0"/>
        <v>18750</v>
      </c>
      <c r="J15" s="238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</row>
    <row r="16" spans="2:187" s="299" customFormat="1">
      <c r="B16" s="291">
        <v>10</v>
      </c>
      <c r="C16" s="413" t="s">
        <v>582</v>
      </c>
      <c r="D16" s="413" t="s">
        <v>615</v>
      </c>
      <c r="E16" s="413" t="s">
        <v>231</v>
      </c>
      <c r="F16" s="413" t="s">
        <v>180</v>
      </c>
      <c r="G16" s="418">
        <v>3</v>
      </c>
      <c r="H16" s="415">
        <v>300000</v>
      </c>
      <c r="I16" s="292">
        <f t="shared" si="0"/>
        <v>56250</v>
      </c>
      <c r="J16" s="238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</row>
    <row r="17" spans="2:187" s="299" customFormat="1">
      <c r="B17" s="291">
        <v>11</v>
      </c>
      <c r="C17" s="413" t="s">
        <v>577</v>
      </c>
      <c r="D17" s="413" t="s">
        <v>616</v>
      </c>
      <c r="E17" s="413" t="s">
        <v>617</v>
      </c>
      <c r="F17" s="413" t="s">
        <v>308</v>
      </c>
      <c r="G17" s="418">
        <v>1</v>
      </c>
      <c r="H17" s="415">
        <v>101800</v>
      </c>
      <c r="I17" s="292">
        <f t="shared" si="0"/>
        <v>19087.5</v>
      </c>
      <c r="J17" s="238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</row>
    <row r="18" spans="2:187" s="299" customFormat="1">
      <c r="B18" s="291">
        <v>12</v>
      </c>
      <c r="C18" s="413" t="s">
        <v>512</v>
      </c>
      <c r="D18" s="413" t="s">
        <v>618</v>
      </c>
      <c r="E18" s="413" t="s">
        <v>237</v>
      </c>
      <c r="F18" s="413" t="s">
        <v>180</v>
      </c>
      <c r="G18" s="418">
        <v>3</v>
      </c>
      <c r="H18" s="415">
        <v>300000</v>
      </c>
      <c r="I18" s="292">
        <f t="shared" si="0"/>
        <v>56250</v>
      </c>
      <c r="J18" s="238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</row>
    <row r="19" spans="2:187" s="299" customFormat="1">
      <c r="B19" s="291">
        <v>13</v>
      </c>
      <c r="C19" s="413" t="s">
        <v>571</v>
      </c>
      <c r="D19" s="413" t="s">
        <v>298</v>
      </c>
      <c r="E19" s="413" t="s">
        <v>193</v>
      </c>
      <c r="F19" s="413" t="s">
        <v>177</v>
      </c>
      <c r="G19" s="418">
        <v>5</v>
      </c>
      <c r="H19" s="415">
        <v>500000</v>
      </c>
      <c r="I19" s="292">
        <f t="shared" si="0"/>
        <v>93750</v>
      </c>
      <c r="J19" s="238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</row>
    <row r="20" spans="2:187" s="299" customFormat="1">
      <c r="B20" s="291">
        <v>14</v>
      </c>
      <c r="C20" s="413" t="s">
        <v>606</v>
      </c>
      <c r="D20" s="413" t="s">
        <v>607</v>
      </c>
      <c r="E20" s="413" t="s">
        <v>230</v>
      </c>
      <c r="F20" s="413" t="s">
        <v>177</v>
      </c>
      <c r="G20" s="418">
        <v>1</v>
      </c>
      <c r="H20" s="415">
        <v>100000</v>
      </c>
      <c r="I20" s="292">
        <f t="shared" si="0"/>
        <v>18750</v>
      </c>
      <c r="J20" s="238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</row>
    <row r="21" spans="2:187" s="299" customFormat="1">
      <c r="B21" s="291">
        <v>15</v>
      </c>
      <c r="C21" s="413" t="s">
        <v>430</v>
      </c>
      <c r="D21" s="413" t="s">
        <v>607</v>
      </c>
      <c r="E21" s="413" t="s">
        <v>230</v>
      </c>
      <c r="F21" s="413" t="s">
        <v>177</v>
      </c>
      <c r="G21" s="418">
        <v>6</v>
      </c>
      <c r="H21" s="415">
        <v>600000</v>
      </c>
      <c r="I21" s="292">
        <f t="shared" si="0"/>
        <v>112500</v>
      </c>
      <c r="J21" s="238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</row>
    <row r="22" spans="2:187" s="299" customFormat="1">
      <c r="B22" s="291">
        <v>16</v>
      </c>
      <c r="C22" s="413" t="s">
        <v>551</v>
      </c>
      <c r="D22" s="413" t="s">
        <v>619</v>
      </c>
      <c r="E22" s="413" t="s">
        <v>240</v>
      </c>
      <c r="F22" s="413" t="s">
        <v>180</v>
      </c>
      <c r="G22" s="418">
        <v>6</v>
      </c>
      <c r="H22" s="415">
        <v>600000</v>
      </c>
      <c r="I22" s="292">
        <f t="shared" si="0"/>
        <v>112500</v>
      </c>
      <c r="J22" s="326"/>
    </row>
    <row r="23" spans="2:187" s="299" customFormat="1">
      <c r="B23" s="291">
        <v>17</v>
      </c>
      <c r="C23" s="413" t="s">
        <v>582</v>
      </c>
      <c r="D23" s="413" t="s">
        <v>620</v>
      </c>
      <c r="E23" s="413" t="s">
        <v>231</v>
      </c>
      <c r="F23" s="413" t="s">
        <v>189</v>
      </c>
      <c r="G23" s="418">
        <v>1</v>
      </c>
      <c r="H23" s="415">
        <v>100000</v>
      </c>
      <c r="I23" s="292">
        <f t="shared" si="0"/>
        <v>18750</v>
      </c>
      <c r="J23" s="326"/>
    </row>
    <row r="24" spans="2:187" s="299" customFormat="1">
      <c r="B24" s="291">
        <v>18</v>
      </c>
      <c r="C24" s="413" t="s">
        <v>430</v>
      </c>
      <c r="D24" s="413" t="s">
        <v>621</v>
      </c>
      <c r="E24" s="413" t="s">
        <v>234</v>
      </c>
      <c r="F24" s="413" t="s">
        <v>182</v>
      </c>
      <c r="G24" s="418">
        <v>1</v>
      </c>
      <c r="H24" s="415">
        <v>100000</v>
      </c>
      <c r="I24" s="292">
        <f t="shared" si="0"/>
        <v>18750</v>
      </c>
      <c r="J24" s="326"/>
    </row>
    <row r="25" spans="2:187" s="299" customFormat="1">
      <c r="B25" s="291">
        <v>19</v>
      </c>
      <c r="C25" s="413" t="s">
        <v>577</v>
      </c>
      <c r="D25" s="413" t="s">
        <v>323</v>
      </c>
      <c r="E25" s="413" t="s">
        <v>199</v>
      </c>
      <c r="F25" s="413" t="s">
        <v>177</v>
      </c>
      <c r="G25" s="418">
        <v>6</v>
      </c>
      <c r="H25" s="415">
        <v>600000</v>
      </c>
      <c r="I25" s="292">
        <f t="shared" si="0"/>
        <v>112500</v>
      </c>
      <c r="J25" s="326"/>
    </row>
    <row r="26" spans="2:187" s="299" customFormat="1">
      <c r="B26" s="291">
        <v>20</v>
      </c>
      <c r="C26" s="413" t="s">
        <v>553</v>
      </c>
      <c r="D26" s="413" t="s">
        <v>220</v>
      </c>
      <c r="E26" s="413" t="s">
        <v>193</v>
      </c>
      <c r="F26" s="413" t="s">
        <v>180</v>
      </c>
      <c r="G26" s="418">
        <v>2</v>
      </c>
      <c r="H26" s="415">
        <v>200000</v>
      </c>
      <c r="I26" s="292">
        <f t="shared" si="0"/>
        <v>37500</v>
      </c>
      <c r="J26" s="326"/>
    </row>
    <row r="27" spans="2:187" s="299" customFormat="1">
      <c r="B27" s="291">
        <v>21</v>
      </c>
      <c r="C27" s="413" t="s">
        <v>430</v>
      </c>
      <c r="D27" s="413" t="s">
        <v>622</v>
      </c>
      <c r="E27" s="413" t="s">
        <v>179</v>
      </c>
      <c r="F27" s="413" t="s">
        <v>180</v>
      </c>
      <c r="G27" s="418">
        <v>3</v>
      </c>
      <c r="H27" s="415">
        <v>300000</v>
      </c>
      <c r="I27" s="292">
        <f t="shared" si="0"/>
        <v>56250</v>
      </c>
      <c r="J27" s="326"/>
    </row>
    <row r="28" spans="2:187" s="299" customFormat="1">
      <c r="B28" s="291">
        <v>22</v>
      </c>
      <c r="C28" s="413" t="s">
        <v>577</v>
      </c>
      <c r="D28" s="413" t="s">
        <v>623</v>
      </c>
      <c r="E28" s="413" t="s">
        <v>188</v>
      </c>
      <c r="F28" s="413" t="s">
        <v>177</v>
      </c>
      <c r="G28" s="418">
        <v>6</v>
      </c>
      <c r="H28" s="415">
        <v>600000</v>
      </c>
      <c r="I28" s="292">
        <f t="shared" si="0"/>
        <v>112500</v>
      </c>
      <c r="J28" s="326"/>
    </row>
    <row r="29" spans="2:187" s="299" customFormat="1">
      <c r="B29" s="291">
        <v>23</v>
      </c>
      <c r="C29" s="413" t="s">
        <v>606</v>
      </c>
      <c r="D29" s="413" t="s">
        <v>624</v>
      </c>
      <c r="E29" s="413" t="s">
        <v>167</v>
      </c>
      <c r="F29" s="413" t="s">
        <v>180</v>
      </c>
      <c r="G29" s="418">
        <v>1</v>
      </c>
      <c r="H29" s="415">
        <v>100000</v>
      </c>
      <c r="I29" s="292">
        <f t="shared" si="0"/>
        <v>18750</v>
      </c>
      <c r="J29" s="326"/>
    </row>
    <row r="30" spans="2:187" s="299" customFormat="1">
      <c r="B30" s="291">
        <v>24</v>
      </c>
      <c r="C30" s="413" t="s">
        <v>560</v>
      </c>
      <c r="D30" s="413" t="s">
        <v>625</v>
      </c>
      <c r="E30" s="413" t="s">
        <v>237</v>
      </c>
      <c r="F30" s="413" t="s">
        <v>177</v>
      </c>
      <c r="G30" s="418">
        <v>4</v>
      </c>
      <c r="H30" s="415">
        <v>400000</v>
      </c>
      <c r="I30" s="292">
        <f t="shared" si="0"/>
        <v>75000</v>
      </c>
      <c r="J30" s="326"/>
    </row>
    <row r="31" spans="2:187" s="299" customFormat="1">
      <c r="B31" s="291">
        <v>25</v>
      </c>
      <c r="C31" s="413" t="s">
        <v>626</v>
      </c>
      <c r="D31" s="413" t="s">
        <v>627</v>
      </c>
      <c r="E31" s="413" t="s">
        <v>219</v>
      </c>
      <c r="F31" s="413" t="s">
        <v>180</v>
      </c>
      <c r="G31" s="418">
        <v>10</v>
      </c>
      <c r="H31" s="415">
        <v>1000000</v>
      </c>
      <c r="I31" s="292">
        <f t="shared" si="0"/>
        <v>187500</v>
      </c>
      <c r="J31" s="326"/>
    </row>
    <row r="32" spans="2:187" s="299" customFormat="1">
      <c r="B32" s="291">
        <v>26</v>
      </c>
      <c r="C32" s="413" t="s">
        <v>560</v>
      </c>
      <c r="D32" s="413" t="s">
        <v>628</v>
      </c>
      <c r="E32" s="413" t="s">
        <v>617</v>
      </c>
      <c r="F32" s="413" t="s">
        <v>177</v>
      </c>
      <c r="G32" s="418">
        <v>1</v>
      </c>
      <c r="H32" s="415">
        <v>100000</v>
      </c>
      <c r="I32" s="292">
        <f t="shared" si="0"/>
        <v>18750</v>
      </c>
      <c r="J32" s="326"/>
    </row>
    <row r="33" spans="2:187" s="299" customFormat="1">
      <c r="B33" s="291">
        <v>27</v>
      </c>
      <c r="C33" s="413" t="s">
        <v>512</v>
      </c>
      <c r="D33" s="413" t="s">
        <v>488</v>
      </c>
      <c r="E33" s="413" t="s">
        <v>227</v>
      </c>
      <c r="F33" s="413" t="s">
        <v>180</v>
      </c>
      <c r="G33" s="418">
        <v>10</v>
      </c>
      <c r="H33" s="415">
        <v>1000000</v>
      </c>
      <c r="I33" s="292">
        <f t="shared" si="0"/>
        <v>187500</v>
      </c>
      <c r="J33" s="238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</row>
    <row r="34" spans="2:187" s="299" customFormat="1">
      <c r="B34" s="291">
        <v>28</v>
      </c>
      <c r="C34" s="413" t="s">
        <v>544</v>
      </c>
      <c r="D34" s="413" t="s">
        <v>629</v>
      </c>
      <c r="E34" s="413" t="s">
        <v>216</v>
      </c>
      <c r="F34" s="413" t="s">
        <v>177</v>
      </c>
      <c r="G34" s="418">
        <v>1</v>
      </c>
      <c r="H34" s="415">
        <v>100000</v>
      </c>
      <c r="I34" s="292">
        <f t="shared" si="0"/>
        <v>18750</v>
      </c>
      <c r="J34" s="238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</row>
    <row r="35" spans="2:187" s="299" customFormat="1">
      <c r="B35" s="291">
        <v>29</v>
      </c>
      <c r="C35" s="413" t="s">
        <v>430</v>
      </c>
      <c r="D35" s="413" t="s">
        <v>598</v>
      </c>
      <c r="E35" s="413" t="s">
        <v>167</v>
      </c>
      <c r="F35" s="413" t="s">
        <v>182</v>
      </c>
      <c r="G35" s="418">
        <v>1</v>
      </c>
      <c r="H35" s="415">
        <v>100000</v>
      </c>
      <c r="I35" s="292">
        <f t="shared" si="0"/>
        <v>18750</v>
      </c>
      <c r="J35" s="238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49"/>
      <c r="DO35" s="149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</row>
    <row r="36" spans="2:187" s="299" customFormat="1">
      <c r="B36" s="291">
        <v>30</v>
      </c>
      <c r="C36" s="413" t="s">
        <v>571</v>
      </c>
      <c r="D36" s="413" t="s">
        <v>630</v>
      </c>
      <c r="E36" s="413" t="s">
        <v>196</v>
      </c>
      <c r="F36" s="413" t="s">
        <v>180</v>
      </c>
      <c r="G36" s="418">
        <v>2</v>
      </c>
      <c r="H36" s="415">
        <v>200000</v>
      </c>
      <c r="I36" s="292">
        <f t="shared" si="0"/>
        <v>37500</v>
      </c>
      <c r="J36" s="238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  <c r="DB36" s="149"/>
      <c r="DC36" s="149"/>
      <c r="DD36" s="149"/>
      <c r="DE36" s="149"/>
      <c r="DF36" s="149"/>
      <c r="DG36" s="149"/>
      <c r="DH36" s="149"/>
      <c r="DI36" s="149"/>
      <c r="DJ36" s="149"/>
      <c r="DK36" s="149"/>
      <c r="DL36" s="149"/>
      <c r="DM36" s="149"/>
      <c r="DN36" s="149"/>
      <c r="DO36" s="149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</row>
    <row r="37" spans="2:187" s="299" customFormat="1">
      <c r="B37" s="291">
        <v>31</v>
      </c>
      <c r="C37" s="413" t="s">
        <v>542</v>
      </c>
      <c r="D37" s="413" t="s">
        <v>631</v>
      </c>
      <c r="E37" s="413" t="s">
        <v>192</v>
      </c>
      <c r="F37" s="413" t="s">
        <v>177</v>
      </c>
      <c r="G37" s="418">
        <v>5</v>
      </c>
      <c r="H37" s="415">
        <v>500000</v>
      </c>
      <c r="I37" s="292">
        <f t="shared" si="0"/>
        <v>93750</v>
      </c>
      <c r="J37" s="238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</row>
    <row r="38" spans="2:187" s="299" customFormat="1">
      <c r="B38" s="291">
        <v>32</v>
      </c>
      <c r="C38" s="413" t="s">
        <v>585</v>
      </c>
      <c r="D38" s="413" t="s">
        <v>632</v>
      </c>
      <c r="E38" s="413" t="s">
        <v>212</v>
      </c>
      <c r="F38" s="413" t="s">
        <v>177</v>
      </c>
      <c r="G38" s="418">
        <v>1</v>
      </c>
      <c r="H38" s="415">
        <v>100000</v>
      </c>
      <c r="I38" s="292">
        <f t="shared" si="0"/>
        <v>18750</v>
      </c>
      <c r="J38" s="238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</row>
    <row r="39" spans="2:187" s="299" customFormat="1">
      <c r="B39" s="291">
        <v>33</v>
      </c>
      <c r="C39" s="413" t="s">
        <v>560</v>
      </c>
      <c r="D39" s="413" t="s">
        <v>633</v>
      </c>
      <c r="E39" s="413" t="s">
        <v>216</v>
      </c>
      <c r="F39" s="413" t="s">
        <v>177</v>
      </c>
      <c r="G39" s="418">
        <v>3</v>
      </c>
      <c r="H39" s="415">
        <v>300000</v>
      </c>
      <c r="I39" s="292">
        <f t="shared" si="0"/>
        <v>56250</v>
      </c>
      <c r="J39" s="238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  <c r="DB39" s="149"/>
      <c r="DC39" s="149"/>
      <c r="DD39" s="149"/>
      <c r="DE39" s="149"/>
      <c r="DF39" s="149"/>
      <c r="DG39" s="149"/>
      <c r="DH39" s="149"/>
      <c r="DI39" s="149"/>
      <c r="DJ39" s="149"/>
      <c r="DK39" s="149"/>
      <c r="DL39" s="149"/>
      <c r="DM39" s="149"/>
      <c r="DN39" s="149"/>
      <c r="DO39" s="149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</row>
    <row r="40" spans="2:187" s="299" customFormat="1">
      <c r="B40" s="291">
        <v>34</v>
      </c>
      <c r="C40" s="413" t="s">
        <v>626</v>
      </c>
      <c r="D40" s="413" t="s">
        <v>627</v>
      </c>
      <c r="E40" s="413" t="s">
        <v>219</v>
      </c>
      <c r="F40" s="413" t="s">
        <v>177</v>
      </c>
      <c r="G40" s="418">
        <v>6</v>
      </c>
      <c r="H40" s="415">
        <v>600000</v>
      </c>
      <c r="I40" s="292">
        <f t="shared" si="0"/>
        <v>112500</v>
      </c>
      <c r="J40" s="238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  <c r="DB40" s="149"/>
      <c r="DC40" s="149"/>
      <c r="DD40" s="149"/>
      <c r="DE40" s="149"/>
      <c r="DF40" s="149"/>
      <c r="DG40" s="149"/>
      <c r="DH40" s="149"/>
      <c r="DI40" s="149"/>
      <c r="DJ40" s="149"/>
      <c r="DK40" s="149"/>
      <c r="DL40" s="149"/>
      <c r="DM40" s="149"/>
      <c r="DN40" s="149"/>
      <c r="DO40" s="149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</row>
    <row r="41" spans="2:187" s="299" customFormat="1">
      <c r="B41" s="291">
        <v>35</v>
      </c>
      <c r="C41" s="413" t="s">
        <v>567</v>
      </c>
      <c r="D41" s="413" t="s">
        <v>634</v>
      </c>
      <c r="E41" s="413" t="s">
        <v>199</v>
      </c>
      <c r="F41" s="413" t="s">
        <v>180</v>
      </c>
      <c r="G41" s="418">
        <v>3</v>
      </c>
      <c r="H41" s="415">
        <v>300000</v>
      </c>
      <c r="I41" s="292">
        <f t="shared" si="0"/>
        <v>56250</v>
      </c>
      <c r="J41" s="238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</row>
    <row r="42" spans="2:187" s="299" customFormat="1">
      <c r="B42" s="291">
        <v>36</v>
      </c>
      <c r="C42" s="413" t="s">
        <v>551</v>
      </c>
      <c r="D42" s="413" t="s">
        <v>635</v>
      </c>
      <c r="E42" s="413" t="s">
        <v>306</v>
      </c>
      <c r="F42" s="413" t="s">
        <v>177</v>
      </c>
      <c r="G42" s="418">
        <v>1</v>
      </c>
      <c r="H42" s="415">
        <v>100000</v>
      </c>
      <c r="I42" s="292">
        <f t="shared" si="0"/>
        <v>18750</v>
      </c>
      <c r="J42" s="238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/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</row>
    <row r="43" spans="2:187" s="299" customFormat="1">
      <c r="B43" s="291">
        <v>37</v>
      </c>
      <c r="C43" s="413" t="s">
        <v>390</v>
      </c>
      <c r="D43" s="413" t="s">
        <v>519</v>
      </c>
      <c r="E43" s="413" t="s">
        <v>179</v>
      </c>
      <c r="F43" s="413" t="s">
        <v>177</v>
      </c>
      <c r="G43" s="418">
        <v>4</v>
      </c>
      <c r="H43" s="415">
        <v>400000</v>
      </c>
      <c r="I43" s="292">
        <f t="shared" si="0"/>
        <v>75000</v>
      </c>
      <c r="J43" s="238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</row>
    <row r="44" spans="2:187" s="299" customFormat="1">
      <c r="B44" s="291">
        <v>38</v>
      </c>
      <c r="C44" s="413" t="s">
        <v>560</v>
      </c>
      <c r="D44" s="413" t="s">
        <v>345</v>
      </c>
      <c r="E44" s="413" t="s">
        <v>209</v>
      </c>
      <c r="F44" s="413" t="s">
        <v>182</v>
      </c>
      <c r="G44" s="418">
        <v>1</v>
      </c>
      <c r="H44" s="415">
        <v>40300</v>
      </c>
      <c r="I44" s="292">
        <f t="shared" si="0"/>
        <v>7556.25</v>
      </c>
      <c r="J44" s="238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</row>
    <row r="45" spans="2:187" s="299" customFormat="1">
      <c r="B45" s="291">
        <v>39</v>
      </c>
      <c r="C45" s="413" t="s">
        <v>539</v>
      </c>
      <c r="D45" s="413" t="s">
        <v>556</v>
      </c>
      <c r="E45" s="413" t="s">
        <v>198</v>
      </c>
      <c r="F45" s="413" t="s">
        <v>182</v>
      </c>
      <c r="G45" s="418">
        <v>1</v>
      </c>
      <c r="H45" s="415">
        <v>100000</v>
      </c>
      <c r="I45" s="292">
        <f t="shared" si="0"/>
        <v>18750</v>
      </c>
      <c r="J45" s="238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DH45" s="149"/>
      <c r="DI45" s="149"/>
      <c r="DJ45" s="149"/>
      <c r="DK45" s="149"/>
      <c r="DL45" s="149"/>
      <c r="DM45" s="149"/>
      <c r="DN45" s="149"/>
      <c r="DO45" s="149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</row>
    <row r="46" spans="2:187" s="299" customFormat="1">
      <c r="B46" s="291">
        <v>40</v>
      </c>
      <c r="C46" s="413" t="s">
        <v>571</v>
      </c>
      <c r="D46" s="413" t="s">
        <v>636</v>
      </c>
      <c r="E46" s="413" t="s">
        <v>202</v>
      </c>
      <c r="F46" s="413" t="s">
        <v>177</v>
      </c>
      <c r="G46" s="418">
        <v>1</v>
      </c>
      <c r="H46" s="415">
        <v>100000</v>
      </c>
      <c r="I46" s="292">
        <f t="shared" si="0"/>
        <v>18750</v>
      </c>
      <c r="J46" s="238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  <c r="DB46" s="149"/>
      <c r="DC46" s="149"/>
      <c r="DD46" s="149"/>
      <c r="DE46" s="149"/>
      <c r="DF46" s="149"/>
      <c r="DG46" s="149"/>
      <c r="DH46" s="149"/>
      <c r="DI46" s="149"/>
      <c r="DJ46" s="149"/>
      <c r="DK46" s="149"/>
      <c r="DL46" s="149"/>
      <c r="DM46" s="149"/>
      <c r="DN46" s="149"/>
      <c r="DO46" s="149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</row>
    <row r="47" spans="2:187" s="299" customFormat="1">
      <c r="B47" s="291">
        <v>41</v>
      </c>
      <c r="C47" s="413" t="s">
        <v>544</v>
      </c>
      <c r="D47" s="413" t="s">
        <v>637</v>
      </c>
      <c r="E47" s="413" t="s">
        <v>230</v>
      </c>
      <c r="F47" s="413" t="s">
        <v>177</v>
      </c>
      <c r="G47" s="418">
        <v>3</v>
      </c>
      <c r="H47" s="415">
        <v>300000</v>
      </c>
      <c r="I47" s="292">
        <f t="shared" si="0"/>
        <v>56250</v>
      </c>
      <c r="J47" s="238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</row>
    <row r="48" spans="2:187" s="299" customFormat="1">
      <c r="B48" s="291">
        <v>42</v>
      </c>
      <c r="C48" s="413" t="s">
        <v>571</v>
      </c>
      <c r="D48" s="413" t="s">
        <v>638</v>
      </c>
      <c r="E48" s="413" t="s">
        <v>183</v>
      </c>
      <c r="F48" s="413" t="s">
        <v>213</v>
      </c>
      <c r="G48" s="418">
        <v>1</v>
      </c>
      <c r="H48" s="415">
        <v>400000</v>
      </c>
      <c r="I48" s="292">
        <f t="shared" si="0"/>
        <v>75000</v>
      </c>
      <c r="J48" s="238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C48" s="149"/>
      <c r="DD48" s="149"/>
      <c r="DE48" s="149"/>
      <c r="DF48" s="149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</row>
    <row r="49" spans="2:187" s="299" customFormat="1">
      <c r="B49" s="291">
        <v>43</v>
      </c>
      <c r="C49" s="413" t="s">
        <v>430</v>
      </c>
      <c r="D49" s="413" t="s">
        <v>639</v>
      </c>
      <c r="E49" s="413" t="s">
        <v>200</v>
      </c>
      <c r="F49" s="413" t="s">
        <v>180</v>
      </c>
      <c r="G49" s="418">
        <v>2</v>
      </c>
      <c r="H49" s="415">
        <v>200000</v>
      </c>
      <c r="I49" s="292">
        <f t="shared" si="0"/>
        <v>37500</v>
      </c>
      <c r="J49" s="238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</row>
    <row r="50" spans="2:187" s="299" customFormat="1">
      <c r="B50" s="291">
        <v>44</v>
      </c>
      <c r="C50" s="413" t="s">
        <v>508</v>
      </c>
      <c r="D50" s="413" t="s">
        <v>640</v>
      </c>
      <c r="E50" s="413" t="s">
        <v>210</v>
      </c>
      <c r="F50" s="413" t="s">
        <v>177</v>
      </c>
      <c r="G50" s="418">
        <v>2</v>
      </c>
      <c r="H50" s="415">
        <v>200000</v>
      </c>
      <c r="I50" s="292">
        <f t="shared" si="0"/>
        <v>37500</v>
      </c>
      <c r="J50" s="238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  <c r="DB50" s="149"/>
      <c r="DC50" s="149"/>
      <c r="DD50" s="149"/>
      <c r="DE50" s="149"/>
      <c r="DF50" s="149"/>
      <c r="DG50" s="149"/>
      <c r="DH50" s="149"/>
      <c r="DI50" s="149"/>
      <c r="DJ50" s="149"/>
      <c r="DK50" s="149"/>
      <c r="DL50" s="149"/>
      <c r="DM50" s="149"/>
      <c r="DN50" s="149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</row>
    <row r="51" spans="2:187" s="299" customFormat="1">
      <c r="B51" s="291">
        <v>45</v>
      </c>
      <c r="C51" s="413" t="s">
        <v>544</v>
      </c>
      <c r="D51" s="413" t="s">
        <v>641</v>
      </c>
      <c r="E51" s="413" t="s">
        <v>199</v>
      </c>
      <c r="F51" s="413" t="s">
        <v>300</v>
      </c>
      <c r="G51" s="418">
        <v>1</v>
      </c>
      <c r="H51" s="415">
        <v>400000</v>
      </c>
      <c r="I51" s="292">
        <f t="shared" si="0"/>
        <v>75000</v>
      </c>
      <c r="J51" s="238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  <c r="DB51" s="149"/>
      <c r="DC51" s="149"/>
      <c r="DD51" s="149"/>
      <c r="DE51" s="149"/>
      <c r="DF51" s="149"/>
      <c r="DG51" s="149"/>
      <c r="DH51" s="149"/>
      <c r="DI51" s="149"/>
      <c r="DJ51" s="149"/>
      <c r="DK51" s="149"/>
      <c r="DL51" s="149"/>
      <c r="DM51" s="149"/>
      <c r="DN51" s="149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</row>
    <row r="52" spans="2:187" s="299" customFormat="1">
      <c r="B52" s="291">
        <v>46</v>
      </c>
      <c r="C52" s="413" t="s">
        <v>535</v>
      </c>
      <c r="D52" s="413" t="s">
        <v>642</v>
      </c>
      <c r="E52" s="413" t="s">
        <v>190</v>
      </c>
      <c r="F52" s="413" t="s">
        <v>177</v>
      </c>
      <c r="G52" s="418">
        <v>1</v>
      </c>
      <c r="H52" s="415">
        <v>100000</v>
      </c>
      <c r="I52" s="292">
        <f t="shared" si="0"/>
        <v>18750</v>
      </c>
      <c r="J52" s="238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</row>
    <row r="53" spans="2:187" s="299" customFormat="1">
      <c r="B53" s="291">
        <v>47</v>
      </c>
      <c r="C53" s="413" t="s">
        <v>542</v>
      </c>
      <c r="D53" s="413" t="s">
        <v>347</v>
      </c>
      <c r="E53" s="413" t="s">
        <v>236</v>
      </c>
      <c r="F53" s="413" t="s">
        <v>180</v>
      </c>
      <c r="G53" s="418">
        <v>4</v>
      </c>
      <c r="H53" s="415">
        <v>400000</v>
      </c>
      <c r="I53" s="292">
        <f t="shared" si="0"/>
        <v>75000</v>
      </c>
      <c r="J53" s="238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  <c r="DB53" s="149"/>
      <c r="DC53" s="149"/>
      <c r="DD53" s="149"/>
      <c r="DE53" s="149"/>
      <c r="DF53" s="149"/>
      <c r="DG53" s="149"/>
      <c r="DH53" s="149"/>
      <c r="DI53" s="149"/>
      <c r="DJ53" s="149"/>
      <c r="DK53" s="149"/>
      <c r="DL53" s="149"/>
      <c r="DM53" s="149"/>
      <c r="DN53" s="149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</row>
    <row r="54" spans="2:187" s="299" customFormat="1">
      <c r="B54" s="291">
        <v>48</v>
      </c>
      <c r="C54" s="413" t="s">
        <v>390</v>
      </c>
      <c r="D54" s="413" t="s">
        <v>643</v>
      </c>
      <c r="E54" s="413" t="s">
        <v>197</v>
      </c>
      <c r="F54" s="413" t="s">
        <v>308</v>
      </c>
      <c r="G54" s="418">
        <v>1</v>
      </c>
      <c r="H54" s="415">
        <v>101800</v>
      </c>
      <c r="I54" s="292">
        <f t="shared" si="0"/>
        <v>19087.5</v>
      </c>
      <c r="J54" s="238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149"/>
      <c r="DF54" s="149"/>
      <c r="DG54" s="149"/>
      <c r="DH54" s="149"/>
      <c r="DI54" s="149"/>
      <c r="DJ54" s="149"/>
      <c r="DK54" s="149"/>
      <c r="DL54" s="149"/>
      <c r="DM54" s="149"/>
      <c r="DN54" s="149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</row>
    <row r="55" spans="2:187" s="299" customFormat="1">
      <c r="B55" s="291">
        <v>49</v>
      </c>
      <c r="C55" s="413" t="s">
        <v>544</v>
      </c>
      <c r="D55" s="413" t="s">
        <v>644</v>
      </c>
      <c r="E55" s="413" t="s">
        <v>201</v>
      </c>
      <c r="F55" s="413" t="s">
        <v>180</v>
      </c>
      <c r="G55" s="418">
        <v>2</v>
      </c>
      <c r="H55" s="415">
        <v>200000</v>
      </c>
      <c r="I55" s="292">
        <f t="shared" si="0"/>
        <v>37500</v>
      </c>
      <c r="J55" s="238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  <c r="DB55" s="149"/>
      <c r="DC55" s="149"/>
      <c r="DD55" s="149"/>
      <c r="DE55" s="149"/>
      <c r="DF55" s="149"/>
      <c r="DG55" s="149"/>
      <c r="DH55" s="149"/>
      <c r="DI55" s="149"/>
      <c r="DJ55" s="149"/>
      <c r="DK55" s="149"/>
      <c r="DL55" s="149"/>
      <c r="DM55" s="149"/>
      <c r="DN55" s="149"/>
      <c r="DO55" s="149"/>
      <c r="DP55" s="149"/>
      <c r="DQ55" s="149"/>
      <c r="DR55" s="149"/>
      <c r="DS55" s="149"/>
      <c r="DT55" s="149"/>
      <c r="DU55" s="149"/>
      <c r="DV55" s="149"/>
      <c r="DW55" s="149"/>
      <c r="DX55" s="149"/>
      <c r="DY55" s="149"/>
      <c r="DZ55" s="149"/>
      <c r="EA55" s="149"/>
      <c r="EB55" s="149"/>
      <c r="EC55" s="149"/>
      <c r="ED55" s="149"/>
      <c r="EE55" s="149"/>
      <c r="EF55" s="149"/>
      <c r="EG55" s="149"/>
      <c r="EH55" s="149"/>
      <c r="EI55" s="149"/>
      <c r="EJ55" s="149"/>
      <c r="EK55" s="149"/>
      <c r="EL55" s="149"/>
      <c r="EM55" s="149"/>
      <c r="EN55" s="149"/>
      <c r="EO55" s="149"/>
      <c r="EP55" s="149"/>
      <c r="EQ55" s="149"/>
      <c r="ER55" s="149"/>
      <c r="ES55" s="149"/>
      <c r="ET55" s="149"/>
      <c r="EU55" s="149"/>
      <c r="EV55" s="149"/>
      <c r="EW55" s="149"/>
      <c r="EX55" s="149"/>
      <c r="EY55" s="149"/>
      <c r="EZ55" s="149"/>
      <c r="FA55" s="149"/>
      <c r="FB55" s="149"/>
      <c r="FC55" s="149"/>
      <c r="FD55" s="149"/>
      <c r="FE55" s="149"/>
      <c r="FF55" s="149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149"/>
      <c r="FU55" s="149"/>
      <c r="FV55" s="149"/>
      <c r="FW55" s="149"/>
      <c r="FX55" s="149"/>
      <c r="FY55" s="149"/>
      <c r="FZ55" s="149"/>
      <c r="GA55" s="149"/>
      <c r="GB55" s="149"/>
      <c r="GC55" s="149"/>
      <c r="GD55" s="149"/>
      <c r="GE55" s="149"/>
    </row>
    <row r="56" spans="2:187" s="299" customFormat="1">
      <c r="B56" s="291">
        <v>50</v>
      </c>
      <c r="C56" s="413" t="s">
        <v>567</v>
      </c>
      <c r="D56" s="413" t="s">
        <v>346</v>
      </c>
      <c r="E56" s="413" t="s">
        <v>222</v>
      </c>
      <c r="F56" s="413" t="s">
        <v>180</v>
      </c>
      <c r="G56" s="418">
        <v>16</v>
      </c>
      <c r="H56" s="415">
        <v>1600000</v>
      </c>
      <c r="I56" s="292">
        <f t="shared" si="0"/>
        <v>300000</v>
      </c>
      <c r="J56" s="238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  <c r="DB56" s="149"/>
      <c r="DC56" s="149"/>
      <c r="DD56" s="149"/>
      <c r="DE56" s="149"/>
      <c r="DF56" s="149"/>
      <c r="DG56" s="149"/>
      <c r="DH56" s="149"/>
      <c r="DI56" s="149"/>
      <c r="DJ56" s="149"/>
      <c r="DK56" s="149"/>
      <c r="DL56" s="149"/>
      <c r="DM56" s="149"/>
      <c r="DN56" s="149"/>
      <c r="DO56" s="149"/>
      <c r="DP56" s="149"/>
      <c r="DQ56" s="149"/>
      <c r="DR56" s="149"/>
      <c r="DS56" s="149"/>
      <c r="DT56" s="149"/>
      <c r="DU56" s="149"/>
      <c r="DV56" s="149"/>
      <c r="DW56" s="149"/>
      <c r="DX56" s="149"/>
      <c r="DY56" s="149"/>
      <c r="DZ56" s="149"/>
      <c r="EA56" s="149"/>
      <c r="EB56" s="149"/>
      <c r="EC56" s="149"/>
      <c r="ED56" s="149"/>
      <c r="EE56" s="149"/>
      <c r="EF56" s="149"/>
      <c r="EG56" s="149"/>
      <c r="EH56" s="149"/>
      <c r="EI56" s="149"/>
      <c r="EJ56" s="149"/>
      <c r="EK56" s="149"/>
      <c r="EL56" s="149"/>
      <c r="EM56" s="149"/>
      <c r="EN56" s="149"/>
      <c r="EO56" s="149"/>
      <c r="EP56" s="149"/>
      <c r="EQ56" s="149"/>
      <c r="ER56" s="149"/>
      <c r="ES56" s="149"/>
      <c r="ET56" s="149"/>
      <c r="EU56" s="149"/>
      <c r="EV56" s="149"/>
      <c r="EW56" s="149"/>
      <c r="EX56" s="149"/>
      <c r="EY56" s="149"/>
      <c r="EZ56" s="149"/>
      <c r="FA56" s="149"/>
      <c r="FB56" s="149"/>
      <c r="FC56" s="149"/>
      <c r="FD56" s="149"/>
      <c r="FE56" s="149"/>
      <c r="FF56" s="149"/>
      <c r="FG56" s="149"/>
      <c r="FH56" s="149"/>
      <c r="FI56" s="149"/>
      <c r="FJ56" s="149"/>
      <c r="FK56" s="149"/>
      <c r="FL56" s="149"/>
      <c r="FM56" s="149"/>
      <c r="FN56" s="149"/>
      <c r="FO56" s="149"/>
      <c r="FP56" s="149"/>
      <c r="FQ56" s="149"/>
      <c r="FR56" s="149"/>
      <c r="FS56" s="149"/>
      <c r="FT56" s="149"/>
      <c r="FU56" s="149"/>
      <c r="FV56" s="149"/>
      <c r="FW56" s="149"/>
      <c r="FX56" s="149"/>
      <c r="FY56" s="149"/>
      <c r="FZ56" s="149"/>
      <c r="GA56" s="149"/>
      <c r="GB56" s="149"/>
      <c r="GC56" s="149"/>
      <c r="GD56" s="149"/>
      <c r="GE56" s="149"/>
    </row>
    <row r="57" spans="2:187" s="299" customFormat="1">
      <c r="B57" s="291">
        <v>51</v>
      </c>
      <c r="C57" s="413" t="s">
        <v>585</v>
      </c>
      <c r="D57" s="413" t="s">
        <v>611</v>
      </c>
      <c r="E57" s="413" t="s">
        <v>206</v>
      </c>
      <c r="F57" s="413" t="s">
        <v>180</v>
      </c>
      <c r="G57" s="418">
        <v>5</v>
      </c>
      <c r="H57" s="415">
        <v>500000</v>
      </c>
      <c r="I57" s="292">
        <f t="shared" si="0"/>
        <v>93750</v>
      </c>
      <c r="J57" s="238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  <c r="FF57" s="149"/>
      <c r="FG57" s="149"/>
      <c r="FH57" s="149"/>
      <c r="FI57" s="149"/>
      <c r="FJ57" s="149"/>
      <c r="FK57" s="149"/>
      <c r="FL57" s="149"/>
      <c r="FM57" s="149"/>
      <c r="FN57" s="149"/>
      <c r="FO57" s="149"/>
      <c r="FP57" s="149"/>
      <c r="FQ57" s="149"/>
      <c r="FR57" s="149"/>
      <c r="FS57" s="149"/>
      <c r="FT57" s="149"/>
      <c r="FU57" s="149"/>
      <c r="FV57" s="149"/>
      <c r="FW57" s="149"/>
      <c r="FX57" s="149"/>
      <c r="FY57" s="149"/>
      <c r="FZ57" s="149"/>
      <c r="GA57" s="149"/>
      <c r="GB57" s="149"/>
      <c r="GC57" s="149"/>
      <c r="GD57" s="149"/>
      <c r="GE57" s="149"/>
    </row>
    <row r="58" spans="2:187" s="299" customFormat="1">
      <c r="B58" s="291">
        <v>52</v>
      </c>
      <c r="C58" s="413" t="s">
        <v>567</v>
      </c>
      <c r="D58" s="413" t="s">
        <v>645</v>
      </c>
      <c r="E58" s="413" t="s">
        <v>255</v>
      </c>
      <c r="F58" s="413" t="s">
        <v>180</v>
      </c>
      <c r="G58" s="418">
        <v>2</v>
      </c>
      <c r="H58" s="415">
        <v>200000</v>
      </c>
      <c r="I58" s="292">
        <f t="shared" si="0"/>
        <v>37500</v>
      </c>
      <c r="J58" s="238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  <c r="DB58" s="149"/>
      <c r="DC58" s="149"/>
      <c r="DD58" s="149"/>
      <c r="DE58" s="149"/>
      <c r="DF58" s="149"/>
      <c r="DG58" s="149"/>
      <c r="DH58" s="149"/>
      <c r="DI58" s="149"/>
      <c r="DJ58" s="149"/>
      <c r="DK58" s="149"/>
      <c r="DL58" s="149"/>
      <c r="DM58" s="149"/>
      <c r="DN58" s="149"/>
      <c r="DO58" s="149"/>
      <c r="DP58" s="149"/>
      <c r="DQ58" s="149"/>
      <c r="DR58" s="149"/>
      <c r="DS58" s="149"/>
      <c r="DT58" s="149"/>
      <c r="DU58" s="149"/>
      <c r="DV58" s="149"/>
      <c r="DW58" s="149"/>
      <c r="DX58" s="149"/>
      <c r="DY58" s="149"/>
      <c r="DZ58" s="149"/>
      <c r="EA58" s="149"/>
      <c r="EB58" s="149"/>
      <c r="EC58" s="149"/>
      <c r="ED58" s="149"/>
      <c r="EE58" s="149"/>
      <c r="EF58" s="149"/>
      <c r="EG58" s="149"/>
      <c r="EH58" s="149"/>
      <c r="EI58" s="149"/>
      <c r="EJ58" s="149"/>
      <c r="EK58" s="149"/>
      <c r="EL58" s="149"/>
      <c r="EM58" s="149"/>
      <c r="EN58" s="149"/>
      <c r="EO58" s="149"/>
      <c r="EP58" s="149"/>
      <c r="EQ58" s="149"/>
      <c r="ER58" s="149"/>
      <c r="ES58" s="149"/>
      <c r="ET58" s="149"/>
      <c r="EU58" s="149"/>
      <c r="EV58" s="149"/>
      <c r="EW58" s="149"/>
      <c r="EX58" s="149"/>
      <c r="EY58" s="149"/>
      <c r="EZ58" s="149"/>
      <c r="FA58" s="149"/>
      <c r="FB58" s="149"/>
      <c r="FC58" s="149"/>
      <c r="FD58" s="149"/>
      <c r="FE58" s="149"/>
      <c r="FF58" s="149"/>
      <c r="FG58" s="149"/>
      <c r="FH58" s="149"/>
      <c r="FI58" s="149"/>
      <c r="FJ58" s="149"/>
      <c r="FK58" s="149"/>
      <c r="FL58" s="149"/>
      <c r="FM58" s="149"/>
      <c r="FN58" s="149"/>
      <c r="FO58" s="149"/>
      <c r="FP58" s="149"/>
      <c r="FQ58" s="149"/>
      <c r="FR58" s="149"/>
      <c r="FS58" s="149"/>
      <c r="FT58" s="149"/>
      <c r="FU58" s="149"/>
      <c r="FV58" s="149"/>
      <c r="FW58" s="149"/>
      <c r="FX58" s="149"/>
      <c r="FY58" s="149"/>
      <c r="FZ58" s="149"/>
      <c r="GA58" s="149"/>
      <c r="GB58" s="149"/>
      <c r="GC58" s="149"/>
      <c r="GD58" s="149"/>
      <c r="GE58" s="149"/>
    </row>
    <row r="59" spans="2:187" s="299" customFormat="1">
      <c r="B59" s="291">
        <v>53</v>
      </c>
      <c r="C59" s="413" t="s">
        <v>512</v>
      </c>
      <c r="D59" s="413" t="s">
        <v>618</v>
      </c>
      <c r="E59" s="413" t="s">
        <v>237</v>
      </c>
      <c r="F59" s="413" t="s">
        <v>177</v>
      </c>
      <c r="G59" s="418">
        <v>3</v>
      </c>
      <c r="H59" s="415">
        <v>300000</v>
      </c>
      <c r="I59" s="292">
        <f t="shared" si="0"/>
        <v>56250</v>
      </c>
      <c r="J59" s="238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149"/>
      <c r="DF59" s="149"/>
      <c r="DG59" s="149"/>
      <c r="DH59" s="149"/>
      <c r="DI59" s="149"/>
      <c r="DJ59" s="149"/>
      <c r="DK59" s="149"/>
      <c r="DL59" s="149"/>
      <c r="DM59" s="149"/>
      <c r="DN59" s="149"/>
      <c r="DO59" s="149"/>
      <c r="DP59" s="149"/>
      <c r="DQ59" s="149"/>
      <c r="DR59" s="149"/>
      <c r="DS59" s="149"/>
      <c r="DT59" s="149"/>
      <c r="DU59" s="149"/>
      <c r="DV59" s="149"/>
      <c r="DW59" s="149"/>
      <c r="DX59" s="149"/>
      <c r="DY59" s="149"/>
      <c r="DZ59" s="149"/>
      <c r="EA59" s="149"/>
      <c r="EB59" s="149"/>
      <c r="EC59" s="149"/>
      <c r="ED59" s="149"/>
      <c r="EE59" s="149"/>
      <c r="EF59" s="149"/>
      <c r="EG59" s="149"/>
      <c r="EH59" s="149"/>
      <c r="EI59" s="149"/>
      <c r="EJ59" s="149"/>
      <c r="EK59" s="149"/>
      <c r="EL59" s="149"/>
      <c r="EM59" s="149"/>
      <c r="EN59" s="149"/>
      <c r="EO59" s="149"/>
      <c r="EP59" s="149"/>
      <c r="EQ59" s="149"/>
      <c r="ER59" s="149"/>
      <c r="ES59" s="149"/>
      <c r="ET59" s="149"/>
      <c r="EU59" s="149"/>
      <c r="EV59" s="149"/>
      <c r="EW59" s="149"/>
      <c r="EX59" s="149"/>
      <c r="EY59" s="149"/>
      <c r="EZ59" s="149"/>
      <c r="FA59" s="149"/>
      <c r="FB59" s="149"/>
      <c r="FC59" s="149"/>
      <c r="FD59" s="149"/>
      <c r="FE59" s="149"/>
      <c r="FF59" s="149"/>
      <c r="FG59" s="149"/>
      <c r="FH59" s="149"/>
      <c r="FI59" s="149"/>
      <c r="FJ59" s="149"/>
      <c r="FK59" s="149"/>
      <c r="FL59" s="149"/>
      <c r="FM59" s="149"/>
      <c r="FN59" s="149"/>
      <c r="FO59" s="149"/>
      <c r="FP59" s="149"/>
      <c r="FQ59" s="149"/>
      <c r="FR59" s="149"/>
      <c r="FS59" s="149"/>
      <c r="FT59" s="149"/>
      <c r="FU59" s="149"/>
      <c r="FV59" s="149"/>
      <c r="FW59" s="149"/>
      <c r="FX59" s="149"/>
      <c r="FY59" s="149"/>
      <c r="FZ59" s="149"/>
      <c r="GA59" s="149"/>
      <c r="GB59" s="149"/>
      <c r="GC59" s="149"/>
      <c r="GD59" s="149"/>
      <c r="GE59" s="149"/>
    </row>
    <row r="60" spans="2:187" s="299" customFormat="1">
      <c r="B60" s="291">
        <v>54</v>
      </c>
      <c r="C60" s="413" t="s">
        <v>580</v>
      </c>
      <c r="D60" s="413" t="s">
        <v>646</v>
      </c>
      <c r="E60" s="413" t="s">
        <v>209</v>
      </c>
      <c r="F60" s="413" t="s">
        <v>189</v>
      </c>
      <c r="G60" s="418">
        <v>1</v>
      </c>
      <c r="H60" s="415">
        <v>40300</v>
      </c>
      <c r="I60" s="292">
        <f t="shared" si="0"/>
        <v>7556.25</v>
      </c>
      <c r="J60" s="326"/>
    </row>
    <row r="61" spans="2:187" s="299" customFormat="1">
      <c r="B61" s="291">
        <v>55</v>
      </c>
      <c r="C61" s="413" t="s">
        <v>390</v>
      </c>
      <c r="D61" s="413" t="s">
        <v>326</v>
      </c>
      <c r="E61" s="413" t="s">
        <v>187</v>
      </c>
      <c r="F61" s="413" t="s">
        <v>189</v>
      </c>
      <c r="G61" s="418">
        <v>1</v>
      </c>
      <c r="H61" s="415">
        <v>100000</v>
      </c>
      <c r="I61" s="292">
        <f t="shared" si="0"/>
        <v>18750</v>
      </c>
      <c r="J61" s="326"/>
    </row>
    <row r="62" spans="2:187" s="299" customFormat="1">
      <c r="B62" s="291">
        <v>56</v>
      </c>
      <c r="C62" s="413" t="s">
        <v>508</v>
      </c>
      <c r="D62" s="413" t="s">
        <v>647</v>
      </c>
      <c r="E62" s="413" t="s">
        <v>181</v>
      </c>
      <c r="F62" s="413" t="s">
        <v>189</v>
      </c>
      <c r="G62" s="418">
        <v>1</v>
      </c>
      <c r="H62" s="415">
        <v>100000</v>
      </c>
      <c r="I62" s="292">
        <f t="shared" si="0"/>
        <v>18750</v>
      </c>
      <c r="J62" s="326"/>
    </row>
    <row r="63" spans="2:187" s="299" customFormat="1">
      <c r="B63" s="291">
        <v>57</v>
      </c>
      <c r="C63" s="413" t="s">
        <v>390</v>
      </c>
      <c r="D63" s="413" t="s">
        <v>338</v>
      </c>
      <c r="E63" s="413" t="s">
        <v>181</v>
      </c>
      <c r="F63" s="413" t="s">
        <v>189</v>
      </c>
      <c r="G63" s="418">
        <v>1</v>
      </c>
      <c r="H63" s="415">
        <v>100000</v>
      </c>
      <c r="I63" s="292">
        <f t="shared" si="0"/>
        <v>18750</v>
      </c>
      <c r="J63" s="326"/>
    </row>
    <row r="64" spans="2:187" s="299" customFormat="1">
      <c r="B64" s="291">
        <v>58</v>
      </c>
      <c r="C64" s="413" t="s">
        <v>571</v>
      </c>
      <c r="D64" s="413" t="s">
        <v>634</v>
      </c>
      <c r="E64" s="413" t="s">
        <v>199</v>
      </c>
      <c r="F64" s="413" t="s">
        <v>182</v>
      </c>
      <c r="G64" s="418">
        <v>1</v>
      </c>
      <c r="H64" s="415">
        <v>100000</v>
      </c>
      <c r="I64" s="292">
        <f t="shared" si="0"/>
        <v>18750</v>
      </c>
      <c r="J64" s="238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  <c r="DB64" s="149"/>
      <c r="DC64" s="149"/>
      <c r="DD64" s="149"/>
      <c r="DE64" s="149"/>
      <c r="DF64" s="149"/>
      <c r="DG64" s="149"/>
      <c r="DH64" s="149"/>
      <c r="DI64" s="149"/>
      <c r="DJ64" s="149"/>
      <c r="DK64" s="149"/>
      <c r="DL64" s="149"/>
      <c r="DM64" s="149"/>
      <c r="DN64" s="149"/>
      <c r="DO64" s="149"/>
      <c r="DP64" s="149"/>
      <c r="DQ64" s="149"/>
      <c r="DR64" s="149"/>
      <c r="DS64" s="149"/>
      <c r="DT64" s="149"/>
      <c r="DU64" s="149"/>
      <c r="DV64" s="149"/>
      <c r="DW64" s="149"/>
      <c r="DX64" s="149"/>
      <c r="DY64" s="149"/>
      <c r="DZ64" s="149"/>
      <c r="EA64" s="149"/>
      <c r="EB64" s="149"/>
      <c r="EC64" s="149"/>
      <c r="ED64" s="149"/>
      <c r="EE64" s="149"/>
      <c r="EF64" s="149"/>
      <c r="EG64" s="149"/>
      <c r="EH64" s="149"/>
      <c r="EI64" s="149"/>
      <c r="EJ64" s="149"/>
      <c r="EK64" s="149"/>
      <c r="EL64" s="149"/>
      <c r="EM64" s="149"/>
      <c r="EN64" s="149"/>
      <c r="EO64" s="149"/>
      <c r="EP64" s="149"/>
      <c r="EQ64" s="149"/>
      <c r="ER64" s="149"/>
      <c r="ES64" s="149"/>
      <c r="ET64" s="149"/>
      <c r="EU64" s="149"/>
      <c r="EV64" s="149"/>
      <c r="EW64" s="149"/>
      <c r="EX64" s="149"/>
      <c r="EY64" s="149"/>
      <c r="EZ64" s="149"/>
      <c r="FA64" s="149"/>
      <c r="FB64" s="149"/>
      <c r="FC64" s="149"/>
      <c r="FD64" s="149"/>
      <c r="FE64" s="149"/>
      <c r="FF64" s="149"/>
      <c r="FG64" s="149"/>
      <c r="FH64" s="149"/>
      <c r="FI64" s="149"/>
      <c r="FJ64" s="149"/>
      <c r="FK64" s="149"/>
      <c r="FL64" s="149"/>
      <c r="FM64" s="149"/>
      <c r="FN64" s="149"/>
      <c r="FO64" s="149"/>
      <c r="FP64" s="149"/>
      <c r="FQ64" s="149"/>
      <c r="FR64" s="149"/>
      <c r="FS64" s="149"/>
      <c r="FT64" s="149"/>
      <c r="FU64" s="149"/>
      <c r="FV64" s="149"/>
      <c r="FW64" s="149"/>
      <c r="FX64" s="149"/>
      <c r="FY64" s="149"/>
      <c r="FZ64" s="149"/>
      <c r="GA64" s="149"/>
      <c r="GB64" s="149"/>
      <c r="GC64" s="149"/>
      <c r="GD64" s="149"/>
      <c r="GE64" s="149"/>
    </row>
    <row r="65" spans="2:187" s="299" customFormat="1">
      <c r="B65" s="291">
        <v>59</v>
      </c>
      <c r="C65" s="413" t="s">
        <v>508</v>
      </c>
      <c r="D65" s="413" t="s">
        <v>620</v>
      </c>
      <c r="E65" s="413" t="s">
        <v>231</v>
      </c>
      <c r="F65" s="413" t="s">
        <v>319</v>
      </c>
      <c r="G65" s="418">
        <v>1</v>
      </c>
      <c r="H65" s="415">
        <v>300000</v>
      </c>
      <c r="I65" s="292">
        <f t="shared" si="0"/>
        <v>56250</v>
      </c>
      <c r="J65" s="238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  <c r="DB65" s="149"/>
      <c r="DC65" s="149"/>
      <c r="DD65" s="149"/>
      <c r="DE65" s="149"/>
      <c r="DF65" s="149"/>
      <c r="DG65" s="149"/>
      <c r="DH65" s="149"/>
      <c r="DI65" s="149"/>
      <c r="DJ65" s="149"/>
      <c r="DK65" s="149"/>
      <c r="DL65" s="149"/>
      <c r="DM65" s="149"/>
      <c r="DN65" s="149"/>
      <c r="DO65" s="149"/>
      <c r="DP65" s="149"/>
      <c r="DQ65" s="149"/>
      <c r="DR65" s="149"/>
      <c r="DS65" s="149"/>
      <c r="DT65" s="149"/>
      <c r="DU65" s="149"/>
      <c r="DV65" s="149"/>
      <c r="DW65" s="149"/>
      <c r="DX65" s="149"/>
      <c r="DY65" s="149"/>
      <c r="DZ65" s="149"/>
      <c r="EA65" s="149"/>
      <c r="EB65" s="149"/>
      <c r="EC65" s="149"/>
      <c r="ED65" s="149"/>
      <c r="EE65" s="149"/>
      <c r="EF65" s="149"/>
      <c r="EG65" s="149"/>
      <c r="EH65" s="149"/>
      <c r="EI65" s="149"/>
      <c r="EJ65" s="149"/>
      <c r="EK65" s="149"/>
      <c r="EL65" s="149"/>
      <c r="EM65" s="149"/>
      <c r="EN65" s="149"/>
      <c r="EO65" s="149"/>
      <c r="EP65" s="149"/>
      <c r="EQ65" s="149"/>
      <c r="ER65" s="149"/>
      <c r="ES65" s="149"/>
      <c r="ET65" s="149"/>
      <c r="EU65" s="149"/>
      <c r="EV65" s="149"/>
      <c r="EW65" s="149"/>
      <c r="EX65" s="149"/>
      <c r="EY65" s="149"/>
      <c r="EZ65" s="149"/>
      <c r="FA65" s="149"/>
      <c r="FB65" s="149"/>
      <c r="FC65" s="149"/>
      <c r="FD65" s="149"/>
      <c r="FE65" s="149"/>
      <c r="FF65" s="149"/>
      <c r="FG65" s="149"/>
      <c r="FH65" s="149"/>
      <c r="FI65" s="149"/>
      <c r="FJ65" s="149"/>
      <c r="FK65" s="149"/>
      <c r="FL65" s="149"/>
      <c r="FM65" s="149"/>
      <c r="FN65" s="149"/>
      <c r="FO65" s="149"/>
      <c r="FP65" s="149"/>
      <c r="FQ65" s="149"/>
      <c r="FR65" s="149"/>
      <c r="FS65" s="149"/>
      <c r="FT65" s="149"/>
      <c r="FU65" s="149"/>
      <c r="FV65" s="149"/>
      <c r="FW65" s="149"/>
      <c r="FX65" s="149"/>
      <c r="FY65" s="149"/>
      <c r="FZ65" s="149"/>
      <c r="GA65" s="149"/>
      <c r="GB65" s="149"/>
      <c r="GC65" s="149"/>
      <c r="GD65" s="149"/>
      <c r="GE65" s="149"/>
    </row>
    <row r="66" spans="2:187" s="299" customFormat="1">
      <c r="B66" s="291">
        <v>60</v>
      </c>
      <c r="C66" s="413" t="s">
        <v>512</v>
      </c>
      <c r="D66" s="413" t="s">
        <v>307</v>
      </c>
      <c r="E66" s="413" t="s">
        <v>202</v>
      </c>
      <c r="F66" s="413" t="s">
        <v>177</v>
      </c>
      <c r="G66" s="418">
        <v>6</v>
      </c>
      <c r="H66" s="415">
        <v>600000</v>
      </c>
      <c r="I66" s="292">
        <f t="shared" si="0"/>
        <v>112500</v>
      </c>
      <c r="J66" s="238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149"/>
      <c r="DF66" s="149"/>
      <c r="DG66" s="149"/>
      <c r="DH66" s="149"/>
      <c r="DI66" s="149"/>
      <c r="DJ66" s="149"/>
      <c r="DK66" s="149"/>
      <c r="DL66" s="149"/>
      <c r="DM66" s="149"/>
      <c r="DN66" s="149"/>
      <c r="DO66" s="149"/>
      <c r="DP66" s="149"/>
      <c r="DQ66" s="149"/>
      <c r="DR66" s="149"/>
      <c r="DS66" s="149"/>
      <c r="DT66" s="149"/>
      <c r="DU66" s="149"/>
      <c r="DV66" s="149"/>
      <c r="DW66" s="149"/>
      <c r="DX66" s="149"/>
      <c r="DY66" s="149"/>
      <c r="DZ66" s="149"/>
      <c r="EA66" s="149"/>
      <c r="EB66" s="149"/>
      <c r="EC66" s="149"/>
      <c r="ED66" s="149"/>
      <c r="EE66" s="149"/>
      <c r="EF66" s="149"/>
      <c r="EG66" s="149"/>
      <c r="EH66" s="149"/>
      <c r="EI66" s="149"/>
      <c r="EJ66" s="149"/>
      <c r="EK66" s="149"/>
      <c r="EL66" s="149"/>
      <c r="EM66" s="149"/>
      <c r="EN66" s="149"/>
      <c r="EO66" s="149"/>
      <c r="EP66" s="149"/>
      <c r="EQ66" s="149"/>
      <c r="ER66" s="149"/>
      <c r="ES66" s="149"/>
      <c r="ET66" s="149"/>
      <c r="EU66" s="149"/>
      <c r="EV66" s="149"/>
      <c r="EW66" s="149"/>
      <c r="EX66" s="149"/>
      <c r="EY66" s="149"/>
      <c r="EZ66" s="149"/>
      <c r="FA66" s="149"/>
      <c r="FB66" s="149"/>
      <c r="FC66" s="149"/>
      <c r="FD66" s="149"/>
      <c r="FE66" s="149"/>
      <c r="FF66" s="149"/>
      <c r="FG66" s="149"/>
      <c r="FH66" s="149"/>
      <c r="FI66" s="149"/>
      <c r="FJ66" s="149"/>
      <c r="FK66" s="149"/>
      <c r="FL66" s="149"/>
      <c r="FM66" s="149"/>
      <c r="FN66" s="149"/>
      <c r="FO66" s="149"/>
      <c r="FP66" s="149"/>
      <c r="FQ66" s="149"/>
      <c r="FR66" s="149"/>
      <c r="FS66" s="149"/>
      <c r="FT66" s="149"/>
      <c r="FU66" s="149"/>
      <c r="FV66" s="149"/>
      <c r="FW66" s="149"/>
      <c r="FX66" s="149"/>
      <c r="FY66" s="149"/>
      <c r="FZ66" s="149"/>
      <c r="GA66" s="149"/>
      <c r="GB66" s="149"/>
      <c r="GC66" s="149"/>
      <c r="GD66" s="149"/>
      <c r="GE66" s="149"/>
    </row>
    <row r="67" spans="2:187" s="299" customFormat="1">
      <c r="B67" s="291">
        <v>61</v>
      </c>
      <c r="C67" s="413" t="s">
        <v>585</v>
      </c>
      <c r="D67" s="413" t="s">
        <v>648</v>
      </c>
      <c r="E67" s="413" t="s">
        <v>208</v>
      </c>
      <c r="F67" s="413" t="s">
        <v>177</v>
      </c>
      <c r="G67" s="418">
        <v>7</v>
      </c>
      <c r="H67" s="415">
        <v>700000</v>
      </c>
      <c r="I67" s="292">
        <f t="shared" si="0"/>
        <v>131250</v>
      </c>
      <c r="J67" s="238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49"/>
      <c r="DC67" s="149"/>
      <c r="DD67" s="149"/>
      <c r="DE67" s="149"/>
      <c r="DF67" s="149"/>
      <c r="DG67" s="149"/>
      <c r="DH67" s="149"/>
      <c r="DI67" s="149"/>
      <c r="DJ67" s="149"/>
      <c r="DK67" s="149"/>
      <c r="DL67" s="149"/>
      <c r="DM67" s="149"/>
      <c r="DN67" s="149"/>
      <c r="DO67" s="149"/>
      <c r="DP67" s="149"/>
      <c r="DQ67" s="149"/>
      <c r="DR67" s="149"/>
      <c r="DS67" s="149"/>
      <c r="DT67" s="149"/>
      <c r="DU67" s="149"/>
      <c r="DV67" s="149"/>
      <c r="DW67" s="149"/>
      <c r="DX67" s="149"/>
      <c r="DY67" s="149"/>
      <c r="DZ67" s="149"/>
      <c r="EA67" s="149"/>
      <c r="EB67" s="149"/>
      <c r="EC67" s="149"/>
      <c r="ED67" s="149"/>
      <c r="EE67" s="149"/>
      <c r="EF67" s="149"/>
      <c r="EG67" s="149"/>
      <c r="EH67" s="149"/>
      <c r="EI67" s="149"/>
      <c r="EJ67" s="149"/>
      <c r="EK67" s="149"/>
      <c r="EL67" s="149"/>
      <c r="EM67" s="149"/>
      <c r="EN67" s="149"/>
      <c r="EO67" s="149"/>
      <c r="EP67" s="149"/>
      <c r="EQ67" s="149"/>
      <c r="ER67" s="149"/>
      <c r="ES67" s="149"/>
      <c r="ET67" s="149"/>
      <c r="EU67" s="149"/>
      <c r="EV67" s="149"/>
      <c r="EW67" s="149"/>
      <c r="EX67" s="149"/>
      <c r="EY67" s="149"/>
      <c r="EZ67" s="149"/>
      <c r="FA67" s="149"/>
      <c r="FB67" s="149"/>
      <c r="FC67" s="149"/>
      <c r="FD67" s="149"/>
      <c r="FE67" s="149"/>
      <c r="FF67" s="149"/>
      <c r="FG67" s="149"/>
      <c r="FH67" s="149"/>
      <c r="FI67" s="149"/>
      <c r="FJ67" s="149"/>
      <c r="FK67" s="149"/>
      <c r="FL67" s="149"/>
      <c r="FM67" s="149"/>
      <c r="FN67" s="149"/>
      <c r="FO67" s="149"/>
      <c r="FP67" s="149"/>
      <c r="FQ67" s="149"/>
      <c r="FR67" s="149"/>
      <c r="FS67" s="149"/>
      <c r="FT67" s="149"/>
      <c r="FU67" s="149"/>
      <c r="FV67" s="149"/>
      <c r="FW67" s="149"/>
      <c r="FX67" s="149"/>
      <c r="FY67" s="149"/>
      <c r="FZ67" s="149"/>
      <c r="GA67" s="149"/>
      <c r="GB67" s="149"/>
      <c r="GC67" s="149"/>
      <c r="GD67" s="149"/>
      <c r="GE67" s="149"/>
    </row>
    <row r="68" spans="2:187" s="299" customFormat="1">
      <c r="B68" s="291">
        <v>62</v>
      </c>
      <c r="C68" s="413" t="s">
        <v>580</v>
      </c>
      <c r="D68" s="413" t="s">
        <v>649</v>
      </c>
      <c r="E68" s="413" t="s">
        <v>230</v>
      </c>
      <c r="F68" s="413" t="s">
        <v>177</v>
      </c>
      <c r="G68" s="418">
        <v>1</v>
      </c>
      <c r="H68" s="415">
        <v>100000</v>
      </c>
      <c r="I68" s="292">
        <f t="shared" si="0"/>
        <v>18750</v>
      </c>
      <c r="J68" s="238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  <c r="DB68" s="149"/>
      <c r="DC68" s="149"/>
      <c r="DD68" s="149"/>
      <c r="DE68" s="149"/>
      <c r="DF68" s="149"/>
      <c r="DG68" s="149"/>
      <c r="DH68" s="149"/>
      <c r="DI68" s="149"/>
      <c r="DJ68" s="149"/>
      <c r="DK68" s="149"/>
      <c r="DL68" s="149"/>
      <c r="DM68" s="149"/>
      <c r="DN68" s="149"/>
      <c r="DO68" s="149"/>
      <c r="DP68" s="149"/>
      <c r="DQ68" s="149"/>
      <c r="DR68" s="149"/>
      <c r="DS68" s="149"/>
      <c r="DT68" s="149"/>
      <c r="DU68" s="149"/>
      <c r="DV68" s="149"/>
      <c r="DW68" s="149"/>
      <c r="DX68" s="149"/>
      <c r="DY68" s="149"/>
      <c r="DZ68" s="149"/>
      <c r="EA68" s="149"/>
      <c r="EB68" s="149"/>
      <c r="EC68" s="149"/>
      <c r="ED68" s="149"/>
      <c r="EE68" s="149"/>
      <c r="EF68" s="149"/>
      <c r="EG68" s="149"/>
      <c r="EH68" s="149"/>
      <c r="EI68" s="149"/>
      <c r="EJ68" s="149"/>
      <c r="EK68" s="149"/>
      <c r="EL68" s="149"/>
      <c r="EM68" s="149"/>
      <c r="EN68" s="149"/>
      <c r="EO68" s="149"/>
      <c r="EP68" s="149"/>
      <c r="EQ68" s="149"/>
      <c r="ER68" s="149"/>
      <c r="ES68" s="149"/>
      <c r="ET68" s="149"/>
      <c r="EU68" s="149"/>
      <c r="EV68" s="149"/>
      <c r="EW68" s="149"/>
      <c r="EX68" s="149"/>
      <c r="EY68" s="149"/>
      <c r="EZ68" s="149"/>
      <c r="FA68" s="149"/>
      <c r="FB68" s="149"/>
      <c r="FC68" s="149"/>
      <c r="FD68" s="149"/>
      <c r="FE68" s="149"/>
      <c r="FF68" s="149"/>
      <c r="FG68" s="149"/>
      <c r="FH68" s="149"/>
      <c r="FI68" s="149"/>
      <c r="FJ68" s="149"/>
      <c r="FK68" s="149"/>
      <c r="FL68" s="149"/>
      <c r="FM68" s="149"/>
      <c r="FN68" s="149"/>
      <c r="FO68" s="149"/>
      <c r="FP68" s="149"/>
      <c r="FQ68" s="149"/>
      <c r="FR68" s="149"/>
      <c r="FS68" s="149"/>
      <c r="FT68" s="149"/>
      <c r="FU68" s="149"/>
      <c r="FV68" s="149"/>
      <c r="FW68" s="149"/>
      <c r="FX68" s="149"/>
      <c r="FY68" s="149"/>
      <c r="FZ68" s="149"/>
      <c r="GA68" s="149"/>
      <c r="GB68" s="149"/>
      <c r="GC68" s="149"/>
      <c r="GD68" s="149"/>
      <c r="GE68" s="149"/>
    </row>
    <row r="69" spans="2:187" s="299" customFormat="1">
      <c r="B69" s="291">
        <v>63</v>
      </c>
      <c r="C69" s="413" t="s">
        <v>580</v>
      </c>
      <c r="D69" s="413" t="s">
        <v>650</v>
      </c>
      <c r="E69" s="413" t="s">
        <v>199</v>
      </c>
      <c r="F69" s="413" t="s">
        <v>177</v>
      </c>
      <c r="G69" s="418">
        <v>6</v>
      </c>
      <c r="H69" s="415">
        <v>600000</v>
      </c>
      <c r="I69" s="292">
        <f t="shared" si="0"/>
        <v>112500</v>
      </c>
      <c r="J69" s="238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  <c r="EC69" s="149"/>
      <c r="ED69" s="149"/>
      <c r="EE69" s="149"/>
      <c r="EF69" s="149"/>
      <c r="EG69" s="149"/>
      <c r="EH69" s="149"/>
      <c r="EI69" s="149"/>
      <c r="EJ69" s="149"/>
      <c r="EK69" s="149"/>
      <c r="EL69" s="149"/>
      <c r="EM69" s="149"/>
      <c r="EN69" s="149"/>
      <c r="EO69" s="149"/>
      <c r="EP69" s="149"/>
      <c r="EQ69" s="149"/>
      <c r="ER69" s="149"/>
      <c r="ES69" s="149"/>
      <c r="ET69" s="149"/>
      <c r="EU69" s="149"/>
      <c r="EV69" s="149"/>
      <c r="EW69" s="149"/>
      <c r="EX69" s="149"/>
      <c r="EY69" s="149"/>
      <c r="EZ69" s="149"/>
      <c r="FA69" s="149"/>
      <c r="FB69" s="149"/>
      <c r="FC69" s="149"/>
      <c r="FD69" s="149"/>
      <c r="FE69" s="149"/>
      <c r="FF69" s="149"/>
      <c r="FG69" s="149"/>
      <c r="FH69" s="149"/>
      <c r="FI69" s="149"/>
      <c r="FJ69" s="149"/>
      <c r="FK69" s="149"/>
      <c r="FL69" s="149"/>
      <c r="FM69" s="149"/>
      <c r="FN69" s="149"/>
      <c r="FO69" s="149"/>
      <c r="FP69" s="149"/>
      <c r="FQ69" s="149"/>
      <c r="FR69" s="149"/>
      <c r="FS69" s="149"/>
      <c r="FT69" s="149"/>
      <c r="FU69" s="149"/>
      <c r="FV69" s="149"/>
      <c r="FW69" s="149"/>
      <c r="FX69" s="149"/>
      <c r="FY69" s="149"/>
      <c r="FZ69" s="149"/>
      <c r="GA69" s="149"/>
      <c r="GB69" s="149"/>
      <c r="GC69" s="149"/>
      <c r="GD69" s="149"/>
      <c r="GE69" s="149"/>
    </row>
    <row r="70" spans="2:187" s="299" customFormat="1">
      <c r="B70" s="291">
        <v>64</v>
      </c>
      <c r="C70" s="413" t="s">
        <v>560</v>
      </c>
      <c r="D70" s="413" t="s">
        <v>651</v>
      </c>
      <c r="E70" s="413" t="s">
        <v>214</v>
      </c>
      <c r="F70" s="413" t="s">
        <v>177</v>
      </c>
      <c r="G70" s="418">
        <v>1</v>
      </c>
      <c r="H70" s="415">
        <v>100000</v>
      </c>
      <c r="I70" s="292">
        <f t="shared" si="0"/>
        <v>18750</v>
      </c>
      <c r="J70" s="238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149"/>
      <c r="DH70" s="149"/>
      <c r="DI70" s="149"/>
      <c r="DJ70" s="149"/>
      <c r="DK70" s="149"/>
      <c r="DL70" s="149"/>
      <c r="DM70" s="149"/>
      <c r="DN70" s="149"/>
      <c r="DO70" s="149"/>
      <c r="DP70" s="149"/>
      <c r="DQ70" s="149"/>
      <c r="DR70" s="149"/>
      <c r="DS70" s="149"/>
      <c r="DT70" s="149"/>
      <c r="DU70" s="149"/>
      <c r="DV70" s="149"/>
      <c r="DW70" s="149"/>
      <c r="DX70" s="149"/>
      <c r="DY70" s="149"/>
      <c r="DZ70" s="149"/>
      <c r="EA70" s="149"/>
      <c r="EB70" s="149"/>
      <c r="EC70" s="149"/>
      <c r="ED70" s="149"/>
      <c r="EE70" s="149"/>
      <c r="EF70" s="149"/>
      <c r="EG70" s="149"/>
      <c r="EH70" s="149"/>
      <c r="EI70" s="149"/>
      <c r="EJ70" s="149"/>
      <c r="EK70" s="149"/>
      <c r="EL70" s="149"/>
      <c r="EM70" s="149"/>
      <c r="EN70" s="149"/>
      <c r="EO70" s="149"/>
      <c r="EP70" s="149"/>
      <c r="EQ70" s="149"/>
      <c r="ER70" s="149"/>
      <c r="ES70" s="149"/>
      <c r="ET70" s="149"/>
      <c r="EU70" s="149"/>
      <c r="EV70" s="149"/>
      <c r="EW70" s="149"/>
      <c r="EX70" s="149"/>
      <c r="EY70" s="149"/>
      <c r="EZ70" s="149"/>
      <c r="FA70" s="149"/>
      <c r="FB70" s="149"/>
      <c r="FC70" s="149"/>
      <c r="FD70" s="149"/>
      <c r="FE70" s="149"/>
      <c r="FF70" s="149"/>
      <c r="FG70" s="149"/>
      <c r="FH70" s="149"/>
      <c r="FI70" s="149"/>
      <c r="FJ70" s="149"/>
      <c r="FK70" s="149"/>
      <c r="FL70" s="149"/>
      <c r="FM70" s="149"/>
      <c r="FN70" s="149"/>
      <c r="FO70" s="149"/>
      <c r="FP70" s="149"/>
      <c r="FQ70" s="149"/>
      <c r="FR70" s="149"/>
      <c r="FS70" s="149"/>
      <c r="FT70" s="149"/>
      <c r="FU70" s="149"/>
      <c r="FV70" s="149"/>
      <c r="FW70" s="149"/>
      <c r="FX70" s="149"/>
      <c r="FY70" s="149"/>
      <c r="FZ70" s="149"/>
      <c r="GA70" s="149"/>
      <c r="GB70" s="149"/>
      <c r="GC70" s="149"/>
      <c r="GD70" s="149"/>
      <c r="GE70" s="149"/>
    </row>
    <row r="71" spans="2:187" s="299" customFormat="1">
      <c r="B71" s="291">
        <v>65</v>
      </c>
      <c r="C71" s="413" t="s">
        <v>539</v>
      </c>
      <c r="D71" s="413" t="s">
        <v>652</v>
      </c>
      <c r="E71" s="413" t="s">
        <v>208</v>
      </c>
      <c r="F71" s="413" t="s">
        <v>177</v>
      </c>
      <c r="G71" s="418">
        <v>5</v>
      </c>
      <c r="H71" s="415">
        <v>500000</v>
      </c>
      <c r="I71" s="292">
        <f t="shared" si="0"/>
        <v>93750</v>
      </c>
      <c r="J71" s="238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149"/>
      <c r="CV71" s="149"/>
      <c r="CW71" s="149"/>
      <c r="CX71" s="149"/>
      <c r="CY71" s="149"/>
      <c r="CZ71" s="149"/>
      <c r="DA71" s="149"/>
      <c r="DB71" s="149"/>
      <c r="DC71" s="149"/>
      <c r="DD71" s="149"/>
      <c r="DE71" s="149"/>
      <c r="DF71" s="149"/>
      <c r="DG71" s="149"/>
      <c r="DH71" s="149"/>
      <c r="DI71" s="149"/>
      <c r="DJ71" s="149"/>
      <c r="DK71" s="149"/>
      <c r="DL71" s="149"/>
      <c r="DM71" s="149"/>
      <c r="DN71" s="149"/>
      <c r="DO71" s="149"/>
      <c r="DP71" s="149"/>
      <c r="DQ71" s="149"/>
      <c r="DR71" s="149"/>
      <c r="DS71" s="149"/>
      <c r="DT71" s="149"/>
      <c r="DU71" s="149"/>
      <c r="DV71" s="149"/>
      <c r="DW71" s="149"/>
      <c r="DX71" s="149"/>
      <c r="DY71" s="149"/>
      <c r="DZ71" s="149"/>
      <c r="EA71" s="149"/>
      <c r="EB71" s="149"/>
      <c r="EC71" s="149"/>
      <c r="ED71" s="149"/>
      <c r="EE71" s="149"/>
      <c r="EF71" s="149"/>
      <c r="EG71" s="149"/>
      <c r="EH71" s="149"/>
      <c r="EI71" s="149"/>
      <c r="EJ71" s="149"/>
      <c r="EK71" s="149"/>
      <c r="EL71" s="149"/>
      <c r="EM71" s="149"/>
      <c r="EN71" s="149"/>
      <c r="EO71" s="149"/>
      <c r="EP71" s="149"/>
      <c r="EQ71" s="149"/>
      <c r="ER71" s="149"/>
      <c r="ES71" s="149"/>
      <c r="ET71" s="149"/>
      <c r="EU71" s="149"/>
      <c r="EV71" s="149"/>
      <c r="EW71" s="149"/>
      <c r="EX71" s="149"/>
      <c r="EY71" s="149"/>
      <c r="EZ71" s="149"/>
      <c r="FA71" s="149"/>
      <c r="FB71" s="149"/>
      <c r="FC71" s="149"/>
      <c r="FD71" s="149"/>
      <c r="FE71" s="149"/>
      <c r="FF71" s="149"/>
      <c r="FG71" s="149"/>
      <c r="FH71" s="149"/>
      <c r="FI71" s="149"/>
      <c r="FJ71" s="149"/>
      <c r="FK71" s="149"/>
      <c r="FL71" s="149"/>
      <c r="FM71" s="149"/>
      <c r="FN71" s="149"/>
      <c r="FO71" s="149"/>
      <c r="FP71" s="149"/>
      <c r="FQ71" s="149"/>
      <c r="FR71" s="149"/>
      <c r="FS71" s="149"/>
      <c r="FT71" s="149"/>
      <c r="FU71" s="149"/>
      <c r="FV71" s="149"/>
      <c r="FW71" s="149"/>
      <c r="FX71" s="149"/>
      <c r="FY71" s="149"/>
      <c r="FZ71" s="149"/>
      <c r="GA71" s="149"/>
      <c r="GB71" s="149"/>
      <c r="GC71" s="149"/>
      <c r="GD71" s="149"/>
      <c r="GE71" s="149"/>
    </row>
    <row r="72" spans="2:187" s="149" customFormat="1">
      <c r="B72" s="291">
        <v>66</v>
      </c>
      <c r="C72" s="413" t="s">
        <v>535</v>
      </c>
      <c r="D72" s="413" t="s">
        <v>642</v>
      </c>
      <c r="E72" s="413" t="s">
        <v>190</v>
      </c>
      <c r="F72" s="413" t="s">
        <v>180</v>
      </c>
      <c r="G72" s="418">
        <v>3</v>
      </c>
      <c r="H72" s="415">
        <v>300000</v>
      </c>
      <c r="I72" s="292">
        <f t="shared" ref="I72:I135" si="1">H72*25%*75%</f>
        <v>56250</v>
      </c>
      <c r="J72" s="238"/>
    </row>
    <row r="73" spans="2:187" s="299" customFormat="1">
      <c r="B73" s="291">
        <v>67</v>
      </c>
      <c r="C73" s="413" t="s">
        <v>606</v>
      </c>
      <c r="D73" s="413" t="s">
        <v>653</v>
      </c>
      <c r="E73" s="413" t="s">
        <v>215</v>
      </c>
      <c r="F73" s="413" t="s">
        <v>180</v>
      </c>
      <c r="G73" s="418">
        <v>7</v>
      </c>
      <c r="H73" s="415">
        <v>700000</v>
      </c>
      <c r="I73" s="292">
        <f t="shared" si="1"/>
        <v>131250</v>
      </c>
      <c r="J73" s="238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  <c r="CS73" s="149"/>
      <c r="CT73" s="149"/>
      <c r="CU73" s="149"/>
      <c r="CV73" s="149"/>
      <c r="CW73" s="149"/>
      <c r="CX73" s="149"/>
      <c r="CY73" s="149"/>
      <c r="CZ73" s="149"/>
      <c r="DA73" s="149"/>
      <c r="DB73" s="149"/>
      <c r="DC73" s="149"/>
      <c r="DD73" s="149"/>
      <c r="DE73" s="149"/>
      <c r="DF73" s="149"/>
      <c r="DG73" s="149"/>
      <c r="DH73" s="149"/>
      <c r="DI73" s="149"/>
      <c r="DJ73" s="149"/>
      <c r="DK73" s="149"/>
      <c r="DL73" s="149"/>
      <c r="DM73" s="149"/>
      <c r="DN73" s="149"/>
      <c r="DO73" s="149"/>
      <c r="DP73" s="149"/>
      <c r="DQ73" s="149"/>
      <c r="DR73" s="149"/>
      <c r="DS73" s="149"/>
      <c r="DT73" s="149"/>
      <c r="DU73" s="149"/>
      <c r="DV73" s="149"/>
      <c r="DW73" s="149"/>
      <c r="DX73" s="149"/>
      <c r="DY73" s="149"/>
      <c r="DZ73" s="149"/>
      <c r="EA73" s="149"/>
      <c r="EB73" s="149"/>
      <c r="EC73" s="149"/>
      <c r="ED73" s="149"/>
      <c r="EE73" s="149"/>
      <c r="EF73" s="149"/>
      <c r="EG73" s="149"/>
      <c r="EH73" s="149"/>
      <c r="EI73" s="149"/>
      <c r="EJ73" s="149"/>
      <c r="EK73" s="149"/>
      <c r="EL73" s="149"/>
      <c r="EM73" s="149"/>
      <c r="EN73" s="149"/>
      <c r="EO73" s="149"/>
      <c r="EP73" s="149"/>
      <c r="EQ73" s="149"/>
      <c r="ER73" s="149"/>
      <c r="ES73" s="149"/>
      <c r="ET73" s="149"/>
      <c r="EU73" s="149"/>
      <c r="EV73" s="149"/>
      <c r="EW73" s="149"/>
      <c r="EX73" s="149"/>
      <c r="EY73" s="149"/>
      <c r="EZ73" s="149"/>
      <c r="FA73" s="149"/>
      <c r="FB73" s="149"/>
      <c r="FC73" s="149"/>
      <c r="FD73" s="149"/>
      <c r="FE73" s="149"/>
      <c r="FF73" s="149"/>
      <c r="FG73" s="149"/>
      <c r="FH73" s="149"/>
      <c r="FI73" s="149"/>
      <c r="FJ73" s="149"/>
      <c r="FK73" s="149"/>
      <c r="FL73" s="149"/>
      <c r="FM73" s="149"/>
      <c r="FN73" s="149"/>
      <c r="FO73" s="149"/>
      <c r="FP73" s="149"/>
      <c r="FQ73" s="149"/>
      <c r="FR73" s="149"/>
      <c r="FS73" s="149"/>
      <c r="FT73" s="149"/>
      <c r="FU73" s="149"/>
      <c r="FV73" s="149"/>
      <c r="FW73" s="149"/>
      <c r="FX73" s="149"/>
      <c r="FY73" s="149"/>
      <c r="FZ73" s="149"/>
      <c r="GA73" s="149"/>
      <c r="GB73" s="149"/>
      <c r="GC73" s="149"/>
      <c r="GD73" s="149"/>
      <c r="GE73" s="149"/>
    </row>
    <row r="74" spans="2:187" s="299" customFormat="1">
      <c r="B74" s="291">
        <v>68</v>
      </c>
      <c r="C74" s="413" t="s">
        <v>544</v>
      </c>
      <c r="D74" s="413" t="s">
        <v>641</v>
      </c>
      <c r="E74" s="413" t="s">
        <v>199</v>
      </c>
      <c r="F74" s="413" t="s">
        <v>225</v>
      </c>
      <c r="G74" s="418">
        <v>1</v>
      </c>
      <c r="H74" s="415">
        <v>200000</v>
      </c>
      <c r="I74" s="292">
        <f t="shared" si="1"/>
        <v>37500</v>
      </c>
      <c r="J74" s="238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49"/>
      <c r="DB74" s="149"/>
      <c r="DC74" s="149"/>
      <c r="DD74" s="149"/>
      <c r="DE74" s="149"/>
      <c r="DF74" s="149"/>
      <c r="DG74" s="149"/>
      <c r="DH74" s="149"/>
      <c r="DI74" s="149"/>
      <c r="DJ74" s="149"/>
      <c r="DK74" s="149"/>
      <c r="DL74" s="149"/>
      <c r="DM74" s="149"/>
      <c r="DN74" s="149"/>
      <c r="DO74" s="149"/>
      <c r="DP74" s="149"/>
      <c r="DQ74" s="149"/>
      <c r="DR74" s="149"/>
      <c r="DS74" s="149"/>
      <c r="DT74" s="149"/>
      <c r="DU74" s="149"/>
      <c r="DV74" s="149"/>
      <c r="DW74" s="149"/>
      <c r="DX74" s="149"/>
      <c r="DY74" s="149"/>
      <c r="DZ74" s="149"/>
      <c r="EA74" s="149"/>
      <c r="EB74" s="149"/>
      <c r="EC74" s="149"/>
      <c r="ED74" s="149"/>
      <c r="EE74" s="149"/>
      <c r="EF74" s="149"/>
      <c r="EG74" s="149"/>
      <c r="EH74" s="149"/>
      <c r="EI74" s="149"/>
      <c r="EJ74" s="149"/>
      <c r="EK74" s="149"/>
      <c r="EL74" s="149"/>
      <c r="EM74" s="149"/>
      <c r="EN74" s="149"/>
      <c r="EO74" s="149"/>
      <c r="EP74" s="149"/>
      <c r="EQ74" s="149"/>
      <c r="ER74" s="149"/>
      <c r="ES74" s="149"/>
      <c r="ET74" s="149"/>
      <c r="EU74" s="149"/>
      <c r="EV74" s="149"/>
      <c r="EW74" s="149"/>
      <c r="EX74" s="149"/>
      <c r="EY74" s="149"/>
      <c r="EZ74" s="149"/>
      <c r="FA74" s="149"/>
      <c r="FB74" s="149"/>
      <c r="FC74" s="149"/>
      <c r="FD74" s="149"/>
      <c r="FE74" s="149"/>
      <c r="FF74" s="149"/>
      <c r="FG74" s="149"/>
      <c r="FH74" s="149"/>
      <c r="FI74" s="149"/>
      <c r="FJ74" s="149"/>
      <c r="FK74" s="149"/>
      <c r="FL74" s="149"/>
      <c r="FM74" s="149"/>
      <c r="FN74" s="149"/>
      <c r="FO74" s="149"/>
      <c r="FP74" s="149"/>
      <c r="FQ74" s="149"/>
      <c r="FR74" s="149"/>
      <c r="FS74" s="149"/>
      <c r="FT74" s="149"/>
      <c r="FU74" s="149"/>
      <c r="FV74" s="149"/>
      <c r="FW74" s="149"/>
      <c r="FX74" s="149"/>
      <c r="FY74" s="149"/>
      <c r="FZ74" s="149"/>
      <c r="GA74" s="149"/>
      <c r="GB74" s="149"/>
      <c r="GC74" s="149"/>
      <c r="GD74" s="149"/>
      <c r="GE74" s="149"/>
    </row>
    <row r="75" spans="2:187" s="299" customFormat="1">
      <c r="B75" s="291">
        <v>69</v>
      </c>
      <c r="C75" s="413" t="s">
        <v>553</v>
      </c>
      <c r="D75" s="413" t="s">
        <v>654</v>
      </c>
      <c r="E75" s="413" t="s">
        <v>350</v>
      </c>
      <c r="F75" s="413" t="s">
        <v>180</v>
      </c>
      <c r="G75" s="418">
        <v>2</v>
      </c>
      <c r="H75" s="415">
        <v>200000</v>
      </c>
      <c r="I75" s="292">
        <f t="shared" si="1"/>
        <v>37500</v>
      </c>
      <c r="J75" s="326"/>
    </row>
    <row r="76" spans="2:187" s="299" customFormat="1">
      <c r="B76" s="291">
        <v>70</v>
      </c>
      <c r="C76" s="413" t="s">
        <v>430</v>
      </c>
      <c r="D76" s="413" t="s">
        <v>630</v>
      </c>
      <c r="E76" s="413" t="s">
        <v>196</v>
      </c>
      <c r="F76" s="413" t="s">
        <v>182</v>
      </c>
      <c r="G76" s="418">
        <v>1</v>
      </c>
      <c r="H76" s="415">
        <v>40300</v>
      </c>
      <c r="I76" s="292">
        <f t="shared" si="1"/>
        <v>7556.25</v>
      </c>
      <c r="J76" s="238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149"/>
      <c r="DH76" s="149"/>
      <c r="DI76" s="149"/>
      <c r="DJ76" s="149"/>
      <c r="DK76" s="149"/>
      <c r="DL76" s="149"/>
      <c r="DM76" s="149"/>
      <c r="DN76" s="149"/>
      <c r="DO76" s="149"/>
      <c r="DP76" s="149"/>
      <c r="DQ76" s="149"/>
      <c r="DR76" s="149"/>
      <c r="DS76" s="149"/>
      <c r="DT76" s="149"/>
      <c r="DU76" s="149"/>
      <c r="DV76" s="149"/>
      <c r="DW76" s="149"/>
      <c r="DX76" s="149"/>
      <c r="DY76" s="149"/>
      <c r="DZ76" s="149"/>
      <c r="EA76" s="149"/>
      <c r="EB76" s="149"/>
      <c r="EC76" s="149"/>
      <c r="ED76" s="149"/>
      <c r="EE76" s="149"/>
      <c r="EF76" s="149"/>
      <c r="EG76" s="149"/>
      <c r="EH76" s="149"/>
      <c r="EI76" s="149"/>
      <c r="EJ76" s="149"/>
      <c r="EK76" s="149"/>
      <c r="EL76" s="149"/>
      <c r="EM76" s="149"/>
      <c r="EN76" s="149"/>
      <c r="EO76" s="149"/>
      <c r="EP76" s="149"/>
      <c r="EQ76" s="149"/>
      <c r="ER76" s="149"/>
      <c r="ES76" s="149"/>
      <c r="ET76" s="149"/>
      <c r="EU76" s="149"/>
      <c r="EV76" s="149"/>
      <c r="EW76" s="149"/>
      <c r="EX76" s="149"/>
      <c r="EY76" s="149"/>
      <c r="EZ76" s="149"/>
      <c r="FA76" s="149"/>
      <c r="FB76" s="149"/>
      <c r="FC76" s="149"/>
      <c r="FD76" s="149"/>
      <c r="FE76" s="149"/>
      <c r="FF76" s="149"/>
      <c r="FG76" s="149"/>
      <c r="FH76" s="149"/>
      <c r="FI76" s="149"/>
      <c r="FJ76" s="149"/>
      <c r="FK76" s="149"/>
      <c r="FL76" s="149"/>
      <c r="FM76" s="149"/>
      <c r="FN76" s="149"/>
      <c r="FO76" s="149"/>
      <c r="FP76" s="149"/>
      <c r="FQ76" s="149"/>
      <c r="FR76" s="149"/>
      <c r="FS76" s="149"/>
      <c r="FT76" s="149"/>
      <c r="FU76" s="149"/>
      <c r="FV76" s="149"/>
      <c r="FW76" s="149"/>
      <c r="FX76" s="149"/>
      <c r="FY76" s="149"/>
      <c r="FZ76" s="149"/>
      <c r="GA76" s="149"/>
      <c r="GB76" s="149"/>
      <c r="GC76" s="149"/>
      <c r="GD76" s="149"/>
      <c r="GE76" s="149"/>
    </row>
    <row r="77" spans="2:187" s="299" customFormat="1">
      <c r="B77" s="291">
        <v>71</v>
      </c>
      <c r="C77" s="413" t="s">
        <v>567</v>
      </c>
      <c r="D77" s="413" t="s">
        <v>655</v>
      </c>
      <c r="E77" s="413" t="s">
        <v>238</v>
      </c>
      <c r="F77" s="413" t="s">
        <v>177</v>
      </c>
      <c r="G77" s="418">
        <v>3</v>
      </c>
      <c r="H77" s="415">
        <v>300000</v>
      </c>
      <c r="I77" s="292">
        <f t="shared" si="1"/>
        <v>56250</v>
      </c>
      <c r="J77" s="238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49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49"/>
      <c r="CN77" s="149"/>
      <c r="CO77" s="149"/>
      <c r="CP77" s="149"/>
      <c r="CQ77" s="149"/>
      <c r="CR77" s="149"/>
      <c r="CS77" s="149"/>
      <c r="CT77" s="149"/>
      <c r="CU77" s="149"/>
      <c r="CV77" s="149"/>
      <c r="CW77" s="149"/>
      <c r="CX77" s="149"/>
      <c r="CY77" s="149"/>
      <c r="CZ77" s="149"/>
      <c r="DA77" s="149"/>
      <c r="DB77" s="149"/>
      <c r="DC77" s="149"/>
      <c r="DD77" s="149"/>
      <c r="DE77" s="149"/>
      <c r="DF77" s="149"/>
      <c r="DG77" s="149"/>
      <c r="DH77" s="149"/>
      <c r="DI77" s="149"/>
      <c r="DJ77" s="149"/>
      <c r="DK77" s="149"/>
      <c r="DL77" s="149"/>
      <c r="DM77" s="149"/>
      <c r="DN77" s="149"/>
      <c r="DO77" s="149"/>
      <c r="DP77" s="149"/>
      <c r="DQ77" s="149"/>
      <c r="DR77" s="149"/>
      <c r="DS77" s="149"/>
      <c r="DT77" s="149"/>
      <c r="DU77" s="149"/>
      <c r="DV77" s="149"/>
      <c r="DW77" s="149"/>
      <c r="DX77" s="149"/>
      <c r="DY77" s="149"/>
      <c r="DZ77" s="149"/>
      <c r="EA77" s="149"/>
      <c r="EB77" s="149"/>
      <c r="EC77" s="149"/>
      <c r="ED77" s="149"/>
      <c r="EE77" s="149"/>
      <c r="EF77" s="149"/>
      <c r="EG77" s="149"/>
      <c r="EH77" s="149"/>
      <c r="EI77" s="149"/>
      <c r="EJ77" s="149"/>
      <c r="EK77" s="149"/>
      <c r="EL77" s="149"/>
      <c r="EM77" s="149"/>
      <c r="EN77" s="149"/>
      <c r="EO77" s="149"/>
      <c r="EP77" s="149"/>
      <c r="EQ77" s="149"/>
      <c r="ER77" s="149"/>
      <c r="ES77" s="149"/>
      <c r="ET77" s="149"/>
      <c r="EU77" s="149"/>
      <c r="EV77" s="149"/>
      <c r="EW77" s="149"/>
      <c r="EX77" s="149"/>
      <c r="EY77" s="149"/>
      <c r="EZ77" s="149"/>
      <c r="FA77" s="149"/>
      <c r="FB77" s="149"/>
      <c r="FC77" s="149"/>
      <c r="FD77" s="149"/>
      <c r="FE77" s="149"/>
      <c r="FF77" s="149"/>
      <c r="FG77" s="149"/>
      <c r="FH77" s="149"/>
      <c r="FI77" s="149"/>
      <c r="FJ77" s="149"/>
      <c r="FK77" s="149"/>
      <c r="FL77" s="149"/>
      <c r="FM77" s="149"/>
      <c r="FN77" s="149"/>
      <c r="FO77" s="149"/>
      <c r="FP77" s="149"/>
      <c r="FQ77" s="149"/>
      <c r="FR77" s="149"/>
      <c r="FS77" s="149"/>
      <c r="FT77" s="149"/>
      <c r="FU77" s="149"/>
      <c r="FV77" s="149"/>
      <c r="FW77" s="149"/>
      <c r="FX77" s="149"/>
      <c r="FY77" s="149"/>
      <c r="FZ77" s="149"/>
      <c r="GA77" s="149"/>
      <c r="GB77" s="149"/>
      <c r="GC77" s="149"/>
      <c r="GD77" s="149"/>
      <c r="GE77" s="149"/>
    </row>
    <row r="78" spans="2:187" s="299" customFormat="1">
      <c r="B78" s="291">
        <v>72</v>
      </c>
      <c r="C78" s="413" t="s">
        <v>577</v>
      </c>
      <c r="D78" s="413" t="s">
        <v>656</v>
      </c>
      <c r="E78" s="413" t="s">
        <v>219</v>
      </c>
      <c r="F78" s="413" t="s">
        <v>177</v>
      </c>
      <c r="G78" s="418">
        <v>3</v>
      </c>
      <c r="H78" s="415">
        <v>300000</v>
      </c>
      <c r="I78" s="292">
        <f t="shared" si="1"/>
        <v>56250</v>
      </c>
      <c r="J78" s="238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49"/>
      <c r="BX78" s="149"/>
      <c r="BY78" s="149"/>
      <c r="BZ78" s="149"/>
      <c r="CA78" s="149"/>
      <c r="CB78" s="149"/>
      <c r="CC78" s="149"/>
      <c r="CD78" s="149"/>
      <c r="CE78" s="149"/>
      <c r="CF78" s="149"/>
      <c r="CG78" s="149"/>
      <c r="CH78" s="149"/>
      <c r="CI78" s="149"/>
      <c r="CJ78" s="149"/>
      <c r="CK78" s="149"/>
      <c r="CL78" s="149"/>
      <c r="CM78" s="149"/>
      <c r="CN78" s="149"/>
      <c r="CO78" s="149"/>
      <c r="CP78" s="149"/>
      <c r="CQ78" s="149"/>
      <c r="CR78" s="149"/>
      <c r="CS78" s="149"/>
      <c r="CT78" s="149"/>
      <c r="CU78" s="149"/>
      <c r="CV78" s="149"/>
      <c r="CW78" s="149"/>
      <c r="CX78" s="149"/>
      <c r="CY78" s="149"/>
      <c r="CZ78" s="149"/>
      <c r="DA78" s="149"/>
      <c r="DB78" s="149"/>
      <c r="DC78" s="149"/>
      <c r="DD78" s="149"/>
      <c r="DE78" s="149"/>
      <c r="DF78" s="149"/>
      <c r="DG78" s="149"/>
      <c r="DH78" s="149"/>
      <c r="DI78" s="149"/>
      <c r="DJ78" s="149"/>
      <c r="DK78" s="149"/>
      <c r="DL78" s="149"/>
      <c r="DM78" s="149"/>
      <c r="DN78" s="149"/>
      <c r="DO78" s="149"/>
      <c r="DP78" s="149"/>
      <c r="DQ78" s="149"/>
      <c r="DR78" s="149"/>
      <c r="DS78" s="149"/>
      <c r="DT78" s="149"/>
      <c r="DU78" s="149"/>
      <c r="DV78" s="149"/>
      <c r="DW78" s="149"/>
      <c r="DX78" s="149"/>
      <c r="DY78" s="149"/>
      <c r="DZ78" s="149"/>
      <c r="EA78" s="149"/>
      <c r="EB78" s="149"/>
      <c r="EC78" s="149"/>
      <c r="ED78" s="149"/>
      <c r="EE78" s="149"/>
      <c r="EF78" s="149"/>
      <c r="EG78" s="149"/>
      <c r="EH78" s="149"/>
      <c r="EI78" s="149"/>
      <c r="EJ78" s="149"/>
      <c r="EK78" s="149"/>
      <c r="EL78" s="149"/>
      <c r="EM78" s="149"/>
      <c r="EN78" s="149"/>
      <c r="EO78" s="149"/>
      <c r="EP78" s="149"/>
      <c r="EQ78" s="149"/>
      <c r="ER78" s="149"/>
      <c r="ES78" s="149"/>
      <c r="ET78" s="149"/>
      <c r="EU78" s="149"/>
      <c r="EV78" s="149"/>
      <c r="EW78" s="149"/>
      <c r="EX78" s="149"/>
      <c r="EY78" s="149"/>
      <c r="EZ78" s="149"/>
      <c r="FA78" s="149"/>
      <c r="FB78" s="149"/>
      <c r="FC78" s="149"/>
      <c r="FD78" s="149"/>
      <c r="FE78" s="149"/>
      <c r="FF78" s="149"/>
      <c r="FG78" s="149"/>
      <c r="FH78" s="149"/>
      <c r="FI78" s="149"/>
      <c r="FJ78" s="149"/>
      <c r="FK78" s="149"/>
      <c r="FL78" s="149"/>
      <c r="FM78" s="149"/>
      <c r="FN78" s="149"/>
      <c r="FO78" s="149"/>
      <c r="FP78" s="149"/>
      <c r="FQ78" s="149"/>
      <c r="FR78" s="149"/>
      <c r="FS78" s="149"/>
      <c r="FT78" s="149"/>
      <c r="FU78" s="149"/>
      <c r="FV78" s="149"/>
      <c r="FW78" s="149"/>
      <c r="FX78" s="149"/>
      <c r="FY78" s="149"/>
      <c r="FZ78" s="149"/>
      <c r="GA78" s="149"/>
      <c r="GB78" s="149"/>
      <c r="GC78" s="149"/>
      <c r="GD78" s="149"/>
      <c r="GE78" s="149"/>
    </row>
    <row r="79" spans="2:187" s="299" customFormat="1">
      <c r="B79" s="291">
        <v>73</v>
      </c>
      <c r="C79" s="413" t="s">
        <v>567</v>
      </c>
      <c r="D79" s="413" t="s">
        <v>657</v>
      </c>
      <c r="E79" s="413" t="s">
        <v>183</v>
      </c>
      <c r="F79" s="413" t="s">
        <v>177</v>
      </c>
      <c r="G79" s="418">
        <v>5</v>
      </c>
      <c r="H79" s="415">
        <v>500000</v>
      </c>
      <c r="I79" s="292">
        <f t="shared" si="1"/>
        <v>93750</v>
      </c>
      <c r="J79" s="326"/>
    </row>
    <row r="80" spans="2:187" s="299" customFormat="1">
      <c r="B80" s="291">
        <v>74</v>
      </c>
      <c r="C80" s="413" t="s">
        <v>512</v>
      </c>
      <c r="D80" s="413" t="s">
        <v>658</v>
      </c>
      <c r="E80" s="413" t="s">
        <v>208</v>
      </c>
      <c r="F80" s="413" t="s">
        <v>308</v>
      </c>
      <c r="G80" s="418">
        <v>1</v>
      </c>
      <c r="H80" s="415">
        <v>101800</v>
      </c>
      <c r="I80" s="292">
        <f t="shared" si="1"/>
        <v>19087.5</v>
      </c>
      <c r="J80" s="326"/>
    </row>
    <row r="81" spans="2:187" s="299" customFormat="1">
      <c r="B81" s="291">
        <v>75</v>
      </c>
      <c r="C81" s="413" t="s">
        <v>544</v>
      </c>
      <c r="D81" s="413" t="s">
        <v>622</v>
      </c>
      <c r="E81" s="413" t="s">
        <v>179</v>
      </c>
      <c r="F81" s="413" t="s">
        <v>182</v>
      </c>
      <c r="G81" s="418">
        <v>1</v>
      </c>
      <c r="H81" s="415">
        <v>40300</v>
      </c>
      <c r="I81" s="292">
        <f t="shared" si="1"/>
        <v>7556.25</v>
      </c>
      <c r="J81" s="326"/>
    </row>
    <row r="82" spans="2:187" s="299" customFormat="1">
      <c r="B82" s="291">
        <v>76</v>
      </c>
      <c r="C82" s="413" t="s">
        <v>580</v>
      </c>
      <c r="D82" s="413" t="s">
        <v>659</v>
      </c>
      <c r="E82" s="413" t="s">
        <v>202</v>
      </c>
      <c r="F82" s="413" t="s">
        <v>177</v>
      </c>
      <c r="G82" s="418">
        <v>2</v>
      </c>
      <c r="H82" s="415">
        <v>200000</v>
      </c>
      <c r="I82" s="292">
        <f t="shared" si="1"/>
        <v>37500</v>
      </c>
      <c r="J82" s="238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149"/>
      <c r="CP82" s="149"/>
      <c r="CQ82" s="149"/>
      <c r="CR82" s="149"/>
      <c r="CS82" s="149"/>
      <c r="CT82" s="149"/>
      <c r="CU82" s="149"/>
      <c r="CV82" s="149"/>
      <c r="CW82" s="149"/>
      <c r="CX82" s="149"/>
      <c r="CY82" s="149"/>
      <c r="CZ82" s="149"/>
      <c r="DA82" s="149"/>
      <c r="DB82" s="149"/>
      <c r="DC82" s="149"/>
      <c r="DD82" s="149"/>
      <c r="DE82" s="149"/>
      <c r="DF82" s="149"/>
      <c r="DG82" s="149"/>
      <c r="DH82" s="149"/>
      <c r="DI82" s="149"/>
      <c r="DJ82" s="149"/>
      <c r="DK82" s="149"/>
      <c r="DL82" s="149"/>
      <c r="DM82" s="149"/>
      <c r="DN82" s="149"/>
      <c r="DO82" s="149"/>
      <c r="DP82" s="149"/>
      <c r="DQ82" s="149"/>
      <c r="DR82" s="149"/>
      <c r="DS82" s="149"/>
      <c r="DT82" s="149"/>
      <c r="DU82" s="149"/>
      <c r="DV82" s="149"/>
      <c r="DW82" s="149"/>
      <c r="DX82" s="149"/>
      <c r="DY82" s="149"/>
      <c r="DZ82" s="149"/>
      <c r="EA82" s="149"/>
      <c r="EB82" s="149"/>
      <c r="EC82" s="149"/>
      <c r="ED82" s="149"/>
      <c r="EE82" s="149"/>
      <c r="EF82" s="149"/>
      <c r="EG82" s="149"/>
      <c r="EH82" s="149"/>
      <c r="EI82" s="149"/>
      <c r="EJ82" s="149"/>
      <c r="EK82" s="149"/>
      <c r="EL82" s="149"/>
      <c r="EM82" s="149"/>
      <c r="EN82" s="149"/>
      <c r="EO82" s="149"/>
      <c r="EP82" s="149"/>
      <c r="EQ82" s="149"/>
      <c r="ER82" s="149"/>
      <c r="ES82" s="149"/>
      <c r="ET82" s="149"/>
      <c r="EU82" s="149"/>
      <c r="EV82" s="149"/>
      <c r="EW82" s="149"/>
      <c r="EX82" s="149"/>
      <c r="EY82" s="149"/>
      <c r="EZ82" s="149"/>
      <c r="FA82" s="149"/>
      <c r="FB82" s="149"/>
      <c r="FC82" s="149"/>
      <c r="FD82" s="149"/>
      <c r="FE82" s="149"/>
      <c r="FF82" s="149"/>
      <c r="FG82" s="149"/>
      <c r="FH82" s="149"/>
      <c r="FI82" s="149"/>
      <c r="FJ82" s="149"/>
      <c r="FK82" s="149"/>
      <c r="FL82" s="149"/>
      <c r="FM82" s="149"/>
      <c r="FN82" s="149"/>
      <c r="FO82" s="149"/>
      <c r="FP82" s="149"/>
      <c r="FQ82" s="149"/>
      <c r="FR82" s="149"/>
      <c r="FS82" s="149"/>
      <c r="FT82" s="149"/>
      <c r="FU82" s="149"/>
      <c r="FV82" s="149"/>
      <c r="FW82" s="149"/>
      <c r="FX82" s="149"/>
      <c r="FY82" s="149"/>
      <c r="FZ82" s="149"/>
      <c r="GA82" s="149"/>
      <c r="GB82" s="149"/>
      <c r="GC82" s="149"/>
      <c r="GD82" s="149"/>
      <c r="GE82" s="149"/>
    </row>
    <row r="83" spans="2:187" s="299" customFormat="1">
      <c r="B83" s="291">
        <v>77</v>
      </c>
      <c r="C83" s="413" t="s">
        <v>585</v>
      </c>
      <c r="D83" s="413" t="s">
        <v>611</v>
      </c>
      <c r="E83" s="413" t="s">
        <v>206</v>
      </c>
      <c r="F83" s="413" t="s">
        <v>177</v>
      </c>
      <c r="G83" s="418">
        <v>7</v>
      </c>
      <c r="H83" s="415">
        <v>700000</v>
      </c>
      <c r="I83" s="292">
        <f t="shared" si="1"/>
        <v>131250</v>
      </c>
      <c r="J83" s="238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  <c r="CS83" s="149"/>
      <c r="CT83" s="149"/>
      <c r="CU83" s="149"/>
      <c r="CV83" s="149"/>
      <c r="CW83" s="149"/>
      <c r="CX83" s="149"/>
      <c r="CY83" s="149"/>
      <c r="CZ83" s="149"/>
      <c r="DA83" s="149"/>
      <c r="DB83" s="149"/>
      <c r="DC83" s="149"/>
      <c r="DD83" s="149"/>
      <c r="DE83" s="149"/>
      <c r="DF83" s="149"/>
      <c r="DG83" s="149"/>
      <c r="DH83" s="149"/>
      <c r="DI83" s="149"/>
      <c r="DJ83" s="149"/>
      <c r="DK83" s="149"/>
      <c r="DL83" s="149"/>
      <c r="DM83" s="149"/>
      <c r="DN83" s="149"/>
      <c r="DO83" s="149"/>
      <c r="DP83" s="149"/>
      <c r="DQ83" s="149"/>
      <c r="DR83" s="149"/>
      <c r="DS83" s="149"/>
      <c r="DT83" s="149"/>
      <c r="DU83" s="149"/>
      <c r="DV83" s="149"/>
      <c r="DW83" s="149"/>
      <c r="DX83" s="149"/>
      <c r="DY83" s="149"/>
      <c r="DZ83" s="149"/>
      <c r="EA83" s="149"/>
      <c r="EB83" s="149"/>
      <c r="EC83" s="149"/>
      <c r="ED83" s="149"/>
      <c r="EE83" s="149"/>
      <c r="EF83" s="149"/>
      <c r="EG83" s="149"/>
      <c r="EH83" s="149"/>
      <c r="EI83" s="149"/>
      <c r="EJ83" s="149"/>
      <c r="EK83" s="149"/>
      <c r="EL83" s="149"/>
      <c r="EM83" s="149"/>
      <c r="EN83" s="149"/>
      <c r="EO83" s="149"/>
      <c r="EP83" s="149"/>
      <c r="EQ83" s="149"/>
      <c r="ER83" s="149"/>
      <c r="ES83" s="149"/>
      <c r="ET83" s="149"/>
      <c r="EU83" s="149"/>
      <c r="EV83" s="149"/>
      <c r="EW83" s="149"/>
      <c r="EX83" s="149"/>
      <c r="EY83" s="149"/>
      <c r="EZ83" s="149"/>
      <c r="FA83" s="149"/>
      <c r="FB83" s="149"/>
      <c r="FC83" s="149"/>
      <c r="FD83" s="149"/>
      <c r="FE83" s="149"/>
      <c r="FF83" s="149"/>
      <c r="FG83" s="149"/>
      <c r="FH83" s="149"/>
      <c r="FI83" s="149"/>
      <c r="FJ83" s="149"/>
      <c r="FK83" s="149"/>
      <c r="FL83" s="149"/>
      <c r="FM83" s="149"/>
      <c r="FN83" s="149"/>
      <c r="FO83" s="149"/>
      <c r="FP83" s="149"/>
      <c r="FQ83" s="149"/>
      <c r="FR83" s="149"/>
      <c r="FS83" s="149"/>
      <c r="FT83" s="149"/>
      <c r="FU83" s="149"/>
      <c r="FV83" s="149"/>
      <c r="FW83" s="149"/>
      <c r="FX83" s="149"/>
      <c r="FY83" s="149"/>
      <c r="FZ83" s="149"/>
      <c r="GA83" s="149"/>
      <c r="GB83" s="149"/>
      <c r="GC83" s="149"/>
      <c r="GD83" s="149"/>
      <c r="GE83" s="149"/>
    </row>
    <row r="84" spans="2:187" s="181" customFormat="1">
      <c r="B84" s="291">
        <v>78</v>
      </c>
      <c r="C84" s="402" t="s">
        <v>567</v>
      </c>
      <c r="D84" s="402" t="s">
        <v>660</v>
      </c>
      <c r="E84" s="402" t="s">
        <v>190</v>
      </c>
      <c r="F84" s="402" t="s">
        <v>177</v>
      </c>
      <c r="G84" s="403">
        <v>3</v>
      </c>
      <c r="H84" s="404">
        <v>300000</v>
      </c>
      <c r="I84" s="420">
        <f t="shared" si="1"/>
        <v>56250</v>
      </c>
      <c r="J84" s="421"/>
    </row>
    <row r="85" spans="2:187" s="181" customFormat="1">
      <c r="B85" s="291">
        <v>79</v>
      </c>
      <c r="C85" s="402" t="s">
        <v>606</v>
      </c>
      <c r="D85" s="402" t="s">
        <v>653</v>
      </c>
      <c r="E85" s="402" t="s">
        <v>215</v>
      </c>
      <c r="F85" s="402" t="s">
        <v>308</v>
      </c>
      <c r="G85" s="403">
        <v>1</v>
      </c>
      <c r="H85" s="404">
        <v>101800</v>
      </c>
      <c r="I85" s="420">
        <f t="shared" si="1"/>
        <v>19087.5</v>
      </c>
      <c r="J85" s="421"/>
    </row>
    <row r="86" spans="2:187" s="181" customFormat="1">
      <c r="B86" s="291">
        <v>80</v>
      </c>
      <c r="C86" s="402" t="s">
        <v>582</v>
      </c>
      <c r="D86" s="402" t="s">
        <v>661</v>
      </c>
      <c r="E86" s="402" t="s">
        <v>211</v>
      </c>
      <c r="F86" s="402" t="s">
        <v>177</v>
      </c>
      <c r="G86" s="403">
        <v>4</v>
      </c>
      <c r="H86" s="404">
        <v>400000</v>
      </c>
      <c r="I86" s="420">
        <f t="shared" si="1"/>
        <v>75000</v>
      </c>
      <c r="J86" s="421"/>
    </row>
    <row r="87" spans="2:187" s="181" customFormat="1">
      <c r="B87" s="291">
        <v>81</v>
      </c>
      <c r="C87" s="402" t="s">
        <v>585</v>
      </c>
      <c r="D87" s="402" t="s">
        <v>662</v>
      </c>
      <c r="E87" s="402" t="s">
        <v>238</v>
      </c>
      <c r="F87" s="402" t="s">
        <v>182</v>
      </c>
      <c r="G87" s="403">
        <v>1</v>
      </c>
      <c r="H87" s="404">
        <v>40300</v>
      </c>
      <c r="I87" s="420">
        <f t="shared" si="1"/>
        <v>7556.25</v>
      </c>
      <c r="J87" s="421"/>
    </row>
    <row r="88" spans="2:187" s="181" customFormat="1">
      <c r="B88" s="291">
        <v>82</v>
      </c>
      <c r="C88" s="402" t="s">
        <v>555</v>
      </c>
      <c r="D88" s="402" t="s">
        <v>663</v>
      </c>
      <c r="E88" s="402" t="s">
        <v>206</v>
      </c>
      <c r="F88" s="402" t="s">
        <v>349</v>
      </c>
      <c r="G88" s="403">
        <v>1</v>
      </c>
      <c r="H88" s="404">
        <v>200000</v>
      </c>
      <c r="I88" s="420">
        <f t="shared" si="1"/>
        <v>37500</v>
      </c>
      <c r="J88" s="421"/>
    </row>
    <row r="89" spans="2:187" s="181" customFormat="1">
      <c r="B89" s="291">
        <v>83</v>
      </c>
      <c r="C89" s="402" t="s">
        <v>582</v>
      </c>
      <c r="D89" s="402" t="s">
        <v>339</v>
      </c>
      <c r="E89" s="402" t="s">
        <v>205</v>
      </c>
      <c r="F89" s="402" t="s">
        <v>189</v>
      </c>
      <c r="G89" s="403">
        <v>1</v>
      </c>
      <c r="H89" s="404">
        <v>100000</v>
      </c>
      <c r="I89" s="420">
        <f t="shared" si="1"/>
        <v>18750</v>
      </c>
      <c r="J89" s="421"/>
    </row>
    <row r="90" spans="2:187" s="181" customFormat="1">
      <c r="B90" s="291">
        <v>84</v>
      </c>
      <c r="C90" s="402" t="s">
        <v>577</v>
      </c>
      <c r="D90" s="402" t="s">
        <v>664</v>
      </c>
      <c r="E90" s="402" t="s">
        <v>216</v>
      </c>
      <c r="F90" s="402" t="s">
        <v>221</v>
      </c>
      <c r="G90" s="403">
        <v>1</v>
      </c>
      <c r="H90" s="404">
        <v>101800</v>
      </c>
      <c r="I90" s="420">
        <f t="shared" si="1"/>
        <v>19087.5</v>
      </c>
      <c r="J90" s="421"/>
    </row>
    <row r="91" spans="2:187" s="181" customFormat="1">
      <c r="B91" s="291">
        <v>85</v>
      </c>
      <c r="C91" s="402" t="s">
        <v>571</v>
      </c>
      <c r="D91" s="402" t="s">
        <v>665</v>
      </c>
      <c r="E91" s="402" t="s">
        <v>208</v>
      </c>
      <c r="F91" s="402" t="s">
        <v>177</v>
      </c>
      <c r="G91" s="403">
        <v>7</v>
      </c>
      <c r="H91" s="404">
        <v>700000</v>
      </c>
      <c r="I91" s="420">
        <f t="shared" si="1"/>
        <v>131250</v>
      </c>
      <c r="J91" s="421"/>
    </row>
    <row r="92" spans="2:187" s="181" customFormat="1">
      <c r="B92" s="291">
        <v>86</v>
      </c>
      <c r="C92" s="402" t="s">
        <v>508</v>
      </c>
      <c r="D92" s="402" t="s">
        <v>666</v>
      </c>
      <c r="E92" s="402" t="s">
        <v>191</v>
      </c>
      <c r="F92" s="402" t="s">
        <v>177</v>
      </c>
      <c r="G92" s="403">
        <v>5</v>
      </c>
      <c r="H92" s="404">
        <v>500000</v>
      </c>
      <c r="I92" s="420">
        <f t="shared" si="1"/>
        <v>93750</v>
      </c>
      <c r="J92" s="421"/>
    </row>
    <row r="93" spans="2:187" s="181" customFormat="1">
      <c r="B93" s="291">
        <v>87</v>
      </c>
      <c r="C93" s="402" t="s">
        <v>396</v>
      </c>
      <c r="D93" s="402" t="s">
        <v>649</v>
      </c>
      <c r="E93" s="402" t="s">
        <v>230</v>
      </c>
      <c r="F93" s="402" t="s">
        <v>189</v>
      </c>
      <c r="G93" s="403">
        <v>1</v>
      </c>
      <c r="H93" s="404">
        <v>100000</v>
      </c>
      <c r="I93" s="420">
        <f t="shared" si="1"/>
        <v>18750</v>
      </c>
      <c r="J93" s="421"/>
    </row>
    <row r="94" spans="2:187" s="181" customFormat="1">
      <c r="B94" s="291">
        <v>88</v>
      </c>
      <c r="C94" s="402" t="s">
        <v>626</v>
      </c>
      <c r="D94" s="402" t="s">
        <v>338</v>
      </c>
      <c r="E94" s="402" t="s">
        <v>181</v>
      </c>
      <c r="F94" s="402" t="s">
        <v>189</v>
      </c>
      <c r="G94" s="403">
        <v>1</v>
      </c>
      <c r="H94" s="404">
        <v>100000</v>
      </c>
      <c r="I94" s="420">
        <f t="shared" si="1"/>
        <v>18750</v>
      </c>
      <c r="J94" s="421"/>
    </row>
    <row r="95" spans="2:187" s="181" customFormat="1">
      <c r="B95" s="291">
        <v>89</v>
      </c>
      <c r="C95" s="402" t="s">
        <v>567</v>
      </c>
      <c r="D95" s="402" t="s">
        <v>667</v>
      </c>
      <c r="E95" s="402" t="s">
        <v>351</v>
      </c>
      <c r="F95" s="402" t="s">
        <v>180</v>
      </c>
      <c r="G95" s="403">
        <v>1</v>
      </c>
      <c r="H95" s="404">
        <v>100000</v>
      </c>
      <c r="I95" s="420">
        <f t="shared" si="1"/>
        <v>18750</v>
      </c>
      <c r="J95" s="421"/>
    </row>
    <row r="96" spans="2:187" s="181" customFormat="1">
      <c r="B96" s="291">
        <v>90</v>
      </c>
      <c r="C96" s="402" t="s">
        <v>585</v>
      </c>
      <c r="D96" s="402" t="s">
        <v>632</v>
      </c>
      <c r="E96" s="402" t="s">
        <v>212</v>
      </c>
      <c r="F96" s="402" t="s">
        <v>180</v>
      </c>
      <c r="G96" s="403">
        <v>1</v>
      </c>
      <c r="H96" s="404">
        <v>100000</v>
      </c>
      <c r="I96" s="420">
        <f t="shared" si="1"/>
        <v>18750</v>
      </c>
      <c r="J96" s="421"/>
    </row>
    <row r="97" spans="2:10" s="181" customFormat="1">
      <c r="B97" s="291">
        <v>91</v>
      </c>
      <c r="C97" s="402" t="s">
        <v>430</v>
      </c>
      <c r="D97" s="402" t="s">
        <v>668</v>
      </c>
      <c r="E97" s="402" t="s">
        <v>185</v>
      </c>
      <c r="F97" s="402" t="s">
        <v>177</v>
      </c>
      <c r="G97" s="403">
        <v>3</v>
      </c>
      <c r="H97" s="404">
        <v>300000</v>
      </c>
      <c r="I97" s="420">
        <f t="shared" si="1"/>
        <v>56250</v>
      </c>
      <c r="J97" s="421"/>
    </row>
    <row r="98" spans="2:10" s="181" customFormat="1">
      <c r="B98" s="291">
        <v>92</v>
      </c>
      <c r="C98" s="402" t="s">
        <v>553</v>
      </c>
      <c r="D98" s="402" t="s">
        <v>669</v>
      </c>
      <c r="E98" s="402" t="s">
        <v>219</v>
      </c>
      <c r="F98" s="402" t="s">
        <v>308</v>
      </c>
      <c r="G98" s="403">
        <v>1</v>
      </c>
      <c r="H98" s="404">
        <v>101800</v>
      </c>
      <c r="I98" s="420">
        <f t="shared" si="1"/>
        <v>19087.5</v>
      </c>
      <c r="J98" s="421"/>
    </row>
    <row r="99" spans="2:10" s="181" customFormat="1">
      <c r="B99" s="291">
        <v>93</v>
      </c>
      <c r="C99" s="402" t="s">
        <v>512</v>
      </c>
      <c r="D99" s="402" t="s">
        <v>670</v>
      </c>
      <c r="E99" s="402" t="s">
        <v>227</v>
      </c>
      <c r="F99" s="402" t="s">
        <v>177</v>
      </c>
      <c r="G99" s="403">
        <v>6</v>
      </c>
      <c r="H99" s="404">
        <v>600000</v>
      </c>
      <c r="I99" s="420">
        <f t="shared" si="1"/>
        <v>112500</v>
      </c>
      <c r="J99" s="421"/>
    </row>
    <row r="100" spans="2:10" s="181" customFormat="1">
      <c r="B100" s="291">
        <v>94</v>
      </c>
      <c r="C100" s="402" t="s">
        <v>542</v>
      </c>
      <c r="D100" s="402" t="s">
        <v>671</v>
      </c>
      <c r="E100" s="402" t="s">
        <v>232</v>
      </c>
      <c r="F100" s="402" t="s">
        <v>177</v>
      </c>
      <c r="G100" s="403">
        <v>5</v>
      </c>
      <c r="H100" s="404">
        <v>500000</v>
      </c>
      <c r="I100" s="420">
        <f t="shared" si="1"/>
        <v>93750</v>
      </c>
      <c r="J100" s="421"/>
    </row>
    <row r="101" spans="2:10" s="181" customFormat="1">
      <c r="B101" s="291">
        <v>95</v>
      </c>
      <c r="C101" s="402" t="s">
        <v>390</v>
      </c>
      <c r="D101" s="402" t="s">
        <v>325</v>
      </c>
      <c r="E101" s="402" t="s">
        <v>208</v>
      </c>
      <c r="F101" s="402" t="s">
        <v>189</v>
      </c>
      <c r="G101" s="403">
        <v>1</v>
      </c>
      <c r="H101" s="404">
        <v>40300</v>
      </c>
      <c r="I101" s="420">
        <f t="shared" si="1"/>
        <v>7556.25</v>
      </c>
      <c r="J101" s="421"/>
    </row>
    <row r="102" spans="2:10" s="181" customFormat="1">
      <c r="B102" s="291">
        <v>96</v>
      </c>
      <c r="C102" s="402" t="s">
        <v>508</v>
      </c>
      <c r="D102" s="402" t="s">
        <v>672</v>
      </c>
      <c r="E102" s="402" t="s">
        <v>197</v>
      </c>
      <c r="F102" s="402" t="s">
        <v>189</v>
      </c>
      <c r="G102" s="403">
        <v>1</v>
      </c>
      <c r="H102" s="404">
        <v>100000</v>
      </c>
      <c r="I102" s="420">
        <f t="shared" si="1"/>
        <v>18750</v>
      </c>
      <c r="J102" s="421"/>
    </row>
    <row r="103" spans="2:10" s="181" customFormat="1">
      <c r="B103" s="291">
        <v>97</v>
      </c>
      <c r="C103" s="402" t="s">
        <v>606</v>
      </c>
      <c r="D103" s="402" t="s">
        <v>673</v>
      </c>
      <c r="E103" s="402" t="s">
        <v>222</v>
      </c>
      <c r="F103" s="402" t="s">
        <v>177</v>
      </c>
      <c r="G103" s="403">
        <v>1</v>
      </c>
      <c r="H103" s="404">
        <v>100000</v>
      </c>
      <c r="I103" s="420">
        <f t="shared" si="1"/>
        <v>18750</v>
      </c>
      <c r="J103" s="421"/>
    </row>
    <row r="104" spans="2:10" s="181" customFormat="1">
      <c r="B104" s="291">
        <v>98</v>
      </c>
      <c r="C104" s="402" t="s">
        <v>544</v>
      </c>
      <c r="D104" s="402" t="s">
        <v>444</v>
      </c>
      <c r="E104" s="402" t="s">
        <v>255</v>
      </c>
      <c r="F104" s="402" t="s">
        <v>180</v>
      </c>
      <c r="G104" s="403">
        <v>3</v>
      </c>
      <c r="H104" s="404">
        <v>300000</v>
      </c>
      <c r="I104" s="420">
        <f t="shared" si="1"/>
        <v>56250</v>
      </c>
      <c r="J104" s="421"/>
    </row>
    <row r="105" spans="2:10" s="181" customFormat="1">
      <c r="B105" s="291">
        <v>99</v>
      </c>
      <c r="C105" s="402" t="s">
        <v>512</v>
      </c>
      <c r="D105" s="402" t="s">
        <v>674</v>
      </c>
      <c r="E105" s="402" t="s">
        <v>208</v>
      </c>
      <c r="F105" s="402" t="s">
        <v>189</v>
      </c>
      <c r="G105" s="403">
        <v>1</v>
      </c>
      <c r="H105" s="404">
        <v>40300</v>
      </c>
      <c r="I105" s="420">
        <f t="shared" si="1"/>
        <v>7556.25</v>
      </c>
      <c r="J105" s="421"/>
    </row>
    <row r="106" spans="2:10" s="181" customFormat="1">
      <c r="B106" s="291">
        <v>100</v>
      </c>
      <c r="C106" s="402" t="s">
        <v>580</v>
      </c>
      <c r="D106" s="402" t="s">
        <v>343</v>
      </c>
      <c r="E106" s="402" t="s">
        <v>219</v>
      </c>
      <c r="F106" s="402" t="s">
        <v>189</v>
      </c>
      <c r="G106" s="403">
        <v>1</v>
      </c>
      <c r="H106" s="404">
        <v>40300</v>
      </c>
      <c r="I106" s="420">
        <f t="shared" si="1"/>
        <v>7556.25</v>
      </c>
      <c r="J106" s="421"/>
    </row>
    <row r="107" spans="2:10" s="181" customFormat="1">
      <c r="B107" s="291">
        <v>101</v>
      </c>
      <c r="C107" s="402" t="s">
        <v>553</v>
      </c>
      <c r="D107" s="402" t="s">
        <v>675</v>
      </c>
      <c r="E107" s="402" t="s">
        <v>210</v>
      </c>
      <c r="F107" s="402" t="s">
        <v>177</v>
      </c>
      <c r="G107" s="403">
        <v>1</v>
      </c>
      <c r="H107" s="404">
        <v>100000</v>
      </c>
      <c r="I107" s="420">
        <f t="shared" si="1"/>
        <v>18750</v>
      </c>
      <c r="J107" s="421"/>
    </row>
    <row r="108" spans="2:10" s="181" customFormat="1">
      <c r="B108" s="291">
        <v>102</v>
      </c>
      <c r="C108" s="402" t="s">
        <v>542</v>
      </c>
      <c r="D108" s="402" t="s">
        <v>310</v>
      </c>
      <c r="E108" s="402" t="s">
        <v>203</v>
      </c>
      <c r="F108" s="402" t="s">
        <v>348</v>
      </c>
      <c r="G108" s="403">
        <v>1</v>
      </c>
      <c r="H108" s="404">
        <v>100000</v>
      </c>
      <c r="I108" s="420">
        <f t="shared" si="1"/>
        <v>18750</v>
      </c>
      <c r="J108" s="421"/>
    </row>
    <row r="109" spans="2:10" s="299" customFormat="1">
      <c r="B109" s="291">
        <v>103</v>
      </c>
      <c r="C109" s="413" t="s">
        <v>430</v>
      </c>
      <c r="D109" s="413" t="s">
        <v>676</v>
      </c>
      <c r="E109" s="413" t="s">
        <v>229</v>
      </c>
      <c r="F109" s="413" t="s">
        <v>304</v>
      </c>
      <c r="G109" s="418">
        <v>1</v>
      </c>
      <c r="H109" s="415">
        <v>300000</v>
      </c>
      <c r="I109" s="292">
        <f t="shared" si="1"/>
        <v>56250</v>
      </c>
      <c r="J109" s="326"/>
    </row>
    <row r="110" spans="2:10" s="299" customFormat="1">
      <c r="B110" s="291">
        <v>104</v>
      </c>
      <c r="C110" s="413" t="s">
        <v>512</v>
      </c>
      <c r="D110" s="413" t="s">
        <v>677</v>
      </c>
      <c r="E110" s="413" t="s">
        <v>306</v>
      </c>
      <c r="F110" s="413" t="s">
        <v>177</v>
      </c>
      <c r="G110" s="418">
        <v>3</v>
      </c>
      <c r="H110" s="415">
        <v>300000</v>
      </c>
      <c r="I110" s="292">
        <f t="shared" si="1"/>
        <v>56250</v>
      </c>
      <c r="J110" s="326"/>
    </row>
    <row r="111" spans="2:10" s="299" customFormat="1">
      <c r="B111" s="291">
        <v>105</v>
      </c>
      <c r="C111" s="413" t="s">
        <v>390</v>
      </c>
      <c r="D111" s="413" t="s">
        <v>519</v>
      </c>
      <c r="E111" s="413" t="s">
        <v>179</v>
      </c>
      <c r="F111" s="413" t="s">
        <v>180</v>
      </c>
      <c r="G111" s="418">
        <v>2</v>
      </c>
      <c r="H111" s="415">
        <v>200000</v>
      </c>
      <c r="I111" s="292">
        <f t="shared" si="1"/>
        <v>37500</v>
      </c>
      <c r="J111" s="326"/>
    </row>
    <row r="112" spans="2:10" s="299" customFormat="1">
      <c r="B112" s="291">
        <v>106</v>
      </c>
      <c r="C112" s="413" t="s">
        <v>551</v>
      </c>
      <c r="D112" s="413" t="s">
        <v>619</v>
      </c>
      <c r="E112" s="413" t="s">
        <v>240</v>
      </c>
      <c r="F112" s="413" t="s">
        <v>177</v>
      </c>
      <c r="G112" s="418">
        <v>3</v>
      </c>
      <c r="H112" s="415">
        <v>300000</v>
      </c>
      <c r="I112" s="292">
        <f t="shared" si="1"/>
        <v>56250</v>
      </c>
      <c r="J112" s="326"/>
    </row>
    <row r="113" spans="2:187" s="299" customFormat="1">
      <c r="B113" s="291">
        <v>107</v>
      </c>
      <c r="C113" s="413" t="s">
        <v>585</v>
      </c>
      <c r="D113" s="413" t="s">
        <v>648</v>
      </c>
      <c r="E113" s="413" t="s">
        <v>208</v>
      </c>
      <c r="F113" s="413" t="s">
        <v>180</v>
      </c>
      <c r="G113" s="418">
        <v>7</v>
      </c>
      <c r="H113" s="415">
        <v>700000</v>
      </c>
      <c r="I113" s="292">
        <f t="shared" si="1"/>
        <v>131250</v>
      </c>
      <c r="J113" s="326"/>
    </row>
    <row r="114" spans="2:187" s="299" customFormat="1">
      <c r="B114" s="291">
        <v>108</v>
      </c>
      <c r="C114" s="413" t="s">
        <v>390</v>
      </c>
      <c r="D114" s="413" t="s">
        <v>678</v>
      </c>
      <c r="E114" s="413" t="s">
        <v>202</v>
      </c>
      <c r="F114" s="413" t="s">
        <v>177</v>
      </c>
      <c r="G114" s="418">
        <v>3</v>
      </c>
      <c r="H114" s="415">
        <v>300000</v>
      </c>
      <c r="I114" s="292">
        <f t="shared" si="1"/>
        <v>56250</v>
      </c>
      <c r="J114" s="326"/>
    </row>
    <row r="115" spans="2:187" s="299" customFormat="1">
      <c r="B115" s="291">
        <v>109</v>
      </c>
      <c r="C115" s="413" t="s">
        <v>571</v>
      </c>
      <c r="D115" s="413" t="s">
        <v>584</v>
      </c>
      <c r="E115" s="413" t="s">
        <v>233</v>
      </c>
      <c r="F115" s="413" t="s">
        <v>180</v>
      </c>
      <c r="G115" s="418">
        <v>1</v>
      </c>
      <c r="H115" s="415">
        <v>100000</v>
      </c>
      <c r="I115" s="292">
        <f t="shared" si="1"/>
        <v>18750</v>
      </c>
      <c r="J115" s="326"/>
    </row>
    <row r="116" spans="2:187" s="299" customFormat="1">
      <c r="B116" s="291">
        <v>110</v>
      </c>
      <c r="C116" s="413" t="s">
        <v>396</v>
      </c>
      <c r="D116" s="413" t="s">
        <v>679</v>
      </c>
      <c r="E116" s="413" t="s">
        <v>176</v>
      </c>
      <c r="F116" s="413" t="s">
        <v>189</v>
      </c>
      <c r="G116" s="418">
        <v>1</v>
      </c>
      <c r="H116" s="415">
        <v>40300</v>
      </c>
      <c r="I116" s="292">
        <f t="shared" si="1"/>
        <v>7556.25</v>
      </c>
      <c r="J116" s="326"/>
    </row>
    <row r="117" spans="2:187" s="299" customFormat="1">
      <c r="B117" s="291">
        <v>111</v>
      </c>
      <c r="C117" s="413" t="s">
        <v>512</v>
      </c>
      <c r="D117" s="413" t="s">
        <v>680</v>
      </c>
      <c r="E117" s="413" t="s">
        <v>260</v>
      </c>
      <c r="F117" s="413" t="s">
        <v>189</v>
      </c>
      <c r="G117" s="418">
        <v>1</v>
      </c>
      <c r="H117" s="415">
        <v>100000</v>
      </c>
      <c r="I117" s="292">
        <f t="shared" si="1"/>
        <v>18750</v>
      </c>
      <c r="J117" s="326"/>
    </row>
    <row r="118" spans="2:187" s="299" customFormat="1">
      <c r="B118" s="291">
        <v>112</v>
      </c>
      <c r="C118" s="413" t="s">
        <v>551</v>
      </c>
      <c r="D118" s="413" t="s">
        <v>347</v>
      </c>
      <c r="E118" s="413" t="s">
        <v>236</v>
      </c>
      <c r="F118" s="413" t="s">
        <v>182</v>
      </c>
      <c r="G118" s="418">
        <v>1</v>
      </c>
      <c r="H118" s="415">
        <v>100000</v>
      </c>
      <c r="I118" s="292">
        <f t="shared" si="1"/>
        <v>18750</v>
      </c>
      <c r="J118" s="326"/>
    </row>
    <row r="119" spans="2:187" s="299" customFormat="1">
      <c r="B119" s="291">
        <v>113</v>
      </c>
      <c r="C119" s="413" t="s">
        <v>544</v>
      </c>
      <c r="D119" s="413" t="s">
        <v>681</v>
      </c>
      <c r="E119" s="413" t="s">
        <v>235</v>
      </c>
      <c r="F119" s="413" t="s">
        <v>177</v>
      </c>
      <c r="G119" s="418">
        <v>3</v>
      </c>
      <c r="H119" s="415">
        <v>300000</v>
      </c>
      <c r="I119" s="292">
        <f t="shared" si="1"/>
        <v>56250</v>
      </c>
      <c r="J119" s="326"/>
    </row>
    <row r="120" spans="2:187" s="299" customFormat="1">
      <c r="B120" s="291">
        <v>114</v>
      </c>
      <c r="C120" s="413" t="s">
        <v>390</v>
      </c>
      <c r="D120" s="413" t="s">
        <v>643</v>
      </c>
      <c r="E120" s="413" t="s">
        <v>197</v>
      </c>
      <c r="F120" s="413" t="s">
        <v>180</v>
      </c>
      <c r="G120" s="418">
        <v>4</v>
      </c>
      <c r="H120" s="415">
        <v>400000</v>
      </c>
      <c r="I120" s="292">
        <f t="shared" si="1"/>
        <v>75000</v>
      </c>
      <c r="J120" s="326"/>
    </row>
    <row r="121" spans="2:187" s="299" customFormat="1">
      <c r="B121" s="291">
        <v>115</v>
      </c>
      <c r="C121" s="413" t="s">
        <v>535</v>
      </c>
      <c r="D121" s="413" t="s">
        <v>682</v>
      </c>
      <c r="E121" s="413" t="s">
        <v>206</v>
      </c>
      <c r="F121" s="413" t="s">
        <v>180</v>
      </c>
      <c r="G121" s="418">
        <v>2</v>
      </c>
      <c r="H121" s="415">
        <v>200000</v>
      </c>
      <c r="I121" s="292">
        <f t="shared" si="1"/>
        <v>37500</v>
      </c>
      <c r="J121" s="326"/>
    </row>
    <row r="122" spans="2:187" s="149" customFormat="1">
      <c r="B122" s="291">
        <v>116</v>
      </c>
      <c r="C122" s="413" t="s">
        <v>567</v>
      </c>
      <c r="D122" s="413" t="s">
        <v>634</v>
      </c>
      <c r="E122" s="413" t="s">
        <v>199</v>
      </c>
      <c r="F122" s="413" t="s">
        <v>177</v>
      </c>
      <c r="G122" s="418">
        <v>3</v>
      </c>
      <c r="H122" s="415">
        <v>300000</v>
      </c>
      <c r="I122" s="292">
        <f t="shared" si="1"/>
        <v>56250</v>
      </c>
      <c r="J122" s="326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99"/>
      <c r="AB122" s="299"/>
      <c r="AC122" s="299"/>
      <c r="AD122" s="299"/>
      <c r="AE122" s="299"/>
      <c r="AF122" s="299"/>
      <c r="AG122" s="299"/>
      <c r="AH122" s="299"/>
      <c r="AI122" s="299"/>
      <c r="AJ122" s="299"/>
      <c r="AK122" s="299"/>
      <c r="AL122" s="299"/>
      <c r="AM122" s="299"/>
      <c r="AN122" s="299"/>
      <c r="AO122" s="299"/>
      <c r="AP122" s="299"/>
      <c r="AQ122" s="299"/>
      <c r="AR122" s="299"/>
      <c r="AS122" s="299"/>
      <c r="AT122" s="299"/>
      <c r="AU122" s="299"/>
      <c r="AV122" s="299"/>
      <c r="AW122" s="299"/>
      <c r="AX122" s="299"/>
      <c r="AY122" s="299"/>
      <c r="AZ122" s="299"/>
      <c r="BA122" s="299"/>
      <c r="BB122" s="299"/>
      <c r="BC122" s="299"/>
      <c r="BD122" s="299"/>
      <c r="BE122" s="299"/>
      <c r="BF122" s="299"/>
      <c r="BG122" s="299"/>
      <c r="BH122" s="299"/>
      <c r="BI122" s="299"/>
      <c r="BJ122" s="299"/>
      <c r="BK122" s="299"/>
      <c r="BL122" s="299"/>
      <c r="BM122" s="299"/>
      <c r="BN122" s="299"/>
      <c r="BO122" s="299"/>
      <c r="BP122" s="299"/>
      <c r="BQ122" s="299"/>
      <c r="BR122" s="299"/>
      <c r="BS122" s="299"/>
      <c r="BT122" s="299"/>
      <c r="BU122" s="299"/>
      <c r="BV122" s="299"/>
      <c r="BW122" s="299"/>
      <c r="BX122" s="299"/>
      <c r="BY122" s="299"/>
      <c r="BZ122" s="299"/>
      <c r="CA122" s="299"/>
      <c r="CB122" s="299"/>
      <c r="CC122" s="299"/>
      <c r="CD122" s="299"/>
      <c r="CE122" s="299"/>
      <c r="CF122" s="299"/>
      <c r="CG122" s="299"/>
      <c r="CH122" s="299"/>
      <c r="CI122" s="299"/>
      <c r="CJ122" s="299"/>
      <c r="CK122" s="299"/>
      <c r="CL122" s="299"/>
      <c r="CM122" s="299"/>
      <c r="CN122" s="299"/>
      <c r="CO122" s="299"/>
      <c r="CP122" s="299"/>
      <c r="CQ122" s="299"/>
      <c r="CR122" s="299"/>
      <c r="CS122" s="299"/>
      <c r="CT122" s="299"/>
      <c r="CU122" s="299"/>
      <c r="CV122" s="299"/>
      <c r="CW122" s="299"/>
      <c r="CX122" s="299"/>
      <c r="CY122" s="299"/>
      <c r="CZ122" s="299"/>
      <c r="DA122" s="299"/>
      <c r="DB122" s="299"/>
      <c r="DC122" s="299"/>
      <c r="DD122" s="299"/>
      <c r="DE122" s="299"/>
      <c r="DF122" s="299"/>
      <c r="DG122" s="299"/>
      <c r="DH122" s="299"/>
      <c r="DI122" s="299"/>
      <c r="DJ122" s="299"/>
      <c r="DK122" s="299"/>
      <c r="DL122" s="299"/>
      <c r="DM122" s="299"/>
      <c r="DN122" s="299"/>
      <c r="DO122" s="299"/>
      <c r="DP122" s="299"/>
      <c r="DQ122" s="299"/>
      <c r="DR122" s="299"/>
      <c r="DS122" s="299"/>
      <c r="DT122" s="299"/>
      <c r="DU122" s="299"/>
      <c r="DV122" s="299"/>
      <c r="DW122" s="299"/>
      <c r="DX122" s="299"/>
      <c r="DY122" s="299"/>
      <c r="DZ122" s="299"/>
      <c r="EA122" s="299"/>
      <c r="EB122" s="299"/>
      <c r="EC122" s="299"/>
      <c r="ED122" s="299"/>
      <c r="EE122" s="299"/>
      <c r="EF122" s="299"/>
      <c r="EG122" s="299"/>
      <c r="EH122" s="299"/>
      <c r="EI122" s="299"/>
      <c r="EJ122" s="299"/>
      <c r="EK122" s="299"/>
      <c r="EL122" s="299"/>
      <c r="EM122" s="299"/>
      <c r="EN122" s="299"/>
      <c r="EO122" s="299"/>
      <c r="EP122" s="299"/>
      <c r="EQ122" s="299"/>
      <c r="ER122" s="299"/>
      <c r="ES122" s="299"/>
      <c r="ET122" s="299"/>
      <c r="EU122" s="299"/>
      <c r="EV122" s="299"/>
      <c r="EW122" s="299"/>
      <c r="EX122" s="299"/>
      <c r="EY122" s="299"/>
      <c r="EZ122" s="299"/>
      <c r="FA122" s="299"/>
      <c r="FB122" s="299"/>
      <c r="FC122" s="299"/>
      <c r="FD122" s="299"/>
      <c r="FE122" s="299"/>
      <c r="FF122" s="299"/>
      <c r="FG122" s="299"/>
      <c r="FH122" s="299"/>
      <c r="FI122" s="299"/>
      <c r="FJ122" s="299"/>
      <c r="FK122" s="299"/>
      <c r="FL122" s="299"/>
      <c r="FM122" s="299"/>
      <c r="FN122" s="299"/>
      <c r="FO122" s="299"/>
      <c r="FP122" s="299"/>
      <c r="FQ122" s="299"/>
      <c r="FR122" s="299"/>
      <c r="FS122" s="299"/>
      <c r="FT122" s="299"/>
      <c r="FU122" s="299"/>
      <c r="FV122" s="299"/>
      <c r="FW122" s="299"/>
      <c r="FX122" s="299"/>
      <c r="FY122" s="299"/>
      <c r="FZ122" s="299"/>
      <c r="GA122" s="299"/>
      <c r="GB122" s="299"/>
      <c r="GC122" s="299"/>
      <c r="GD122" s="299"/>
      <c r="GE122" s="299"/>
    </row>
    <row r="123" spans="2:187" s="149" customFormat="1" ht="14.25" customHeight="1">
      <c r="B123" s="291">
        <v>117</v>
      </c>
      <c r="C123" s="413" t="s">
        <v>508</v>
      </c>
      <c r="D123" s="413" t="s">
        <v>683</v>
      </c>
      <c r="E123" s="413" t="s">
        <v>217</v>
      </c>
      <c r="F123" s="413" t="s">
        <v>177</v>
      </c>
      <c r="G123" s="418">
        <v>6</v>
      </c>
      <c r="H123" s="415">
        <v>600000</v>
      </c>
      <c r="I123" s="292">
        <f t="shared" si="1"/>
        <v>112500</v>
      </c>
      <c r="J123" s="326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  <c r="AA123" s="299"/>
      <c r="AB123" s="299"/>
      <c r="AC123" s="299"/>
      <c r="AD123" s="299"/>
      <c r="AE123" s="299"/>
      <c r="AF123" s="299"/>
      <c r="AG123" s="299"/>
      <c r="AH123" s="299"/>
      <c r="AI123" s="299"/>
      <c r="AJ123" s="299"/>
      <c r="AK123" s="299"/>
      <c r="AL123" s="299"/>
      <c r="AM123" s="299"/>
      <c r="AN123" s="299"/>
      <c r="AO123" s="299"/>
      <c r="AP123" s="299"/>
      <c r="AQ123" s="299"/>
      <c r="AR123" s="299"/>
      <c r="AS123" s="299"/>
      <c r="AT123" s="299"/>
      <c r="AU123" s="299"/>
      <c r="AV123" s="299"/>
      <c r="AW123" s="299"/>
      <c r="AX123" s="299"/>
      <c r="AY123" s="299"/>
      <c r="AZ123" s="299"/>
      <c r="BA123" s="299"/>
      <c r="BB123" s="299"/>
      <c r="BC123" s="299"/>
      <c r="BD123" s="299"/>
      <c r="BE123" s="299"/>
      <c r="BF123" s="299"/>
      <c r="BG123" s="299"/>
      <c r="BH123" s="299"/>
      <c r="BI123" s="299"/>
      <c r="BJ123" s="299"/>
      <c r="BK123" s="299"/>
      <c r="BL123" s="299"/>
      <c r="BM123" s="299"/>
      <c r="BN123" s="299"/>
      <c r="BO123" s="299"/>
      <c r="BP123" s="299"/>
      <c r="BQ123" s="299"/>
      <c r="BR123" s="299"/>
      <c r="BS123" s="299"/>
      <c r="BT123" s="299"/>
      <c r="BU123" s="299"/>
      <c r="BV123" s="299"/>
      <c r="BW123" s="299"/>
      <c r="BX123" s="299"/>
      <c r="BY123" s="299"/>
      <c r="BZ123" s="299"/>
      <c r="CA123" s="299"/>
      <c r="CB123" s="299"/>
      <c r="CC123" s="299"/>
      <c r="CD123" s="299"/>
      <c r="CE123" s="299"/>
      <c r="CF123" s="299"/>
      <c r="CG123" s="299"/>
      <c r="CH123" s="299"/>
      <c r="CI123" s="299"/>
      <c r="CJ123" s="299"/>
      <c r="CK123" s="299"/>
      <c r="CL123" s="299"/>
      <c r="CM123" s="299"/>
      <c r="CN123" s="299"/>
      <c r="CO123" s="299"/>
      <c r="CP123" s="299"/>
      <c r="CQ123" s="299"/>
      <c r="CR123" s="299"/>
      <c r="CS123" s="299"/>
      <c r="CT123" s="299"/>
      <c r="CU123" s="299"/>
      <c r="CV123" s="299"/>
      <c r="CW123" s="299"/>
      <c r="CX123" s="299"/>
      <c r="CY123" s="299"/>
      <c r="CZ123" s="299"/>
      <c r="DA123" s="299"/>
      <c r="DB123" s="299"/>
      <c r="DC123" s="299"/>
      <c r="DD123" s="299"/>
      <c r="DE123" s="299"/>
      <c r="DF123" s="299"/>
      <c r="DG123" s="299"/>
      <c r="DH123" s="299"/>
      <c r="DI123" s="299"/>
      <c r="DJ123" s="299"/>
      <c r="DK123" s="299"/>
      <c r="DL123" s="299"/>
      <c r="DM123" s="299"/>
      <c r="DN123" s="299"/>
      <c r="DO123" s="299"/>
      <c r="DP123" s="299"/>
      <c r="DQ123" s="299"/>
      <c r="DR123" s="299"/>
      <c r="DS123" s="299"/>
      <c r="DT123" s="299"/>
      <c r="DU123" s="299"/>
      <c r="DV123" s="299"/>
      <c r="DW123" s="299"/>
      <c r="DX123" s="299"/>
      <c r="DY123" s="299"/>
      <c r="DZ123" s="299"/>
      <c r="EA123" s="299"/>
      <c r="EB123" s="299"/>
      <c r="EC123" s="299"/>
      <c r="ED123" s="299"/>
      <c r="EE123" s="299"/>
      <c r="EF123" s="299"/>
      <c r="EG123" s="299"/>
      <c r="EH123" s="299"/>
      <c r="EI123" s="299"/>
      <c r="EJ123" s="299"/>
      <c r="EK123" s="299"/>
      <c r="EL123" s="299"/>
      <c r="EM123" s="299"/>
      <c r="EN123" s="299"/>
      <c r="EO123" s="299"/>
      <c r="EP123" s="299"/>
      <c r="EQ123" s="299"/>
      <c r="ER123" s="299"/>
      <c r="ES123" s="299"/>
      <c r="ET123" s="299"/>
      <c r="EU123" s="299"/>
      <c r="EV123" s="299"/>
      <c r="EW123" s="299"/>
      <c r="EX123" s="299"/>
      <c r="EY123" s="299"/>
      <c r="EZ123" s="299"/>
      <c r="FA123" s="299"/>
      <c r="FB123" s="299"/>
      <c r="FC123" s="299"/>
      <c r="FD123" s="299"/>
      <c r="FE123" s="299"/>
      <c r="FF123" s="299"/>
      <c r="FG123" s="299"/>
      <c r="FH123" s="299"/>
      <c r="FI123" s="299"/>
      <c r="FJ123" s="299"/>
      <c r="FK123" s="299"/>
      <c r="FL123" s="299"/>
      <c r="FM123" s="299"/>
      <c r="FN123" s="299"/>
      <c r="FO123" s="299"/>
      <c r="FP123" s="299"/>
      <c r="FQ123" s="299"/>
      <c r="FR123" s="299"/>
      <c r="FS123" s="299"/>
      <c r="FT123" s="299"/>
      <c r="FU123" s="299"/>
      <c r="FV123" s="299"/>
      <c r="FW123" s="299"/>
      <c r="FX123" s="299"/>
      <c r="FY123" s="299"/>
      <c r="FZ123" s="299"/>
      <c r="GA123" s="299"/>
      <c r="GB123" s="299"/>
      <c r="GC123" s="299"/>
      <c r="GD123" s="299"/>
      <c r="GE123" s="299"/>
    </row>
    <row r="124" spans="2:187" s="149" customFormat="1">
      <c r="B124" s="291">
        <v>118</v>
      </c>
      <c r="C124" s="413" t="s">
        <v>430</v>
      </c>
      <c r="D124" s="413" t="s">
        <v>684</v>
      </c>
      <c r="E124" s="413" t="s">
        <v>187</v>
      </c>
      <c r="F124" s="413" t="s">
        <v>180</v>
      </c>
      <c r="G124" s="418">
        <v>7</v>
      </c>
      <c r="H124" s="415">
        <v>700000</v>
      </c>
      <c r="I124" s="292">
        <f t="shared" si="1"/>
        <v>131250</v>
      </c>
      <c r="J124" s="326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299"/>
      <c r="AH124" s="299"/>
      <c r="AI124" s="299"/>
      <c r="AJ124" s="299"/>
      <c r="AK124" s="299"/>
      <c r="AL124" s="299"/>
      <c r="AM124" s="299"/>
      <c r="AN124" s="299"/>
      <c r="AO124" s="299"/>
      <c r="AP124" s="299"/>
      <c r="AQ124" s="299"/>
      <c r="AR124" s="299"/>
      <c r="AS124" s="299"/>
      <c r="AT124" s="299"/>
      <c r="AU124" s="299"/>
      <c r="AV124" s="299"/>
      <c r="AW124" s="299"/>
      <c r="AX124" s="299"/>
      <c r="AY124" s="299"/>
      <c r="AZ124" s="299"/>
      <c r="BA124" s="299"/>
      <c r="BB124" s="299"/>
      <c r="BC124" s="299"/>
      <c r="BD124" s="299"/>
      <c r="BE124" s="299"/>
      <c r="BF124" s="299"/>
      <c r="BG124" s="299"/>
      <c r="BH124" s="299"/>
      <c r="BI124" s="299"/>
      <c r="BJ124" s="299"/>
      <c r="BK124" s="299"/>
      <c r="BL124" s="299"/>
      <c r="BM124" s="299"/>
      <c r="BN124" s="299"/>
      <c r="BO124" s="299"/>
      <c r="BP124" s="299"/>
      <c r="BQ124" s="299"/>
      <c r="BR124" s="299"/>
      <c r="BS124" s="299"/>
      <c r="BT124" s="299"/>
      <c r="BU124" s="299"/>
      <c r="BV124" s="299"/>
      <c r="BW124" s="299"/>
      <c r="BX124" s="299"/>
      <c r="BY124" s="299"/>
      <c r="BZ124" s="299"/>
      <c r="CA124" s="299"/>
      <c r="CB124" s="299"/>
      <c r="CC124" s="299"/>
      <c r="CD124" s="299"/>
      <c r="CE124" s="299"/>
      <c r="CF124" s="299"/>
      <c r="CG124" s="299"/>
      <c r="CH124" s="299"/>
      <c r="CI124" s="299"/>
      <c r="CJ124" s="299"/>
      <c r="CK124" s="299"/>
      <c r="CL124" s="299"/>
      <c r="CM124" s="299"/>
      <c r="CN124" s="299"/>
      <c r="CO124" s="299"/>
      <c r="CP124" s="299"/>
      <c r="CQ124" s="299"/>
      <c r="CR124" s="299"/>
      <c r="CS124" s="299"/>
      <c r="CT124" s="299"/>
      <c r="CU124" s="299"/>
      <c r="CV124" s="299"/>
      <c r="CW124" s="299"/>
      <c r="CX124" s="299"/>
      <c r="CY124" s="299"/>
      <c r="CZ124" s="299"/>
      <c r="DA124" s="299"/>
      <c r="DB124" s="299"/>
      <c r="DC124" s="299"/>
      <c r="DD124" s="299"/>
      <c r="DE124" s="299"/>
      <c r="DF124" s="299"/>
      <c r="DG124" s="299"/>
      <c r="DH124" s="299"/>
      <c r="DI124" s="299"/>
      <c r="DJ124" s="299"/>
      <c r="DK124" s="299"/>
      <c r="DL124" s="299"/>
      <c r="DM124" s="299"/>
      <c r="DN124" s="299"/>
      <c r="DO124" s="299"/>
      <c r="DP124" s="299"/>
      <c r="DQ124" s="299"/>
      <c r="DR124" s="299"/>
      <c r="DS124" s="299"/>
      <c r="DT124" s="299"/>
      <c r="DU124" s="299"/>
      <c r="DV124" s="299"/>
      <c r="DW124" s="299"/>
      <c r="DX124" s="299"/>
      <c r="DY124" s="299"/>
      <c r="DZ124" s="299"/>
      <c r="EA124" s="299"/>
      <c r="EB124" s="299"/>
      <c r="EC124" s="299"/>
      <c r="ED124" s="299"/>
      <c r="EE124" s="299"/>
      <c r="EF124" s="299"/>
      <c r="EG124" s="299"/>
      <c r="EH124" s="299"/>
      <c r="EI124" s="299"/>
      <c r="EJ124" s="299"/>
      <c r="EK124" s="299"/>
      <c r="EL124" s="299"/>
      <c r="EM124" s="299"/>
      <c r="EN124" s="299"/>
      <c r="EO124" s="299"/>
      <c r="EP124" s="299"/>
      <c r="EQ124" s="299"/>
      <c r="ER124" s="299"/>
      <c r="ES124" s="299"/>
      <c r="ET124" s="299"/>
      <c r="EU124" s="299"/>
      <c r="EV124" s="299"/>
      <c r="EW124" s="299"/>
      <c r="EX124" s="299"/>
      <c r="EY124" s="299"/>
      <c r="EZ124" s="299"/>
      <c r="FA124" s="299"/>
      <c r="FB124" s="299"/>
      <c r="FC124" s="299"/>
      <c r="FD124" s="299"/>
      <c r="FE124" s="299"/>
      <c r="FF124" s="299"/>
      <c r="FG124" s="299"/>
      <c r="FH124" s="299"/>
      <c r="FI124" s="299"/>
      <c r="FJ124" s="299"/>
      <c r="FK124" s="299"/>
      <c r="FL124" s="299"/>
      <c r="FM124" s="299"/>
      <c r="FN124" s="299"/>
      <c r="FO124" s="299"/>
      <c r="FP124" s="299"/>
      <c r="FQ124" s="299"/>
      <c r="FR124" s="299"/>
      <c r="FS124" s="299"/>
      <c r="FT124" s="299"/>
      <c r="FU124" s="299"/>
      <c r="FV124" s="299"/>
      <c r="FW124" s="299"/>
      <c r="FX124" s="299"/>
      <c r="FY124" s="299"/>
      <c r="FZ124" s="299"/>
      <c r="GA124" s="299"/>
      <c r="GB124" s="299"/>
      <c r="GC124" s="299"/>
      <c r="GD124" s="299"/>
      <c r="GE124" s="299"/>
    </row>
    <row r="125" spans="2:187" s="149" customFormat="1">
      <c r="B125" s="291">
        <v>119</v>
      </c>
      <c r="C125" s="413" t="s">
        <v>430</v>
      </c>
      <c r="D125" s="413" t="s">
        <v>684</v>
      </c>
      <c r="E125" s="413" t="s">
        <v>187</v>
      </c>
      <c r="F125" s="413" t="s">
        <v>177</v>
      </c>
      <c r="G125" s="418">
        <v>5</v>
      </c>
      <c r="H125" s="415">
        <v>500000</v>
      </c>
      <c r="I125" s="292">
        <f t="shared" si="1"/>
        <v>93750</v>
      </c>
      <c r="J125" s="326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299"/>
      <c r="AH125" s="299"/>
      <c r="AI125" s="299"/>
      <c r="AJ125" s="299"/>
      <c r="AK125" s="299"/>
      <c r="AL125" s="299"/>
      <c r="AM125" s="299"/>
      <c r="AN125" s="299"/>
      <c r="AO125" s="299"/>
      <c r="AP125" s="299"/>
      <c r="AQ125" s="299"/>
      <c r="AR125" s="299"/>
      <c r="AS125" s="299"/>
      <c r="AT125" s="299"/>
      <c r="AU125" s="299"/>
      <c r="AV125" s="299"/>
      <c r="AW125" s="299"/>
      <c r="AX125" s="299"/>
      <c r="AY125" s="299"/>
      <c r="AZ125" s="299"/>
      <c r="BA125" s="299"/>
      <c r="BB125" s="299"/>
      <c r="BC125" s="299"/>
      <c r="BD125" s="299"/>
      <c r="BE125" s="299"/>
      <c r="BF125" s="299"/>
      <c r="BG125" s="299"/>
      <c r="BH125" s="299"/>
      <c r="BI125" s="299"/>
      <c r="BJ125" s="299"/>
      <c r="BK125" s="299"/>
      <c r="BL125" s="299"/>
      <c r="BM125" s="299"/>
      <c r="BN125" s="299"/>
      <c r="BO125" s="299"/>
      <c r="BP125" s="299"/>
      <c r="BQ125" s="299"/>
      <c r="BR125" s="299"/>
      <c r="BS125" s="299"/>
      <c r="BT125" s="299"/>
      <c r="BU125" s="299"/>
      <c r="BV125" s="299"/>
      <c r="BW125" s="299"/>
      <c r="BX125" s="299"/>
      <c r="BY125" s="299"/>
      <c r="BZ125" s="299"/>
      <c r="CA125" s="299"/>
      <c r="CB125" s="299"/>
      <c r="CC125" s="299"/>
      <c r="CD125" s="299"/>
      <c r="CE125" s="299"/>
      <c r="CF125" s="299"/>
      <c r="CG125" s="299"/>
      <c r="CH125" s="299"/>
      <c r="CI125" s="299"/>
      <c r="CJ125" s="299"/>
      <c r="CK125" s="299"/>
      <c r="CL125" s="299"/>
      <c r="CM125" s="299"/>
      <c r="CN125" s="299"/>
      <c r="CO125" s="299"/>
      <c r="CP125" s="299"/>
      <c r="CQ125" s="299"/>
      <c r="CR125" s="299"/>
      <c r="CS125" s="299"/>
      <c r="CT125" s="299"/>
      <c r="CU125" s="299"/>
      <c r="CV125" s="299"/>
      <c r="CW125" s="299"/>
      <c r="CX125" s="299"/>
      <c r="CY125" s="299"/>
      <c r="CZ125" s="299"/>
      <c r="DA125" s="299"/>
      <c r="DB125" s="299"/>
      <c r="DC125" s="299"/>
      <c r="DD125" s="299"/>
      <c r="DE125" s="299"/>
      <c r="DF125" s="299"/>
      <c r="DG125" s="299"/>
      <c r="DH125" s="299"/>
      <c r="DI125" s="299"/>
      <c r="DJ125" s="299"/>
      <c r="DK125" s="299"/>
      <c r="DL125" s="299"/>
      <c r="DM125" s="299"/>
      <c r="DN125" s="299"/>
      <c r="DO125" s="299"/>
      <c r="DP125" s="299"/>
      <c r="DQ125" s="299"/>
      <c r="DR125" s="299"/>
      <c r="DS125" s="299"/>
      <c r="DT125" s="299"/>
      <c r="DU125" s="299"/>
      <c r="DV125" s="299"/>
      <c r="DW125" s="299"/>
      <c r="DX125" s="299"/>
      <c r="DY125" s="299"/>
      <c r="DZ125" s="299"/>
      <c r="EA125" s="299"/>
      <c r="EB125" s="299"/>
      <c r="EC125" s="299"/>
      <c r="ED125" s="299"/>
      <c r="EE125" s="299"/>
      <c r="EF125" s="299"/>
      <c r="EG125" s="299"/>
      <c r="EH125" s="299"/>
      <c r="EI125" s="299"/>
      <c r="EJ125" s="299"/>
      <c r="EK125" s="299"/>
      <c r="EL125" s="299"/>
      <c r="EM125" s="299"/>
      <c r="EN125" s="299"/>
      <c r="EO125" s="299"/>
      <c r="EP125" s="299"/>
      <c r="EQ125" s="299"/>
      <c r="ER125" s="299"/>
      <c r="ES125" s="299"/>
      <c r="ET125" s="299"/>
      <c r="EU125" s="299"/>
      <c r="EV125" s="299"/>
      <c r="EW125" s="299"/>
      <c r="EX125" s="299"/>
      <c r="EY125" s="299"/>
      <c r="EZ125" s="299"/>
      <c r="FA125" s="299"/>
      <c r="FB125" s="299"/>
      <c r="FC125" s="299"/>
      <c r="FD125" s="299"/>
      <c r="FE125" s="299"/>
      <c r="FF125" s="299"/>
      <c r="FG125" s="299"/>
      <c r="FH125" s="299"/>
      <c r="FI125" s="299"/>
      <c r="FJ125" s="299"/>
      <c r="FK125" s="299"/>
      <c r="FL125" s="299"/>
      <c r="FM125" s="299"/>
      <c r="FN125" s="299"/>
      <c r="FO125" s="299"/>
      <c r="FP125" s="299"/>
      <c r="FQ125" s="299"/>
      <c r="FR125" s="299"/>
      <c r="FS125" s="299"/>
      <c r="FT125" s="299"/>
      <c r="FU125" s="299"/>
      <c r="FV125" s="299"/>
      <c r="FW125" s="299"/>
      <c r="FX125" s="299"/>
      <c r="FY125" s="299"/>
      <c r="FZ125" s="299"/>
      <c r="GA125" s="299"/>
      <c r="GB125" s="299"/>
      <c r="GC125" s="299"/>
      <c r="GD125" s="299"/>
      <c r="GE125" s="299"/>
    </row>
    <row r="126" spans="2:187" s="149" customFormat="1">
      <c r="B126" s="291">
        <v>120</v>
      </c>
      <c r="C126" s="413" t="s">
        <v>535</v>
      </c>
      <c r="D126" s="413" t="s">
        <v>685</v>
      </c>
      <c r="E126" s="413" t="s">
        <v>212</v>
      </c>
      <c r="F126" s="413" t="s">
        <v>177</v>
      </c>
      <c r="G126" s="418">
        <v>5</v>
      </c>
      <c r="H126" s="415">
        <v>500000</v>
      </c>
      <c r="I126" s="292">
        <f t="shared" si="1"/>
        <v>93750</v>
      </c>
      <c r="J126" s="326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299"/>
      <c r="AH126" s="299"/>
      <c r="AI126" s="299"/>
      <c r="AJ126" s="299"/>
      <c r="AK126" s="299"/>
      <c r="AL126" s="299"/>
      <c r="AM126" s="299"/>
      <c r="AN126" s="299"/>
      <c r="AO126" s="299"/>
      <c r="AP126" s="299"/>
      <c r="AQ126" s="299"/>
      <c r="AR126" s="299"/>
      <c r="AS126" s="299"/>
      <c r="AT126" s="299"/>
      <c r="AU126" s="299"/>
      <c r="AV126" s="299"/>
      <c r="AW126" s="299"/>
      <c r="AX126" s="299"/>
      <c r="AY126" s="299"/>
      <c r="AZ126" s="299"/>
      <c r="BA126" s="299"/>
      <c r="BB126" s="299"/>
      <c r="BC126" s="299"/>
      <c r="BD126" s="299"/>
      <c r="BE126" s="299"/>
      <c r="BF126" s="299"/>
      <c r="BG126" s="299"/>
      <c r="BH126" s="299"/>
      <c r="BI126" s="299"/>
      <c r="BJ126" s="299"/>
      <c r="BK126" s="299"/>
      <c r="BL126" s="299"/>
      <c r="BM126" s="299"/>
      <c r="BN126" s="299"/>
      <c r="BO126" s="299"/>
      <c r="BP126" s="299"/>
      <c r="BQ126" s="299"/>
      <c r="BR126" s="299"/>
      <c r="BS126" s="299"/>
      <c r="BT126" s="299"/>
      <c r="BU126" s="299"/>
      <c r="BV126" s="299"/>
      <c r="BW126" s="299"/>
      <c r="BX126" s="299"/>
      <c r="BY126" s="299"/>
      <c r="BZ126" s="299"/>
      <c r="CA126" s="299"/>
      <c r="CB126" s="299"/>
      <c r="CC126" s="299"/>
      <c r="CD126" s="299"/>
      <c r="CE126" s="299"/>
      <c r="CF126" s="299"/>
      <c r="CG126" s="299"/>
      <c r="CH126" s="299"/>
      <c r="CI126" s="299"/>
      <c r="CJ126" s="299"/>
      <c r="CK126" s="299"/>
      <c r="CL126" s="299"/>
      <c r="CM126" s="299"/>
      <c r="CN126" s="299"/>
      <c r="CO126" s="299"/>
      <c r="CP126" s="299"/>
      <c r="CQ126" s="299"/>
      <c r="CR126" s="299"/>
      <c r="CS126" s="299"/>
      <c r="CT126" s="299"/>
      <c r="CU126" s="299"/>
      <c r="CV126" s="299"/>
      <c r="CW126" s="299"/>
      <c r="CX126" s="299"/>
      <c r="CY126" s="299"/>
      <c r="CZ126" s="299"/>
      <c r="DA126" s="299"/>
      <c r="DB126" s="299"/>
      <c r="DC126" s="299"/>
      <c r="DD126" s="299"/>
      <c r="DE126" s="299"/>
      <c r="DF126" s="299"/>
      <c r="DG126" s="299"/>
      <c r="DH126" s="299"/>
      <c r="DI126" s="299"/>
      <c r="DJ126" s="299"/>
      <c r="DK126" s="299"/>
      <c r="DL126" s="299"/>
      <c r="DM126" s="299"/>
      <c r="DN126" s="299"/>
      <c r="DO126" s="299"/>
      <c r="DP126" s="299"/>
      <c r="DQ126" s="299"/>
      <c r="DR126" s="299"/>
      <c r="DS126" s="299"/>
      <c r="DT126" s="299"/>
      <c r="DU126" s="299"/>
      <c r="DV126" s="299"/>
      <c r="DW126" s="299"/>
      <c r="DX126" s="299"/>
      <c r="DY126" s="299"/>
      <c r="DZ126" s="299"/>
      <c r="EA126" s="299"/>
      <c r="EB126" s="299"/>
      <c r="EC126" s="299"/>
      <c r="ED126" s="299"/>
      <c r="EE126" s="299"/>
      <c r="EF126" s="299"/>
      <c r="EG126" s="299"/>
      <c r="EH126" s="299"/>
      <c r="EI126" s="299"/>
      <c r="EJ126" s="299"/>
      <c r="EK126" s="299"/>
      <c r="EL126" s="299"/>
      <c r="EM126" s="299"/>
      <c r="EN126" s="299"/>
      <c r="EO126" s="299"/>
      <c r="EP126" s="299"/>
      <c r="EQ126" s="299"/>
      <c r="ER126" s="299"/>
      <c r="ES126" s="299"/>
      <c r="ET126" s="299"/>
      <c r="EU126" s="299"/>
      <c r="EV126" s="299"/>
      <c r="EW126" s="299"/>
      <c r="EX126" s="299"/>
      <c r="EY126" s="299"/>
      <c r="EZ126" s="299"/>
      <c r="FA126" s="299"/>
      <c r="FB126" s="299"/>
      <c r="FC126" s="299"/>
      <c r="FD126" s="299"/>
      <c r="FE126" s="299"/>
      <c r="FF126" s="299"/>
      <c r="FG126" s="299"/>
      <c r="FH126" s="299"/>
      <c r="FI126" s="299"/>
      <c r="FJ126" s="299"/>
      <c r="FK126" s="299"/>
      <c r="FL126" s="299"/>
      <c r="FM126" s="299"/>
      <c r="FN126" s="299"/>
      <c r="FO126" s="299"/>
      <c r="FP126" s="299"/>
      <c r="FQ126" s="299"/>
      <c r="FR126" s="299"/>
      <c r="FS126" s="299"/>
      <c r="FT126" s="299"/>
      <c r="FU126" s="299"/>
      <c r="FV126" s="299"/>
      <c r="FW126" s="299"/>
      <c r="FX126" s="299"/>
      <c r="FY126" s="299"/>
      <c r="FZ126" s="299"/>
      <c r="GA126" s="299"/>
      <c r="GB126" s="299"/>
      <c r="GC126" s="299"/>
      <c r="GD126" s="299"/>
      <c r="GE126" s="299"/>
    </row>
    <row r="127" spans="2:187" s="149" customFormat="1">
      <c r="B127" s="291">
        <v>121</v>
      </c>
      <c r="C127" s="413" t="s">
        <v>430</v>
      </c>
      <c r="D127" s="413" t="s">
        <v>335</v>
      </c>
      <c r="E127" s="413" t="s">
        <v>336</v>
      </c>
      <c r="F127" s="413" t="s">
        <v>308</v>
      </c>
      <c r="G127" s="418">
        <v>1</v>
      </c>
      <c r="H127" s="415">
        <v>101800</v>
      </c>
      <c r="I127" s="292">
        <f t="shared" si="1"/>
        <v>19087.5</v>
      </c>
      <c r="J127" s="326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299"/>
      <c r="AH127" s="299"/>
      <c r="AI127" s="299"/>
      <c r="AJ127" s="299"/>
      <c r="AK127" s="299"/>
      <c r="AL127" s="299"/>
      <c r="AM127" s="299"/>
      <c r="AN127" s="299"/>
      <c r="AO127" s="299"/>
      <c r="AP127" s="299"/>
      <c r="AQ127" s="299"/>
      <c r="AR127" s="299"/>
      <c r="AS127" s="299"/>
      <c r="AT127" s="299"/>
      <c r="AU127" s="299"/>
      <c r="AV127" s="299"/>
      <c r="AW127" s="299"/>
      <c r="AX127" s="299"/>
      <c r="AY127" s="299"/>
      <c r="AZ127" s="299"/>
      <c r="BA127" s="299"/>
      <c r="BB127" s="299"/>
      <c r="BC127" s="299"/>
      <c r="BD127" s="299"/>
      <c r="BE127" s="299"/>
      <c r="BF127" s="299"/>
      <c r="BG127" s="299"/>
      <c r="BH127" s="299"/>
      <c r="BI127" s="299"/>
      <c r="BJ127" s="299"/>
      <c r="BK127" s="299"/>
      <c r="BL127" s="299"/>
      <c r="BM127" s="299"/>
      <c r="BN127" s="299"/>
      <c r="BO127" s="299"/>
      <c r="BP127" s="299"/>
      <c r="BQ127" s="299"/>
      <c r="BR127" s="299"/>
      <c r="BS127" s="299"/>
      <c r="BT127" s="299"/>
      <c r="BU127" s="299"/>
      <c r="BV127" s="299"/>
      <c r="BW127" s="299"/>
      <c r="BX127" s="299"/>
      <c r="BY127" s="299"/>
      <c r="BZ127" s="299"/>
      <c r="CA127" s="299"/>
      <c r="CB127" s="299"/>
      <c r="CC127" s="299"/>
      <c r="CD127" s="299"/>
      <c r="CE127" s="299"/>
      <c r="CF127" s="299"/>
      <c r="CG127" s="299"/>
      <c r="CH127" s="299"/>
      <c r="CI127" s="299"/>
      <c r="CJ127" s="299"/>
      <c r="CK127" s="299"/>
      <c r="CL127" s="299"/>
      <c r="CM127" s="299"/>
      <c r="CN127" s="299"/>
      <c r="CO127" s="299"/>
      <c r="CP127" s="299"/>
      <c r="CQ127" s="299"/>
      <c r="CR127" s="299"/>
      <c r="CS127" s="299"/>
      <c r="CT127" s="299"/>
      <c r="CU127" s="299"/>
      <c r="CV127" s="299"/>
      <c r="CW127" s="299"/>
      <c r="CX127" s="299"/>
      <c r="CY127" s="299"/>
      <c r="CZ127" s="299"/>
      <c r="DA127" s="299"/>
      <c r="DB127" s="299"/>
      <c r="DC127" s="299"/>
      <c r="DD127" s="299"/>
      <c r="DE127" s="299"/>
      <c r="DF127" s="299"/>
      <c r="DG127" s="299"/>
      <c r="DH127" s="299"/>
      <c r="DI127" s="299"/>
      <c r="DJ127" s="299"/>
      <c r="DK127" s="299"/>
      <c r="DL127" s="299"/>
      <c r="DM127" s="299"/>
      <c r="DN127" s="299"/>
      <c r="DO127" s="299"/>
      <c r="DP127" s="299"/>
      <c r="DQ127" s="299"/>
      <c r="DR127" s="299"/>
      <c r="DS127" s="299"/>
      <c r="DT127" s="299"/>
      <c r="DU127" s="299"/>
      <c r="DV127" s="299"/>
      <c r="DW127" s="299"/>
      <c r="DX127" s="299"/>
      <c r="DY127" s="299"/>
      <c r="DZ127" s="299"/>
      <c r="EA127" s="299"/>
      <c r="EB127" s="299"/>
      <c r="EC127" s="299"/>
      <c r="ED127" s="299"/>
      <c r="EE127" s="299"/>
      <c r="EF127" s="299"/>
      <c r="EG127" s="299"/>
      <c r="EH127" s="299"/>
      <c r="EI127" s="299"/>
      <c r="EJ127" s="299"/>
      <c r="EK127" s="299"/>
      <c r="EL127" s="299"/>
      <c r="EM127" s="299"/>
      <c r="EN127" s="299"/>
      <c r="EO127" s="299"/>
      <c r="EP127" s="299"/>
      <c r="EQ127" s="299"/>
      <c r="ER127" s="299"/>
      <c r="ES127" s="299"/>
      <c r="ET127" s="299"/>
      <c r="EU127" s="299"/>
      <c r="EV127" s="299"/>
      <c r="EW127" s="299"/>
      <c r="EX127" s="299"/>
      <c r="EY127" s="299"/>
      <c r="EZ127" s="299"/>
      <c r="FA127" s="299"/>
      <c r="FB127" s="299"/>
      <c r="FC127" s="299"/>
      <c r="FD127" s="299"/>
      <c r="FE127" s="299"/>
      <c r="FF127" s="299"/>
      <c r="FG127" s="299"/>
      <c r="FH127" s="299"/>
      <c r="FI127" s="299"/>
      <c r="FJ127" s="299"/>
      <c r="FK127" s="299"/>
      <c r="FL127" s="299"/>
      <c r="FM127" s="299"/>
      <c r="FN127" s="299"/>
      <c r="FO127" s="299"/>
      <c r="FP127" s="299"/>
      <c r="FQ127" s="299"/>
      <c r="FR127" s="299"/>
      <c r="FS127" s="299"/>
      <c r="FT127" s="299"/>
      <c r="FU127" s="299"/>
      <c r="FV127" s="299"/>
      <c r="FW127" s="299"/>
      <c r="FX127" s="299"/>
      <c r="FY127" s="299"/>
      <c r="FZ127" s="299"/>
      <c r="GA127" s="299"/>
      <c r="GB127" s="299"/>
      <c r="GC127" s="299"/>
      <c r="GD127" s="299"/>
      <c r="GE127" s="299"/>
    </row>
    <row r="128" spans="2:187" s="149" customFormat="1">
      <c r="B128" s="291">
        <v>122</v>
      </c>
      <c r="C128" s="413" t="s">
        <v>567</v>
      </c>
      <c r="D128" s="413" t="s">
        <v>686</v>
      </c>
      <c r="E128" s="413" t="s">
        <v>191</v>
      </c>
      <c r="F128" s="413" t="s">
        <v>177</v>
      </c>
      <c r="G128" s="418">
        <v>3</v>
      </c>
      <c r="H128" s="415">
        <v>300000</v>
      </c>
      <c r="I128" s="292">
        <f t="shared" si="1"/>
        <v>56250</v>
      </c>
      <c r="J128" s="238"/>
    </row>
    <row r="129" spans="2:10" s="149" customFormat="1">
      <c r="B129" s="291">
        <v>123</v>
      </c>
      <c r="C129" s="413" t="s">
        <v>430</v>
      </c>
      <c r="D129" s="413" t="s">
        <v>687</v>
      </c>
      <c r="E129" s="413" t="s">
        <v>224</v>
      </c>
      <c r="F129" s="413" t="s">
        <v>308</v>
      </c>
      <c r="G129" s="418">
        <v>1</v>
      </c>
      <c r="H129" s="415">
        <v>101800</v>
      </c>
      <c r="I129" s="292">
        <f t="shared" si="1"/>
        <v>19087.5</v>
      </c>
      <c r="J129" s="238"/>
    </row>
    <row r="130" spans="2:10" s="149" customFormat="1">
      <c r="B130" s="291">
        <v>124</v>
      </c>
      <c r="C130" s="413" t="s">
        <v>512</v>
      </c>
      <c r="D130" s="413" t="s">
        <v>688</v>
      </c>
      <c r="E130" s="413" t="s">
        <v>181</v>
      </c>
      <c r="F130" s="413" t="s">
        <v>177</v>
      </c>
      <c r="G130" s="418">
        <v>3</v>
      </c>
      <c r="H130" s="415">
        <v>300000</v>
      </c>
      <c r="I130" s="292">
        <f t="shared" si="1"/>
        <v>56250</v>
      </c>
      <c r="J130" s="238"/>
    </row>
    <row r="131" spans="2:10" s="149" customFormat="1">
      <c r="B131" s="291">
        <v>125</v>
      </c>
      <c r="C131" s="413" t="s">
        <v>571</v>
      </c>
      <c r="D131" s="413" t="s">
        <v>689</v>
      </c>
      <c r="E131" s="413" t="s">
        <v>176</v>
      </c>
      <c r="F131" s="413" t="s">
        <v>182</v>
      </c>
      <c r="G131" s="418">
        <v>1</v>
      </c>
      <c r="H131" s="415">
        <v>40300</v>
      </c>
      <c r="I131" s="292">
        <f t="shared" si="1"/>
        <v>7556.25</v>
      </c>
      <c r="J131" s="238"/>
    </row>
    <row r="132" spans="2:10" s="149" customFormat="1">
      <c r="B132" s="291">
        <v>126</v>
      </c>
      <c r="C132" s="413" t="s">
        <v>390</v>
      </c>
      <c r="D132" s="413" t="s">
        <v>311</v>
      </c>
      <c r="E132" s="413" t="s">
        <v>178</v>
      </c>
      <c r="F132" s="413" t="s">
        <v>348</v>
      </c>
      <c r="G132" s="418">
        <v>1</v>
      </c>
      <c r="H132" s="415">
        <v>100000</v>
      </c>
      <c r="I132" s="292">
        <f t="shared" si="1"/>
        <v>18750</v>
      </c>
      <c r="J132" s="238"/>
    </row>
    <row r="133" spans="2:10" s="149" customFormat="1">
      <c r="B133" s="291">
        <v>127</v>
      </c>
      <c r="C133" s="413" t="s">
        <v>560</v>
      </c>
      <c r="D133" s="413" t="s">
        <v>633</v>
      </c>
      <c r="E133" s="413" t="s">
        <v>216</v>
      </c>
      <c r="F133" s="413" t="s">
        <v>221</v>
      </c>
      <c r="G133" s="418">
        <v>1</v>
      </c>
      <c r="H133" s="415">
        <v>101800</v>
      </c>
      <c r="I133" s="292">
        <f t="shared" si="1"/>
        <v>19087.5</v>
      </c>
      <c r="J133" s="238"/>
    </row>
    <row r="134" spans="2:10" s="149" customFormat="1">
      <c r="B134" s="291">
        <v>128</v>
      </c>
      <c r="C134" s="413" t="s">
        <v>560</v>
      </c>
      <c r="D134" s="413" t="s">
        <v>463</v>
      </c>
      <c r="E134" s="413" t="s">
        <v>205</v>
      </c>
      <c r="F134" s="413" t="s">
        <v>177</v>
      </c>
      <c r="G134" s="418">
        <v>3</v>
      </c>
      <c r="H134" s="415">
        <v>300000</v>
      </c>
      <c r="I134" s="292">
        <f t="shared" si="1"/>
        <v>56250</v>
      </c>
      <c r="J134" s="238"/>
    </row>
    <row r="135" spans="2:10" s="149" customFormat="1">
      <c r="B135" s="291">
        <v>129</v>
      </c>
      <c r="C135" s="413" t="s">
        <v>551</v>
      </c>
      <c r="D135" s="413" t="s">
        <v>690</v>
      </c>
      <c r="E135" s="413" t="s">
        <v>187</v>
      </c>
      <c r="F135" s="413" t="s">
        <v>177</v>
      </c>
      <c r="G135" s="418">
        <v>7</v>
      </c>
      <c r="H135" s="415">
        <v>700000</v>
      </c>
      <c r="I135" s="292">
        <f t="shared" si="1"/>
        <v>131250</v>
      </c>
      <c r="J135" s="238"/>
    </row>
    <row r="136" spans="2:10" s="149" customFormat="1">
      <c r="B136" s="291">
        <v>130</v>
      </c>
      <c r="C136" s="413" t="s">
        <v>542</v>
      </c>
      <c r="D136" s="413" t="s">
        <v>691</v>
      </c>
      <c r="E136" s="413" t="s">
        <v>183</v>
      </c>
      <c r="F136" s="413" t="s">
        <v>180</v>
      </c>
      <c r="G136" s="418">
        <v>2</v>
      </c>
      <c r="H136" s="415">
        <v>200000</v>
      </c>
      <c r="I136" s="292">
        <f t="shared" ref="I136:I199" si="2">H136*25%*75%</f>
        <v>37500</v>
      </c>
      <c r="J136" s="238"/>
    </row>
    <row r="137" spans="2:10" s="149" customFormat="1">
      <c r="B137" s="291">
        <v>131</v>
      </c>
      <c r="C137" s="413" t="s">
        <v>580</v>
      </c>
      <c r="D137" s="413" t="s">
        <v>327</v>
      </c>
      <c r="E137" s="413" t="s">
        <v>195</v>
      </c>
      <c r="F137" s="413" t="s">
        <v>182</v>
      </c>
      <c r="G137" s="418">
        <v>1</v>
      </c>
      <c r="H137" s="415">
        <v>40300</v>
      </c>
      <c r="I137" s="292">
        <f t="shared" si="2"/>
        <v>7556.25</v>
      </c>
      <c r="J137" s="238"/>
    </row>
    <row r="138" spans="2:10" s="149" customFormat="1">
      <c r="B138" s="291">
        <v>132</v>
      </c>
      <c r="C138" s="413" t="s">
        <v>430</v>
      </c>
      <c r="D138" s="413" t="s">
        <v>692</v>
      </c>
      <c r="E138" s="413" t="s">
        <v>223</v>
      </c>
      <c r="F138" s="413" t="s">
        <v>177</v>
      </c>
      <c r="G138" s="418">
        <v>3</v>
      </c>
      <c r="H138" s="415">
        <v>300000</v>
      </c>
      <c r="I138" s="292">
        <f t="shared" si="2"/>
        <v>56250</v>
      </c>
      <c r="J138" s="238"/>
    </row>
    <row r="139" spans="2:10" s="149" customFormat="1">
      <c r="B139" s="291">
        <v>133</v>
      </c>
      <c r="C139" s="413" t="s">
        <v>430</v>
      </c>
      <c r="D139" s="413" t="s">
        <v>639</v>
      </c>
      <c r="E139" s="413" t="s">
        <v>200</v>
      </c>
      <c r="F139" s="413" t="s">
        <v>177</v>
      </c>
      <c r="G139" s="418">
        <v>2</v>
      </c>
      <c r="H139" s="415">
        <v>200000</v>
      </c>
      <c r="I139" s="292">
        <f t="shared" si="2"/>
        <v>37500</v>
      </c>
      <c r="J139" s="238"/>
    </row>
    <row r="140" spans="2:10" s="149" customFormat="1">
      <c r="B140" s="291">
        <v>134</v>
      </c>
      <c r="C140" s="413" t="s">
        <v>512</v>
      </c>
      <c r="D140" s="413" t="s">
        <v>693</v>
      </c>
      <c r="E140" s="413" t="s">
        <v>202</v>
      </c>
      <c r="F140" s="413" t="s">
        <v>177</v>
      </c>
      <c r="G140" s="418">
        <v>1</v>
      </c>
      <c r="H140" s="415">
        <v>100000</v>
      </c>
      <c r="I140" s="292">
        <f t="shared" si="2"/>
        <v>18750</v>
      </c>
      <c r="J140" s="238"/>
    </row>
    <row r="141" spans="2:10" s="149" customFormat="1">
      <c r="B141" s="291">
        <v>135</v>
      </c>
      <c r="C141" s="413" t="s">
        <v>567</v>
      </c>
      <c r="D141" s="413" t="s">
        <v>657</v>
      </c>
      <c r="E141" s="413" t="s">
        <v>183</v>
      </c>
      <c r="F141" s="413" t="s">
        <v>308</v>
      </c>
      <c r="G141" s="418">
        <v>1</v>
      </c>
      <c r="H141" s="415">
        <v>101800</v>
      </c>
      <c r="I141" s="292">
        <f t="shared" si="2"/>
        <v>19087.5</v>
      </c>
      <c r="J141" s="238"/>
    </row>
    <row r="142" spans="2:10" s="181" customFormat="1">
      <c r="B142" s="291">
        <v>136</v>
      </c>
      <c r="C142" s="402" t="s">
        <v>551</v>
      </c>
      <c r="D142" s="402" t="s">
        <v>635</v>
      </c>
      <c r="E142" s="402" t="s">
        <v>306</v>
      </c>
      <c r="F142" s="402" t="s">
        <v>180</v>
      </c>
      <c r="G142" s="403">
        <v>2</v>
      </c>
      <c r="H142" s="404">
        <v>200000</v>
      </c>
      <c r="I142" s="420">
        <f t="shared" si="2"/>
        <v>37500</v>
      </c>
      <c r="J142" s="421"/>
    </row>
    <row r="143" spans="2:10" s="181" customFormat="1">
      <c r="B143" s="291">
        <v>137</v>
      </c>
      <c r="C143" s="402" t="s">
        <v>512</v>
      </c>
      <c r="D143" s="402" t="s">
        <v>635</v>
      </c>
      <c r="E143" s="402" t="s">
        <v>306</v>
      </c>
      <c r="F143" s="402" t="s">
        <v>189</v>
      </c>
      <c r="G143" s="403">
        <v>1</v>
      </c>
      <c r="H143" s="404">
        <v>40300</v>
      </c>
      <c r="I143" s="420">
        <f t="shared" si="2"/>
        <v>7556.25</v>
      </c>
      <c r="J143" s="421"/>
    </row>
    <row r="144" spans="2:10" s="181" customFormat="1">
      <c r="B144" s="291">
        <v>138</v>
      </c>
      <c r="C144" s="402" t="s">
        <v>430</v>
      </c>
      <c r="D144" s="402" t="s">
        <v>671</v>
      </c>
      <c r="E144" s="402" t="s">
        <v>232</v>
      </c>
      <c r="F144" s="402" t="s">
        <v>182</v>
      </c>
      <c r="G144" s="403">
        <v>1</v>
      </c>
      <c r="H144" s="404">
        <v>40300</v>
      </c>
      <c r="I144" s="420">
        <f t="shared" si="2"/>
        <v>7556.25</v>
      </c>
      <c r="J144" s="421"/>
    </row>
    <row r="145" spans="2:10" s="181" customFormat="1">
      <c r="B145" s="291">
        <v>139</v>
      </c>
      <c r="C145" s="405" t="s">
        <v>430</v>
      </c>
      <c r="D145" s="405" t="s">
        <v>694</v>
      </c>
      <c r="E145" s="402" t="s">
        <v>194</v>
      </c>
      <c r="F145" s="405" t="s">
        <v>189</v>
      </c>
      <c r="G145" s="403">
        <v>1</v>
      </c>
      <c r="H145" s="404">
        <v>100000</v>
      </c>
      <c r="I145" s="420">
        <f t="shared" si="2"/>
        <v>18750</v>
      </c>
      <c r="J145" s="421"/>
    </row>
    <row r="146" spans="2:10" s="181" customFormat="1">
      <c r="B146" s="291">
        <v>140</v>
      </c>
      <c r="C146" s="405" t="s">
        <v>390</v>
      </c>
      <c r="D146" s="405" t="s">
        <v>689</v>
      </c>
      <c r="E146" s="402" t="s">
        <v>176</v>
      </c>
      <c r="F146" s="405" t="s">
        <v>180</v>
      </c>
      <c r="G146" s="403">
        <v>8</v>
      </c>
      <c r="H146" s="404">
        <v>800000</v>
      </c>
      <c r="I146" s="420">
        <f t="shared" si="2"/>
        <v>150000</v>
      </c>
      <c r="J146" s="421"/>
    </row>
    <row r="147" spans="2:10" s="181" customFormat="1">
      <c r="B147" s="291">
        <v>141</v>
      </c>
      <c r="C147" s="405" t="s">
        <v>542</v>
      </c>
      <c r="D147" s="405" t="s">
        <v>695</v>
      </c>
      <c r="E147" s="402" t="s">
        <v>167</v>
      </c>
      <c r="F147" s="405" t="s">
        <v>180</v>
      </c>
      <c r="G147" s="403">
        <v>3</v>
      </c>
      <c r="H147" s="404">
        <v>300000</v>
      </c>
      <c r="I147" s="420">
        <f t="shared" si="2"/>
        <v>56250</v>
      </c>
      <c r="J147" s="421"/>
    </row>
    <row r="148" spans="2:10" s="149" customFormat="1">
      <c r="B148" s="291">
        <v>142</v>
      </c>
      <c r="C148" s="414" t="s">
        <v>508</v>
      </c>
      <c r="D148" s="414" t="s">
        <v>640</v>
      </c>
      <c r="E148" s="413" t="s">
        <v>210</v>
      </c>
      <c r="F148" s="414" t="s">
        <v>180</v>
      </c>
      <c r="G148" s="418">
        <v>2</v>
      </c>
      <c r="H148" s="415">
        <v>200000</v>
      </c>
      <c r="I148" s="292">
        <f t="shared" si="2"/>
        <v>37500</v>
      </c>
      <c r="J148" s="238"/>
    </row>
    <row r="149" spans="2:10" s="149" customFormat="1">
      <c r="B149" s="291">
        <v>143</v>
      </c>
      <c r="C149" s="414" t="s">
        <v>544</v>
      </c>
      <c r="D149" s="414" t="s">
        <v>681</v>
      </c>
      <c r="E149" s="413" t="s">
        <v>235</v>
      </c>
      <c r="F149" s="414" t="s">
        <v>300</v>
      </c>
      <c r="G149" s="418">
        <v>1</v>
      </c>
      <c r="H149" s="415">
        <v>400000</v>
      </c>
      <c r="I149" s="292">
        <f t="shared" si="2"/>
        <v>75000</v>
      </c>
      <c r="J149" s="238"/>
    </row>
    <row r="150" spans="2:10" s="149" customFormat="1">
      <c r="B150" s="291">
        <v>144</v>
      </c>
      <c r="C150" s="414" t="s">
        <v>390</v>
      </c>
      <c r="D150" s="414" t="s">
        <v>696</v>
      </c>
      <c r="E150" s="413" t="s">
        <v>697</v>
      </c>
      <c r="F150" s="414" t="s">
        <v>177</v>
      </c>
      <c r="G150" s="418">
        <v>5</v>
      </c>
      <c r="H150" s="415">
        <v>500000</v>
      </c>
      <c r="I150" s="292">
        <f t="shared" si="2"/>
        <v>93750</v>
      </c>
      <c r="J150" s="238"/>
    </row>
    <row r="151" spans="2:10" s="149" customFormat="1">
      <c r="B151" s="291">
        <v>145</v>
      </c>
      <c r="C151" s="414" t="s">
        <v>571</v>
      </c>
      <c r="D151" s="414" t="s">
        <v>638</v>
      </c>
      <c r="E151" s="413" t="s">
        <v>183</v>
      </c>
      <c r="F151" s="414" t="s">
        <v>177</v>
      </c>
      <c r="G151" s="418">
        <v>3</v>
      </c>
      <c r="H151" s="415">
        <v>300000</v>
      </c>
      <c r="I151" s="292">
        <f t="shared" si="2"/>
        <v>56250</v>
      </c>
      <c r="J151" s="238"/>
    </row>
    <row r="152" spans="2:10" s="149" customFormat="1">
      <c r="B152" s="291">
        <v>146</v>
      </c>
      <c r="C152" s="414" t="s">
        <v>571</v>
      </c>
      <c r="D152" s="414" t="s">
        <v>519</v>
      </c>
      <c r="E152" s="413" t="s">
        <v>179</v>
      </c>
      <c r="F152" s="414" t="s">
        <v>182</v>
      </c>
      <c r="G152" s="418">
        <v>1</v>
      </c>
      <c r="H152" s="415">
        <v>100000</v>
      </c>
      <c r="I152" s="292">
        <f t="shared" si="2"/>
        <v>18750</v>
      </c>
      <c r="J152" s="238"/>
    </row>
    <row r="153" spans="2:10" s="149" customFormat="1">
      <c r="B153" s="291">
        <v>147</v>
      </c>
      <c r="C153" s="414" t="s">
        <v>390</v>
      </c>
      <c r="D153" s="414" t="s">
        <v>698</v>
      </c>
      <c r="E153" s="413" t="s">
        <v>183</v>
      </c>
      <c r="F153" s="414" t="s">
        <v>348</v>
      </c>
      <c r="G153" s="418">
        <v>1</v>
      </c>
      <c r="H153" s="415">
        <v>100000</v>
      </c>
      <c r="I153" s="292">
        <f t="shared" si="2"/>
        <v>18750</v>
      </c>
      <c r="J153" s="238"/>
    </row>
    <row r="154" spans="2:10" s="149" customFormat="1">
      <c r="B154" s="291">
        <v>148</v>
      </c>
      <c r="C154" s="414" t="s">
        <v>567</v>
      </c>
      <c r="D154" s="414" t="s">
        <v>660</v>
      </c>
      <c r="E154" s="413" t="s">
        <v>190</v>
      </c>
      <c r="F154" s="414" t="s">
        <v>180</v>
      </c>
      <c r="G154" s="418">
        <v>3</v>
      </c>
      <c r="H154" s="415">
        <v>300000</v>
      </c>
      <c r="I154" s="292">
        <f t="shared" si="2"/>
        <v>56250</v>
      </c>
      <c r="J154" s="238"/>
    </row>
    <row r="155" spans="2:10" s="149" customFormat="1">
      <c r="B155" s="291">
        <v>149</v>
      </c>
      <c r="C155" s="414" t="s">
        <v>542</v>
      </c>
      <c r="D155" s="414" t="s">
        <v>631</v>
      </c>
      <c r="E155" s="413" t="s">
        <v>192</v>
      </c>
      <c r="F155" s="414" t="s">
        <v>180</v>
      </c>
      <c r="G155" s="418">
        <v>3</v>
      </c>
      <c r="H155" s="415">
        <v>300000</v>
      </c>
      <c r="I155" s="292">
        <f t="shared" si="2"/>
        <v>56250</v>
      </c>
      <c r="J155" s="238"/>
    </row>
    <row r="156" spans="2:10" s="149" customFormat="1">
      <c r="B156" s="291">
        <v>150</v>
      </c>
      <c r="C156" s="414" t="s">
        <v>571</v>
      </c>
      <c r="D156" s="414" t="s">
        <v>699</v>
      </c>
      <c r="E156" s="413" t="s">
        <v>217</v>
      </c>
      <c r="F156" s="414" t="s">
        <v>177</v>
      </c>
      <c r="G156" s="418">
        <v>9</v>
      </c>
      <c r="H156" s="415">
        <v>900000</v>
      </c>
      <c r="I156" s="292">
        <f t="shared" si="2"/>
        <v>168750</v>
      </c>
      <c r="J156" s="238"/>
    </row>
    <row r="157" spans="2:10" s="181" customFormat="1">
      <c r="B157" s="291">
        <v>151</v>
      </c>
      <c r="C157" s="405" t="s">
        <v>390</v>
      </c>
      <c r="D157" s="405" t="s">
        <v>615</v>
      </c>
      <c r="E157" s="402" t="s">
        <v>231</v>
      </c>
      <c r="F157" s="405" t="s">
        <v>301</v>
      </c>
      <c r="G157" s="403">
        <v>1</v>
      </c>
      <c r="H157" s="404">
        <v>120000</v>
      </c>
      <c r="I157" s="420">
        <f t="shared" si="2"/>
        <v>22500</v>
      </c>
      <c r="J157" s="421"/>
    </row>
    <row r="158" spans="2:10" s="181" customFormat="1">
      <c r="B158" s="291">
        <v>152</v>
      </c>
      <c r="C158" s="405" t="s">
        <v>544</v>
      </c>
      <c r="D158" s="405" t="s">
        <v>700</v>
      </c>
      <c r="E158" s="402" t="s">
        <v>190</v>
      </c>
      <c r="F158" s="405" t="s">
        <v>182</v>
      </c>
      <c r="G158" s="403">
        <v>1</v>
      </c>
      <c r="H158" s="404">
        <v>40300</v>
      </c>
      <c r="I158" s="420">
        <f t="shared" si="2"/>
        <v>7556.25</v>
      </c>
      <c r="J158" s="421"/>
    </row>
    <row r="159" spans="2:10" s="181" customFormat="1">
      <c r="B159" s="291">
        <v>153</v>
      </c>
      <c r="C159" s="405" t="s">
        <v>571</v>
      </c>
      <c r="D159" s="405" t="s">
        <v>686</v>
      </c>
      <c r="E159" s="402" t="s">
        <v>191</v>
      </c>
      <c r="F159" s="405" t="s">
        <v>182</v>
      </c>
      <c r="G159" s="403">
        <v>1</v>
      </c>
      <c r="H159" s="404">
        <v>40300</v>
      </c>
      <c r="I159" s="420">
        <f t="shared" si="2"/>
        <v>7556.25</v>
      </c>
      <c r="J159" s="421"/>
    </row>
    <row r="160" spans="2:10" s="181" customFormat="1">
      <c r="B160" s="291">
        <v>154</v>
      </c>
      <c r="C160" s="405" t="s">
        <v>508</v>
      </c>
      <c r="D160" s="405" t="s">
        <v>683</v>
      </c>
      <c r="E160" s="402" t="s">
        <v>217</v>
      </c>
      <c r="F160" s="405" t="s">
        <v>180</v>
      </c>
      <c r="G160" s="403">
        <v>4</v>
      </c>
      <c r="H160" s="404">
        <v>400000</v>
      </c>
      <c r="I160" s="420">
        <f t="shared" si="2"/>
        <v>75000</v>
      </c>
      <c r="J160" s="421"/>
    </row>
    <row r="161" spans="2:10" s="181" customFormat="1">
      <c r="B161" s="291">
        <v>155</v>
      </c>
      <c r="C161" s="405" t="s">
        <v>390</v>
      </c>
      <c r="D161" s="405" t="s">
        <v>610</v>
      </c>
      <c r="E161" s="402" t="s">
        <v>211</v>
      </c>
      <c r="F161" s="405" t="s">
        <v>177</v>
      </c>
      <c r="G161" s="403">
        <v>7</v>
      </c>
      <c r="H161" s="404">
        <v>700000</v>
      </c>
      <c r="I161" s="420">
        <f t="shared" si="2"/>
        <v>131250</v>
      </c>
      <c r="J161" s="421"/>
    </row>
    <row r="162" spans="2:10" s="181" customFormat="1">
      <c r="B162" s="291">
        <v>156</v>
      </c>
      <c r="C162" s="405" t="s">
        <v>508</v>
      </c>
      <c r="D162" s="405" t="s">
        <v>701</v>
      </c>
      <c r="E162" s="402" t="s">
        <v>195</v>
      </c>
      <c r="F162" s="405" t="s">
        <v>180</v>
      </c>
      <c r="G162" s="403">
        <v>5</v>
      </c>
      <c r="H162" s="404">
        <v>500000</v>
      </c>
      <c r="I162" s="420">
        <f t="shared" si="2"/>
        <v>93750</v>
      </c>
      <c r="J162" s="421"/>
    </row>
    <row r="163" spans="2:10" s="181" customFormat="1">
      <c r="B163" s="291">
        <v>157</v>
      </c>
      <c r="C163" s="405" t="s">
        <v>582</v>
      </c>
      <c r="D163" s="405" t="s">
        <v>340</v>
      </c>
      <c r="E163" s="402" t="s">
        <v>176</v>
      </c>
      <c r="F163" s="405" t="s">
        <v>189</v>
      </c>
      <c r="G163" s="403">
        <v>1</v>
      </c>
      <c r="H163" s="404">
        <v>100000</v>
      </c>
      <c r="I163" s="420">
        <f t="shared" si="2"/>
        <v>18750</v>
      </c>
      <c r="J163" s="421"/>
    </row>
    <row r="164" spans="2:10" s="181" customFormat="1">
      <c r="B164" s="291">
        <v>158</v>
      </c>
      <c r="C164" s="405" t="s">
        <v>585</v>
      </c>
      <c r="D164" s="405" t="s">
        <v>702</v>
      </c>
      <c r="E164" s="402" t="s">
        <v>703</v>
      </c>
      <c r="F164" s="405" t="s">
        <v>182</v>
      </c>
      <c r="G164" s="403">
        <v>1</v>
      </c>
      <c r="H164" s="404">
        <v>100000</v>
      </c>
      <c r="I164" s="420">
        <f t="shared" si="2"/>
        <v>18750</v>
      </c>
      <c r="J164" s="421"/>
    </row>
    <row r="165" spans="2:10" s="181" customFormat="1">
      <c r="B165" s="291">
        <v>159</v>
      </c>
      <c r="C165" s="405" t="s">
        <v>512</v>
      </c>
      <c r="D165" s="405" t="s">
        <v>704</v>
      </c>
      <c r="E165" s="402" t="s">
        <v>188</v>
      </c>
      <c r="F165" s="405" t="s">
        <v>189</v>
      </c>
      <c r="G165" s="403">
        <v>1</v>
      </c>
      <c r="H165" s="404">
        <v>100000</v>
      </c>
      <c r="I165" s="420">
        <f t="shared" si="2"/>
        <v>18750</v>
      </c>
      <c r="J165" s="421"/>
    </row>
    <row r="166" spans="2:10" s="181" customFormat="1">
      <c r="B166" s="291">
        <v>160</v>
      </c>
      <c r="C166" s="405" t="s">
        <v>567</v>
      </c>
      <c r="D166" s="405" t="s">
        <v>705</v>
      </c>
      <c r="E166" s="402" t="s">
        <v>260</v>
      </c>
      <c r="F166" s="405" t="s">
        <v>177</v>
      </c>
      <c r="G166" s="403">
        <v>3</v>
      </c>
      <c r="H166" s="404">
        <v>300000</v>
      </c>
      <c r="I166" s="420">
        <f t="shared" si="2"/>
        <v>56250</v>
      </c>
      <c r="J166" s="421"/>
    </row>
    <row r="167" spans="2:10" s="181" customFormat="1">
      <c r="B167" s="291">
        <v>161</v>
      </c>
      <c r="C167" s="405" t="s">
        <v>555</v>
      </c>
      <c r="D167" s="405" t="s">
        <v>706</v>
      </c>
      <c r="E167" s="402" t="s">
        <v>199</v>
      </c>
      <c r="F167" s="405" t="s">
        <v>180</v>
      </c>
      <c r="G167" s="403">
        <v>2</v>
      </c>
      <c r="H167" s="404">
        <v>200000</v>
      </c>
      <c r="I167" s="420">
        <f t="shared" si="2"/>
        <v>37500</v>
      </c>
      <c r="J167" s="421"/>
    </row>
    <row r="168" spans="2:10" s="149" customFormat="1">
      <c r="B168" s="291">
        <v>162</v>
      </c>
      <c r="C168" s="414" t="s">
        <v>508</v>
      </c>
      <c r="D168" s="414" t="s">
        <v>666</v>
      </c>
      <c r="E168" s="413" t="s">
        <v>191</v>
      </c>
      <c r="F168" s="414" t="s">
        <v>180</v>
      </c>
      <c r="G168" s="418">
        <v>3</v>
      </c>
      <c r="H168" s="415">
        <v>300000</v>
      </c>
      <c r="I168" s="292">
        <f t="shared" si="2"/>
        <v>56250</v>
      </c>
      <c r="J168" s="238"/>
    </row>
    <row r="169" spans="2:10" s="149" customFormat="1">
      <c r="B169" s="291">
        <v>163</v>
      </c>
      <c r="C169" s="414" t="s">
        <v>585</v>
      </c>
      <c r="D169" s="414" t="s">
        <v>707</v>
      </c>
      <c r="E169" s="413" t="s">
        <v>215</v>
      </c>
      <c r="F169" s="414" t="s">
        <v>180</v>
      </c>
      <c r="G169" s="418">
        <v>1</v>
      </c>
      <c r="H169" s="415">
        <v>100000</v>
      </c>
      <c r="I169" s="292">
        <f t="shared" si="2"/>
        <v>18750</v>
      </c>
      <c r="J169" s="238"/>
    </row>
    <row r="170" spans="2:10" s="149" customFormat="1">
      <c r="B170" s="291">
        <v>164</v>
      </c>
      <c r="C170" s="414" t="s">
        <v>508</v>
      </c>
      <c r="D170" s="414" t="s">
        <v>708</v>
      </c>
      <c r="E170" s="413" t="s">
        <v>538</v>
      </c>
      <c r="F170" s="414" t="s">
        <v>177</v>
      </c>
      <c r="G170" s="418">
        <v>5</v>
      </c>
      <c r="H170" s="415">
        <v>500000</v>
      </c>
      <c r="I170" s="292">
        <f t="shared" si="2"/>
        <v>93750</v>
      </c>
      <c r="J170" s="238"/>
    </row>
    <row r="171" spans="2:10" s="149" customFormat="1">
      <c r="B171" s="291">
        <v>165</v>
      </c>
      <c r="C171" s="414" t="s">
        <v>553</v>
      </c>
      <c r="D171" s="414" t="s">
        <v>669</v>
      </c>
      <c r="E171" s="413" t="s">
        <v>219</v>
      </c>
      <c r="F171" s="414" t="s">
        <v>180</v>
      </c>
      <c r="G171" s="418">
        <v>3</v>
      </c>
      <c r="H171" s="415">
        <v>300000</v>
      </c>
      <c r="I171" s="292">
        <f t="shared" si="2"/>
        <v>56250</v>
      </c>
      <c r="J171" s="238"/>
    </row>
    <row r="172" spans="2:10" s="149" customFormat="1">
      <c r="B172" s="291">
        <v>166</v>
      </c>
      <c r="C172" s="414" t="s">
        <v>577</v>
      </c>
      <c r="D172" s="414" t="s">
        <v>616</v>
      </c>
      <c r="E172" s="413" t="s">
        <v>617</v>
      </c>
      <c r="F172" s="414" t="s">
        <v>177</v>
      </c>
      <c r="G172" s="418">
        <v>3</v>
      </c>
      <c r="H172" s="415">
        <v>300000</v>
      </c>
      <c r="I172" s="292">
        <f t="shared" si="2"/>
        <v>56250</v>
      </c>
      <c r="J172" s="238"/>
    </row>
    <row r="173" spans="2:10" s="149" customFormat="1">
      <c r="B173" s="291">
        <v>167</v>
      </c>
      <c r="C173" s="414" t="s">
        <v>535</v>
      </c>
      <c r="D173" s="414" t="s">
        <v>685</v>
      </c>
      <c r="E173" s="413" t="s">
        <v>212</v>
      </c>
      <c r="F173" s="414" t="s">
        <v>180</v>
      </c>
      <c r="G173" s="418">
        <v>3</v>
      </c>
      <c r="H173" s="415">
        <v>300000</v>
      </c>
      <c r="I173" s="292">
        <f t="shared" si="2"/>
        <v>56250</v>
      </c>
      <c r="J173" s="238"/>
    </row>
    <row r="174" spans="2:10" s="149" customFormat="1">
      <c r="B174" s="291">
        <v>168</v>
      </c>
      <c r="C174" s="414" t="s">
        <v>542</v>
      </c>
      <c r="D174" s="414" t="s">
        <v>695</v>
      </c>
      <c r="E174" s="413" t="s">
        <v>167</v>
      </c>
      <c r="F174" s="414" t="s">
        <v>177</v>
      </c>
      <c r="G174" s="418">
        <v>3</v>
      </c>
      <c r="H174" s="415">
        <v>300000</v>
      </c>
      <c r="I174" s="292">
        <f t="shared" si="2"/>
        <v>56250</v>
      </c>
      <c r="J174" s="238"/>
    </row>
    <row r="175" spans="2:10" s="149" customFormat="1">
      <c r="B175" s="291">
        <v>169</v>
      </c>
      <c r="C175" s="414" t="s">
        <v>430</v>
      </c>
      <c r="D175" s="414" t="s">
        <v>607</v>
      </c>
      <c r="E175" s="413" t="s">
        <v>230</v>
      </c>
      <c r="F175" s="414" t="s">
        <v>180</v>
      </c>
      <c r="G175" s="418">
        <v>8</v>
      </c>
      <c r="H175" s="415">
        <v>800000</v>
      </c>
      <c r="I175" s="292">
        <f t="shared" si="2"/>
        <v>150000</v>
      </c>
      <c r="J175" s="238"/>
    </row>
    <row r="176" spans="2:10" s="149" customFormat="1">
      <c r="B176" s="291">
        <v>170</v>
      </c>
      <c r="C176" s="414" t="s">
        <v>512</v>
      </c>
      <c r="D176" s="414" t="s">
        <v>670</v>
      </c>
      <c r="E176" s="413" t="s">
        <v>227</v>
      </c>
      <c r="F176" s="414" t="s">
        <v>180</v>
      </c>
      <c r="G176" s="418">
        <v>4</v>
      </c>
      <c r="H176" s="415">
        <v>400000</v>
      </c>
      <c r="I176" s="292">
        <f t="shared" si="2"/>
        <v>75000</v>
      </c>
      <c r="J176" s="238"/>
    </row>
    <row r="177" spans="2:10" s="149" customFormat="1">
      <c r="B177" s="291">
        <v>171</v>
      </c>
      <c r="C177" s="414" t="s">
        <v>555</v>
      </c>
      <c r="D177" s="414" t="s">
        <v>674</v>
      </c>
      <c r="E177" s="413" t="s">
        <v>208</v>
      </c>
      <c r="F177" s="414" t="s">
        <v>177</v>
      </c>
      <c r="G177" s="418">
        <v>8</v>
      </c>
      <c r="H177" s="415">
        <v>800000</v>
      </c>
      <c r="I177" s="292">
        <f t="shared" si="2"/>
        <v>150000</v>
      </c>
      <c r="J177" s="238"/>
    </row>
    <row r="178" spans="2:10" s="149" customFormat="1">
      <c r="B178" s="291">
        <v>172</v>
      </c>
      <c r="C178" s="414" t="s">
        <v>508</v>
      </c>
      <c r="D178" s="414" t="s">
        <v>709</v>
      </c>
      <c r="E178" s="413" t="s">
        <v>207</v>
      </c>
      <c r="F178" s="414" t="s">
        <v>182</v>
      </c>
      <c r="G178" s="418">
        <v>1</v>
      </c>
      <c r="H178" s="415">
        <v>100000</v>
      </c>
      <c r="I178" s="292">
        <f t="shared" si="2"/>
        <v>18750</v>
      </c>
      <c r="J178" s="238"/>
    </row>
    <row r="179" spans="2:10" s="149" customFormat="1">
      <c r="B179" s="291">
        <v>173</v>
      </c>
      <c r="C179" s="414" t="s">
        <v>585</v>
      </c>
      <c r="D179" s="414" t="s">
        <v>607</v>
      </c>
      <c r="E179" s="413" t="s">
        <v>230</v>
      </c>
      <c r="F179" s="414" t="s">
        <v>189</v>
      </c>
      <c r="G179" s="418">
        <v>1</v>
      </c>
      <c r="H179" s="415">
        <v>100000</v>
      </c>
      <c r="I179" s="292">
        <f t="shared" si="2"/>
        <v>18750</v>
      </c>
      <c r="J179" s="238"/>
    </row>
    <row r="180" spans="2:10" s="149" customFormat="1">
      <c r="B180" s="291">
        <v>174</v>
      </c>
      <c r="C180" s="414" t="s">
        <v>539</v>
      </c>
      <c r="D180" s="414" t="s">
        <v>706</v>
      </c>
      <c r="E180" s="413" t="s">
        <v>199</v>
      </c>
      <c r="F180" s="414" t="s">
        <v>301</v>
      </c>
      <c r="G180" s="418">
        <v>1</v>
      </c>
      <c r="H180" s="415">
        <v>120000</v>
      </c>
      <c r="I180" s="292">
        <f t="shared" si="2"/>
        <v>22500</v>
      </c>
      <c r="J180" s="238"/>
    </row>
    <row r="181" spans="2:10" s="149" customFormat="1">
      <c r="B181" s="291">
        <v>175</v>
      </c>
      <c r="C181" s="414" t="s">
        <v>580</v>
      </c>
      <c r="D181" s="414" t="s">
        <v>649</v>
      </c>
      <c r="E181" s="413" t="s">
        <v>230</v>
      </c>
      <c r="F181" s="414" t="s">
        <v>180</v>
      </c>
      <c r="G181" s="418">
        <v>1</v>
      </c>
      <c r="H181" s="415">
        <v>100000</v>
      </c>
      <c r="I181" s="292">
        <f t="shared" si="2"/>
        <v>18750</v>
      </c>
      <c r="J181" s="238"/>
    </row>
    <row r="182" spans="2:10" s="149" customFormat="1">
      <c r="B182" s="291">
        <v>176</v>
      </c>
      <c r="C182" s="414" t="s">
        <v>430</v>
      </c>
      <c r="D182" s="414" t="s">
        <v>692</v>
      </c>
      <c r="E182" s="413" t="s">
        <v>223</v>
      </c>
      <c r="F182" s="414" t="s">
        <v>221</v>
      </c>
      <c r="G182" s="418">
        <v>1</v>
      </c>
      <c r="H182" s="415">
        <v>101800</v>
      </c>
      <c r="I182" s="292">
        <f t="shared" si="2"/>
        <v>19087.5</v>
      </c>
      <c r="J182" s="238"/>
    </row>
    <row r="183" spans="2:10" s="149" customFormat="1">
      <c r="B183" s="291">
        <v>177</v>
      </c>
      <c r="C183" s="414" t="s">
        <v>542</v>
      </c>
      <c r="D183" s="414" t="s">
        <v>347</v>
      </c>
      <c r="E183" s="413" t="s">
        <v>236</v>
      </c>
      <c r="F183" s="414" t="s">
        <v>177</v>
      </c>
      <c r="G183" s="418">
        <v>4</v>
      </c>
      <c r="H183" s="415">
        <v>400000</v>
      </c>
      <c r="I183" s="292">
        <f t="shared" si="2"/>
        <v>75000</v>
      </c>
      <c r="J183" s="238"/>
    </row>
    <row r="184" spans="2:10" s="149" customFormat="1">
      <c r="B184" s="291">
        <v>178</v>
      </c>
      <c r="C184" s="414" t="s">
        <v>544</v>
      </c>
      <c r="D184" s="414" t="s">
        <v>681</v>
      </c>
      <c r="E184" s="413" t="s">
        <v>235</v>
      </c>
      <c r="F184" s="414" t="s">
        <v>180</v>
      </c>
      <c r="G184" s="418">
        <v>2</v>
      </c>
      <c r="H184" s="415">
        <v>200000</v>
      </c>
      <c r="I184" s="292">
        <f t="shared" si="2"/>
        <v>37500</v>
      </c>
      <c r="J184" s="238"/>
    </row>
    <row r="185" spans="2:10" s="149" customFormat="1">
      <c r="B185" s="291">
        <v>179</v>
      </c>
      <c r="C185" s="414" t="s">
        <v>508</v>
      </c>
      <c r="D185" s="414" t="s">
        <v>710</v>
      </c>
      <c r="E185" s="413" t="s">
        <v>306</v>
      </c>
      <c r="F185" s="414" t="s">
        <v>177</v>
      </c>
      <c r="G185" s="418">
        <v>6</v>
      </c>
      <c r="H185" s="415">
        <v>600000</v>
      </c>
      <c r="I185" s="292">
        <f t="shared" si="2"/>
        <v>112500</v>
      </c>
      <c r="J185" s="238"/>
    </row>
    <row r="186" spans="2:10" s="149" customFormat="1">
      <c r="B186" s="291">
        <v>180</v>
      </c>
      <c r="C186" s="414" t="s">
        <v>512</v>
      </c>
      <c r="D186" s="414" t="s">
        <v>658</v>
      </c>
      <c r="E186" s="413" t="s">
        <v>208</v>
      </c>
      <c r="F186" s="414" t="s">
        <v>221</v>
      </c>
      <c r="G186" s="418">
        <v>1</v>
      </c>
      <c r="H186" s="415">
        <v>101800</v>
      </c>
      <c r="I186" s="292">
        <f t="shared" si="2"/>
        <v>19087.5</v>
      </c>
      <c r="J186" s="238"/>
    </row>
    <row r="187" spans="2:10" s="149" customFormat="1">
      <c r="B187" s="291">
        <v>181</v>
      </c>
      <c r="C187" s="414" t="s">
        <v>560</v>
      </c>
      <c r="D187" s="414" t="s">
        <v>628</v>
      </c>
      <c r="E187" s="413" t="s">
        <v>617</v>
      </c>
      <c r="F187" s="414" t="s">
        <v>180</v>
      </c>
      <c r="G187" s="418">
        <v>1</v>
      </c>
      <c r="H187" s="415">
        <v>100000</v>
      </c>
      <c r="I187" s="292">
        <f t="shared" si="2"/>
        <v>18750</v>
      </c>
      <c r="J187" s="238"/>
    </row>
    <row r="188" spans="2:10" s="149" customFormat="1">
      <c r="B188" s="291">
        <v>182</v>
      </c>
      <c r="C188" s="414" t="s">
        <v>553</v>
      </c>
      <c r="D188" s="414" t="s">
        <v>322</v>
      </c>
      <c r="E188" s="413" t="s">
        <v>176</v>
      </c>
      <c r="F188" s="414" t="s">
        <v>180</v>
      </c>
      <c r="G188" s="418">
        <v>2</v>
      </c>
      <c r="H188" s="415">
        <v>200000</v>
      </c>
      <c r="I188" s="292">
        <f t="shared" si="2"/>
        <v>37500</v>
      </c>
      <c r="J188" s="238"/>
    </row>
    <row r="189" spans="2:10" s="149" customFormat="1">
      <c r="B189" s="291">
        <v>183</v>
      </c>
      <c r="C189" s="414" t="s">
        <v>553</v>
      </c>
      <c r="D189" s="414" t="s">
        <v>711</v>
      </c>
      <c r="E189" s="413" t="s">
        <v>229</v>
      </c>
      <c r="F189" s="414" t="s">
        <v>177</v>
      </c>
      <c r="G189" s="418">
        <v>3</v>
      </c>
      <c r="H189" s="415">
        <v>300000</v>
      </c>
      <c r="I189" s="292">
        <f t="shared" si="2"/>
        <v>56250</v>
      </c>
      <c r="J189" s="238"/>
    </row>
    <row r="190" spans="2:10" s="149" customFormat="1">
      <c r="B190" s="291">
        <v>184</v>
      </c>
      <c r="C190" s="414" t="s">
        <v>555</v>
      </c>
      <c r="D190" s="414" t="s">
        <v>337</v>
      </c>
      <c r="E190" s="413" t="s">
        <v>208</v>
      </c>
      <c r="F190" s="414" t="s">
        <v>182</v>
      </c>
      <c r="G190" s="418">
        <v>1</v>
      </c>
      <c r="H190" s="415">
        <v>100000</v>
      </c>
      <c r="I190" s="292">
        <f t="shared" si="2"/>
        <v>18750</v>
      </c>
      <c r="J190" s="238"/>
    </row>
    <row r="191" spans="2:10" s="149" customFormat="1">
      <c r="B191" s="291">
        <v>185</v>
      </c>
      <c r="C191" s="414" t="s">
        <v>551</v>
      </c>
      <c r="D191" s="414" t="s">
        <v>712</v>
      </c>
      <c r="E191" s="413" t="s">
        <v>231</v>
      </c>
      <c r="F191" s="414" t="s">
        <v>180</v>
      </c>
      <c r="G191" s="418">
        <v>2</v>
      </c>
      <c r="H191" s="415">
        <v>200000</v>
      </c>
      <c r="I191" s="292">
        <f t="shared" si="2"/>
        <v>37500</v>
      </c>
      <c r="J191" s="238"/>
    </row>
    <row r="192" spans="2:10" s="149" customFormat="1">
      <c r="B192" s="291">
        <v>186</v>
      </c>
      <c r="C192" s="414" t="s">
        <v>430</v>
      </c>
      <c r="D192" s="414" t="s">
        <v>676</v>
      </c>
      <c r="E192" s="413" t="s">
        <v>229</v>
      </c>
      <c r="F192" s="414" t="s">
        <v>177</v>
      </c>
      <c r="G192" s="418">
        <v>3</v>
      </c>
      <c r="H192" s="415">
        <v>300000</v>
      </c>
      <c r="I192" s="292">
        <f t="shared" si="2"/>
        <v>56250</v>
      </c>
      <c r="J192" s="238"/>
    </row>
    <row r="193" spans="2:187" s="149" customFormat="1">
      <c r="B193" s="291">
        <v>187</v>
      </c>
      <c r="C193" s="414" t="s">
        <v>542</v>
      </c>
      <c r="D193" s="414" t="s">
        <v>691</v>
      </c>
      <c r="E193" s="413" t="s">
        <v>183</v>
      </c>
      <c r="F193" s="414" t="s">
        <v>177</v>
      </c>
      <c r="G193" s="418">
        <v>4</v>
      </c>
      <c r="H193" s="415">
        <v>400000</v>
      </c>
      <c r="I193" s="292">
        <f t="shared" si="2"/>
        <v>75000</v>
      </c>
      <c r="J193" s="238"/>
    </row>
    <row r="194" spans="2:187" s="149" customFormat="1">
      <c r="B194" s="291">
        <v>188</v>
      </c>
      <c r="C194" s="414" t="s">
        <v>544</v>
      </c>
      <c r="D194" s="414" t="s">
        <v>713</v>
      </c>
      <c r="E194" s="413" t="s">
        <v>204</v>
      </c>
      <c r="F194" s="414" t="s">
        <v>180</v>
      </c>
      <c r="G194" s="418">
        <v>5</v>
      </c>
      <c r="H194" s="415">
        <v>500000</v>
      </c>
      <c r="I194" s="292">
        <f t="shared" si="2"/>
        <v>93750</v>
      </c>
      <c r="J194" s="238"/>
    </row>
    <row r="195" spans="2:187" s="149" customFormat="1">
      <c r="B195" s="291">
        <v>189</v>
      </c>
      <c r="C195" s="414" t="s">
        <v>606</v>
      </c>
      <c r="D195" s="414" t="s">
        <v>653</v>
      </c>
      <c r="E195" s="413" t="s">
        <v>215</v>
      </c>
      <c r="F195" s="414" t="s">
        <v>177</v>
      </c>
      <c r="G195" s="418">
        <v>7</v>
      </c>
      <c r="H195" s="415">
        <v>700000</v>
      </c>
      <c r="I195" s="292">
        <f t="shared" si="2"/>
        <v>131250</v>
      </c>
      <c r="J195" s="238"/>
    </row>
    <row r="196" spans="2:187" s="149" customFormat="1">
      <c r="B196" s="291">
        <v>190</v>
      </c>
      <c r="C196" s="414" t="s">
        <v>560</v>
      </c>
      <c r="D196" s="414" t="s">
        <v>463</v>
      </c>
      <c r="E196" s="413" t="s">
        <v>205</v>
      </c>
      <c r="F196" s="414" t="s">
        <v>180</v>
      </c>
      <c r="G196" s="418">
        <v>5</v>
      </c>
      <c r="H196" s="415">
        <v>500000</v>
      </c>
      <c r="I196" s="292">
        <f t="shared" si="2"/>
        <v>93750</v>
      </c>
      <c r="J196" s="238"/>
    </row>
    <row r="197" spans="2:187" s="149" customFormat="1">
      <c r="B197" s="291">
        <v>191</v>
      </c>
      <c r="C197" s="414" t="s">
        <v>577</v>
      </c>
      <c r="D197" s="414" t="s">
        <v>656</v>
      </c>
      <c r="E197" s="413" t="s">
        <v>219</v>
      </c>
      <c r="F197" s="414" t="s">
        <v>213</v>
      </c>
      <c r="G197" s="418">
        <v>1</v>
      </c>
      <c r="H197" s="415">
        <v>400000</v>
      </c>
      <c r="I197" s="292">
        <f t="shared" si="2"/>
        <v>75000</v>
      </c>
      <c r="J197" s="238"/>
    </row>
    <row r="198" spans="2:187" s="149" customFormat="1">
      <c r="B198" s="291">
        <v>192</v>
      </c>
      <c r="C198" s="414" t="s">
        <v>567</v>
      </c>
      <c r="D198" s="414" t="s">
        <v>714</v>
      </c>
      <c r="E198" s="413" t="s">
        <v>233</v>
      </c>
      <c r="F198" s="414" t="s">
        <v>213</v>
      </c>
      <c r="G198" s="418">
        <v>1</v>
      </c>
      <c r="H198" s="415">
        <v>400000</v>
      </c>
      <c r="I198" s="292">
        <f t="shared" si="2"/>
        <v>75000</v>
      </c>
      <c r="J198" s="238"/>
    </row>
    <row r="199" spans="2:187" s="149" customFormat="1">
      <c r="B199" s="291">
        <v>193</v>
      </c>
      <c r="C199" s="414" t="s">
        <v>430</v>
      </c>
      <c r="D199" s="414" t="s">
        <v>715</v>
      </c>
      <c r="E199" s="413" t="s">
        <v>197</v>
      </c>
      <c r="F199" s="414" t="s">
        <v>180</v>
      </c>
      <c r="G199" s="418">
        <v>6</v>
      </c>
      <c r="H199" s="415">
        <v>600000</v>
      </c>
      <c r="I199" s="292">
        <f t="shared" si="2"/>
        <v>112500</v>
      </c>
      <c r="J199" s="238"/>
    </row>
    <row r="200" spans="2:187" s="149" customFormat="1">
      <c r="B200" s="291">
        <v>194</v>
      </c>
      <c r="C200" s="414" t="s">
        <v>553</v>
      </c>
      <c r="D200" s="414" t="s">
        <v>675</v>
      </c>
      <c r="E200" s="413" t="s">
        <v>210</v>
      </c>
      <c r="F200" s="414" t="s">
        <v>180</v>
      </c>
      <c r="G200" s="418">
        <v>1</v>
      </c>
      <c r="H200" s="415">
        <v>100000</v>
      </c>
      <c r="I200" s="292">
        <f t="shared" ref="I200:I263" si="3">H200*25%*75%</f>
        <v>18750</v>
      </c>
      <c r="J200" s="238"/>
    </row>
    <row r="201" spans="2:187" s="149" customFormat="1">
      <c r="B201" s="291">
        <v>195</v>
      </c>
      <c r="C201" s="414" t="s">
        <v>553</v>
      </c>
      <c r="D201" s="414" t="s">
        <v>711</v>
      </c>
      <c r="E201" s="413" t="s">
        <v>229</v>
      </c>
      <c r="F201" s="414" t="s">
        <v>180</v>
      </c>
      <c r="G201" s="418">
        <v>4</v>
      </c>
      <c r="H201" s="415">
        <v>400000</v>
      </c>
      <c r="I201" s="292">
        <f t="shared" si="3"/>
        <v>75000</v>
      </c>
      <c r="J201" s="238"/>
    </row>
    <row r="202" spans="2:187" s="149" customFormat="1">
      <c r="B202" s="291">
        <v>196</v>
      </c>
      <c r="C202" s="414" t="s">
        <v>577</v>
      </c>
      <c r="D202" s="414" t="s">
        <v>716</v>
      </c>
      <c r="E202" s="413" t="s">
        <v>194</v>
      </c>
      <c r="F202" s="414" t="s">
        <v>180</v>
      </c>
      <c r="G202" s="418">
        <v>6</v>
      </c>
      <c r="H202" s="415">
        <v>600000</v>
      </c>
      <c r="I202" s="292">
        <f t="shared" si="3"/>
        <v>112500</v>
      </c>
      <c r="J202" s="238"/>
    </row>
    <row r="203" spans="2:187" s="149" customFormat="1">
      <c r="B203" s="291">
        <v>197</v>
      </c>
      <c r="C203" s="414" t="s">
        <v>571</v>
      </c>
      <c r="D203" s="414" t="s">
        <v>584</v>
      </c>
      <c r="E203" s="413" t="s">
        <v>233</v>
      </c>
      <c r="F203" s="414" t="s">
        <v>177</v>
      </c>
      <c r="G203" s="418">
        <v>5</v>
      </c>
      <c r="H203" s="415">
        <v>500000</v>
      </c>
      <c r="I203" s="292">
        <f t="shared" si="3"/>
        <v>93750</v>
      </c>
      <c r="J203" s="238"/>
    </row>
    <row r="204" spans="2:187" s="149" customFormat="1">
      <c r="B204" s="291">
        <v>198</v>
      </c>
      <c r="C204" s="414" t="s">
        <v>571</v>
      </c>
      <c r="D204" s="414" t="s">
        <v>665</v>
      </c>
      <c r="E204" s="413" t="s">
        <v>208</v>
      </c>
      <c r="F204" s="414" t="s">
        <v>225</v>
      </c>
      <c r="G204" s="418">
        <v>1</v>
      </c>
      <c r="H204" s="415">
        <v>200000</v>
      </c>
      <c r="I204" s="292">
        <f t="shared" si="3"/>
        <v>37500</v>
      </c>
      <c r="J204" s="238"/>
    </row>
    <row r="205" spans="2:187" s="149" customFormat="1">
      <c r="B205" s="291">
        <v>199</v>
      </c>
      <c r="C205" s="414" t="s">
        <v>544</v>
      </c>
      <c r="D205" s="414" t="s">
        <v>444</v>
      </c>
      <c r="E205" s="413" t="s">
        <v>255</v>
      </c>
      <c r="F205" s="414" t="s">
        <v>177</v>
      </c>
      <c r="G205" s="418">
        <v>3</v>
      </c>
      <c r="H205" s="415">
        <v>300000</v>
      </c>
      <c r="I205" s="292">
        <f t="shared" si="3"/>
        <v>56250</v>
      </c>
      <c r="J205" s="238"/>
    </row>
    <row r="206" spans="2:187" s="149" customFormat="1">
      <c r="B206" s="291">
        <v>200</v>
      </c>
      <c r="C206" s="414" t="s">
        <v>567</v>
      </c>
      <c r="D206" s="414" t="s">
        <v>657</v>
      </c>
      <c r="E206" s="413" t="s">
        <v>183</v>
      </c>
      <c r="F206" s="414" t="s">
        <v>180</v>
      </c>
      <c r="G206" s="418">
        <v>13</v>
      </c>
      <c r="H206" s="415">
        <v>1300000</v>
      </c>
      <c r="I206" s="292">
        <f t="shared" si="3"/>
        <v>243750</v>
      </c>
      <c r="J206" s="326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299"/>
      <c r="AH206" s="299"/>
      <c r="AI206" s="299"/>
      <c r="AJ206" s="299"/>
      <c r="AK206" s="299"/>
      <c r="AL206" s="299"/>
      <c r="AM206" s="299"/>
      <c r="AN206" s="299"/>
      <c r="AO206" s="299"/>
      <c r="AP206" s="299"/>
      <c r="AQ206" s="299"/>
      <c r="AR206" s="299"/>
      <c r="AS206" s="299"/>
      <c r="AT206" s="299"/>
      <c r="AU206" s="299"/>
      <c r="AV206" s="299"/>
      <c r="AW206" s="299"/>
      <c r="AX206" s="299"/>
      <c r="AY206" s="299"/>
      <c r="AZ206" s="299"/>
      <c r="BA206" s="299"/>
      <c r="BB206" s="299"/>
      <c r="BC206" s="299"/>
      <c r="BD206" s="299"/>
      <c r="BE206" s="299"/>
      <c r="BF206" s="299"/>
      <c r="BG206" s="299"/>
      <c r="BH206" s="299"/>
      <c r="BI206" s="299"/>
      <c r="BJ206" s="299"/>
      <c r="BK206" s="299"/>
      <c r="BL206" s="299"/>
      <c r="BM206" s="299"/>
      <c r="BN206" s="299"/>
      <c r="BO206" s="299"/>
      <c r="BP206" s="299"/>
      <c r="BQ206" s="299"/>
      <c r="BR206" s="299"/>
      <c r="BS206" s="299"/>
      <c r="BT206" s="299"/>
      <c r="BU206" s="299"/>
      <c r="BV206" s="299"/>
      <c r="BW206" s="299"/>
      <c r="BX206" s="299"/>
      <c r="BY206" s="299"/>
      <c r="BZ206" s="299"/>
      <c r="CA206" s="299"/>
      <c r="CB206" s="299"/>
      <c r="CC206" s="299"/>
      <c r="CD206" s="299"/>
      <c r="CE206" s="299"/>
      <c r="CF206" s="299"/>
      <c r="CG206" s="299"/>
      <c r="CH206" s="299"/>
      <c r="CI206" s="299"/>
      <c r="CJ206" s="299"/>
      <c r="CK206" s="299"/>
      <c r="CL206" s="299"/>
      <c r="CM206" s="299"/>
      <c r="CN206" s="299"/>
      <c r="CO206" s="299"/>
      <c r="CP206" s="299"/>
      <c r="CQ206" s="299"/>
      <c r="CR206" s="299"/>
      <c r="CS206" s="299"/>
      <c r="CT206" s="299"/>
      <c r="CU206" s="299"/>
      <c r="CV206" s="299"/>
      <c r="CW206" s="299"/>
      <c r="CX206" s="299"/>
      <c r="CY206" s="299"/>
      <c r="CZ206" s="299"/>
      <c r="DA206" s="299"/>
      <c r="DB206" s="299"/>
      <c r="DC206" s="299"/>
      <c r="DD206" s="299"/>
      <c r="DE206" s="299"/>
      <c r="DF206" s="299"/>
      <c r="DG206" s="299"/>
      <c r="DH206" s="299"/>
      <c r="DI206" s="299"/>
      <c r="DJ206" s="299"/>
      <c r="DK206" s="299"/>
      <c r="DL206" s="299"/>
      <c r="DM206" s="299"/>
      <c r="DN206" s="299"/>
      <c r="DO206" s="299"/>
      <c r="DP206" s="299"/>
      <c r="DQ206" s="299"/>
      <c r="DR206" s="299"/>
      <c r="DS206" s="299"/>
      <c r="DT206" s="299"/>
      <c r="DU206" s="299"/>
      <c r="DV206" s="299"/>
      <c r="DW206" s="299"/>
      <c r="DX206" s="299"/>
      <c r="DY206" s="299"/>
      <c r="DZ206" s="299"/>
      <c r="EA206" s="299"/>
      <c r="EB206" s="299"/>
      <c r="EC206" s="299"/>
      <c r="ED206" s="299"/>
      <c r="EE206" s="299"/>
      <c r="EF206" s="299"/>
      <c r="EG206" s="299"/>
      <c r="EH206" s="299"/>
      <c r="EI206" s="299"/>
      <c r="EJ206" s="299"/>
      <c r="EK206" s="299"/>
      <c r="EL206" s="299"/>
      <c r="EM206" s="299"/>
      <c r="EN206" s="299"/>
      <c r="EO206" s="299"/>
      <c r="EP206" s="299"/>
      <c r="EQ206" s="299"/>
      <c r="ER206" s="299"/>
      <c r="ES206" s="299"/>
      <c r="ET206" s="299"/>
      <c r="EU206" s="299"/>
      <c r="EV206" s="299"/>
      <c r="EW206" s="299"/>
      <c r="EX206" s="299"/>
      <c r="EY206" s="299"/>
      <c r="EZ206" s="299"/>
      <c r="FA206" s="299"/>
      <c r="FB206" s="299"/>
      <c r="FC206" s="299"/>
      <c r="FD206" s="299"/>
      <c r="FE206" s="299"/>
      <c r="FF206" s="299"/>
      <c r="FG206" s="299"/>
      <c r="FH206" s="299"/>
      <c r="FI206" s="299"/>
      <c r="FJ206" s="299"/>
      <c r="FK206" s="299"/>
      <c r="FL206" s="299"/>
      <c r="FM206" s="299"/>
      <c r="FN206" s="299"/>
      <c r="FO206" s="299"/>
      <c r="FP206" s="299"/>
      <c r="FQ206" s="299"/>
      <c r="FR206" s="299"/>
      <c r="FS206" s="299"/>
      <c r="FT206" s="299"/>
      <c r="FU206" s="299"/>
      <c r="FV206" s="299"/>
      <c r="FW206" s="299"/>
      <c r="FX206" s="299"/>
      <c r="FY206" s="299"/>
      <c r="FZ206" s="299"/>
      <c r="GA206" s="299"/>
      <c r="GB206" s="299"/>
      <c r="GC206" s="299"/>
      <c r="GD206" s="299"/>
      <c r="GE206" s="299"/>
    </row>
    <row r="207" spans="2:187" s="149" customFormat="1">
      <c r="B207" s="291">
        <v>201</v>
      </c>
      <c r="C207" s="414" t="s">
        <v>542</v>
      </c>
      <c r="D207" s="414" t="s">
        <v>717</v>
      </c>
      <c r="E207" s="413" t="s">
        <v>218</v>
      </c>
      <c r="F207" s="414" t="s">
        <v>180</v>
      </c>
      <c r="G207" s="418">
        <v>2</v>
      </c>
      <c r="H207" s="415">
        <v>200000</v>
      </c>
      <c r="I207" s="292">
        <f t="shared" si="3"/>
        <v>37500</v>
      </c>
      <c r="J207" s="238"/>
    </row>
    <row r="208" spans="2:187" s="149" customFormat="1">
      <c r="B208" s="291">
        <v>202</v>
      </c>
      <c r="C208" s="414" t="s">
        <v>567</v>
      </c>
      <c r="D208" s="414" t="s">
        <v>714</v>
      </c>
      <c r="E208" s="413" t="s">
        <v>233</v>
      </c>
      <c r="F208" s="414" t="s">
        <v>177</v>
      </c>
      <c r="G208" s="418">
        <v>1</v>
      </c>
      <c r="H208" s="415">
        <v>100000</v>
      </c>
      <c r="I208" s="292">
        <f t="shared" si="3"/>
        <v>18750</v>
      </c>
      <c r="J208" s="238"/>
    </row>
    <row r="209" spans="2:10" s="149" customFormat="1">
      <c r="B209" s="291">
        <v>203</v>
      </c>
      <c r="C209" s="414" t="s">
        <v>544</v>
      </c>
      <c r="D209" s="414" t="s">
        <v>642</v>
      </c>
      <c r="E209" s="413" t="s">
        <v>190</v>
      </c>
      <c r="F209" s="414" t="s">
        <v>182</v>
      </c>
      <c r="G209" s="418">
        <v>1</v>
      </c>
      <c r="H209" s="415">
        <v>40300</v>
      </c>
      <c r="I209" s="292">
        <f t="shared" si="3"/>
        <v>7556.25</v>
      </c>
      <c r="J209" s="238"/>
    </row>
    <row r="210" spans="2:10" s="149" customFormat="1">
      <c r="B210" s="291">
        <v>204</v>
      </c>
      <c r="C210" s="414" t="s">
        <v>560</v>
      </c>
      <c r="D210" s="414" t="s">
        <v>718</v>
      </c>
      <c r="E210" s="413" t="s">
        <v>199</v>
      </c>
      <c r="F210" s="414" t="s">
        <v>177</v>
      </c>
      <c r="G210" s="418">
        <v>2</v>
      </c>
      <c r="H210" s="415">
        <v>200000</v>
      </c>
      <c r="I210" s="292">
        <f t="shared" si="3"/>
        <v>37500</v>
      </c>
      <c r="J210" s="238"/>
    </row>
    <row r="211" spans="2:10" s="149" customFormat="1">
      <c r="B211" s="291">
        <v>205</v>
      </c>
      <c r="C211" s="414" t="s">
        <v>544</v>
      </c>
      <c r="D211" s="414" t="s">
        <v>429</v>
      </c>
      <c r="E211" s="413" t="s">
        <v>231</v>
      </c>
      <c r="F211" s="414" t="s">
        <v>182</v>
      </c>
      <c r="G211" s="418">
        <v>1</v>
      </c>
      <c r="H211" s="415">
        <v>100000</v>
      </c>
      <c r="I211" s="292">
        <f t="shared" si="3"/>
        <v>18750</v>
      </c>
      <c r="J211" s="238"/>
    </row>
    <row r="212" spans="2:10" s="149" customFormat="1">
      <c r="B212" s="291">
        <v>206</v>
      </c>
      <c r="C212" s="414" t="s">
        <v>567</v>
      </c>
      <c r="D212" s="414" t="s">
        <v>346</v>
      </c>
      <c r="E212" s="413" t="s">
        <v>222</v>
      </c>
      <c r="F212" s="414" t="s">
        <v>177</v>
      </c>
      <c r="G212" s="418">
        <v>5</v>
      </c>
      <c r="H212" s="415">
        <v>500000</v>
      </c>
      <c r="I212" s="292">
        <f t="shared" si="3"/>
        <v>93750</v>
      </c>
      <c r="J212" s="238"/>
    </row>
    <row r="213" spans="2:10" s="149" customFormat="1">
      <c r="B213" s="291">
        <v>207</v>
      </c>
      <c r="C213" s="414" t="s">
        <v>512</v>
      </c>
      <c r="D213" s="414" t="s">
        <v>688</v>
      </c>
      <c r="E213" s="413" t="s">
        <v>181</v>
      </c>
      <c r="F213" s="414" t="s">
        <v>180</v>
      </c>
      <c r="G213" s="418">
        <v>3</v>
      </c>
      <c r="H213" s="415">
        <v>300000</v>
      </c>
      <c r="I213" s="292">
        <f t="shared" si="3"/>
        <v>56250</v>
      </c>
      <c r="J213" s="238"/>
    </row>
    <row r="214" spans="2:10" s="149" customFormat="1">
      <c r="B214" s="291">
        <v>208</v>
      </c>
      <c r="C214" s="414" t="s">
        <v>430</v>
      </c>
      <c r="D214" s="414" t="s">
        <v>719</v>
      </c>
      <c r="E214" s="413" t="s">
        <v>203</v>
      </c>
      <c r="F214" s="414" t="s">
        <v>184</v>
      </c>
      <c r="G214" s="418">
        <v>1</v>
      </c>
      <c r="H214" s="415">
        <v>121400</v>
      </c>
      <c r="I214" s="292">
        <f t="shared" si="3"/>
        <v>22762.5</v>
      </c>
      <c r="J214" s="238"/>
    </row>
    <row r="215" spans="2:10" s="149" customFormat="1">
      <c r="B215" s="291">
        <v>209</v>
      </c>
      <c r="C215" s="414" t="s">
        <v>512</v>
      </c>
      <c r="D215" s="414" t="s">
        <v>720</v>
      </c>
      <c r="E215" s="413" t="s">
        <v>306</v>
      </c>
      <c r="F215" s="414" t="s">
        <v>180</v>
      </c>
      <c r="G215" s="418">
        <v>2</v>
      </c>
      <c r="H215" s="415">
        <v>200000</v>
      </c>
      <c r="I215" s="292">
        <f t="shared" si="3"/>
        <v>37500</v>
      </c>
      <c r="J215" s="238"/>
    </row>
    <row r="216" spans="2:10" s="149" customFormat="1">
      <c r="B216" s="291">
        <v>210</v>
      </c>
      <c r="C216" s="414" t="s">
        <v>390</v>
      </c>
      <c r="D216" s="414" t="s">
        <v>643</v>
      </c>
      <c r="E216" s="413" t="s">
        <v>197</v>
      </c>
      <c r="F216" s="414" t="s">
        <v>177</v>
      </c>
      <c r="G216" s="418">
        <v>6</v>
      </c>
      <c r="H216" s="415">
        <v>600000</v>
      </c>
      <c r="I216" s="292">
        <f t="shared" si="3"/>
        <v>112500</v>
      </c>
      <c r="J216" s="238"/>
    </row>
    <row r="217" spans="2:10" s="149" customFormat="1">
      <c r="B217" s="291">
        <v>211</v>
      </c>
      <c r="C217" s="414" t="s">
        <v>582</v>
      </c>
      <c r="D217" s="414" t="s">
        <v>615</v>
      </c>
      <c r="E217" s="413" t="s">
        <v>231</v>
      </c>
      <c r="F217" s="414" t="s">
        <v>177</v>
      </c>
      <c r="G217" s="418">
        <v>4</v>
      </c>
      <c r="H217" s="415">
        <v>400000</v>
      </c>
      <c r="I217" s="292">
        <f t="shared" si="3"/>
        <v>75000</v>
      </c>
      <c r="J217" s="238"/>
    </row>
    <row r="218" spans="2:10" s="149" customFormat="1">
      <c r="B218" s="291">
        <v>212</v>
      </c>
      <c r="C218" s="414" t="s">
        <v>544</v>
      </c>
      <c r="D218" s="414" t="s">
        <v>641</v>
      </c>
      <c r="E218" s="413" t="s">
        <v>199</v>
      </c>
      <c r="F218" s="414" t="s">
        <v>180</v>
      </c>
      <c r="G218" s="418">
        <v>3</v>
      </c>
      <c r="H218" s="415">
        <v>300000</v>
      </c>
      <c r="I218" s="292">
        <f t="shared" si="3"/>
        <v>56250</v>
      </c>
      <c r="J218" s="238"/>
    </row>
    <row r="219" spans="2:10" s="149" customFormat="1">
      <c r="B219" s="291">
        <v>213</v>
      </c>
      <c r="C219" s="414" t="s">
        <v>571</v>
      </c>
      <c r="D219" s="414" t="s">
        <v>305</v>
      </c>
      <c r="E219" s="413" t="s">
        <v>199</v>
      </c>
      <c r="F219" s="414" t="s">
        <v>213</v>
      </c>
      <c r="G219" s="418">
        <v>1</v>
      </c>
      <c r="H219" s="415">
        <v>400000</v>
      </c>
      <c r="I219" s="292">
        <f t="shared" si="3"/>
        <v>75000</v>
      </c>
      <c r="J219" s="238"/>
    </row>
    <row r="220" spans="2:10" s="149" customFormat="1">
      <c r="B220" s="291">
        <v>214</v>
      </c>
      <c r="C220" s="414" t="s">
        <v>577</v>
      </c>
      <c r="D220" s="414" t="s">
        <v>664</v>
      </c>
      <c r="E220" s="413" t="s">
        <v>216</v>
      </c>
      <c r="F220" s="414" t="s">
        <v>180</v>
      </c>
      <c r="G220" s="418">
        <v>5</v>
      </c>
      <c r="H220" s="415">
        <v>500000</v>
      </c>
      <c r="I220" s="292">
        <f t="shared" si="3"/>
        <v>93750</v>
      </c>
      <c r="J220" s="238"/>
    </row>
    <row r="221" spans="2:10" s="149" customFormat="1">
      <c r="B221" s="291">
        <v>215</v>
      </c>
      <c r="C221" s="414" t="s">
        <v>626</v>
      </c>
      <c r="D221" s="414" t="s">
        <v>711</v>
      </c>
      <c r="E221" s="413" t="s">
        <v>229</v>
      </c>
      <c r="F221" s="414" t="s">
        <v>182</v>
      </c>
      <c r="G221" s="418">
        <v>1</v>
      </c>
      <c r="H221" s="415">
        <v>100000</v>
      </c>
      <c r="I221" s="292">
        <f t="shared" si="3"/>
        <v>18750</v>
      </c>
      <c r="J221" s="238"/>
    </row>
    <row r="222" spans="2:10" s="149" customFormat="1">
      <c r="B222" s="291">
        <v>216</v>
      </c>
      <c r="C222" s="414" t="s">
        <v>560</v>
      </c>
      <c r="D222" s="414" t="s">
        <v>334</v>
      </c>
      <c r="E222" s="413" t="s">
        <v>260</v>
      </c>
      <c r="F222" s="414" t="s">
        <v>182</v>
      </c>
      <c r="G222" s="418">
        <v>1</v>
      </c>
      <c r="H222" s="415">
        <v>100000</v>
      </c>
      <c r="I222" s="292">
        <f t="shared" si="3"/>
        <v>18750</v>
      </c>
      <c r="J222" s="238"/>
    </row>
    <row r="223" spans="2:10" s="149" customFormat="1">
      <c r="B223" s="291">
        <v>217</v>
      </c>
      <c r="C223" s="414" t="s">
        <v>580</v>
      </c>
      <c r="D223" s="414" t="s">
        <v>721</v>
      </c>
      <c r="E223" s="413" t="s">
        <v>201</v>
      </c>
      <c r="F223" s="414" t="s">
        <v>177</v>
      </c>
      <c r="G223" s="418">
        <v>1</v>
      </c>
      <c r="H223" s="415">
        <v>100000</v>
      </c>
      <c r="I223" s="292">
        <f t="shared" si="3"/>
        <v>18750</v>
      </c>
      <c r="J223" s="238"/>
    </row>
    <row r="224" spans="2:10" s="149" customFormat="1">
      <c r="B224" s="291">
        <v>218</v>
      </c>
      <c r="C224" s="414" t="s">
        <v>508</v>
      </c>
      <c r="D224" s="414" t="s">
        <v>701</v>
      </c>
      <c r="E224" s="413" t="s">
        <v>195</v>
      </c>
      <c r="F224" s="414" t="s">
        <v>177</v>
      </c>
      <c r="G224" s="418">
        <v>7</v>
      </c>
      <c r="H224" s="415">
        <v>700000</v>
      </c>
      <c r="I224" s="292">
        <f t="shared" si="3"/>
        <v>131250</v>
      </c>
      <c r="J224" s="238"/>
    </row>
    <row r="225" spans="2:187" s="149" customFormat="1">
      <c r="B225" s="291">
        <v>219</v>
      </c>
      <c r="C225" s="414" t="s">
        <v>553</v>
      </c>
      <c r="D225" s="414" t="s">
        <v>669</v>
      </c>
      <c r="E225" s="413" t="s">
        <v>219</v>
      </c>
      <c r="F225" s="414" t="s">
        <v>177</v>
      </c>
      <c r="G225" s="418">
        <v>3</v>
      </c>
      <c r="H225" s="415">
        <v>300000</v>
      </c>
      <c r="I225" s="292">
        <f t="shared" si="3"/>
        <v>56250</v>
      </c>
      <c r="J225" s="326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99"/>
      <c r="AB225" s="299"/>
      <c r="AC225" s="299"/>
      <c r="AD225" s="299"/>
      <c r="AE225" s="299"/>
      <c r="AF225" s="299"/>
      <c r="AG225" s="299"/>
      <c r="AH225" s="299"/>
      <c r="AI225" s="299"/>
      <c r="AJ225" s="299"/>
      <c r="AK225" s="299"/>
      <c r="AL225" s="299"/>
      <c r="AM225" s="299"/>
      <c r="AN225" s="299"/>
      <c r="AO225" s="299"/>
      <c r="AP225" s="299"/>
      <c r="AQ225" s="299"/>
      <c r="AR225" s="299"/>
      <c r="AS225" s="299"/>
      <c r="AT225" s="299"/>
      <c r="AU225" s="299"/>
      <c r="AV225" s="299"/>
      <c r="AW225" s="299"/>
      <c r="AX225" s="299"/>
      <c r="AY225" s="299"/>
      <c r="AZ225" s="299"/>
      <c r="BA225" s="299"/>
      <c r="BB225" s="299"/>
      <c r="BC225" s="299"/>
      <c r="BD225" s="299"/>
      <c r="BE225" s="299"/>
      <c r="BF225" s="299"/>
      <c r="BG225" s="299"/>
      <c r="BH225" s="299"/>
      <c r="BI225" s="299"/>
      <c r="BJ225" s="299"/>
      <c r="BK225" s="299"/>
      <c r="BL225" s="299"/>
      <c r="BM225" s="299"/>
      <c r="BN225" s="299"/>
      <c r="BO225" s="299"/>
      <c r="BP225" s="299"/>
      <c r="BQ225" s="299"/>
      <c r="BR225" s="299"/>
      <c r="BS225" s="299"/>
      <c r="BT225" s="299"/>
      <c r="BU225" s="299"/>
      <c r="BV225" s="299"/>
      <c r="BW225" s="299"/>
      <c r="BX225" s="299"/>
      <c r="BY225" s="299"/>
      <c r="BZ225" s="299"/>
      <c r="CA225" s="299"/>
      <c r="CB225" s="299"/>
      <c r="CC225" s="299"/>
      <c r="CD225" s="299"/>
      <c r="CE225" s="299"/>
      <c r="CF225" s="299"/>
      <c r="CG225" s="299"/>
      <c r="CH225" s="299"/>
      <c r="CI225" s="299"/>
      <c r="CJ225" s="299"/>
      <c r="CK225" s="299"/>
      <c r="CL225" s="299"/>
      <c r="CM225" s="299"/>
      <c r="CN225" s="299"/>
      <c r="CO225" s="299"/>
      <c r="CP225" s="299"/>
      <c r="CQ225" s="299"/>
      <c r="CR225" s="299"/>
      <c r="CS225" s="299"/>
      <c r="CT225" s="299"/>
      <c r="CU225" s="299"/>
      <c r="CV225" s="299"/>
      <c r="CW225" s="299"/>
      <c r="CX225" s="299"/>
      <c r="CY225" s="299"/>
      <c r="CZ225" s="299"/>
      <c r="DA225" s="299"/>
      <c r="DB225" s="299"/>
      <c r="DC225" s="299"/>
      <c r="DD225" s="299"/>
      <c r="DE225" s="299"/>
      <c r="DF225" s="299"/>
      <c r="DG225" s="299"/>
      <c r="DH225" s="299"/>
      <c r="DI225" s="299"/>
      <c r="DJ225" s="299"/>
      <c r="DK225" s="299"/>
      <c r="DL225" s="299"/>
      <c r="DM225" s="299"/>
      <c r="DN225" s="299"/>
      <c r="DO225" s="299"/>
      <c r="DP225" s="299"/>
      <c r="DQ225" s="299"/>
      <c r="DR225" s="299"/>
      <c r="DS225" s="299"/>
      <c r="DT225" s="299"/>
      <c r="DU225" s="299"/>
      <c r="DV225" s="299"/>
      <c r="DW225" s="299"/>
      <c r="DX225" s="299"/>
      <c r="DY225" s="299"/>
      <c r="DZ225" s="299"/>
      <c r="EA225" s="299"/>
      <c r="EB225" s="299"/>
      <c r="EC225" s="299"/>
      <c r="ED225" s="299"/>
      <c r="EE225" s="299"/>
      <c r="EF225" s="299"/>
      <c r="EG225" s="299"/>
      <c r="EH225" s="299"/>
      <c r="EI225" s="299"/>
      <c r="EJ225" s="299"/>
      <c r="EK225" s="299"/>
      <c r="EL225" s="299"/>
      <c r="EM225" s="299"/>
      <c r="EN225" s="299"/>
      <c r="EO225" s="299"/>
      <c r="EP225" s="299"/>
      <c r="EQ225" s="299"/>
      <c r="ER225" s="299"/>
      <c r="ES225" s="299"/>
      <c r="ET225" s="299"/>
      <c r="EU225" s="299"/>
      <c r="EV225" s="299"/>
      <c r="EW225" s="299"/>
      <c r="EX225" s="299"/>
      <c r="EY225" s="299"/>
      <c r="EZ225" s="299"/>
      <c r="FA225" s="299"/>
      <c r="FB225" s="299"/>
      <c r="FC225" s="299"/>
      <c r="FD225" s="299"/>
      <c r="FE225" s="299"/>
      <c r="FF225" s="299"/>
      <c r="FG225" s="299"/>
      <c r="FH225" s="299"/>
      <c r="FI225" s="299"/>
      <c r="FJ225" s="299"/>
      <c r="FK225" s="299"/>
      <c r="FL225" s="299"/>
      <c r="FM225" s="299"/>
      <c r="FN225" s="299"/>
      <c r="FO225" s="299"/>
      <c r="FP225" s="299"/>
      <c r="FQ225" s="299"/>
      <c r="FR225" s="299"/>
      <c r="FS225" s="299"/>
      <c r="FT225" s="299"/>
      <c r="FU225" s="299"/>
      <c r="FV225" s="299"/>
      <c r="FW225" s="299"/>
      <c r="FX225" s="299"/>
      <c r="FY225" s="299"/>
      <c r="FZ225" s="299"/>
      <c r="GA225" s="299"/>
      <c r="GB225" s="299"/>
      <c r="GC225" s="299"/>
      <c r="GD225" s="299"/>
      <c r="GE225" s="299"/>
    </row>
    <row r="226" spans="2:187" s="149" customFormat="1">
      <c r="B226" s="291">
        <v>220</v>
      </c>
      <c r="C226" s="414" t="s">
        <v>544</v>
      </c>
      <c r="D226" s="414" t="s">
        <v>613</v>
      </c>
      <c r="E226" s="413" t="s">
        <v>199</v>
      </c>
      <c r="F226" s="414" t="s">
        <v>189</v>
      </c>
      <c r="G226" s="418">
        <v>1</v>
      </c>
      <c r="H226" s="415">
        <v>40300</v>
      </c>
      <c r="I226" s="292">
        <f t="shared" si="3"/>
        <v>7556.25</v>
      </c>
      <c r="J226" s="326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  <c r="AA226" s="299"/>
      <c r="AB226" s="299"/>
      <c r="AC226" s="299"/>
      <c r="AD226" s="299"/>
      <c r="AE226" s="299"/>
      <c r="AF226" s="299"/>
      <c r="AG226" s="299"/>
      <c r="AH226" s="299"/>
      <c r="AI226" s="299"/>
      <c r="AJ226" s="299"/>
      <c r="AK226" s="299"/>
      <c r="AL226" s="299"/>
      <c r="AM226" s="299"/>
      <c r="AN226" s="299"/>
      <c r="AO226" s="299"/>
      <c r="AP226" s="299"/>
      <c r="AQ226" s="299"/>
      <c r="AR226" s="299"/>
      <c r="AS226" s="299"/>
      <c r="AT226" s="299"/>
      <c r="AU226" s="299"/>
      <c r="AV226" s="299"/>
      <c r="AW226" s="299"/>
      <c r="AX226" s="299"/>
      <c r="AY226" s="299"/>
      <c r="AZ226" s="299"/>
      <c r="BA226" s="299"/>
      <c r="BB226" s="299"/>
      <c r="BC226" s="299"/>
      <c r="BD226" s="299"/>
      <c r="BE226" s="299"/>
      <c r="BF226" s="299"/>
      <c r="BG226" s="299"/>
      <c r="BH226" s="299"/>
      <c r="BI226" s="299"/>
      <c r="BJ226" s="299"/>
      <c r="BK226" s="299"/>
      <c r="BL226" s="299"/>
      <c r="BM226" s="299"/>
      <c r="BN226" s="299"/>
      <c r="BO226" s="299"/>
      <c r="BP226" s="299"/>
      <c r="BQ226" s="299"/>
      <c r="BR226" s="299"/>
      <c r="BS226" s="299"/>
      <c r="BT226" s="299"/>
      <c r="BU226" s="299"/>
      <c r="BV226" s="299"/>
      <c r="BW226" s="299"/>
      <c r="BX226" s="299"/>
      <c r="BY226" s="299"/>
      <c r="BZ226" s="299"/>
      <c r="CA226" s="299"/>
      <c r="CB226" s="299"/>
      <c r="CC226" s="299"/>
      <c r="CD226" s="299"/>
      <c r="CE226" s="299"/>
      <c r="CF226" s="299"/>
      <c r="CG226" s="299"/>
      <c r="CH226" s="299"/>
      <c r="CI226" s="299"/>
      <c r="CJ226" s="299"/>
      <c r="CK226" s="299"/>
      <c r="CL226" s="299"/>
      <c r="CM226" s="299"/>
      <c r="CN226" s="299"/>
      <c r="CO226" s="299"/>
      <c r="CP226" s="299"/>
      <c r="CQ226" s="299"/>
      <c r="CR226" s="299"/>
      <c r="CS226" s="299"/>
      <c r="CT226" s="299"/>
      <c r="CU226" s="299"/>
      <c r="CV226" s="299"/>
      <c r="CW226" s="299"/>
      <c r="CX226" s="299"/>
      <c r="CY226" s="299"/>
      <c r="CZ226" s="299"/>
      <c r="DA226" s="299"/>
      <c r="DB226" s="299"/>
      <c r="DC226" s="299"/>
      <c r="DD226" s="299"/>
      <c r="DE226" s="299"/>
      <c r="DF226" s="299"/>
      <c r="DG226" s="299"/>
      <c r="DH226" s="299"/>
      <c r="DI226" s="299"/>
      <c r="DJ226" s="299"/>
      <c r="DK226" s="299"/>
      <c r="DL226" s="299"/>
      <c r="DM226" s="299"/>
      <c r="DN226" s="299"/>
      <c r="DO226" s="299"/>
      <c r="DP226" s="299"/>
      <c r="DQ226" s="299"/>
      <c r="DR226" s="299"/>
      <c r="DS226" s="299"/>
      <c r="DT226" s="299"/>
      <c r="DU226" s="299"/>
      <c r="DV226" s="299"/>
      <c r="DW226" s="299"/>
      <c r="DX226" s="299"/>
      <c r="DY226" s="299"/>
      <c r="DZ226" s="299"/>
      <c r="EA226" s="299"/>
      <c r="EB226" s="299"/>
      <c r="EC226" s="299"/>
      <c r="ED226" s="299"/>
      <c r="EE226" s="299"/>
      <c r="EF226" s="299"/>
      <c r="EG226" s="299"/>
      <c r="EH226" s="299"/>
      <c r="EI226" s="299"/>
      <c r="EJ226" s="299"/>
      <c r="EK226" s="299"/>
      <c r="EL226" s="299"/>
      <c r="EM226" s="299"/>
      <c r="EN226" s="299"/>
      <c r="EO226" s="299"/>
      <c r="EP226" s="299"/>
      <c r="EQ226" s="299"/>
      <c r="ER226" s="299"/>
      <c r="ES226" s="299"/>
      <c r="ET226" s="299"/>
      <c r="EU226" s="299"/>
      <c r="EV226" s="299"/>
      <c r="EW226" s="299"/>
      <c r="EX226" s="299"/>
      <c r="EY226" s="299"/>
      <c r="EZ226" s="299"/>
      <c r="FA226" s="299"/>
      <c r="FB226" s="299"/>
      <c r="FC226" s="299"/>
      <c r="FD226" s="299"/>
      <c r="FE226" s="299"/>
      <c r="FF226" s="299"/>
      <c r="FG226" s="299"/>
      <c r="FH226" s="299"/>
      <c r="FI226" s="299"/>
      <c r="FJ226" s="299"/>
      <c r="FK226" s="299"/>
      <c r="FL226" s="299"/>
      <c r="FM226" s="299"/>
      <c r="FN226" s="299"/>
      <c r="FO226" s="299"/>
      <c r="FP226" s="299"/>
      <c r="FQ226" s="299"/>
      <c r="FR226" s="299"/>
      <c r="FS226" s="299"/>
      <c r="FT226" s="299"/>
      <c r="FU226" s="299"/>
      <c r="FV226" s="299"/>
      <c r="FW226" s="299"/>
      <c r="FX226" s="299"/>
      <c r="FY226" s="299"/>
      <c r="FZ226" s="299"/>
      <c r="GA226" s="299"/>
      <c r="GB226" s="299"/>
      <c r="GC226" s="299"/>
      <c r="GD226" s="299"/>
      <c r="GE226" s="299"/>
    </row>
    <row r="227" spans="2:187" s="149" customFormat="1">
      <c r="B227" s="291">
        <v>221</v>
      </c>
      <c r="C227" s="414" t="s">
        <v>539</v>
      </c>
      <c r="D227" s="414" t="s">
        <v>313</v>
      </c>
      <c r="E227" s="413" t="s">
        <v>260</v>
      </c>
      <c r="F227" s="414" t="s">
        <v>348</v>
      </c>
      <c r="G227" s="418">
        <v>1</v>
      </c>
      <c r="H227" s="415">
        <v>100000</v>
      </c>
      <c r="I227" s="292">
        <f t="shared" si="3"/>
        <v>18750</v>
      </c>
      <c r="J227" s="238"/>
    </row>
    <row r="228" spans="2:187" s="149" customFormat="1">
      <c r="B228" s="291">
        <v>222</v>
      </c>
      <c r="C228" s="414" t="s">
        <v>508</v>
      </c>
      <c r="D228" s="414" t="s">
        <v>722</v>
      </c>
      <c r="E228" s="413" t="s">
        <v>255</v>
      </c>
      <c r="F228" s="414" t="s">
        <v>723</v>
      </c>
      <c r="G228" s="418">
        <v>1</v>
      </c>
      <c r="H228" s="415">
        <v>400000</v>
      </c>
      <c r="I228" s="292">
        <f t="shared" si="3"/>
        <v>75000</v>
      </c>
      <c r="J228" s="238"/>
    </row>
    <row r="229" spans="2:187" s="149" customFormat="1">
      <c r="B229" s="291">
        <v>223</v>
      </c>
      <c r="C229" s="414" t="s">
        <v>582</v>
      </c>
      <c r="D229" s="414" t="s">
        <v>324</v>
      </c>
      <c r="E229" s="413" t="s">
        <v>303</v>
      </c>
      <c r="F229" s="414" t="s">
        <v>189</v>
      </c>
      <c r="G229" s="418">
        <v>1</v>
      </c>
      <c r="H229" s="415">
        <v>100000</v>
      </c>
      <c r="I229" s="292">
        <f t="shared" si="3"/>
        <v>18750</v>
      </c>
      <c r="J229" s="238"/>
    </row>
    <row r="230" spans="2:187" s="149" customFormat="1">
      <c r="B230" s="291">
        <v>224</v>
      </c>
      <c r="C230" s="414" t="s">
        <v>626</v>
      </c>
      <c r="D230" s="414" t="s">
        <v>724</v>
      </c>
      <c r="E230" s="413" t="s">
        <v>206</v>
      </c>
      <c r="F230" s="414" t="s">
        <v>189</v>
      </c>
      <c r="G230" s="418">
        <v>1</v>
      </c>
      <c r="H230" s="415">
        <v>100000</v>
      </c>
      <c r="I230" s="292">
        <f t="shared" si="3"/>
        <v>18750</v>
      </c>
      <c r="J230" s="238"/>
    </row>
    <row r="231" spans="2:187" s="149" customFormat="1">
      <c r="B231" s="291">
        <v>225</v>
      </c>
      <c r="C231" s="414" t="s">
        <v>508</v>
      </c>
      <c r="D231" s="414" t="s">
        <v>725</v>
      </c>
      <c r="E231" s="413" t="s">
        <v>216</v>
      </c>
      <c r="F231" s="414" t="s">
        <v>180</v>
      </c>
      <c r="G231" s="418">
        <v>2</v>
      </c>
      <c r="H231" s="415">
        <v>200000</v>
      </c>
      <c r="I231" s="292">
        <f t="shared" si="3"/>
        <v>37500</v>
      </c>
      <c r="J231" s="326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99"/>
      <c r="AB231" s="299"/>
      <c r="AC231" s="299"/>
      <c r="AD231" s="299"/>
      <c r="AE231" s="299"/>
      <c r="AF231" s="299"/>
      <c r="AG231" s="299"/>
      <c r="AH231" s="299"/>
      <c r="AI231" s="299"/>
      <c r="AJ231" s="299"/>
      <c r="AK231" s="299"/>
      <c r="AL231" s="299"/>
      <c r="AM231" s="299"/>
      <c r="AN231" s="299"/>
      <c r="AO231" s="299"/>
      <c r="AP231" s="299"/>
      <c r="AQ231" s="299"/>
      <c r="AR231" s="299"/>
      <c r="AS231" s="299"/>
      <c r="AT231" s="299"/>
      <c r="AU231" s="299"/>
      <c r="AV231" s="299"/>
      <c r="AW231" s="299"/>
      <c r="AX231" s="299"/>
      <c r="AY231" s="299"/>
      <c r="AZ231" s="299"/>
      <c r="BA231" s="299"/>
      <c r="BB231" s="299"/>
      <c r="BC231" s="299"/>
      <c r="BD231" s="299"/>
      <c r="BE231" s="299"/>
      <c r="BF231" s="299"/>
      <c r="BG231" s="299"/>
      <c r="BH231" s="299"/>
      <c r="BI231" s="299"/>
      <c r="BJ231" s="299"/>
      <c r="BK231" s="299"/>
      <c r="BL231" s="299"/>
      <c r="BM231" s="299"/>
      <c r="BN231" s="299"/>
      <c r="BO231" s="299"/>
      <c r="BP231" s="299"/>
      <c r="BQ231" s="299"/>
      <c r="BR231" s="299"/>
      <c r="BS231" s="299"/>
      <c r="BT231" s="299"/>
      <c r="BU231" s="299"/>
      <c r="BV231" s="299"/>
      <c r="BW231" s="299"/>
      <c r="BX231" s="299"/>
      <c r="BY231" s="299"/>
      <c r="BZ231" s="299"/>
      <c r="CA231" s="299"/>
      <c r="CB231" s="299"/>
      <c r="CC231" s="299"/>
      <c r="CD231" s="299"/>
      <c r="CE231" s="299"/>
      <c r="CF231" s="299"/>
      <c r="CG231" s="299"/>
      <c r="CH231" s="299"/>
      <c r="CI231" s="299"/>
      <c r="CJ231" s="299"/>
      <c r="CK231" s="299"/>
      <c r="CL231" s="299"/>
      <c r="CM231" s="299"/>
      <c r="CN231" s="299"/>
      <c r="CO231" s="299"/>
      <c r="CP231" s="299"/>
      <c r="CQ231" s="299"/>
      <c r="CR231" s="299"/>
      <c r="CS231" s="299"/>
      <c r="CT231" s="299"/>
      <c r="CU231" s="299"/>
      <c r="CV231" s="299"/>
      <c r="CW231" s="299"/>
      <c r="CX231" s="299"/>
      <c r="CY231" s="299"/>
      <c r="CZ231" s="299"/>
      <c r="DA231" s="299"/>
      <c r="DB231" s="299"/>
      <c r="DC231" s="299"/>
      <c r="DD231" s="299"/>
      <c r="DE231" s="299"/>
      <c r="DF231" s="299"/>
      <c r="DG231" s="299"/>
      <c r="DH231" s="299"/>
      <c r="DI231" s="299"/>
      <c r="DJ231" s="299"/>
      <c r="DK231" s="299"/>
      <c r="DL231" s="299"/>
      <c r="DM231" s="299"/>
      <c r="DN231" s="299"/>
      <c r="DO231" s="299"/>
      <c r="DP231" s="299"/>
      <c r="DQ231" s="299"/>
      <c r="DR231" s="299"/>
      <c r="DS231" s="299"/>
      <c r="DT231" s="299"/>
      <c r="DU231" s="299"/>
      <c r="DV231" s="299"/>
      <c r="DW231" s="299"/>
      <c r="DX231" s="299"/>
      <c r="DY231" s="299"/>
      <c r="DZ231" s="299"/>
      <c r="EA231" s="299"/>
      <c r="EB231" s="299"/>
      <c r="EC231" s="299"/>
      <c r="ED231" s="299"/>
      <c r="EE231" s="299"/>
      <c r="EF231" s="299"/>
      <c r="EG231" s="299"/>
      <c r="EH231" s="299"/>
      <c r="EI231" s="299"/>
      <c r="EJ231" s="299"/>
      <c r="EK231" s="299"/>
      <c r="EL231" s="299"/>
      <c r="EM231" s="299"/>
      <c r="EN231" s="299"/>
      <c r="EO231" s="299"/>
      <c r="EP231" s="299"/>
      <c r="EQ231" s="299"/>
      <c r="ER231" s="299"/>
      <c r="ES231" s="299"/>
      <c r="ET231" s="299"/>
      <c r="EU231" s="299"/>
      <c r="EV231" s="299"/>
      <c r="EW231" s="299"/>
      <c r="EX231" s="299"/>
      <c r="EY231" s="299"/>
      <c r="EZ231" s="299"/>
      <c r="FA231" s="299"/>
      <c r="FB231" s="299"/>
      <c r="FC231" s="299"/>
      <c r="FD231" s="299"/>
      <c r="FE231" s="299"/>
      <c r="FF231" s="299"/>
      <c r="FG231" s="299"/>
      <c r="FH231" s="299"/>
      <c r="FI231" s="299"/>
      <c r="FJ231" s="299"/>
      <c r="FK231" s="299"/>
      <c r="FL231" s="299"/>
      <c r="FM231" s="299"/>
      <c r="FN231" s="299"/>
      <c r="FO231" s="299"/>
      <c r="FP231" s="299"/>
      <c r="FQ231" s="299"/>
      <c r="FR231" s="299"/>
      <c r="FS231" s="299"/>
      <c r="FT231" s="299"/>
      <c r="FU231" s="299"/>
      <c r="FV231" s="299"/>
      <c r="FW231" s="299"/>
      <c r="FX231" s="299"/>
      <c r="FY231" s="299"/>
      <c r="FZ231" s="299"/>
      <c r="GA231" s="299"/>
      <c r="GB231" s="299"/>
      <c r="GC231" s="299"/>
      <c r="GD231" s="299"/>
      <c r="GE231" s="299"/>
    </row>
    <row r="232" spans="2:187" s="149" customFormat="1">
      <c r="B232" s="291">
        <v>226</v>
      </c>
      <c r="C232" s="414" t="s">
        <v>567</v>
      </c>
      <c r="D232" s="414" t="s">
        <v>297</v>
      </c>
      <c r="E232" s="413" t="s">
        <v>187</v>
      </c>
      <c r="F232" s="414" t="s">
        <v>177</v>
      </c>
      <c r="G232" s="418">
        <v>5</v>
      </c>
      <c r="H232" s="415">
        <v>500000</v>
      </c>
      <c r="I232" s="292">
        <f t="shared" si="3"/>
        <v>93750</v>
      </c>
      <c r="J232" s="326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  <c r="AA232" s="299"/>
      <c r="AB232" s="299"/>
      <c r="AC232" s="299"/>
      <c r="AD232" s="299"/>
      <c r="AE232" s="299"/>
      <c r="AF232" s="299"/>
      <c r="AG232" s="299"/>
      <c r="AH232" s="299"/>
      <c r="AI232" s="299"/>
      <c r="AJ232" s="299"/>
      <c r="AK232" s="299"/>
      <c r="AL232" s="299"/>
      <c r="AM232" s="299"/>
      <c r="AN232" s="299"/>
      <c r="AO232" s="299"/>
      <c r="AP232" s="299"/>
      <c r="AQ232" s="299"/>
      <c r="AR232" s="299"/>
      <c r="AS232" s="299"/>
      <c r="AT232" s="299"/>
      <c r="AU232" s="299"/>
      <c r="AV232" s="299"/>
      <c r="AW232" s="299"/>
      <c r="AX232" s="299"/>
      <c r="AY232" s="299"/>
      <c r="AZ232" s="299"/>
      <c r="BA232" s="299"/>
      <c r="BB232" s="299"/>
      <c r="BC232" s="299"/>
      <c r="BD232" s="299"/>
      <c r="BE232" s="299"/>
      <c r="BF232" s="299"/>
      <c r="BG232" s="299"/>
      <c r="BH232" s="299"/>
      <c r="BI232" s="299"/>
      <c r="BJ232" s="299"/>
      <c r="BK232" s="299"/>
      <c r="BL232" s="299"/>
      <c r="BM232" s="299"/>
      <c r="BN232" s="299"/>
      <c r="BO232" s="299"/>
      <c r="BP232" s="299"/>
      <c r="BQ232" s="299"/>
      <c r="BR232" s="299"/>
      <c r="BS232" s="299"/>
      <c r="BT232" s="299"/>
      <c r="BU232" s="299"/>
      <c r="BV232" s="299"/>
      <c r="BW232" s="299"/>
      <c r="BX232" s="299"/>
      <c r="BY232" s="299"/>
      <c r="BZ232" s="299"/>
      <c r="CA232" s="299"/>
      <c r="CB232" s="299"/>
      <c r="CC232" s="299"/>
      <c r="CD232" s="299"/>
      <c r="CE232" s="299"/>
      <c r="CF232" s="299"/>
      <c r="CG232" s="299"/>
      <c r="CH232" s="299"/>
      <c r="CI232" s="299"/>
      <c r="CJ232" s="299"/>
      <c r="CK232" s="299"/>
      <c r="CL232" s="299"/>
      <c r="CM232" s="299"/>
      <c r="CN232" s="299"/>
      <c r="CO232" s="299"/>
      <c r="CP232" s="299"/>
      <c r="CQ232" s="299"/>
      <c r="CR232" s="299"/>
      <c r="CS232" s="299"/>
      <c r="CT232" s="299"/>
      <c r="CU232" s="299"/>
      <c r="CV232" s="299"/>
      <c r="CW232" s="299"/>
      <c r="CX232" s="299"/>
      <c r="CY232" s="299"/>
      <c r="CZ232" s="299"/>
      <c r="DA232" s="299"/>
      <c r="DB232" s="299"/>
      <c r="DC232" s="299"/>
      <c r="DD232" s="299"/>
      <c r="DE232" s="299"/>
      <c r="DF232" s="299"/>
      <c r="DG232" s="299"/>
      <c r="DH232" s="299"/>
      <c r="DI232" s="299"/>
      <c r="DJ232" s="299"/>
      <c r="DK232" s="299"/>
      <c r="DL232" s="299"/>
      <c r="DM232" s="299"/>
      <c r="DN232" s="299"/>
      <c r="DO232" s="299"/>
      <c r="DP232" s="299"/>
      <c r="DQ232" s="299"/>
      <c r="DR232" s="299"/>
      <c r="DS232" s="299"/>
      <c r="DT232" s="299"/>
      <c r="DU232" s="299"/>
      <c r="DV232" s="299"/>
      <c r="DW232" s="299"/>
      <c r="DX232" s="299"/>
      <c r="DY232" s="299"/>
      <c r="DZ232" s="299"/>
      <c r="EA232" s="299"/>
      <c r="EB232" s="299"/>
      <c r="EC232" s="299"/>
      <c r="ED232" s="299"/>
      <c r="EE232" s="299"/>
      <c r="EF232" s="299"/>
      <c r="EG232" s="299"/>
      <c r="EH232" s="299"/>
      <c r="EI232" s="299"/>
      <c r="EJ232" s="299"/>
      <c r="EK232" s="299"/>
      <c r="EL232" s="299"/>
      <c r="EM232" s="299"/>
      <c r="EN232" s="299"/>
      <c r="EO232" s="299"/>
      <c r="EP232" s="299"/>
      <c r="EQ232" s="299"/>
      <c r="ER232" s="299"/>
      <c r="ES232" s="299"/>
      <c r="ET232" s="299"/>
      <c r="EU232" s="299"/>
      <c r="EV232" s="299"/>
      <c r="EW232" s="299"/>
      <c r="EX232" s="299"/>
      <c r="EY232" s="299"/>
      <c r="EZ232" s="299"/>
      <c r="FA232" s="299"/>
      <c r="FB232" s="299"/>
      <c r="FC232" s="299"/>
      <c r="FD232" s="299"/>
      <c r="FE232" s="299"/>
      <c r="FF232" s="299"/>
      <c r="FG232" s="299"/>
      <c r="FH232" s="299"/>
      <c r="FI232" s="299"/>
      <c r="FJ232" s="299"/>
      <c r="FK232" s="299"/>
      <c r="FL232" s="299"/>
      <c r="FM232" s="299"/>
      <c r="FN232" s="299"/>
      <c r="FO232" s="299"/>
      <c r="FP232" s="299"/>
      <c r="FQ232" s="299"/>
      <c r="FR232" s="299"/>
      <c r="FS232" s="299"/>
      <c r="FT232" s="299"/>
      <c r="FU232" s="299"/>
      <c r="FV232" s="299"/>
      <c r="FW232" s="299"/>
      <c r="FX232" s="299"/>
      <c r="FY232" s="299"/>
      <c r="FZ232" s="299"/>
      <c r="GA232" s="299"/>
      <c r="GB232" s="299"/>
      <c r="GC232" s="299"/>
      <c r="GD232" s="299"/>
      <c r="GE232" s="299"/>
    </row>
    <row r="233" spans="2:187" s="149" customFormat="1">
      <c r="B233" s="291">
        <v>227</v>
      </c>
      <c r="C233" s="414" t="s">
        <v>512</v>
      </c>
      <c r="D233" s="414" t="s">
        <v>670</v>
      </c>
      <c r="E233" s="413" t="s">
        <v>227</v>
      </c>
      <c r="F233" s="414" t="s">
        <v>225</v>
      </c>
      <c r="G233" s="418">
        <v>1</v>
      </c>
      <c r="H233" s="415">
        <v>200000</v>
      </c>
      <c r="I233" s="292">
        <f t="shared" si="3"/>
        <v>37500</v>
      </c>
      <c r="J233" s="326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  <c r="AA233" s="299"/>
      <c r="AB233" s="299"/>
      <c r="AC233" s="299"/>
      <c r="AD233" s="299"/>
      <c r="AE233" s="299"/>
      <c r="AF233" s="299"/>
      <c r="AG233" s="299"/>
      <c r="AH233" s="299"/>
      <c r="AI233" s="299"/>
      <c r="AJ233" s="299"/>
      <c r="AK233" s="299"/>
      <c r="AL233" s="299"/>
      <c r="AM233" s="299"/>
      <c r="AN233" s="299"/>
      <c r="AO233" s="299"/>
      <c r="AP233" s="299"/>
      <c r="AQ233" s="299"/>
      <c r="AR233" s="299"/>
      <c r="AS233" s="299"/>
      <c r="AT233" s="299"/>
      <c r="AU233" s="299"/>
      <c r="AV233" s="299"/>
      <c r="AW233" s="299"/>
      <c r="AX233" s="299"/>
      <c r="AY233" s="299"/>
      <c r="AZ233" s="299"/>
      <c r="BA233" s="299"/>
      <c r="BB233" s="299"/>
      <c r="BC233" s="299"/>
      <c r="BD233" s="299"/>
      <c r="BE233" s="299"/>
      <c r="BF233" s="299"/>
      <c r="BG233" s="299"/>
      <c r="BH233" s="299"/>
      <c r="BI233" s="299"/>
      <c r="BJ233" s="299"/>
      <c r="BK233" s="299"/>
      <c r="BL233" s="299"/>
      <c r="BM233" s="299"/>
      <c r="BN233" s="299"/>
      <c r="BO233" s="299"/>
      <c r="BP233" s="299"/>
      <c r="BQ233" s="299"/>
      <c r="BR233" s="299"/>
      <c r="BS233" s="299"/>
      <c r="BT233" s="299"/>
      <c r="BU233" s="299"/>
      <c r="BV233" s="299"/>
      <c r="BW233" s="299"/>
      <c r="BX233" s="299"/>
      <c r="BY233" s="299"/>
      <c r="BZ233" s="299"/>
      <c r="CA233" s="299"/>
      <c r="CB233" s="299"/>
      <c r="CC233" s="299"/>
      <c r="CD233" s="299"/>
      <c r="CE233" s="299"/>
      <c r="CF233" s="299"/>
      <c r="CG233" s="299"/>
      <c r="CH233" s="299"/>
      <c r="CI233" s="299"/>
      <c r="CJ233" s="299"/>
      <c r="CK233" s="299"/>
      <c r="CL233" s="299"/>
      <c r="CM233" s="299"/>
      <c r="CN233" s="299"/>
      <c r="CO233" s="299"/>
      <c r="CP233" s="299"/>
      <c r="CQ233" s="299"/>
      <c r="CR233" s="299"/>
      <c r="CS233" s="299"/>
      <c r="CT233" s="299"/>
      <c r="CU233" s="299"/>
      <c r="CV233" s="299"/>
      <c r="CW233" s="299"/>
      <c r="CX233" s="299"/>
      <c r="CY233" s="299"/>
      <c r="CZ233" s="299"/>
      <c r="DA233" s="299"/>
      <c r="DB233" s="299"/>
      <c r="DC233" s="299"/>
      <c r="DD233" s="299"/>
      <c r="DE233" s="299"/>
      <c r="DF233" s="299"/>
      <c r="DG233" s="299"/>
      <c r="DH233" s="299"/>
      <c r="DI233" s="299"/>
      <c r="DJ233" s="299"/>
      <c r="DK233" s="299"/>
      <c r="DL233" s="299"/>
      <c r="DM233" s="299"/>
      <c r="DN233" s="299"/>
      <c r="DO233" s="299"/>
      <c r="DP233" s="299"/>
      <c r="DQ233" s="299"/>
      <c r="DR233" s="299"/>
      <c r="DS233" s="299"/>
      <c r="DT233" s="299"/>
      <c r="DU233" s="299"/>
      <c r="DV233" s="299"/>
      <c r="DW233" s="299"/>
      <c r="DX233" s="299"/>
      <c r="DY233" s="299"/>
      <c r="DZ233" s="299"/>
      <c r="EA233" s="299"/>
      <c r="EB233" s="299"/>
      <c r="EC233" s="299"/>
      <c r="ED233" s="299"/>
      <c r="EE233" s="299"/>
      <c r="EF233" s="299"/>
      <c r="EG233" s="299"/>
      <c r="EH233" s="299"/>
      <c r="EI233" s="299"/>
      <c r="EJ233" s="299"/>
      <c r="EK233" s="299"/>
      <c r="EL233" s="299"/>
      <c r="EM233" s="299"/>
      <c r="EN233" s="299"/>
      <c r="EO233" s="299"/>
      <c r="EP233" s="299"/>
      <c r="EQ233" s="299"/>
      <c r="ER233" s="299"/>
      <c r="ES233" s="299"/>
      <c r="ET233" s="299"/>
      <c r="EU233" s="299"/>
      <c r="EV233" s="299"/>
      <c r="EW233" s="299"/>
      <c r="EX233" s="299"/>
      <c r="EY233" s="299"/>
      <c r="EZ233" s="299"/>
      <c r="FA233" s="299"/>
      <c r="FB233" s="299"/>
      <c r="FC233" s="299"/>
      <c r="FD233" s="299"/>
      <c r="FE233" s="299"/>
      <c r="FF233" s="299"/>
      <c r="FG233" s="299"/>
      <c r="FH233" s="299"/>
      <c r="FI233" s="299"/>
      <c r="FJ233" s="299"/>
      <c r="FK233" s="299"/>
      <c r="FL233" s="299"/>
      <c r="FM233" s="299"/>
      <c r="FN233" s="299"/>
      <c r="FO233" s="299"/>
      <c r="FP233" s="299"/>
      <c r="FQ233" s="299"/>
      <c r="FR233" s="299"/>
      <c r="FS233" s="299"/>
      <c r="FT233" s="299"/>
      <c r="FU233" s="299"/>
      <c r="FV233" s="299"/>
      <c r="FW233" s="299"/>
      <c r="FX233" s="299"/>
      <c r="FY233" s="299"/>
      <c r="FZ233" s="299"/>
      <c r="GA233" s="299"/>
      <c r="GB233" s="299"/>
      <c r="GC233" s="299"/>
      <c r="GD233" s="299"/>
      <c r="GE233" s="299"/>
    </row>
    <row r="234" spans="2:187" s="149" customFormat="1">
      <c r="B234" s="291">
        <v>228</v>
      </c>
      <c r="C234" s="414" t="s">
        <v>390</v>
      </c>
      <c r="D234" s="414" t="s">
        <v>689</v>
      </c>
      <c r="E234" s="413" t="s">
        <v>176</v>
      </c>
      <c r="F234" s="414" t="s">
        <v>177</v>
      </c>
      <c r="G234" s="418">
        <v>7</v>
      </c>
      <c r="H234" s="415">
        <v>700000</v>
      </c>
      <c r="I234" s="292">
        <f t="shared" si="3"/>
        <v>131250</v>
      </c>
      <c r="J234" s="326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  <c r="AA234" s="299"/>
      <c r="AB234" s="299"/>
      <c r="AC234" s="299"/>
      <c r="AD234" s="299"/>
      <c r="AE234" s="299"/>
      <c r="AF234" s="299"/>
      <c r="AG234" s="299"/>
      <c r="AH234" s="299"/>
      <c r="AI234" s="299"/>
      <c r="AJ234" s="299"/>
      <c r="AK234" s="299"/>
      <c r="AL234" s="299"/>
      <c r="AM234" s="299"/>
      <c r="AN234" s="299"/>
      <c r="AO234" s="299"/>
      <c r="AP234" s="299"/>
      <c r="AQ234" s="299"/>
      <c r="AR234" s="299"/>
      <c r="AS234" s="299"/>
      <c r="AT234" s="299"/>
      <c r="AU234" s="299"/>
      <c r="AV234" s="299"/>
      <c r="AW234" s="299"/>
      <c r="AX234" s="299"/>
      <c r="AY234" s="299"/>
      <c r="AZ234" s="299"/>
      <c r="BA234" s="299"/>
      <c r="BB234" s="299"/>
      <c r="BC234" s="299"/>
      <c r="BD234" s="299"/>
      <c r="BE234" s="299"/>
      <c r="BF234" s="299"/>
      <c r="BG234" s="299"/>
      <c r="BH234" s="299"/>
      <c r="BI234" s="299"/>
      <c r="BJ234" s="299"/>
      <c r="BK234" s="299"/>
      <c r="BL234" s="299"/>
      <c r="BM234" s="299"/>
      <c r="BN234" s="299"/>
      <c r="BO234" s="299"/>
      <c r="BP234" s="299"/>
      <c r="BQ234" s="299"/>
      <c r="BR234" s="299"/>
      <c r="BS234" s="299"/>
      <c r="BT234" s="299"/>
      <c r="BU234" s="299"/>
      <c r="BV234" s="299"/>
      <c r="BW234" s="299"/>
      <c r="BX234" s="299"/>
      <c r="BY234" s="299"/>
      <c r="BZ234" s="299"/>
      <c r="CA234" s="299"/>
      <c r="CB234" s="299"/>
      <c r="CC234" s="299"/>
      <c r="CD234" s="299"/>
      <c r="CE234" s="299"/>
      <c r="CF234" s="299"/>
      <c r="CG234" s="299"/>
      <c r="CH234" s="299"/>
      <c r="CI234" s="299"/>
      <c r="CJ234" s="299"/>
      <c r="CK234" s="299"/>
      <c r="CL234" s="299"/>
      <c r="CM234" s="299"/>
      <c r="CN234" s="299"/>
      <c r="CO234" s="299"/>
      <c r="CP234" s="299"/>
      <c r="CQ234" s="299"/>
      <c r="CR234" s="299"/>
      <c r="CS234" s="299"/>
      <c r="CT234" s="299"/>
      <c r="CU234" s="299"/>
      <c r="CV234" s="299"/>
      <c r="CW234" s="299"/>
      <c r="CX234" s="299"/>
      <c r="CY234" s="299"/>
      <c r="CZ234" s="299"/>
      <c r="DA234" s="299"/>
      <c r="DB234" s="299"/>
      <c r="DC234" s="299"/>
      <c r="DD234" s="299"/>
      <c r="DE234" s="299"/>
      <c r="DF234" s="299"/>
      <c r="DG234" s="299"/>
      <c r="DH234" s="299"/>
      <c r="DI234" s="299"/>
      <c r="DJ234" s="299"/>
      <c r="DK234" s="299"/>
      <c r="DL234" s="299"/>
      <c r="DM234" s="299"/>
      <c r="DN234" s="299"/>
      <c r="DO234" s="299"/>
      <c r="DP234" s="299"/>
      <c r="DQ234" s="299"/>
      <c r="DR234" s="299"/>
      <c r="DS234" s="299"/>
      <c r="DT234" s="299"/>
      <c r="DU234" s="299"/>
      <c r="DV234" s="299"/>
      <c r="DW234" s="299"/>
      <c r="DX234" s="299"/>
      <c r="DY234" s="299"/>
      <c r="DZ234" s="299"/>
      <c r="EA234" s="299"/>
      <c r="EB234" s="299"/>
      <c r="EC234" s="299"/>
      <c r="ED234" s="299"/>
      <c r="EE234" s="299"/>
      <c r="EF234" s="299"/>
      <c r="EG234" s="299"/>
      <c r="EH234" s="299"/>
      <c r="EI234" s="299"/>
      <c r="EJ234" s="299"/>
      <c r="EK234" s="299"/>
      <c r="EL234" s="299"/>
      <c r="EM234" s="299"/>
      <c r="EN234" s="299"/>
      <c r="EO234" s="299"/>
      <c r="EP234" s="299"/>
      <c r="EQ234" s="299"/>
      <c r="ER234" s="299"/>
      <c r="ES234" s="299"/>
      <c r="ET234" s="299"/>
      <c r="EU234" s="299"/>
      <c r="EV234" s="299"/>
      <c r="EW234" s="299"/>
      <c r="EX234" s="299"/>
      <c r="EY234" s="299"/>
      <c r="EZ234" s="299"/>
      <c r="FA234" s="299"/>
      <c r="FB234" s="299"/>
      <c r="FC234" s="299"/>
      <c r="FD234" s="299"/>
      <c r="FE234" s="299"/>
      <c r="FF234" s="299"/>
      <c r="FG234" s="299"/>
      <c r="FH234" s="299"/>
      <c r="FI234" s="299"/>
      <c r="FJ234" s="299"/>
      <c r="FK234" s="299"/>
      <c r="FL234" s="299"/>
      <c r="FM234" s="299"/>
      <c r="FN234" s="299"/>
      <c r="FO234" s="299"/>
      <c r="FP234" s="299"/>
      <c r="FQ234" s="299"/>
      <c r="FR234" s="299"/>
      <c r="FS234" s="299"/>
      <c r="FT234" s="299"/>
      <c r="FU234" s="299"/>
      <c r="FV234" s="299"/>
      <c r="FW234" s="299"/>
      <c r="FX234" s="299"/>
      <c r="FY234" s="299"/>
      <c r="FZ234" s="299"/>
      <c r="GA234" s="299"/>
      <c r="GB234" s="299"/>
      <c r="GC234" s="299"/>
      <c r="GD234" s="299"/>
      <c r="GE234" s="299"/>
    </row>
    <row r="235" spans="2:187" s="149" customFormat="1">
      <c r="B235" s="291">
        <v>229</v>
      </c>
      <c r="C235" s="414" t="s">
        <v>544</v>
      </c>
      <c r="D235" s="414" t="s">
        <v>713</v>
      </c>
      <c r="E235" s="413" t="s">
        <v>204</v>
      </c>
      <c r="F235" s="414" t="s">
        <v>177</v>
      </c>
      <c r="G235" s="418">
        <v>5</v>
      </c>
      <c r="H235" s="415">
        <v>500000</v>
      </c>
      <c r="I235" s="292">
        <f t="shared" si="3"/>
        <v>93750</v>
      </c>
      <c r="J235" s="326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99"/>
      <c r="AB235" s="299"/>
      <c r="AC235" s="299"/>
      <c r="AD235" s="299"/>
      <c r="AE235" s="299"/>
      <c r="AF235" s="299"/>
      <c r="AG235" s="299"/>
      <c r="AH235" s="299"/>
      <c r="AI235" s="299"/>
      <c r="AJ235" s="299"/>
      <c r="AK235" s="299"/>
      <c r="AL235" s="299"/>
      <c r="AM235" s="299"/>
      <c r="AN235" s="299"/>
      <c r="AO235" s="299"/>
      <c r="AP235" s="299"/>
      <c r="AQ235" s="299"/>
      <c r="AR235" s="299"/>
      <c r="AS235" s="299"/>
      <c r="AT235" s="299"/>
      <c r="AU235" s="299"/>
      <c r="AV235" s="299"/>
      <c r="AW235" s="299"/>
      <c r="AX235" s="299"/>
      <c r="AY235" s="299"/>
      <c r="AZ235" s="299"/>
      <c r="BA235" s="299"/>
      <c r="BB235" s="299"/>
      <c r="BC235" s="299"/>
      <c r="BD235" s="299"/>
      <c r="BE235" s="299"/>
      <c r="BF235" s="299"/>
      <c r="BG235" s="299"/>
      <c r="BH235" s="299"/>
      <c r="BI235" s="299"/>
      <c r="BJ235" s="299"/>
      <c r="BK235" s="299"/>
      <c r="BL235" s="299"/>
      <c r="BM235" s="299"/>
      <c r="BN235" s="299"/>
      <c r="BO235" s="299"/>
      <c r="BP235" s="299"/>
      <c r="BQ235" s="299"/>
      <c r="BR235" s="299"/>
      <c r="BS235" s="299"/>
      <c r="BT235" s="299"/>
      <c r="BU235" s="299"/>
      <c r="BV235" s="299"/>
      <c r="BW235" s="299"/>
      <c r="BX235" s="299"/>
      <c r="BY235" s="299"/>
      <c r="BZ235" s="299"/>
      <c r="CA235" s="299"/>
      <c r="CB235" s="299"/>
      <c r="CC235" s="299"/>
      <c r="CD235" s="299"/>
      <c r="CE235" s="299"/>
      <c r="CF235" s="299"/>
      <c r="CG235" s="299"/>
      <c r="CH235" s="299"/>
      <c r="CI235" s="299"/>
      <c r="CJ235" s="299"/>
      <c r="CK235" s="299"/>
      <c r="CL235" s="299"/>
      <c r="CM235" s="299"/>
      <c r="CN235" s="299"/>
      <c r="CO235" s="299"/>
      <c r="CP235" s="299"/>
      <c r="CQ235" s="299"/>
      <c r="CR235" s="299"/>
      <c r="CS235" s="299"/>
      <c r="CT235" s="299"/>
      <c r="CU235" s="299"/>
      <c r="CV235" s="299"/>
      <c r="CW235" s="299"/>
      <c r="CX235" s="299"/>
      <c r="CY235" s="299"/>
      <c r="CZ235" s="299"/>
      <c r="DA235" s="299"/>
      <c r="DB235" s="299"/>
      <c r="DC235" s="299"/>
      <c r="DD235" s="299"/>
      <c r="DE235" s="299"/>
      <c r="DF235" s="299"/>
      <c r="DG235" s="299"/>
      <c r="DH235" s="299"/>
      <c r="DI235" s="299"/>
      <c r="DJ235" s="299"/>
      <c r="DK235" s="299"/>
      <c r="DL235" s="299"/>
      <c r="DM235" s="299"/>
      <c r="DN235" s="299"/>
      <c r="DO235" s="299"/>
      <c r="DP235" s="299"/>
      <c r="DQ235" s="299"/>
      <c r="DR235" s="299"/>
      <c r="DS235" s="299"/>
      <c r="DT235" s="299"/>
      <c r="DU235" s="299"/>
      <c r="DV235" s="299"/>
      <c r="DW235" s="299"/>
      <c r="DX235" s="299"/>
      <c r="DY235" s="299"/>
      <c r="DZ235" s="299"/>
      <c r="EA235" s="299"/>
      <c r="EB235" s="299"/>
      <c r="EC235" s="299"/>
      <c r="ED235" s="299"/>
      <c r="EE235" s="299"/>
      <c r="EF235" s="299"/>
      <c r="EG235" s="299"/>
      <c r="EH235" s="299"/>
      <c r="EI235" s="299"/>
      <c r="EJ235" s="299"/>
      <c r="EK235" s="299"/>
      <c r="EL235" s="299"/>
      <c r="EM235" s="299"/>
      <c r="EN235" s="299"/>
      <c r="EO235" s="299"/>
      <c r="EP235" s="299"/>
      <c r="EQ235" s="299"/>
      <c r="ER235" s="299"/>
      <c r="ES235" s="299"/>
      <c r="ET235" s="299"/>
      <c r="EU235" s="299"/>
      <c r="EV235" s="299"/>
      <c r="EW235" s="299"/>
      <c r="EX235" s="299"/>
      <c r="EY235" s="299"/>
      <c r="EZ235" s="299"/>
      <c r="FA235" s="299"/>
      <c r="FB235" s="299"/>
      <c r="FC235" s="299"/>
      <c r="FD235" s="299"/>
      <c r="FE235" s="299"/>
      <c r="FF235" s="299"/>
      <c r="FG235" s="299"/>
      <c r="FH235" s="299"/>
      <c r="FI235" s="299"/>
      <c r="FJ235" s="299"/>
      <c r="FK235" s="299"/>
      <c r="FL235" s="299"/>
      <c r="FM235" s="299"/>
      <c r="FN235" s="299"/>
      <c r="FO235" s="299"/>
      <c r="FP235" s="299"/>
      <c r="FQ235" s="299"/>
      <c r="FR235" s="299"/>
      <c r="FS235" s="299"/>
      <c r="FT235" s="299"/>
      <c r="FU235" s="299"/>
      <c r="FV235" s="299"/>
      <c r="FW235" s="299"/>
      <c r="FX235" s="299"/>
      <c r="FY235" s="299"/>
      <c r="FZ235" s="299"/>
      <c r="GA235" s="299"/>
      <c r="GB235" s="299"/>
      <c r="GC235" s="299"/>
      <c r="GD235" s="299"/>
      <c r="GE235" s="299"/>
    </row>
    <row r="236" spans="2:187" s="149" customFormat="1">
      <c r="B236" s="291">
        <v>230</v>
      </c>
      <c r="C236" s="414" t="s">
        <v>582</v>
      </c>
      <c r="D236" s="414" t="s">
        <v>726</v>
      </c>
      <c r="E236" s="413" t="s">
        <v>204</v>
      </c>
      <c r="F236" s="414" t="s">
        <v>177</v>
      </c>
      <c r="G236" s="418">
        <v>5</v>
      </c>
      <c r="H236" s="415">
        <v>500000</v>
      </c>
      <c r="I236" s="292">
        <f t="shared" si="3"/>
        <v>93750</v>
      </c>
      <c r="J236" s="238"/>
    </row>
    <row r="237" spans="2:187" s="149" customFormat="1" ht="18.75" customHeight="1">
      <c r="B237" s="291">
        <v>231</v>
      </c>
      <c r="C237" s="414" t="s">
        <v>539</v>
      </c>
      <c r="D237" s="414" t="s">
        <v>316</v>
      </c>
      <c r="E237" s="413" t="s">
        <v>178</v>
      </c>
      <c r="F237" s="414" t="s">
        <v>348</v>
      </c>
      <c r="G237" s="418">
        <v>1</v>
      </c>
      <c r="H237" s="415">
        <v>100000</v>
      </c>
      <c r="I237" s="292">
        <f t="shared" si="3"/>
        <v>18750</v>
      </c>
      <c r="J237" s="238"/>
    </row>
    <row r="238" spans="2:187" s="149" customFormat="1">
      <c r="B238" s="291">
        <v>232</v>
      </c>
      <c r="C238" s="414" t="s">
        <v>430</v>
      </c>
      <c r="D238" s="414" t="s">
        <v>727</v>
      </c>
      <c r="E238" s="413" t="s">
        <v>202</v>
      </c>
      <c r="F238" s="414" t="s">
        <v>177</v>
      </c>
      <c r="G238" s="418">
        <v>8</v>
      </c>
      <c r="H238" s="415">
        <v>800000</v>
      </c>
      <c r="I238" s="292">
        <f t="shared" si="3"/>
        <v>150000</v>
      </c>
      <c r="J238" s="238"/>
    </row>
    <row r="239" spans="2:187" s="149" customFormat="1">
      <c r="B239" s="291">
        <v>233</v>
      </c>
      <c r="C239" s="414" t="s">
        <v>544</v>
      </c>
      <c r="D239" s="414" t="s">
        <v>629</v>
      </c>
      <c r="E239" s="413" t="s">
        <v>216</v>
      </c>
      <c r="F239" s="414" t="s">
        <v>180</v>
      </c>
      <c r="G239" s="418">
        <v>2</v>
      </c>
      <c r="H239" s="415">
        <v>200000</v>
      </c>
      <c r="I239" s="292">
        <f t="shared" si="3"/>
        <v>37500</v>
      </c>
      <c r="J239" s="238"/>
    </row>
    <row r="240" spans="2:187" s="149" customFormat="1">
      <c r="B240" s="291">
        <v>234</v>
      </c>
      <c r="C240" s="414" t="s">
        <v>577</v>
      </c>
      <c r="D240" s="414" t="s">
        <v>716</v>
      </c>
      <c r="E240" s="413" t="s">
        <v>194</v>
      </c>
      <c r="F240" s="414" t="s">
        <v>225</v>
      </c>
      <c r="G240" s="418">
        <v>1</v>
      </c>
      <c r="H240" s="415">
        <v>200000</v>
      </c>
      <c r="I240" s="292">
        <f t="shared" si="3"/>
        <v>37500</v>
      </c>
      <c r="J240" s="326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  <c r="AA240" s="299"/>
      <c r="AB240" s="299"/>
      <c r="AC240" s="299"/>
      <c r="AD240" s="299"/>
      <c r="AE240" s="299"/>
      <c r="AF240" s="299"/>
      <c r="AG240" s="299"/>
      <c r="AH240" s="299"/>
      <c r="AI240" s="299"/>
      <c r="AJ240" s="299"/>
      <c r="AK240" s="299"/>
      <c r="AL240" s="299"/>
      <c r="AM240" s="299"/>
      <c r="AN240" s="299"/>
      <c r="AO240" s="299"/>
      <c r="AP240" s="299"/>
      <c r="AQ240" s="299"/>
      <c r="AR240" s="299"/>
      <c r="AS240" s="299"/>
      <c r="AT240" s="299"/>
      <c r="AU240" s="299"/>
      <c r="AV240" s="299"/>
      <c r="AW240" s="299"/>
      <c r="AX240" s="299"/>
      <c r="AY240" s="299"/>
      <c r="AZ240" s="299"/>
      <c r="BA240" s="299"/>
      <c r="BB240" s="299"/>
      <c r="BC240" s="299"/>
      <c r="BD240" s="299"/>
      <c r="BE240" s="299"/>
      <c r="BF240" s="299"/>
      <c r="BG240" s="299"/>
      <c r="BH240" s="299"/>
      <c r="BI240" s="299"/>
      <c r="BJ240" s="299"/>
      <c r="BK240" s="299"/>
      <c r="BL240" s="299"/>
      <c r="BM240" s="299"/>
      <c r="BN240" s="299"/>
      <c r="BO240" s="299"/>
      <c r="BP240" s="299"/>
      <c r="BQ240" s="299"/>
      <c r="BR240" s="299"/>
      <c r="BS240" s="299"/>
      <c r="BT240" s="299"/>
      <c r="BU240" s="299"/>
      <c r="BV240" s="299"/>
      <c r="BW240" s="299"/>
      <c r="BX240" s="299"/>
      <c r="BY240" s="299"/>
      <c r="BZ240" s="299"/>
      <c r="CA240" s="299"/>
      <c r="CB240" s="299"/>
      <c r="CC240" s="299"/>
      <c r="CD240" s="299"/>
      <c r="CE240" s="299"/>
      <c r="CF240" s="299"/>
      <c r="CG240" s="299"/>
      <c r="CH240" s="299"/>
      <c r="CI240" s="299"/>
      <c r="CJ240" s="299"/>
      <c r="CK240" s="299"/>
      <c r="CL240" s="299"/>
      <c r="CM240" s="299"/>
      <c r="CN240" s="299"/>
      <c r="CO240" s="299"/>
      <c r="CP240" s="299"/>
      <c r="CQ240" s="299"/>
      <c r="CR240" s="299"/>
      <c r="CS240" s="299"/>
      <c r="CT240" s="299"/>
      <c r="CU240" s="299"/>
      <c r="CV240" s="299"/>
      <c r="CW240" s="299"/>
      <c r="CX240" s="299"/>
      <c r="CY240" s="299"/>
      <c r="CZ240" s="299"/>
      <c r="DA240" s="299"/>
      <c r="DB240" s="299"/>
      <c r="DC240" s="299"/>
      <c r="DD240" s="299"/>
      <c r="DE240" s="299"/>
      <c r="DF240" s="299"/>
      <c r="DG240" s="299"/>
      <c r="DH240" s="299"/>
      <c r="DI240" s="299"/>
      <c r="DJ240" s="299"/>
      <c r="DK240" s="299"/>
      <c r="DL240" s="299"/>
      <c r="DM240" s="299"/>
      <c r="DN240" s="299"/>
      <c r="DO240" s="299"/>
      <c r="DP240" s="299"/>
      <c r="DQ240" s="299"/>
      <c r="DR240" s="299"/>
      <c r="DS240" s="299"/>
      <c r="DT240" s="299"/>
      <c r="DU240" s="299"/>
      <c r="DV240" s="299"/>
      <c r="DW240" s="299"/>
      <c r="DX240" s="299"/>
      <c r="DY240" s="299"/>
      <c r="DZ240" s="299"/>
      <c r="EA240" s="299"/>
      <c r="EB240" s="299"/>
      <c r="EC240" s="299"/>
      <c r="ED240" s="299"/>
      <c r="EE240" s="299"/>
      <c r="EF240" s="299"/>
      <c r="EG240" s="299"/>
      <c r="EH240" s="299"/>
      <c r="EI240" s="299"/>
      <c r="EJ240" s="299"/>
      <c r="EK240" s="299"/>
      <c r="EL240" s="299"/>
      <c r="EM240" s="299"/>
      <c r="EN240" s="299"/>
      <c r="EO240" s="299"/>
      <c r="EP240" s="299"/>
      <c r="EQ240" s="299"/>
      <c r="ER240" s="299"/>
      <c r="ES240" s="299"/>
      <c r="ET240" s="299"/>
      <c r="EU240" s="299"/>
      <c r="EV240" s="299"/>
      <c r="EW240" s="299"/>
      <c r="EX240" s="299"/>
      <c r="EY240" s="299"/>
      <c r="EZ240" s="299"/>
      <c r="FA240" s="299"/>
      <c r="FB240" s="299"/>
      <c r="FC240" s="299"/>
      <c r="FD240" s="299"/>
      <c r="FE240" s="299"/>
      <c r="FF240" s="299"/>
      <c r="FG240" s="299"/>
      <c r="FH240" s="299"/>
      <c r="FI240" s="299"/>
      <c r="FJ240" s="299"/>
      <c r="FK240" s="299"/>
      <c r="FL240" s="299"/>
      <c r="FM240" s="299"/>
      <c r="FN240" s="299"/>
      <c r="FO240" s="299"/>
      <c r="FP240" s="299"/>
      <c r="FQ240" s="299"/>
      <c r="FR240" s="299"/>
      <c r="FS240" s="299"/>
      <c r="FT240" s="299"/>
      <c r="FU240" s="299"/>
      <c r="FV240" s="299"/>
      <c r="FW240" s="299"/>
      <c r="FX240" s="299"/>
      <c r="FY240" s="299"/>
      <c r="FZ240" s="299"/>
      <c r="GA240" s="299"/>
      <c r="GB240" s="299"/>
      <c r="GC240" s="299"/>
      <c r="GD240" s="299"/>
      <c r="GE240" s="299"/>
    </row>
    <row r="241" spans="2:187" s="149" customFormat="1">
      <c r="B241" s="291">
        <v>235</v>
      </c>
      <c r="C241" s="414" t="s">
        <v>512</v>
      </c>
      <c r="D241" s="414" t="s">
        <v>488</v>
      </c>
      <c r="E241" s="413" t="s">
        <v>227</v>
      </c>
      <c r="F241" s="414" t="s">
        <v>177</v>
      </c>
      <c r="G241" s="418">
        <v>5</v>
      </c>
      <c r="H241" s="415">
        <v>500000</v>
      </c>
      <c r="I241" s="292">
        <f t="shared" si="3"/>
        <v>93750</v>
      </c>
      <c r="J241" s="326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99"/>
      <c r="AB241" s="299"/>
      <c r="AC241" s="299"/>
      <c r="AD241" s="299"/>
      <c r="AE241" s="299"/>
      <c r="AF241" s="299"/>
      <c r="AG241" s="299"/>
      <c r="AH241" s="299"/>
      <c r="AI241" s="299"/>
      <c r="AJ241" s="299"/>
      <c r="AK241" s="299"/>
      <c r="AL241" s="299"/>
      <c r="AM241" s="299"/>
      <c r="AN241" s="299"/>
      <c r="AO241" s="299"/>
      <c r="AP241" s="299"/>
      <c r="AQ241" s="299"/>
      <c r="AR241" s="299"/>
      <c r="AS241" s="299"/>
      <c r="AT241" s="299"/>
      <c r="AU241" s="299"/>
      <c r="AV241" s="299"/>
      <c r="AW241" s="299"/>
      <c r="AX241" s="299"/>
      <c r="AY241" s="299"/>
      <c r="AZ241" s="299"/>
      <c r="BA241" s="299"/>
      <c r="BB241" s="299"/>
      <c r="BC241" s="299"/>
      <c r="BD241" s="299"/>
      <c r="BE241" s="299"/>
      <c r="BF241" s="299"/>
      <c r="BG241" s="299"/>
      <c r="BH241" s="299"/>
      <c r="BI241" s="299"/>
      <c r="BJ241" s="299"/>
      <c r="BK241" s="299"/>
      <c r="BL241" s="299"/>
      <c r="BM241" s="299"/>
      <c r="BN241" s="299"/>
      <c r="BO241" s="299"/>
      <c r="BP241" s="299"/>
      <c r="BQ241" s="299"/>
      <c r="BR241" s="299"/>
      <c r="BS241" s="299"/>
      <c r="BT241" s="299"/>
      <c r="BU241" s="299"/>
      <c r="BV241" s="299"/>
      <c r="BW241" s="299"/>
      <c r="BX241" s="299"/>
      <c r="BY241" s="299"/>
      <c r="BZ241" s="299"/>
      <c r="CA241" s="299"/>
      <c r="CB241" s="299"/>
      <c r="CC241" s="299"/>
      <c r="CD241" s="299"/>
      <c r="CE241" s="299"/>
      <c r="CF241" s="299"/>
      <c r="CG241" s="299"/>
      <c r="CH241" s="299"/>
      <c r="CI241" s="299"/>
      <c r="CJ241" s="299"/>
      <c r="CK241" s="299"/>
      <c r="CL241" s="299"/>
      <c r="CM241" s="299"/>
      <c r="CN241" s="299"/>
      <c r="CO241" s="299"/>
      <c r="CP241" s="299"/>
      <c r="CQ241" s="299"/>
      <c r="CR241" s="299"/>
      <c r="CS241" s="299"/>
      <c r="CT241" s="299"/>
      <c r="CU241" s="299"/>
      <c r="CV241" s="299"/>
      <c r="CW241" s="299"/>
      <c r="CX241" s="299"/>
      <c r="CY241" s="299"/>
      <c r="CZ241" s="299"/>
      <c r="DA241" s="299"/>
      <c r="DB241" s="299"/>
      <c r="DC241" s="299"/>
      <c r="DD241" s="299"/>
      <c r="DE241" s="299"/>
      <c r="DF241" s="299"/>
      <c r="DG241" s="299"/>
      <c r="DH241" s="299"/>
      <c r="DI241" s="299"/>
      <c r="DJ241" s="299"/>
      <c r="DK241" s="299"/>
      <c r="DL241" s="299"/>
      <c r="DM241" s="299"/>
      <c r="DN241" s="299"/>
      <c r="DO241" s="299"/>
      <c r="DP241" s="299"/>
      <c r="DQ241" s="299"/>
      <c r="DR241" s="299"/>
      <c r="DS241" s="299"/>
      <c r="DT241" s="299"/>
      <c r="DU241" s="299"/>
      <c r="DV241" s="299"/>
      <c r="DW241" s="299"/>
      <c r="DX241" s="299"/>
      <c r="DY241" s="299"/>
      <c r="DZ241" s="299"/>
      <c r="EA241" s="299"/>
      <c r="EB241" s="299"/>
      <c r="EC241" s="299"/>
      <c r="ED241" s="299"/>
      <c r="EE241" s="299"/>
      <c r="EF241" s="299"/>
      <c r="EG241" s="299"/>
      <c r="EH241" s="299"/>
      <c r="EI241" s="299"/>
      <c r="EJ241" s="299"/>
      <c r="EK241" s="299"/>
      <c r="EL241" s="299"/>
      <c r="EM241" s="299"/>
      <c r="EN241" s="299"/>
      <c r="EO241" s="299"/>
      <c r="EP241" s="299"/>
      <c r="EQ241" s="299"/>
      <c r="ER241" s="299"/>
      <c r="ES241" s="299"/>
      <c r="ET241" s="299"/>
      <c r="EU241" s="299"/>
      <c r="EV241" s="299"/>
      <c r="EW241" s="299"/>
      <c r="EX241" s="299"/>
      <c r="EY241" s="299"/>
      <c r="EZ241" s="299"/>
      <c r="FA241" s="299"/>
      <c r="FB241" s="299"/>
      <c r="FC241" s="299"/>
      <c r="FD241" s="299"/>
      <c r="FE241" s="299"/>
      <c r="FF241" s="299"/>
      <c r="FG241" s="299"/>
      <c r="FH241" s="299"/>
      <c r="FI241" s="299"/>
      <c r="FJ241" s="299"/>
      <c r="FK241" s="299"/>
      <c r="FL241" s="299"/>
      <c r="FM241" s="299"/>
      <c r="FN241" s="299"/>
      <c r="FO241" s="299"/>
      <c r="FP241" s="299"/>
      <c r="FQ241" s="299"/>
      <c r="FR241" s="299"/>
      <c r="FS241" s="299"/>
      <c r="FT241" s="299"/>
      <c r="FU241" s="299"/>
      <c r="FV241" s="299"/>
      <c r="FW241" s="299"/>
      <c r="FX241" s="299"/>
      <c r="FY241" s="299"/>
      <c r="FZ241" s="299"/>
      <c r="GA241" s="299"/>
      <c r="GB241" s="299"/>
      <c r="GC241" s="299"/>
      <c r="GD241" s="299"/>
      <c r="GE241" s="299"/>
    </row>
    <row r="242" spans="2:187" s="149" customFormat="1">
      <c r="B242" s="291">
        <v>236</v>
      </c>
      <c r="C242" s="414" t="s">
        <v>542</v>
      </c>
      <c r="D242" s="414" t="s">
        <v>728</v>
      </c>
      <c r="E242" s="413" t="s">
        <v>219</v>
      </c>
      <c r="F242" s="414" t="s">
        <v>182</v>
      </c>
      <c r="G242" s="418">
        <v>1</v>
      </c>
      <c r="H242" s="415">
        <v>100000</v>
      </c>
      <c r="I242" s="292">
        <f t="shared" si="3"/>
        <v>18750</v>
      </c>
      <c r="J242" s="326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  <c r="AA242" s="299"/>
      <c r="AB242" s="299"/>
      <c r="AC242" s="299"/>
      <c r="AD242" s="299"/>
      <c r="AE242" s="299"/>
      <c r="AF242" s="299"/>
      <c r="AG242" s="299"/>
      <c r="AH242" s="299"/>
      <c r="AI242" s="299"/>
      <c r="AJ242" s="299"/>
      <c r="AK242" s="299"/>
      <c r="AL242" s="299"/>
      <c r="AM242" s="299"/>
      <c r="AN242" s="299"/>
      <c r="AO242" s="299"/>
      <c r="AP242" s="299"/>
      <c r="AQ242" s="299"/>
      <c r="AR242" s="299"/>
      <c r="AS242" s="299"/>
      <c r="AT242" s="299"/>
      <c r="AU242" s="299"/>
      <c r="AV242" s="299"/>
      <c r="AW242" s="299"/>
      <c r="AX242" s="299"/>
      <c r="AY242" s="299"/>
      <c r="AZ242" s="299"/>
      <c r="BA242" s="299"/>
      <c r="BB242" s="299"/>
      <c r="BC242" s="299"/>
      <c r="BD242" s="299"/>
      <c r="BE242" s="299"/>
      <c r="BF242" s="299"/>
      <c r="BG242" s="299"/>
      <c r="BH242" s="299"/>
      <c r="BI242" s="299"/>
      <c r="BJ242" s="299"/>
      <c r="BK242" s="299"/>
      <c r="BL242" s="299"/>
      <c r="BM242" s="299"/>
      <c r="BN242" s="299"/>
      <c r="BO242" s="299"/>
      <c r="BP242" s="299"/>
      <c r="BQ242" s="299"/>
      <c r="BR242" s="299"/>
      <c r="BS242" s="299"/>
      <c r="BT242" s="299"/>
      <c r="BU242" s="299"/>
      <c r="BV242" s="299"/>
      <c r="BW242" s="299"/>
      <c r="BX242" s="299"/>
      <c r="BY242" s="299"/>
      <c r="BZ242" s="299"/>
      <c r="CA242" s="299"/>
      <c r="CB242" s="299"/>
      <c r="CC242" s="299"/>
      <c r="CD242" s="299"/>
      <c r="CE242" s="299"/>
      <c r="CF242" s="299"/>
      <c r="CG242" s="299"/>
      <c r="CH242" s="299"/>
      <c r="CI242" s="299"/>
      <c r="CJ242" s="299"/>
      <c r="CK242" s="299"/>
      <c r="CL242" s="299"/>
      <c r="CM242" s="299"/>
      <c r="CN242" s="299"/>
      <c r="CO242" s="299"/>
      <c r="CP242" s="299"/>
      <c r="CQ242" s="299"/>
      <c r="CR242" s="299"/>
      <c r="CS242" s="299"/>
      <c r="CT242" s="299"/>
      <c r="CU242" s="299"/>
      <c r="CV242" s="299"/>
      <c r="CW242" s="299"/>
      <c r="CX242" s="299"/>
      <c r="CY242" s="299"/>
      <c r="CZ242" s="299"/>
      <c r="DA242" s="299"/>
      <c r="DB242" s="299"/>
      <c r="DC242" s="299"/>
      <c r="DD242" s="299"/>
      <c r="DE242" s="299"/>
      <c r="DF242" s="299"/>
      <c r="DG242" s="299"/>
      <c r="DH242" s="299"/>
      <c r="DI242" s="299"/>
      <c r="DJ242" s="299"/>
      <c r="DK242" s="299"/>
      <c r="DL242" s="299"/>
      <c r="DM242" s="299"/>
      <c r="DN242" s="299"/>
      <c r="DO242" s="299"/>
      <c r="DP242" s="299"/>
      <c r="DQ242" s="299"/>
      <c r="DR242" s="299"/>
      <c r="DS242" s="299"/>
      <c r="DT242" s="299"/>
      <c r="DU242" s="299"/>
      <c r="DV242" s="299"/>
      <c r="DW242" s="299"/>
      <c r="DX242" s="299"/>
      <c r="DY242" s="299"/>
      <c r="DZ242" s="299"/>
      <c r="EA242" s="299"/>
      <c r="EB242" s="299"/>
      <c r="EC242" s="299"/>
      <c r="ED242" s="299"/>
      <c r="EE242" s="299"/>
      <c r="EF242" s="299"/>
      <c r="EG242" s="299"/>
      <c r="EH242" s="299"/>
      <c r="EI242" s="299"/>
      <c r="EJ242" s="299"/>
      <c r="EK242" s="299"/>
      <c r="EL242" s="299"/>
      <c r="EM242" s="299"/>
      <c r="EN242" s="299"/>
      <c r="EO242" s="299"/>
      <c r="EP242" s="299"/>
      <c r="EQ242" s="299"/>
      <c r="ER242" s="299"/>
      <c r="ES242" s="299"/>
      <c r="ET242" s="299"/>
      <c r="EU242" s="299"/>
      <c r="EV242" s="299"/>
      <c r="EW242" s="299"/>
      <c r="EX242" s="299"/>
      <c r="EY242" s="299"/>
      <c r="EZ242" s="299"/>
      <c r="FA242" s="299"/>
      <c r="FB242" s="299"/>
      <c r="FC242" s="299"/>
      <c r="FD242" s="299"/>
      <c r="FE242" s="299"/>
      <c r="FF242" s="299"/>
      <c r="FG242" s="299"/>
      <c r="FH242" s="299"/>
      <c r="FI242" s="299"/>
      <c r="FJ242" s="299"/>
      <c r="FK242" s="299"/>
      <c r="FL242" s="299"/>
      <c r="FM242" s="299"/>
      <c r="FN242" s="299"/>
      <c r="FO242" s="299"/>
      <c r="FP242" s="299"/>
      <c r="FQ242" s="299"/>
      <c r="FR242" s="299"/>
      <c r="FS242" s="299"/>
      <c r="FT242" s="299"/>
      <c r="FU242" s="299"/>
      <c r="FV242" s="299"/>
      <c r="FW242" s="299"/>
      <c r="FX242" s="299"/>
      <c r="FY242" s="299"/>
      <c r="FZ242" s="299"/>
      <c r="GA242" s="299"/>
      <c r="GB242" s="299"/>
      <c r="GC242" s="299"/>
      <c r="GD242" s="299"/>
      <c r="GE242" s="299"/>
    </row>
    <row r="243" spans="2:187" s="149" customFormat="1">
      <c r="B243" s="291">
        <v>237</v>
      </c>
      <c r="C243" s="414" t="s">
        <v>560</v>
      </c>
      <c r="D243" s="414" t="s">
        <v>633</v>
      </c>
      <c r="E243" s="413" t="s">
        <v>216</v>
      </c>
      <c r="F243" s="414" t="s">
        <v>180</v>
      </c>
      <c r="G243" s="418">
        <v>3</v>
      </c>
      <c r="H243" s="415">
        <v>300000</v>
      </c>
      <c r="I243" s="292">
        <f t="shared" si="3"/>
        <v>56250</v>
      </c>
      <c r="J243" s="326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  <c r="AA243" s="299"/>
      <c r="AB243" s="299"/>
      <c r="AC243" s="299"/>
      <c r="AD243" s="299"/>
      <c r="AE243" s="299"/>
      <c r="AF243" s="299"/>
      <c r="AG243" s="299"/>
      <c r="AH243" s="299"/>
      <c r="AI243" s="299"/>
      <c r="AJ243" s="299"/>
      <c r="AK243" s="299"/>
      <c r="AL243" s="299"/>
      <c r="AM243" s="299"/>
      <c r="AN243" s="299"/>
      <c r="AO243" s="299"/>
      <c r="AP243" s="299"/>
      <c r="AQ243" s="299"/>
      <c r="AR243" s="299"/>
      <c r="AS243" s="299"/>
      <c r="AT243" s="299"/>
      <c r="AU243" s="299"/>
      <c r="AV243" s="299"/>
      <c r="AW243" s="299"/>
      <c r="AX243" s="299"/>
      <c r="AY243" s="299"/>
      <c r="AZ243" s="299"/>
      <c r="BA243" s="299"/>
      <c r="BB243" s="299"/>
      <c r="BC243" s="299"/>
      <c r="BD243" s="299"/>
      <c r="BE243" s="299"/>
      <c r="BF243" s="299"/>
      <c r="BG243" s="299"/>
      <c r="BH243" s="299"/>
      <c r="BI243" s="299"/>
      <c r="BJ243" s="299"/>
      <c r="BK243" s="299"/>
      <c r="BL243" s="299"/>
      <c r="BM243" s="299"/>
      <c r="BN243" s="299"/>
      <c r="BO243" s="299"/>
      <c r="BP243" s="299"/>
      <c r="BQ243" s="299"/>
      <c r="BR243" s="299"/>
      <c r="BS243" s="299"/>
      <c r="BT243" s="299"/>
      <c r="BU243" s="299"/>
      <c r="BV243" s="299"/>
      <c r="BW243" s="299"/>
      <c r="BX243" s="299"/>
      <c r="BY243" s="299"/>
      <c r="BZ243" s="299"/>
      <c r="CA243" s="299"/>
      <c r="CB243" s="299"/>
      <c r="CC243" s="299"/>
      <c r="CD243" s="299"/>
      <c r="CE243" s="299"/>
      <c r="CF243" s="299"/>
      <c r="CG243" s="299"/>
      <c r="CH243" s="299"/>
      <c r="CI243" s="299"/>
      <c r="CJ243" s="299"/>
      <c r="CK243" s="299"/>
      <c r="CL243" s="299"/>
      <c r="CM243" s="299"/>
      <c r="CN243" s="299"/>
      <c r="CO243" s="299"/>
      <c r="CP243" s="299"/>
      <c r="CQ243" s="299"/>
      <c r="CR243" s="299"/>
      <c r="CS243" s="299"/>
      <c r="CT243" s="299"/>
      <c r="CU243" s="299"/>
      <c r="CV243" s="299"/>
      <c r="CW243" s="299"/>
      <c r="CX243" s="299"/>
      <c r="CY243" s="299"/>
      <c r="CZ243" s="299"/>
      <c r="DA243" s="299"/>
      <c r="DB243" s="299"/>
      <c r="DC243" s="299"/>
      <c r="DD243" s="299"/>
      <c r="DE243" s="299"/>
      <c r="DF243" s="299"/>
      <c r="DG243" s="299"/>
      <c r="DH243" s="299"/>
      <c r="DI243" s="299"/>
      <c r="DJ243" s="299"/>
      <c r="DK243" s="299"/>
      <c r="DL243" s="299"/>
      <c r="DM243" s="299"/>
      <c r="DN243" s="299"/>
      <c r="DO243" s="299"/>
      <c r="DP243" s="299"/>
      <c r="DQ243" s="299"/>
      <c r="DR243" s="299"/>
      <c r="DS243" s="299"/>
      <c r="DT243" s="299"/>
      <c r="DU243" s="299"/>
      <c r="DV243" s="299"/>
      <c r="DW243" s="299"/>
      <c r="DX243" s="299"/>
      <c r="DY243" s="299"/>
      <c r="DZ243" s="299"/>
      <c r="EA243" s="299"/>
      <c r="EB243" s="299"/>
      <c r="EC243" s="299"/>
      <c r="ED243" s="299"/>
      <c r="EE243" s="299"/>
      <c r="EF243" s="299"/>
      <c r="EG243" s="299"/>
      <c r="EH243" s="299"/>
      <c r="EI243" s="299"/>
      <c r="EJ243" s="299"/>
      <c r="EK243" s="299"/>
      <c r="EL243" s="299"/>
      <c r="EM243" s="299"/>
      <c r="EN243" s="299"/>
      <c r="EO243" s="299"/>
      <c r="EP243" s="299"/>
      <c r="EQ243" s="299"/>
      <c r="ER243" s="299"/>
      <c r="ES243" s="299"/>
      <c r="ET243" s="299"/>
      <c r="EU243" s="299"/>
      <c r="EV243" s="299"/>
      <c r="EW243" s="299"/>
      <c r="EX243" s="299"/>
      <c r="EY243" s="299"/>
      <c r="EZ243" s="299"/>
      <c r="FA243" s="299"/>
      <c r="FB243" s="299"/>
      <c r="FC243" s="299"/>
      <c r="FD243" s="299"/>
      <c r="FE243" s="299"/>
      <c r="FF243" s="299"/>
      <c r="FG243" s="299"/>
      <c r="FH243" s="299"/>
      <c r="FI243" s="299"/>
      <c r="FJ243" s="299"/>
      <c r="FK243" s="299"/>
      <c r="FL243" s="299"/>
      <c r="FM243" s="299"/>
      <c r="FN243" s="299"/>
      <c r="FO243" s="299"/>
      <c r="FP243" s="299"/>
      <c r="FQ243" s="299"/>
      <c r="FR243" s="299"/>
      <c r="FS243" s="299"/>
      <c r="FT243" s="299"/>
      <c r="FU243" s="299"/>
      <c r="FV243" s="299"/>
      <c r="FW243" s="299"/>
      <c r="FX243" s="299"/>
      <c r="FY243" s="299"/>
      <c r="FZ243" s="299"/>
      <c r="GA243" s="299"/>
      <c r="GB243" s="299"/>
      <c r="GC243" s="299"/>
      <c r="GD243" s="299"/>
      <c r="GE243" s="299"/>
    </row>
    <row r="244" spans="2:187" s="149" customFormat="1">
      <c r="B244" s="291">
        <v>238</v>
      </c>
      <c r="C244" s="414" t="s">
        <v>555</v>
      </c>
      <c r="D244" s="414" t="s">
        <v>609</v>
      </c>
      <c r="E244" s="413" t="s">
        <v>183</v>
      </c>
      <c r="F244" s="414" t="s">
        <v>180</v>
      </c>
      <c r="G244" s="418">
        <v>9</v>
      </c>
      <c r="H244" s="415">
        <v>900000</v>
      </c>
      <c r="I244" s="292">
        <f t="shared" si="3"/>
        <v>168750</v>
      </c>
      <c r="J244" s="326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  <c r="AA244" s="299"/>
      <c r="AB244" s="299"/>
      <c r="AC244" s="299"/>
      <c r="AD244" s="299"/>
      <c r="AE244" s="299"/>
      <c r="AF244" s="299"/>
      <c r="AG244" s="299"/>
      <c r="AH244" s="299"/>
      <c r="AI244" s="299"/>
      <c r="AJ244" s="299"/>
      <c r="AK244" s="299"/>
      <c r="AL244" s="299"/>
      <c r="AM244" s="299"/>
      <c r="AN244" s="299"/>
      <c r="AO244" s="299"/>
      <c r="AP244" s="299"/>
      <c r="AQ244" s="299"/>
      <c r="AR244" s="299"/>
      <c r="AS244" s="299"/>
      <c r="AT244" s="299"/>
      <c r="AU244" s="299"/>
      <c r="AV244" s="299"/>
      <c r="AW244" s="299"/>
      <c r="AX244" s="299"/>
      <c r="AY244" s="299"/>
      <c r="AZ244" s="299"/>
      <c r="BA244" s="299"/>
      <c r="BB244" s="299"/>
      <c r="BC244" s="299"/>
      <c r="BD244" s="299"/>
      <c r="BE244" s="299"/>
      <c r="BF244" s="299"/>
      <c r="BG244" s="299"/>
      <c r="BH244" s="299"/>
      <c r="BI244" s="299"/>
      <c r="BJ244" s="299"/>
      <c r="BK244" s="299"/>
      <c r="BL244" s="299"/>
      <c r="BM244" s="299"/>
      <c r="BN244" s="299"/>
      <c r="BO244" s="299"/>
      <c r="BP244" s="299"/>
      <c r="BQ244" s="299"/>
      <c r="BR244" s="299"/>
      <c r="BS244" s="299"/>
      <c r="BT244" s="299"/>
      <c r="BU244" s="299"/>
      <c r="BV244" s="299"/>
      <c r="BW244" s="299"/>
      <c r="BX244" s="299"/>
      <c r="BY244" s="299"/>
      <c r="BZ244" s="299"/>
      <c r="CA244" s="299"/>
      <c r="CB244" s="299"/>
      <c r="CC244" s="299"/>
      <c r="CD244" s="299"/>
      <c r="CE244" s="299"/>
      <c r="CF244" s="299"/>
      <c r="CG244" s="299"/>
      <c r="CH244" s="299"/>
      <c r="CI244" s="299"/>
      <c r="CJ244" s="299"/>
      <c r="CK244" s="299"/>
      <c r="CL244" s="299"/>
      <c r="CM244" s="299"/>
      <c r="CN244" s="299"/>
      <c r="CO244" s="299"/>
      <c r="CP244" s="299"/>
      <c r="CQ244" s="299"/>
      <c r="CR244" s="299"/>
      <c r="CS244" s="299"/>
      <c r="CT244" s="299"/>
      <c r="CU244" s="299"/>
      <c r="CV244" s="299"/>
      <c r="CW244" s="299"/>
      <c r="CX244" s="299"/>
      <c r="CY244" s="299"/>
      <c r="CZ244" s="299"/>
      <c r="DA244" s="299"/>
      <c r="DB244" s="299"/>
      <c r="DC244" s="299"/>
      <c r="DD244" s="299"/>
      <c r="DE244" s="299"/>
      <c r="DF244" s="299"/>
      <c r="DG244" s="299"/>
      <c r="DH244" s="299"/>
      <c r="DI244" s="299"/>
      <c r="DJ244" s="299"/>
      <c r="DK244" s="299"/>
      <c r="DL244" s="299"/>
      <c r="DM244" s="299"/>
      <c r="DN244" s="299"/>
      <c r="DO244" s="299"/>
      <c r="DP244" s="299"/>
      <c r="DQ244" s="299"/>
      <c r="DR244" s="299"/>
      <c r="DS244" s="299"/>
      <c r="DT244" s="299"/>
      <c r="DU244" s="299"/>
      <c r="DV244" s="299"/>
      <c r="DW244" s="299"/>
      <c r="DX244" s="299"/>
      <c r="DY244" s="299"/>
      <c r="DZ244" s="299"/>
      <c r="EA244" s="299"/>
      <c r="EB244" s="299"/>
      <c r="EC244" s="299"/>
      <c r="ED244" s="299"/>
      <c r="EE244" s="299"/>
      <c r="EF244" s="299"/>
      <c r="EG244" s="299"/>
      <c r="EH244" s="299"/>
      <c r="EI244" s="299"/>
      <c r="EJ244" s="299"/>
      <c r="EK244" s="299"/>
      <c r="EL244" s="299"/>
      <c r="EM244" s="299"/>
      <c r="EN244" s="299"/>
      <c r="EO244" s="299"/>
      <c r="EP244" s="299"/>
      <c r="EQ244" s="299"/>
      <c r="ER244" s="299"/>
      <c r="ES244" s="299"/>
      <c r="ET244" s="299"/>
      <c r="EU244" s="299"/>
      <c r="EV244" s="299"/>
      <c r="EW244" s="299"/>
      <c r="EX244" s="299"/>
      <c r="EY244" s="299"/>
      <c r="EZ244" s="299"/>
      <c r="FA244" s="299"/>
      <c r="FB244" s="299"/>
      <c r="FC244" s="299"/>
      <c r="FD244" s="299"/>
      <c r="FE244" s="299"/>
      <c r="FF244" s="299"/>
      <c r="FG244" s="299"/>
      <c r="FH244" s="299"/>
      <c r="FI244" s="299"/>
      <c r="FJ244" s="299"/>
      <c r="FK244" s="299"/>
      <c r="FL244" s="299"/>
      <c r="FM244" s="299"/>
      <c r="FN244" s="299"/>
      <c r="FO244" s="299"/>
      <c r="FP244" s="299"/>
      <c r="FQ244" s="299"/>
      <c r="FR244" s="299"/>
      <c r="FS244" s="299"/>
      <c r="FT244" s="299"/>
      <c r="FU244" s="299"/>
      <c r="FV244" s="299"/>
      <c r="FW244" s="299"/>
      <c r="FX244" s="299"/>
      <c r="FY244" s="299"/>
      <c r="FZ244" s="299"/>
      <c r="GA244" s="299"/>
      <c r="GB244" s="299"/>
      <c r="GC244" s="299"/>
      <c r="GD244" s="299"/>
      <c r="GE244" s="299"/>
    </row>
    <row r="245" spans="2:187" s="149" customFormat="1">
      <c r="B245" s="291">
        <v>239</v>
      </c>
      <c r="C245" s="414" t="s">
        <v>430</v>
      </c>
      <c r="D245" s="414" t="s">
        <v>727</v>
      </c>
      <c r="E245" s="413" t="s">
        <v>202</v>
      </c>
      <c r="F245" s="414" t="s">
        <v>308</v>
      </c>
      <c r="G245" s="418">
        <v>1</v>
      </c>
      <c r="H245" s="415">
        <v>101800</v>
      </c>
      <c r="I245" s="292">
        <f t="shared" si="3"/>
        <v>19087.5</v>
      </c>
      <c r="J245" s="326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99"/>
      <c r="AB245" s="299"/>
      <c r="AC245" s="299"/>
      <c r="AD245" s="299"/>
      <c r="AE245" s="299"/>
      <c r="AF245" s="299"/>
      <c r="AG245" s="299"/>
      <c r="AH245" s="299"/>
      <c r="AI245" s="299"/>
      <c r="AJ245" s="299"/>
      <c r="AK245" s="299"/>
      <c r="AL245" s="299"/>
      <c r="AM245" s="299"/>
      <c r="AN245" s="299"/>
      <c r="AO245" s="299"/>
      <c r="AP245" s="299"/>
      <c r="AQ245" s="299"/>
      <c r="AR245" s="299"/>
      <c r="AS245" s="299"/>
      <c r="AT245" s="299"/>
      <c r="AU245" s="299"/>
      <c r="AV245" s="299"/>
      <c r="AW245" s="299"/>
      <c r="AX245" s="299"/>
      <c r="AY245" s="299"/>
      <c r="AZ245" s="299"/>
      <c r="BA245" s="299"/>
      <c r="BB245" s="299"/>
      <c r="BC245" s="299"/>
      <c r="BD245" s="299"/>
      <c r="BE245" s="299"/>
      <c r="BF245" s="299"/>
      <c r="BG245" s="299"/>
      <c r="BH245" s="299"/>
      <c r="BI245" s="299"/>
      <c r="BJ245" s="299"/>
      <c r="BK245" s="299"/>
      <c r="BL245" s="299"/>
      <c r="BM245" s="299"/>
      <c r="BN245" s="299"/>
      <c r="BO245" s="299"/>
      <c r="BP245" s="299"/>
      <c r="BQ245" s="299"/>
      <c r="BR245" s="299"/>
      <c r="BS245" s="299"/>
      <c r="BT245" s="299"/>
      <c r="BU245" s="299"/>
      <c r="BV245" s="299"/>
      <c r="BW245" s="299"/>
      <c r="BX245" s="299"/>
      <c r="BY245" s="299"/>
      <c r="BZ245" s="299"/>
      <c r="CA245" s="299"/>
      <c r="CB245" s="299"/>
      <c r="CC245" s="299"/>
      <c r="CD245" s="299"/>
      <c r="CE245" s="299"/>
      <c r="CF245" s="299"/>
      <c r="CG245" s="299"/>
      <c r="CH245" s="299"/>
      <c r="CI245" s="299"/>
      <c r="CJ245" s="299"/>
      <c r="CK245" s="299"/>
      <c r="CL245" s="299"/>
      <c r="CM245" s="299"/>
      <c r="CN245" s="299"/>
      <c r="CO245" s="299"/>
      <c r="CP245" s="299"/>
      <c r="CQ245" s="299"/>
      <c r="CR245" s="299"/>
      <c r="CS245" s="299"/>
      <c r="CT245" s="299"/>
      <c r="CU245" s="299"/>
      <c r="CV245" s="299"/>
      <c r="CW245" s="299"/>
      <c r="CX245" s="299"/>
      <c r="CY245" s="299"/>
      <c r="CZ245" s="299"/>
      <c r="DA245" s="299"/>
      <c r="DB245" s="299"/>
      <c r="DC245" s="299"/>
      <c r="DD245" s="299"/>
      <c r="DE245" s="299"/>
      <c r="DF245" s="299"/>
      <c r="DG245" s="299"/>
      <c r="DH245" s="299"/>
      <c r="DI245" s="299"/>
      <c r="DJ245" s="299"/>
      <c r="DK245" s="299"/>
      <c r="DL245" s="299"/>
      <c r="DM245" s="299"/>
      <c r="DN245" s="299"/>
      <c r="DO245" s="299"/>
      <c r="DP245" s="299"/>
      <c r="DQ245" s="299"/>
      <c r="DR245" s="299"/>
      <c r="DS245" s="299"/>
      <c r="DT245" s="299"/>
      <c r="DU245" s="299"/>
      <c r="DV245" s="299"/>
      <c r="DW245" s="299"/>
      <c r="DX245" s="299"/>
      <c r="DY245" s="299"/>
      <c r="DZ245" s="299"/>
      <c r="EA245" s="299"/>
      <c r="EB245" s="299"/>
      <c r="EC245" s="299"/>
      <c r="ED245" s="299"/>
      <c r="EE245" s="299"/>
      <c r="EF245" s="299"/>
      <c r="EG245" s="299"/>
      <c r="EH245" s="299"/>
      <c r="EI245" s="299"/>
      <c r="EJ245" s="299"/>
      <c r="EK245" s="299"/>
      <c r="EL245" s="299"/>
      <c r="EM245" s="299"/>
      <c r="EN245" s="299"/>
      <c r="EO245" s="299"/>
      <c r="EP245" s="299"/>
      <c r="EQ245" s="299"/>
      <c r="ER245" s="299"/>
      <c r="ES245" s="299"/>
      <c r="ET245" s="299"/>
      <c r="EU245" s="299"/>
      <c r="EV245" s="299"/>
      <c r="EW245" s="299"/>
      <c r="EX245" s="299"/>
      <c r="EY245" s="299"/>
      <c r="EZ245" s="299"/>
      <c r="FA245" s="299"/>
      <c r="FB245" s="299"/>
      <c r="FC245" s="299"/>
      <c r="FD245" s="299"/>
      <c r="FE245" s="299"/>
      <c r="FF245" s="299"/>
      <c r="FG245" s="299"/>
      <c r="FH245" s="299"/>
      <c r="FI245" s="299"/>
      <c r="FJ245" s="299"/>
      <c r="FK245" s="299"/>
      <c r="FL245" s="299"/>
      <c r="FM245" s="299"/>
      <c r="FN245" s="299"/>
      <c r="FO245" s="299"/>
      <c r="FP245" s="299"/>
      <c r="FQ245" s="299"/>
      <c r="FR245" s="299"/>
      <c r="FS245" s="299"/>
      <c r="FT245" s="299"/>
      <c r="FU245" s="299"/>
      <c r="FV245" s="299"/>
      <c r="FW245" s="299"/>
      <c r="FX245" s="299"/>
      <c r="FY245" s="299"/>
      <c r="FZ245" s="299"/>
      <c r="GA245" s="299"/>
      <c r="GB245" s="299"/>
      <c r="GC245" s="299"/>
      <c r="GD245" s="299"/>
      <c r="GE245" s="299"/>
    </row>
    <row r="246" spans="2:187" s="149" customFormat="1">
      <c r="B246" s="291">
        <v>240</v>
      </c>
      <c r="C246" s="414" t="s">
        <v>585</v>
      </c>
      <c r="D246" s="414" t="s">
        <v>729</v>
      </c>
      <c r="E246" s="413" t="s">
        <v>730</v>
      </c>
      <c r="F246" s="414" t="s">
        <v>348</v>
      </c>
      <c r="G246" s="418">
        <v>1</v>
      </c>
      <c r="H246" s="415">
        <v>100000</v>
      </c>
      <c r="I246" s="292">
        <f t="shared" si="3"/>
        <v>18750</v>
      </c>
      <c r="J246" s="326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  <c r="AA246" s="299"/>
      <c r="AB246" s="299"/>
      <c r="AC246" s="299"/>
      <c r="AD246" s="299"/>
      <c r="AE246" s="299"/>
      <c r="AF246" s="299"/>
      <c r="AG246" s="299"/>
      <c r="AH246" s="299"/>
      <c r="AI246" s="299"/>
      <c r="AJ246" s="299"/>
      <c r="AK246" s="299"/>
      <c r="AL246" s="299"/>
      <c r="AM246" s="299"/>
      <c r="AN246" s="299"/>
      <c r="AO246" s="299"/>
      <c r="AP246" s="299"/>
      <c r="AQ246" s="299"/>
      <c r="AR246" s="299"/>
      <c r="AS246" s="299"/>
      <c r="AT246" s="299"/>
      <c r="AU246" s="299"/>
      <c r="AV246" s="299"/>
      <c r="AW246" s="299"/>
      <c r="AX246" s="299"/>
      <c r="AY246" s="299"/>
      <c r="AZ246" s="299"/>
      <c r="BA246" s="299"/>
      <c r="BB246" s="299"/>
      <c r="BC246" s="299"/>
      <c r="BD246" s="299"/>
      <c r="BE246" s="299"/>
      <c r="BF246" s="299"/>
      <c r="BG246" s="299"/>
      <c r="BH246" s="299"/>
      <c r="BI246" s="299"/>
      <c r="BJ246" s="299"/>
      <c r="BK246" s="299"/>
      <c r="BL246" s="299"/>
      <c r="BM246" s="299"/>
      <c r="BN246" s="299"/>
      <c r="BO246" s="299"/>
      <c r="BP246" s="299"/>
      <c r="BQ246" s="299"/>
      <c r="BR246" s="299"/>
      <c r="BS246" s="299"/>
      <c r="BT246" s="299"/>
      <c r="BU246" s="299"/>
      <c r="BV246" s="299"/>
      <c r="BW246" s="299"/>
      <c r="BX246" s="299"/>
      <c r="BY246" s="299"/>
      <c r="BZ246" s="299"/>
      <c r="CA246" s="299"/>
      <c r="CB246" s="299"/>
      <c r="CC246" s="299"/>
      <c r="CD246" s="299"/>
      <c r="CE246" s="299"/>
      <c r="CF246" s="299"/>
      <c r="CG246" s="299"/>
      <c r="CH246" s="299"/>
      <c r="CI246" s="299"/>
      <c r="CJ246" s="299"/>
      <c r="CK246" s="299"/>
      <c r="CL246" s="299"/>
      <c r="CM246" s="299"/>
      <c r="CN246" s="299"/>
      <c r="CO246" s="299"/>
      <c r="CP246" s="299"/>
      <c r="CQ246" s="299"/>
      <c r="CR246" s="299"/>
      <c r="CS246" s="299"/>
      <c r="CT246" s="299"/>
      <c r="CU246" s="299"/>
      <c r="CV246" s="299"/>
      <c r="CW246" s="299"/>
      <c r="CX246" s="299"/>
      <c r="CY246" s="299"/>
      <c r="CZ246" s="299"/>
      <c r="DA246" s="299"/>
      <c r="DB246" s="299"/>
      <c r="DC246" s="299"/>
      <c r="DD246" s="299"/>
      <c r="DE246" s="299"/>
      <c r="DF246" s="299"/>
      <c r="DG246" s="299"/>
      <c r="DH246" s="299"/>
      <c r="DI246" s="299"/>
      <c r="DJ246" s="299"/>
      <c r="DK246" s="299"/>
      <c r="DL246" s="299"/>
      <c r="DM246" s="299"/>
      <c r="DN246" s="299"/>
      <c r="DO246" s="299"/>
      <c r="DP246" s="299"/>
      <c r="DQ246" s="299"/>
      <c r="DR246" s="299"/>
      <c r="DS246" s="299"/>
      <c r="DT246" s="299"/>
      <c r="DU246" s="299"/>
      <c r="DV246" s="299"/>
      <c r="DW246" s="299"/>
      <c r="DX246" s="299"/>
      <c r="DY246" s="299"/>
      <c r="DZ246" s="299"/>
      <c r="EA246" s="299"/>
      <c r="EB246" s="299"/>
      <c r="EC246" s="299"/>
      <c r="ED246" s="299"/>
      <c r="EE246" s="299"/>
      <c r="EF246" s="299"/>
      <c r="EG246" s="299"/>
      <c r="EH246" s="299"/>
      <c r="EI246" s="299"/>
      <c r="EJ246" s="299"/>
      <c r="EK246" s="299"/>
      <c r="EL246" s="299"/>
      <c r="EM246" s="299"/>
      <c r="EN246" s="299"/>
      <c r="EO246" s="299"/>
      <c r="EP246" s="299"/>
      <c r="EQ246" s="299"/>
      <c r="ER246" s="299"/>
      <c r="ES246" s="299"/>
      <c r="ET246" s="299"/>
      <c r="EU246" s="299"/>
      <c r="EV246" s="299"/>
      <c r="EW246" s="299"/>
      <c r="EX246" s="299"/>
      <c r="EY246" s="299"/>
      <c r="EZ246" s="299"/>
      <c r="FA246" s="299"/>
      <c r="FB246" s="299"/>
      <c r="FC246" s="299"/>
      <c r="FD246" s="299"/>
      <c r="FE246" s="299"/>
      <c r="FF246" s="299"/>
      <c r="FG246" s="299"/>
      <c r="FH246" s="299"/>
      <c r="FI246" s="299"/>
      <c r="FJ246" s="299"/>
      <c r="FK246" s="299"/>
      <c r="FL246" s="299"/>
      <c r="FM246" s="299"/>
      <c r="FN246" s="299"/>
      <c r="FO246" s="299"/>
      <c r="FP246" s="299"/>
      <c r="FQ246" s="299"/>
      <c r="FR246" s="299"/>
      <c r="FS246" s="299"/>
      <c r="FT246" s="299"/>
      <c r="FU246" s="299"/>
      <c r="FV246" s="299"/>
      <c r="FW246" s="299"/>
      <c r="FX246" s="299"/>
      <c r="FY246" s="299"/>
      <c r="FZ246" s="299"/>
      <c r="GA246" s="299"/>
      <c r="GB246" s="299"/>
      <c r="GC246" s="299"/>
      <c r="GD246" s="299"/>
      <c r="GE246" s="299"/>
    </row>
    <row r="247" spans="2:187" s="149" customFormat="1">
      <c r="B247" s="291">
        <v>241</v>
      </c>
      <c r="C247" s="414" t="s">
        <v>512</v>
      </c>
      <c r="D247" s="414" t="s">
        <v>731</v>
      </c>
      <c r="E247" s="413" t="s">
        <v>235</v>
      </c>
      <c r="F247" s="414" t="s">
        <v>180</v>
      </c>
      <c r="G247" s="418">
        <v>5</v>
      </c>
      <c r="H247" s="415">
        <v>500000</v>
      </c>
      <c r="I247" s="292">
        <f t="shared" si="3"/>
        <v>93750</v>
      </c>
      <c r="J247" s="326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  <c r="AA247" s="299"/>
      <c r="AB247" s="299"/>
      <c r="AC247" s="299"/>
      <c r="AD247" s="299"/>
      <c r="AE247" s="299"/>
      <c r="AF247" s="299"/>
      <c r="AG247" s="299"/>
      <c r="AH247" s="299"/>
      <c r="AI247" s="299"/>
      <c r="AJ247" s="299"/>
      <c r="AK247" s="299"/>
      <c r="AL247" s="299"/>
      <c r="AM247" s="299"/>
      <c r="AN247" s="299"/>
      <c r="AO247" s="299"/>
      <c r="AP247" s="299"/>
      <c r="AQ247" s="299"/>
      <c r="AR247" s="299"/>
      <c r="AS247" s="299"/>
      <c r="AT247" s="299"/>
      <c r="AU247" s="299"/>
      <c r="AV247" s="299"/>
      <c r="AW247" s="299"/>
      <c r="AX247" s="299"/>
      <c r="AY247" s="299"/>
      <c r="AZ247" s="299"/>
      <c r="BA247" s="299"/>
      <c r="BB247" s="299"/>
      <c r="BC247" s="299"/>
      <c r="BD247" s="299"/>
      <c r="BE247" s="299"/>
      <c r="BF247" s="299"/>
      <c r="BG247" s="299"/>
      <c r="BH247" s="299"/>
      <c r="BI247" s="299"/>
      <c r="BJ247" s="299"/>
      <c r="BK247" s="299"/>
      <c r="BL247" s="299"/>
      <c r="BM247" s="299"/>
      <c r="BN247" s="299"/>
      <c r="BO247" s="299"/>
      <c r="BP247" s="299"/>
      <c r="BQ247" s="299"/>
      <c r="BR247" s="299"/>
      <c r="BS247" s="299"/>
      <c r="BT247" s="299"/>
      <c r="BU247" s="299"/>
      <c r="BV247" s="299"/>
      <c r="BW247" s="299"/>
      <c r="BX247" s="299"/>
      <c r="BY247" s="299"/>
      <c r="BZ247" s="299"/>
      <c r="CA247" s="299"/>
      <c r="CB247" s="299"/>
      <c r="CC247" s="299"/>
      <c r="CD247" s="299"/>
      <c r="CE247" s="299"/>
      <c r="CF247" s="299"/>
      <c r="CG247" s="299"/>
      <c r="CH247" s="299"/>
      <c r="CI247" s="299"/>
      <c r="CJ247" s="299"/>
      <c r="CK247" s="299"/>
      <c r="CL247" s="299"/>
      <c r="CM247" s="299"/>
      <c r="CN247" s="299"/>
      <c r="CO247" s="299"/>
      <c r="CP247" s="299"/>
      <c r="CQ247" s="299"/>
      <c r="CR247" s="299"/>
      <c r="CS247" s="299"/>
      <c r="CT247" s="299"/>
      <c r="CU247" s="299"/>
      <c r="CV247" s="299"/>
      <c r="CW247" s="299"/>
      <c r="CX247" s="299"/>
      <c r="CY247" s="299"/>
      <c r="CZ247" s="299"/>
      <c r="DA247" s="299"/>
      <c r="DB247" s="299"/>
      <c r="DC247" s="299"/>
      <c r="DD247" s="299"/>
      <c r="DE247" s="299"/>
      <c r="DF247" s="299"/>
      <c r="DG247" s="299"/>
      <c r="DH247" s="299"/>
      <c r="DI247" s="299"/>
      <c r="DJ247" s="299"/>
      <c r="DK247" s="299"/>
      <c r="DL247" s="299"/>
      <c r="DM247" s="299"/>
      <c r="DN247" s="299"/>
      <c r="DO247" s="299"/>
      <c r="DP247" s="299"/>
      <c r="DQ247" s="299"/>
      <c r="DR247" s="299"/>
      <c r="DS247" s="299"/>
      <c r="DT247" s="299"/>
      <c r="DU247" s="299"/>
      <c r="DV247" s="299"/>
      <c r="DW247" s="299"/>
      <c r="DX247" s="299"/>
      <c r="DY247" s="299"/>
      <c r="DZ247" s="299"/>
      <c r="EA247" s="299"/>
      <c r="EB247" s="299"/>
      <c r="EC247" s="299"/>
      <c r="ED247" s="299"/>
      <c r="EE247" s="299"/>
      <c r="EF247" s="299"/>
      <c r="EG247" s="299"/>
      <c r="EH247" s="299"/>
      <c r="EI247" s="299"/>
      <c r="EJ247" s="299"/>
      <c r="EK247" s="299"/>
      <c r="EL247" s="299"/>
      <c r="EM247" s="299"/>
      <c r="EN247" s="299"/>
      <c r="EO247" s="299"/>
      <c r="EP247" s="299"/>
      <c r="EQ247" s="299"/>
      <c r="ER247" s="299"/>
      <c r="ES247" s="299"/>
      <c r="ET247" s="299"/>
      <c r="EU247" s="299"/>
      <c r="EV247" s="299"/>
      <c r="EW247" s="299"/>
      <c r="EX247" s="299"/>
      <c r="EY247" s="299"/>
      <c r="EZ247" s="299"/>
      <c r="FA247" s="299"/>
      <c r="FB247" s="299"/>
      <c r="FC247" s="299"/>
      <c r="FD247" s="299"/>
      <c r="FE247" s="299"/>
      <c r="FF247" s="299"/>
      <c r="FG247" s="299"/>
      <c r="FH247" s="299"/>
      <c r="FI247" s="299"/>
      <c r="FJ247" s="299"/>
      <c r="FK247" s="299"/>
      <c r="FL247" s="299"/>
      <c r="FM247" s="299"/>
      <c r="FN247" s="299"/>
      <c r="FO247" s="299"/>
      <c r="FP247" s="299"/>
      <c r="FQ247" s="299"/>
      <c r="FR247" s="299"/>
      <c r="FS247" s="299"/>
      <c r="FT247" s="299"/>
      <c r="FU247" s="299"/>
      <c r="FV247" s="299"/>
      <c r="FW247" s="299"/>
      <c r="FX247" s="299"/>
      <c r="FY247" s="299"/>
      <c r="FZ247" s="299"/>
      <c r="GA247" s="299"/>
      <c r="GB247" s="299"/>
      <c r="GC247" s="299"/>
      <c r="GD247" s="299"/>
      <c r="GE247" s="299"/>
    </row>
    <row r="248" spans="2:187" s="149" customFormat="1">
      <c r="B248" s="291">
        <v>242</v>
      </c>
      <c r="C248" s="414" t="s">
        <v>508</v>
      </c>
      <c r="D248" s="414" t="s">
        <v>710</v>
      </c>
      <c r="E248" s="413" t="s">
        <v>306</v>
      </c>
      <c r="F248" s="414" t="s">
        <v>180</v>
      </c>
      <c r="G248" s="418">
        <v>6</v>
      </c>
      <c r="H248" s="415">
        <v>600000</v>
      </c>
      <c r="I248" s="292">
        <f t="shared" si="3"/>
        <v>112500</v>
      </c>
      <c r="J248" s="326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  <c r="AA248" s="299"/>
      <c r="AB248" s="299"/>
      <c r="AC248" s="299"/>
      <c r="AD248" s="299"/>
      <c r="AE248" s="299"/>
      <c r="AF248" s="299"/>
      <c r="AG248" s="299"/>
      <c r="AH248" s="299"/>
      <c r="AI248" s="299"/>
      <c r="AJ248" s="299"/>
      <c r="AK248" s="299"/>
      <c r="AL248" s="299"/>
      <c r="AM248" s="299"/>
      <c r="AN248" s="299"/>
      <c r="AO248" s="299"/>
      <c r="AP248" s="299"/>
      <c r="AQ248" s="299"/>
      <c r="AR248" s="299"/>
      <c r="AS248" s="299"/>
      <c r="AT248" s="299"/>
      <c r="AU248" s="299"/>
      <c r="AV248" s="299"/>
      <c r="AW248" s="299"/>
      <c r="AX248" s="299"/>
      <c r="AY248" s="299"/>
      <c r="AZ248" s="299"/>
      <c r="BA248" s="299"/>
      <c r="BB248" s="299"/>
      <c r="BC248" s="299"/>
      <c r="BD248" s="299"/>
      <c r="BE248" s="299"/>
      <c r="BF248" s="299"/>
      <c r="BG248" s="299"/>
      <c r="BH248" s="299"/>
      <c r="BI248" s="299"/>
      <c r="BJ248" s="299"/>
      <c r="BK248" s="299"/>
      <c r="BL248" s="299"/>
      <c r="BM248" s="299"/>
      <c r="BN248" s="299"/>
      <c r="BO248" s="299"/>
      <c r="BP248" s="299"/>
      <c r="BQ248" s="299"/>
      <c r="BR248" s="299"/>
      <c r="BS248" s="299"/>
      <c r="BT248" s="299"/>
      <c r="BU248" s="299"/>
      <c r="BV248" s="299"/>
      <c r="BW248" s="299"/>
      <c r="BX248" s="299"/>
      <c r="BY248" s="299"/>
      <c r="BZ248" s="299"/>
      <c r="CA248" s="299"/>
      <c r="CB248" s="299"/>
      <c r="CC248" s="299"/>
      <c r="CD248" s="299"/>
      <c r="CE248" s="299"/>
      <c r="CF248" s="299"/>
      <c r="CG248" s="299"/>
      <c r="CH248" s="299"/>
      <c r="CI248" s="299"/>
      <c r="CJ248" s="299"/>
      <c r="CK248" s="299"/>
      <c r="CL248" s="299"/>
      <c r="CM248" s="299"/>
      <c r="CN248" s="299"/>
      <c r="CO248" s="299"/>
      <c r="CP248" s="299"/>
      <c r="CQ248" s="299"/>
      <c r="CR248" s="299"/>
      <c r="CS248" s="299"/>
      <c r="CT248" s="299"/>
      <c r="CU248" s="299"/>
      <c r="CV248" s="299"/>
      <c r="CW248" s="299"/>
      <c r="CX248" s="299"/>
      <c r="CY248" s="299"/>
      <c r="CZ248" s="299"/>
      <c r="DA248" s="299"/>
      <c r="DB248" s="299"/>
      <c r="DC248" s="299"/>
      <c r="DD248" s="299"/>
      <c r="DE248" s="299"/>
      <c r="DF248" s="299"/>
      <c r="DG248" s="299"/>
      <c r="DH248" s="299"/>
      <c r="DI248" s="299"/>
      <c r="DJ248" s="299"/>
      <c r="DK248" s="299"/>
      <c r="DL248" s="299"/>
      <c r="DM248" s="299"/>
      <c r="DN248" s="299"/>
      <c r="DO248" s="299"/>
      <c r="DP248" s="299"/>
      <c r="DQ248" s="299"/>
      <c r="DR248" s="299"/>
      <c r="DS248" s="299"/>
      <c r="DT248" s="299"/>
      <c r="DU248" s="299"/>
      <c r="DV248" s="299"/>
      <c r="DW248" s="299"/>
      <c r="DX248" s="299"/>
      <c r="DY248" s="299"/>
      <c r="DZ248" s="299"/>
      <c r="EA248" s="299"/>
      <c r="EB248" s="299"/>
      <c r="EC248" s="299"/>
      <c r="ED248" s="299"/>
      <c r="EE248" s="299"/>
      <c r="EF248" s="299"/>
      <c r="EG248" s="299"/>
      <c r="EH248" s="299"/>
      <c r="EI248" s="299"/>
      <c r="EJ248" s="299"/>
      <c r="EK248" s="299"/>
      <c r="EL248" s="299"/>
      <c r="EM248" s="299"/>
      <c r="EN248" s="299"/>
      <c r="EO248" s="299"/>
      <c r="EP248" s="299"/>
      <c r="EQ248" s="299"/>
      <c r="ER248" s="299"/>
      <c r="ES248" s="299"/>
      <c r="ET248" s="299"/>
      <c r="EU248" s="299"/>
      <c r="EV248" s="299"/>
      <c r="EW248" s="299"/>
      <c r="EX248" s="299"/>
      <c r="EY248" s="299"/>
      <c r="EZ248" s="299"/>
      <c r="FA248" s="299"/>
      <c r="FB248" s="299"/>
      <c r="FC248" s="299"/>
      <c r="FD248" s="299"/>
      <c r="FE248" s="299"/>
      <c r="FF248" s="299"/>
      <c r="FG248" s="299"/>
      <c r="FH248" s="299"/>
      <c r="FI248" s="299"/>
      <c r="FJ248" s="299"/>
      <c r="FK248" s="299"/>
      <c r="FL248" s="299"/>
      <c r="FM248" s="299"/>
      <c r="FN248" s="299"/>
      <c r="FO248" s="299"/>
      <c r="FP248" s="299"/>
      <c r="FQ248" s="299"/>
      <c r="FR248" s="299"/>
      <c r="FS248" s="299"/>
      <c r="FT248" s="299"/>
      <c r="FU248" s="299"/>
      <c r="FV248" s="299"/>
      <c r="FW248" s="299"/>
      <c r="FX248" s="299"/>
      <c r="FY248" s="299"/>
      <c r="FZ248" s="299"/>
      <c r="GA248" s="299"/>
      <c r="GB248" s="299"/>
      <c r="GC248" s="299"/>
      <c r="GD248" s="299"/>
      <c r="GE248" s="299"/>
    </row>
    <row r="249" spans="2:187" s="149" customFormat="1">
      <c r="B249" s="291">
        <v>243</v>
      </c>
      <c r="C249" s="414" t="s">
        <v>542</v>
      </c>
      <c r="D249" s="414" t="s">
        <v>732</v>
      </c>
      <c r="E249" s="413" t="s">
        <v>190</v>
      </c>
      <c r="F249" s="414" t="s">
        <v>180</v>
      </c>
      <c r="G249" s="418">
        <v>1</v>
      </c>
      <c r="H249" s="415">
        <v>100000</v>
      </c>
      <c r="I249" s="292">
        <f t="shared" si="3"/>
        <v>18750</v>
      </c>
      <c r="J249" s="326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  <c r="AA249" s="299"/>
      <c r="AB249" s="299"/>
      <c r="AC249" s="299"/>
      <c r="AD249" s="299"/>
      <c r="AE249" s="299"/>
      <c r="AF249" s="299"/>
      <c r="AG249" s="299"/>
      <c r="AH249" s="299"/>
      <c r="AI249" s="299"/>
      <c r="AJ249" s="299"/>
      <c r="AK249" s="299"/>
      <c r="AL249" s="299"/>
      <c r="AM249" s="299"/>
      <c r="AN249" s="299"/>
      <c r="AO249" s="299"/>
      <c r="AP249" s="299"/>
      <c r="AQ249" s="299"/>
      <c r="AR249" s="299"/>
      <c r="AS249" s="299"/>
      <c r="AT249" s="299"/>
      <c r="AU249" s="299"/>
      <c r="AV249" s="299"/>
      <c r="AW249" s="299"/>
      <c r="AX249" s="299"/>
      <c r="AY249" s="299"/>
      <c r="AZ249" s="299"/>
      <c r="BA249" s="299"/>
      <c r="BB249" s="299"/>
      <c r="BC249" s="299"/>
      <c r="BD249" s="299"/>
      <c r="BE249" s="299"/>
      <c r="BF249" s="299"/>
      <c r="BG249" s="299"/>
      <c r="BH249" s="299"/>
      <c r="BI249" s="299"/>
      <c r="BJ249" s="299"/>
      <c r="BK249" s="299"/>
      <c r="BL249" s="299"/>
      <c r="BM249" s="299"/>
      <c r="BN249" s="299"/>
      <c r="BO249" s="299"/>
      <c r="BP249" s="299"/>
      <c r="BQ249" s="299"/>
      <c r="BR249" s="299"/>
      <c r="BS249" s="299"/>
      <c r="BT249" s="299"/>
      <c r="BU249" s="299"/>
      <c r="BV249" s="299"/>
      <c r="BW249" s="299"/>
      <c r="BX249" s="299"/>
      <c r="BY249" s="299"/>
      <c r="BZ249" s="299"/>
      <c r="CA249" s="299"/>
      <c r="CB249" s="299"/>
      <c r="CC249" s="299"/>
      <c r="CD249" s="299"/>
      <c r="CE249" s="299"/>
      <c r="CF249" s="299"/>
      <c r="CG249" s="299"/>
      <c r="CH249" s="299"/>
      <c r="CI249" s="299"/>
      <c r="CJ249" s="299"/>
      <c r="CK249" s="299"/>
      <c r="CL249" s="299"/>
      <c r="CM249" s="299"/>
      <c r="CN249" s="299"/>
      <c r="CO249" s="299"/>
      <c r="CP249" s="299"/>
      <c r="CQ249" s="299"/>
      <c r="CR249" s="299"/>
      <c r="CS249" s="299"/>
      <c r="CT249" s="299"/>
      <c r="CU249" s="299"/>
      <c r="CV249" s="299"/>
      <c r="CW249" s="299"/>
      <c r="CX249" s="299"/>
      <c r="CY249" s="299"/>
      <c r="CZ249" s="299"/>
      <c r="DA249" s="299"/>
      <c r="DB249" s="299"/>
      <c r="DC249" s="299"/>
      <c r="DD249" s="299"/>
      <c r="DE249" s="299"/>
      <c r="DF249" s="299"/>
      <c r="DG249" s="299"/>
      <c r="DH249" s="299"/>
      <c r="DI249" s="299"/>
      <c r="DJ249" s="299"/>
      <c r="DK249" s="299"/>
      <c r="DL249" s="299"/>
      <c r="DM249" s="299"/>
      <c r="DN249" s="299"/>
      <c r="DO249" s="299"/>
      <c r="DP249" s="299"/>
      <c r="DQ249" s="299"/>
      <c r="DR249" s="299"/>
      <c r="DS249" s="299"/>
      <c r="DT249" s="299"/>
      <c r="DU249" s="299"/>
      <c r="DV249" s="299"/>
      <c r="DW249" s="299"/>
      <c r="DX249" s="299"/>
      <c r="DY249" s="299"/>
      <c r="DZ249" s="299"/>
      <c r="EA249" s="299"/>
      <c r="EB249" s="299"/>
      <c r="EC249" s="299"/>
      <c r="ED249" s="299"/>
      <c r="EE249" s="299"/>
      <c r="EF249" s="299"/>
      <c r="EG249" s="299"/>
      <c r="EH249" s="299"/>
      <c r="EI249" s="299"/>
      <c r="EJ249" s="299"/>
      <c r="EK249" s="299"/>
      <c r="EL249" s="299"/>
      <c r="EM249" s="299"/>
      <c r="EN249" s="299"/>
      <c r="EO249" s="299"/>
      <c r="EP249" s="299"/>
      <c r="EQ249" s="299"/>
      <c r="ER249" s="299"/>
      <c r="ES249" s="299"/>
      <c r="ET249" s="299"/>
      <c r="EU249" s="299"/>
      <c r="EV249" s="299"/>
      <c r="EW249" s="299"/>
      <c r="EX249" s="299"/>
      <c r="EY249" s="299"/>
      <c r="EZ249" s="299"/>
      <c r="FA249" s="299"/>
      <c r="FB249" s="299"/>
      <c r="FC249" s="299"/>
      <c r="FD249" s="299"/>
      <c r="FE249" s="299"/>
      <c r="FF249" s="299"/>
      <c r="FG249" s="299"/>
      <c r="FH249" s="299"/>
      <c r="FI249" s="299"/>
      <c r="FJ249" s="299"/>
      <c r="FK249" s="299"/>
      <c r="FL249" s="299"/>
      <c r="FM249" s="299"/>
      <c r="FN249" s="299"/>
      <c r="FO249" s="299"/>
      <c r="FP249" s="299"/>
      <c r="FQ249" s="299"/>
      <c r="FR249" s="299"/>
      <c r="FS249" s="299"/>
      <c r="FT249" s="299"/>
      <c r="FU249" s="299"/>
      <c r="FV249" s="299"/>
      <c r="FW249" s="299"/>
      <c r="FX249" s="299"/>
      <c r="FY249" s="299"/>
      <c r="FZ249" s="299"/>
      <c r="GA249" s="299"/>
      <c r="GB249" s="299"/>
      <c r="GC249" s="299"/>
      <c r="GD249" s="299"/>
      <c r="GE249" s="299"/>
    </row>
    <row r="250" spans="2:187" s="149" customFormat="1">
      <c r="B250" s="291">
        <v>244</v>
      </c>
      <c r="C250" s="414" t="s">
        <v>512</v>
      </c>
      <c r="D250" s="414" t="s">
        <v>658</v>
      </c>
      <c r="E250" s="413" t="s">
        <v>208</v>
      </c>
      <c r="F250" s="414" t="s">
        <v>177</v>
      </c>
      <c r="G250" s="418">
        <v>15</v>
      </c>
      <c r="H250" s="415">
        <v>1500000</v>
      </c>
      <c r="I250" s="292">
        <f t="shared" si="3"/>
        <v>281250</v>
      </c>
      <c r="J250" s="326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  <c r="AA250" s="299"/>
      <c r="AB250" s="299"/>
      <c r="AC250" s="299"/>
      <c r="AD250" s="299"/>
      <c r="AE250" s="299"/>
      <c r="AF250" s="299"/>
      <c r="AG250" s="299"/>
      <c r="AH250" s="299"/>
      <c r="AI250" s="299"/>
      <c r="AJ250" s="299"/>
      <c r="AK250" s="299"/>
      <c r="AL250" s="299"/>
      <c r="AM250" s="299"/>
      <c r="AN250" s="299"/>
      <c r="AO250" s="299"/>
      <c r="AP250" s="299"/>
      <c r="AQ250" s="299"/>
      <c r="AR250" s="299"/>
      <c r="AS250" s="299"/>
      <c r="AT250" s="299"/>
      <c r="AU250" s="299"/>
      <c r="AV250" s="299"/>
      <c r="AW250" s="299"/>
      <c r="AX250" s="299"/>
      <c r="AY250" s="299"/>
      <c r="AZ250" s="299"/>
      <c r="BA250" s="299"/>
      <c r="BB250" s="299"/>
      <c r="BC250" s="299"/>
      <c r="BD250" s="299"/>
      <c r="BE250" s="299"/>
      <c r="BF250" s="299"/>
      <c r="BG250" s="299"/>
      <c r="BH250" s="299"/>
      <c r="BI250" s="299"/>
      <c r="BJ250" s="299"/>
      <c r="BK250" s="299"/>
      <c r="BL250" s="299"/>
      <c r="BM250" s="299"/>
      <c r="BN250" s="299"/>
      <c r="BO250" s="299"/>
      <c r="BP250" s="299"/>
      <c r="BQ250" s="299"/>
      <c r="BR250" s="299"/>
      <c r="BS250" s="299"/>
      <c r="BT250" s="299"/>
      <c r="BU250" s="299"/>
      <c r="BV250" s="299"/>
      <c r="BW250" s="299"/>
      <c r="BX250" s="299"/>
      <c r="BY250" s="299"/>
      <c r="BZ250" s="299"/>
      <c r="CA250" s="299"/>
      <c r="CB250" s="299"/>
      <c r="CC250" s="299"/>
      <c r="CD250" s="299"/>
      <c r="CE250" s="299"/>
      <c r="CF250" s="299"/>
      <c r="CG250" s="299"/>
      <c r="CH250" s="299"/>
      <c r="CI250" s="299"/>
      <c r="CJ250" s="299"/>
      <c r="CK250" s="299"/>
      <c r="CL250" s="299"/>
      <c r="CM250" s="299"/>
      <c r="CN250" s="299"/>
      <c r="CO250" s="299"/>
      <c r="CP250" s="299"/>
      <c r="CQ250" s="299"/>
      <c r="CR250" s="299"/>
      <c r="CS250" s="299"/>
      <c r="CT250" s="299"/>
      <c r="CU250" s="299"/>
      <c r="CV250" s="299"/>
      <c r="CW250" s="299"/>
      <c r="CX250" s="299"/>
      <c r="CY250" s="299"/>
      <c r="CZ250" s="299"/>
      <c r="DA250" s="299"/>
      <c r="DB250" s="299"/>
      <c r="DC250" s="299"/>
      <c r="DD250" s="299"/>
      <c r="DE250" s="299"/>
      <c r="DF250" s="299"/>
      <c r="DG250" s="299"/>
      <c r="DH250" s="299"/>
      <c r="DI250" s="299"/>
      <c r="DJ250" s="299"/>
      <c r="DK250" s="299"/>
      <c r="DL250" s="299"/>
      <c r="DM250" s="299"/>
      <c r="DN250" s="299"/>
      <c r="DO250" s="299"/>
      <c r="DP250" s="299"/>
      <c r="DQ250" s="299"/>
      <c r="DR250" s="299"/>
      <c r="DS250" s="299"/>
      <c r="DT250" s="299"/>
      <c r="DU250" s="299"/>
      <c r="DV250" s="299"/>
      <c r="DW250" s="299"/>
      <c r="DX250" s="299"/>
      <c r="DY250" s="299"/>
      <c r="DZ250" s="299"/>
      <c r="EA250" s="299"/>
      <c r="EB250" s="299"/>
      <c r="EC250" s="299"/>
      <c r="ED250" s="299"/>
      <c r="EE250" s="299"/>
      <c r="EF250" s="299"/>
      <c r="EG250" s="299"/>
      <c r="EH250" s="299"/>
      <c r="EI250" s="299"/>
      <c r="EJ250" s="299"/>
      <c r="EK250" s="299"/>
      <c r="EL250" s="299"/>
      <c r="EM250" s="299"/>
      <c r="EN250" s="299"/>
      <c r="EO250" s="299"/>
      <c r="EP250" s="299"/>
      <c r="EQ250" s="299"/>
      <c r="ER250" s="299"/>
      <c r="ES250" s="299"/>
      <c r="ET250" s="299"/>
      <c r="EU250" s="299"/>
      <c r="EV250" s="299"/>
      <c r="EW250" s="299"/>
      <c r="EX250" s="299"/>
      <c r="EY250" s="299"/>
      <c r="EZ250" s="299"/>
      <c r="FA250" s="299"/>
      <c r="FB250" s="299"/>
      <c r="FC250" s="299"/>
      <c r="FD250" s="299"/>
      <c r="FE250" s="299"/>
      <c r="FF250" s="299"/>
      <c r="FG250" s="299"/>
      <c r="FH250" s="299"/>
      <c r="FI250" s="299"/>
      <c r="FJ250" s="299"/>
      <c r="FK250" s="299"/>
      <c r="FL250" s="299"/>
      <c r="FM250" s="299"/>
      <c r="FN250" s="299"/>
      <c r="FO250" s="299"/>
      <c r="FP250" s="299"/>
      <c r="FQ250" s="299"/>
      <c r="FR250" s="299"/>
      <c r="FS250" s="299"/>
      <c r="FT250" s="299"/>
      <c r="FU250" s="299"/>
      <c r="FV250" s="299"/>
      <c r="FW250" s="299"/>
      <c r="FX250" s="299"/>
      <c r="FY250" s="299"/>
      <c r="FZ250" s="299"/>
      <c r="GA250" s="299"/>
      <c r="GB250" s="299"/>
      <c r="GC250" s="299"/>
      <c r="GD250" s="299"/>
      <c r="GE250" s="299"/>
    </row>
    <row r="251" spans="2:187" s="149" customFormat="1">
      <c r="B251" s="291">
        <v>245</v>
      </c>
      <c r="C251" s="414" t="s">
        <v>430</v>
      </c>
      <c r="D251" s="414" t="s">
        <v>727</v>
      </c>
      <c r="E251" s="413" t="s">
        <v>202</v>
      </c>
      <c r="F251" s="414" t="s">
        <v>180</v>
      </c>
      <c r="G251" s="418">
        <v>8</v>
      </c>
      <c r="H251" s="415">
        <v>800000</v>
      </c>
      <c r="I251" s="292">
        <f t="shared" si="3"/>
        <v>150000</v>
      </c>
      <c r="J251" s="326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  <c r="AA251" s="299"/>
      <c r="AB251" s="299"/>
      <c r="AC251" s="299"/>
      <c r="AD251" s="299"/>
      <c r="AE251" s="299"/>
      <c r="AF251" s="299"/>
      <c r="AG251" s="299"/>
      <c r="AH251" s="299"/>
      <c r="AI251" s="299"/>
      <c r="AJ251" s="299"/>
      <c r="AK251" s="299"/>
      <c r="AL251" s="299"/>
      <c r="AM251" s="299"/>
      <c r="AN251" s="299"/>
      <c r="AO251" s="299"/>
      <c r="AP251" s="299"/>
      <c r="AQ251" s="299"/>
      <c r="AR251" s="299"/>
      <c r="AS251" s="299"/>
      <c r="AT251" s="299"/>
      <c r="AU251" s="299"/>
      <c r="AV251" s="299"/>
      <c r="AW251" s="299"/>
      <c r="AX251" s="299"/>
      <c r="AY251" s="299"/>
      <c r="AZ251" s="299"/>
      <c r="BA251" s="299"/>
      <c r="BB251" s="299"/>
      <c r="BC251" s="299"/>
      <c r="BD251" s="299"/>
      <c r="BE251" s="299"/>
      <c r="BF251" s="299"/>
      <c r="BG251" s="299"/>
      <c r="BH251" s="299"/>
      <c r="BI251" s="299"/>
      <c r="BJ251" s="299"/>
      <c r="BK251" s="299"/>
      <c r="BL251" s="299"/>
      <c r="BM251" s="299"/>
      <c r="BN251" s="299"/>
      <c r="BO251" s="299"/>
      <c r="BP251" s="299"/>
      <c r="BQ251" s="299"/>
      <c r="BR251" s="299"/>
      <c r="BS251" s="299"/>
      <c r="BT251" s="299"/>
      <c r="BU251" s="299"/>
      <c r="BV251" s="299"/>
      <c r="BW251" s="299"/>
      <c r="BX251" s="299"/>
      <c r="BY251" s="299"/>
      <c r="BZ251" s="299"/>
      <c r="CA251" s="299"/>
      <c r="CB251" s="299"/>
      <c r="CC251" s="299"/>
      <c r="CD251" s="299"/>
      <c r="CE251" s="299"/>
      <c r="CF251" s="299"/>
      <c r="CG251" s="299"/>
      <c r="CH251" s="299"/>
      <c r="CI251" s="299"/>
      <c r="CJ251" s="299"/>
      <c r="CK251" s="299"/>
      <c r="CL251" s="299"/>
      <c r="CM251" s="299"/>
      <c r="CN251" s="299"/>
      <c r="CO251" s="299"/>
      <c r="CP251" s="299"/>
      <c r="CQ251" s="299"/>
      <c r="CR251" s="299"/>
      <c r="CS251" s="299"/>
      <c r="CT251" s="299"/>
      <c r="CU251" s="299"/>
      <c r="CV251" s="299"/>
      <c r="CW251" s="299"/>
      <c r="CX251" s="299"/>
      <c r="CY251" s="299"/>
      <c r="CZ251" s="299"/>
      <c r="DA251" s="299"/>
      <c r="DB251" s="299"/>
      <c r="DC251" s="299"/>
      <c r="DD251" s="299"/>
      <c r="DE251" s="299"/>
      <c r="DF251" s="299"/>
      <c r="DG251" s="299"/>
      <c r="DH251" s="299"/>
      <c r="DI251" s="299"/>
      <c r="DJ251" s="299"/>
      <c r="DK251" s="299"/>
      <c r="DL251" s="299"/>
      <c r="DM251" s="299"/>
      <c r="DN251" s="299"/>
      <c r="DO251" s="299"/>
      <c r="DP251" s="299"/>
      <c r="DQ251" s="299"/>
      <c r="DR251" s="299"/>
      <c r="DS251" s="299"/>
      <c r="DT251" s="299"/>
      <c r="DU251" s="299"/>
      <c r="DV251" s="299"/>
      <c r="DW251" s="299"/>
      <c r="DX251" s="299"/>
      <c r="DY251" s="299"/>
      <c r="DZ251" s="299"/>
      <c r="EA251" s="299"/>
      <c r="EB251" s="299"/>
      <c r="EC251" s="299"/>
      <c r="ED251" s="299"/>
      <c r="EE251" s="299"/>
      <c r="EF251" s="299"/>
      <c r="EG251" s="299"/>
      <c r="EH251" s="299"/>
      <c r="EI251" s="299"/>
      <c r="EJ251" s="299"/>
      <c r="EK251" s="299"/>
      <c r="EL251" s="299"/>
      <c r="EM251" s="299"/>
      <c r="EN251" s="299"/>
      <c r="EO251" s="299"/>
      <c r="EP251" s="299"/>
      <c r="EQ251" s="299"/>
      <c r="ER251" s="299"/>
      <c r="ES251" s="299"/>
      <c r="ET251" s="299"/>
      <c r="EU251" s="299"/>
      <c r="EV251" s="299"/>
      <c r="EW251" s="299"/>
      <c r="EX251" s="299"/>
      <c r="EY251" s="299"/>
      <c r="EZ251" s="299"/>
      <c r="FA251" s="299"/>
      <c r="FB251" s="299"/>
      <c r="FC251" s="299"/>
      <c r="FD251" s="299"/>
      <c r="FE251" s="299"/>
      <c r="FF251" s="299"/>
      <c r="FG251" s="299"/>
      <c r="FH251" s="299"/>
      <c r="FI251" s="299"/>
      <c r="FJ251" s="299"/>
      <c r="FK251" s="299"/>
      <c r="FL251" s="299"/>
      <c r="FM251" s="299"/>
      <c r="FN251" s="299"/>
      <c r="FO251" s="299"/>
      <c r="FP251" s="299"/>
      <c r="FQ251" s="299"/>
      <c r="FR251" s="299"/>
      <c r="FS251" s="299"/>
      <c r="FT251" s="299"/>
      <c r="FU251" s="299"/>
      <c r="FV251" s="299"/>
      <c r="FW251" s="299"/>
      <c r="FX251" s="299"/>
      <c r="FY251" s="299"/>
      <c r="FZ251" s="299"/>
      <c r="GA251" s="299"/>
      <c r="GB251" s="299"/>
      <c r="GC251" s="299"/>
      <c r="GD251" s="299"/>
      <c r="GE251" s="299"/>
    </row>
    <row r="252" spans="2:187" s="149" customFormat="1">
      <c r="B252" s="291">
        <v>246</v>
      </c>
      <c r="C252" s="414" t="s">
        <v>626</v>
      </c>
      <c r="D252" s="414" t="s">
        <v>695</v>
      </c>
      <c r="E252" s="413" t="s">
        <v>167</v>
      </c>
      <c r="F252" s="414" t="s">
        <v>189</v>
      </c>
      <c r="G252" s="418">
        <v>1</v>
      </c>
      <c r="H252" s="415">
        <v>40300</v>
      </c>
      <c r="I252" s="292">
        <f t="shared" si="3"/>
        <v>7556.25</v>
      </c>
      <c r="J252" s="326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  <c r="AA252" s="299"/>
      <c r="AB252" s="299"/>
      <c r="AC252" s="299"/>
      <c r="AD252" s="299"/>
      <c r="AE252" s="299"/>
      <c r="AF252" s="299"/>
      <c r="AG252" s="299"/>
      <c r="AH252" s="299"/>
      <c r="AI252" s="299"/>
      <c r="AJ252" s="299"/>
      <c r="AK252" s="299"/>
      <c r="AL252" s="299"/>
      <c r="AM252" s="299"/>
      <c r="AN252" s="299"/>
      <c r="AO252" s="299"/>
      <c r="AP252" s="299"/>
      <c r="AQ252" s="299"/>
      <c r="AR252" s="299"/>
      <c r="AS252" s="299"/>
      <c r="AT252" s="299"/>
      <c r="AU252" s="299"/>
      <c r="AV252" s="299"/>
      <c r="AW252" s="299"/>
      <c r="AX252" s="299"/>
      <c r="AY252" s="299"/>
      <c r="AZ252" s="299"/>
      <c r="BA252" s="299"/>
      <c r="BB252" s="299"/>
      <c r="BC252" s="299"/>
      <c r="BD252" s="299"/>
      <c r="BE252" s="299"/>
      <c r="BF252" s="299"/>
      <c r="BG252" s="299"/>
      <c r="BH252" s="299"/>
      <c r="BI252" s="299"/>
      <c r="BJ252" s="299"/>
      <c r="BK252" s="299"/>
      <c r="BL252" s="299"/>
      <c r="BM252" s="299"/>
      <c r="BN252" s="299"/>
      <c r="BO252" s="299"/>
      <c r="BP252" s="299"/>
      <c r="BQ252" s="299"/>
      <c r="BR252" s="299"/>
      <c r="BS252" s="299"/>
      <c r="BT252" s="299"/>
      <c r="BU252" s="299"/>
      <c r="BV252" s="299"/>
      <c r="BW252" s="299"/>
      <c r="BX252" s="299"/>
      <c r="BY252" s="299"/>
      <c r="BZ252" s="299"/>
      <c r="CA252" s="299"/>
      <c r="CB252" s="299"/>
      <c r="CC252" s="299"/>
      <c r="CD252" s="299"/>
      <c r="CE252" s="299"/>
      <c r="CF252" s="299"/>
      <c r="CG252" s="299"/>
      <c r="CH252" s="299"/>
      <c r="CI252" s="299"/>
      <c r="CJ252" s="299"/>
      <c r="CK252" s="299"/>
      <c r="CL252" s="299"/>
      <c r="CM252" s="299"/>
      <c r="CN252" s="299"/>
      <c r="CO252" s="299"/>
      <c r="CP252" s="299"/>
      <c r="CQ252" s="299"/>
      <c r="CR252" s="299"/>
      <c r="CS252" s="299"/>
      <c r="CT252" s="299"/>
      <c r="CU252" s="299"/>
      <c r="CV252" s="299"/>
      <c r="CW252" s="299"/>
      <c r="CX252" s="299"/>
      <c r="CY252" s="299"/>
      <c r="CZ252" s="299"/>
      <c r="DA252" s="299"/>
      <c r="DB252" s="299"/>
      <c r="DC252" s="299"/>
      <c r="DD252" s="299"/>
      <c r="DE252" s="299"/>
      <c r="DF252" s="299"/>
      <c r="DG252" s="299"/>
      <c r="DH252" s="299"/>
      <c r="DI252" s="299"/>
      <c r="DJ252" s="299"/>
      <c r="DK252" s="299"/>
      <c r="DL252" s="299"/>
      <c r="DM252" s="299"/>
      <c r="DN252" s="299"/>
      <c r="DO252" s="299"/>
      <c r="DP252" s="299"/>
      <c r="DQ252" s="299"/>
      <c r="DR252" s="299"/>
      <c r="DS252" s="299"/>
      <c r="DT252" s="299"/>
      <c r="DU252" s="299"/>
      <c r="DV252" s="299"/>
      <c r="DW252" s="299"/>
      <c r="DX252" s="299"/>
      <c r="DY252" s="299"/>
      <c r="DZ252" s="299"/>
      <c r="EA252" s="299"/>
      <c r="EB252" s="299"/>
      <c r="EC252" s="299"/>
      <c r="ED252" s="299"/>
      <c r="EE252" s="299"/>
      <c r="EF252" s="299"/>
      <c r="EG252" s="299"/>
      <c r="EH252" s="299"/>
      <c r="EI252" s="299"/>
      <c r="EJ252" s="299"/>
      <c r="EK252" s="299"/>
      <c r="EL252" s="299"/>
      <c r="EM252" s="299"/>
      <c r="EN252" s="299"/>
      <c r="EO252" s="299"/>
      <c r="EP252" s="299"/>
      <c r="EQ252" s="299"/>
      <c r="ER252" s="299"/>
      <c r="ES252" s="299"/>
      <c r="ET252" s="299"/>
      <c r="EU252" s="299"/>
      <c r="EV252" s="299"/>
      <c r="EW252" s="299"/>
      <c r="EX252" s="299"/>
      <c r="EY252" s="299"/>
      <c r="EZ252" s="299"/>
      <c r="FA252" s="299"/>
      <c r="FB252" s="299"/>
      <c r="FC252" s="299"/>
      <c r="FD252" s="299"/>
      <c r="FE252" s="299"/>
      <c r="FF252" s="299"/>
      <c r="FG252" s="299"/>
      <c r="FH252" s="299"/>
      <c r="FI252" s="299"/>
      <c r="FJ252" s="299"/>
      <c r="FK252" s="299"/>
      <c r="FL252" s="299"/>
      <c r="FM252" s="299"/>
      <c r="FN252" s="299"/>
      <c r="FO252" s="299"/>
      <c r="FP252" s="299"/>
      <c r="FQ252" s="299"/>
      <c r="FR252" s="299"/>
      <c r="FS252" s="299"/>
      <c r="FT252" s="299"/>
      <c r="FU252" s="299"/>
      <c r="FV252" s="299"/>
      <c r="FW252" s="299"/>
      <c r="FX252" s="299"/>
      <c r="FY252" s="299"/>
      <c r="FZ252" s="299"/>
      <c r="GA252" s="299"/>
      <c r="GB252" s="299"/>
      <c r="GC252" s="299"/>
      <c r="GD252" s="299"/>
      <c r="GE252" s="299"/>
    </row>
    <row r="253" spans="2:187" s="149" customFormat="1">
      <c r="B253" s="291">
        <v>247</v>
      </c>
      <c r="C253" s="414" t="s">
        <v>390</v>
      </c>
      <c r="D253" s="414" t="s">
        <v>341</v>
      </c>
      <c r="E253" s="413" t="s">
        <v>247</v>
      </c>
      <c r="F253" s="414" t="s">
        <v>182</v>
      </c>
      <c r="G253" s="418">
        <v>1</v>
      </c>
      <c r="H253" s="415">
        <v>100000</v>
      </c>
      <c r="I253" s="292">
        <f t="shared" si="3"/>
        <v>18750</v>
      </c>
      <c r="J253" s="326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  <c r="AA253" s="299"/>
      <c r="AB253" s="299"/>
      <c r="AC253" s="299"/>
      <c r="AD253" s="299"/>
      <c r="AE253" s="299"/>
      <c r="AF253" s="299"/>
      <c r="AG253" s="299"/>
      <c r="AH253" s="299"/>
      <c r="AI253" s="299"/>
      <c r="AJ253" s="299"/>
      <c r="AK253" s="299"/>
      <c r="AL253" s="299"/>
      <c r="AM253" s="299"/>
      <c r="AN253" s="299"/>
      <c r="AO253" s="299"/>
      <c r="AP253" s="299"/>
      <c r="AQ253" s="299"/>
      <c r="AR253" s="299"/>
      <c r="AS253" s="299"/>
      <c r="AT253" s="299"/>
      <c r="AU253" s="299"/>
      <c r="AV253" s="299"/>
      <c r="AW253" s="299"/>
      <c r="AX253" s="299"/>
      <c r="AY253" s="299"/>
      <c r="AZ253" s="299"/>
      <c r="BA253" s="299"/>
      <c r="BB253" s="299"/>
      <c r="BC253" s="299"/>
      <c r="BD253" s="299"/>
      <c r="BE253" s="299"/>
      <c r="BF253" s="299"/>
      <c r="BG253" s="299"/>
      <c r="BH253" s="299"/>
      <c r="BI253" s="299"/>
      <c r="BJ253" s="299"/>
      <c r="BK253" s="299"/>
      <c r="BL253" s="299"/>
      <c r="BM253" s="299"/>
      <c r="BN253" s="299"/>
      <c r="BO253" s="299"/>
      <c r="BP253" s="299"/>
      <c r="BQ253" s="299"/>
      <c r="BR253" s="299"/>
      <c r="BS253" s="299"/>
      <c r="BT253" s="299"/>
      <c r="BU253" s="299"/>
      <c r="BV253" s="299"/>
      <c r="BW253" s="299"/>
      <c r="BX253" s="299"/>
      <c r="BY253" s="299"/>
      <c r="BZ253" s="299"/>
      <c r="CA253" s="299"/>
      <c r="CB253" s="299"/>
      <c r="CC253" s="299"/>
      <c r="CD253" s="299"/>
      <c r="CE253" s="299"/>
      <c r="CF253" s="299"/>
      <c r="CG253" s="299"/>
      <c r="CH253" s="299"/>
      <c r="CI253" s="299"/>
      <c r="CJ253" s="299"/>
      <c r="CK253" s="299"/>
      <c r="CL253" s="299"/>
      <c r="CM253" s="299"/>
      <c r="CN253" s="299"/>
      <c r="CO253" s="299"/>
      <c r="CP253" s="299"/>
      <c r="CQ253" s="299"/>
      <c r="CR253" s="299"/>
      <c r="CS253" s="299"/>
      <c r="CT253" s="299"/>
      <c r="CU253" s="299"/>
      <c r="CV253" s="299"/>
      <c r="CW253" s="299"/>
      <c r="CX253" s="299"/>
      <c r="CY253" s="299"/>
      <c r="CZ253" s="299"/>
      <c r="DA253" s="299"/>
      <c r="DB253" s="299"/>
      <c r="DC253" s="299"/>
      <c r="DD253" s="299"/>
      <c r="DE253" s="299"/>
      <c r="DF253" s="299"/>
      <c r="DG253" s="299"/>
      <c r="DH253" s="299"/>
      <c r="DI253" s="299"/>
      <c r="DJ253" s="299"/>
      <c r="DK253" s="299"/>
      <c r="DL253" s="299"/>
      <c r="DM253" s="299"/>
      <c r="DN253" s="299"/>
      <c r="DO253" s="299"/>
      <c r="DP253" s="299"/>
      <c r="DQ253" s="299"/>
      <c r="DR253" s="299"/>
      <c r="DS253" s="299"/>
      <c r="DT253" s="299"/>
      <c r="DU253" s="299"/>
      <c r="DV253" s="299"/>
      <c r="DW253" s="299"/>
      <c r="DX253" s="299"/>
      <c r="DY253" s="299"/>
      <c r="DZ253" s="299"/>
      <c r="EA253" s="299"/>
      <c r="EB253" s="299"/>
      <c r="EC253" s="299"/>
      <c r="ED253" s="299"/>
      <c r="EE253" s="299"/>
      <c r="EF253" s="299"/>
      <c r="EG253" s="299"/>
      <c r="EH253" s="299"/>
      <c r="EI253" s="299"/>
      <c r="EJ253" s="299"/>
      <c r="EK253" s="299"/>
      <c r="EL253" s="299"/>
      <c r="EM253" s="299"/>
      <c r="EN253" s="299"/>
      <c r="EO253" s="299"/>
      <c r="EP253" s="299"/>
      <c r="EQ253" s="299"/>
      <c r="ER253" s="299"/>
      <c r="ES253" s="299"/>
      <c r="ET253" s="299"/>
      <c r="EU253" s="299"/>
      <c r="EV253" s="299"/>
      <c r="EW253" s="299"/>
      <c r="EX253" s="299"/>
      <c r="EY253" s="299"/>
      <c r="EZ253" s="299"/>
      <c r="FA253" s="299"/>
      <c r="FB253" s="299"/>
      <c r="FC253" s="299"/>
      <c r="FD253" s="299"/>
      <c r="FE253" s="299"/>
      <c r="FF253" s="299"/>
      <c r="FG253" s="299"/>
      <c r="FH253" s="299"/>
      <c r="FI253" s="299"/>
      <c r="FJ253" s="299"/>
      <c r="FK253" s="299"/>
      <c r="FL253" s="299"/>
      <c r="FM253" s="299"/>
      <c r="FN253" s="299"/>
      <c r="FO253" s="299"/>
      <c r="FP253" s="299"/>
      <c r="FQ253" s="299"/>
      <c r="FR253" s="299"/>
      <c r="FS253" s="299"/>
      <c r="FT253" s="299"/>
      <c r="FU253" s="299"/>
      <c r="FV253" s="299"/>
      <c r="FW253" s="299"/>
      <c r="FX253" s="299"/>
      <c r="FY253" s="299"/>
      <c r="FZ253" s="299"/>
      <c r="GA253" s="299"/>
      <c r="GB253" s="299"/>
      <c r="GC253" s="299"/>
      <c r="GD253" s="299"/>
      <c r="GE253" s="299"/>
    </row>
    <row r="254" spans="2:187" s="149" customFormat="1">
      <c r="B254" s="291">
        <v>248</v>
      </c>
      <c r="C254" s="414" t="s">
        <v>390</v>
      </c>
      <c r="D254" s="414" t="s">
        <v>328</v>
      </c>
      <c r="E254" s="413" t="s">
        <v>196</v>
      </c>
      <c r="F254" s="414" t="s">
        <v>182</v>
      </c>
      <c r="G254" s="418">
        <v>1</v>
      </c>
      <c r="H254" s="415">
        <v>100000</v>
      </c>
      <c r="I254" s="292">
        <f t="shared" si="3"/>
        <v>18750</v>
      </c>
      <c r="J254" s="326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  <c r="AA254" s="299"/>
      <c r="AB254" s="299"/>
      <c r="AC254" s="299"/>
      <c r="AD254" s="299"/>
      <c r="AE254" s="299"/>
      <c r="AF254" s="299"/>
      <c r="AG254" s="299"/>
      <c r="AH254" s="299"/>
      <c r="AI254" s="299"/>
      <c r="AJ254" s="299"/>
      <c r="AK254" s="299"/>
      <c r="AL254" s="299"/>
      <c r="AM254" s="299"/>
      <c r="AN254" s="299"/>
      <c r="AO254" s="299"/>
      <c r="AP254" s="299"/>
      <c r="AQ254" s="299"/>
      <c r="AR254" s="299"/>
      <c r="AS254" s="299"/>
      <c r="AT254" s="299"/>
      <c r="AU254" s="299"/>
      <c r="AV254" s="299"/>
      <c r="AW254" s="299"/>
      <c r="AX254" s="299"/>
      <c r="AY254" s="299"/>
      <c r="AZ254" s="299"/>
      <c r="BA254" s="299"/>
      <c r="BB254" s="299"/>
      <c r="BC254" s="299"/>
      <c r="BD254" s="299"/>
      <c r="BE254" s="299"/>
      <c r="BF254" s="299"/>
      <c r="BG254" s="299"/>
      <c r="BH254" s="299"/>
      <c r="BI254" s="299"/>
      <c r="BJ254" s="299"/>
      <c r="BK254" s="299"/>
      <c r="BL254" s="299"/>
      <c r="BM254" s="299"/>
      <c r="BN254" s="299"/>
      <c r="BO254" s="299"/>
      <c r="BP254" s="299"/>
      <c r="BQ254" s="299"/>
      <c r="BR254" s="299"/>
      <c r="BS254" s="299"/>
      <c r="BT254" s="299"/>
      <c r="BU254" s="299"/>
      <c r="BV254" s="299"/>
      <c r="BW254" s="299"/>
      <c r="BX254" s="299"/>
      <c r="BY254" s="299"/>
      <c r="BZ254" s="299"/>
      <c r="CA254" s="299"/>
      <c r="CB254" s="299"/>
      <c r="CC254" s="299"/>
      <c r="CD254" s="299"/>
      <c r="CE254" s="299"/>
      <c r="CF254" s="299"/>
      <c r="CG254" s="299"/>
      <c r="CH254" s="299"/>
      <c r="CI254" s="299"/>
      <c r="CJ254" s="299"/>
      <c r="CK254" s="299"/>
      <c r="CL254" s="299"/>
      <c r="CM254" s="299"/>
      <c r="CN254" s="299"/>
      <c r="CO254" s="299"/>
      <c r="CP254" s="299"/>
      <c r="CQ254" s="299"/>
      <c r="CR254" s="299"/>
      <c r="CS254" s="299"/>
      <c r="CT254" s="299"/>
      <c r="CU254" s="299"/>
      <c r="CV254" s="299"/>
      <c r="CW254" s="299"/>
      <c r="CX254" s="299"/>
      <c r="CY254" s="299"/>
      <c r="CZ254" s="299"/>
      <c r="DA254" s="299"/>
      <c r="DB254" s="299"/>
      <c r="DC254" s="299"/>
      <c r="DD254" s="299"/>
      <c r="DE254" s="299"/>
      <c r="DF254" s="299"/>
      <c r="DG254" s="299"/>
      <c r="DH254" s="299"/>
      <c r="DI254" s="299"/>
      <c r="DJ254" s="299"/>
      <c r="DK254" s="299"/>
      <c r="DL254" s="299"/>
      <c r="DM254" s="299"/>
      <c r="DN254" s="299"/>
      <c r="DO254" s="299"/>
      <c r="DP254" s="299"/>
      <c r="DQ254" s="299"/>
      <c r="DR254" s="299"/>
      <c r="DS254" s="299"/>
      <c r="DT254" s="299"/>
      <c r="DU254" s="299"/>
      <c r="DV254" s="299"/>
      <c r="DW254" s="299"/>
      <c r="DX254" s="299"/>
      <c r="DY254" s="299"/>
      <c r="DZ254" s="299"/>
      <c r="EA254" s="299"/>
      <c r="EB254" s="299"/>
      <c r="EC254" s="299"/>
      <c r="ED254" s="299"/>
      <c r="EE254" s="299"/>
      <c r="EF254" s="299"/>
      <c r="EG254" s="299"/>
      <c r="EH254" s="299"/>
      <c r="EI254" s="299"/>
      <c r="EJ254" s="299"/>
      <c r="EK254" s="299"/>
      <c r="EL254" s="299"/>
      <c r="EM254" s="299"/>
      <c r="EN254" s="299"/>
      <c r="EO254" s="299"/>
      <c r="EP254" s="299"/>
      <c r="EQ254" s="299"/>
      <c r="ER254" s="299"/>
      <c r="ES254" s="299"/>
      <c r="ET254" s="299"/>
      <c r="EU254" s="299"/>
      <c r="EV254" s="299"/>
      <c r="EW254" s="299"/>
      <c r="EX254" s="299"/>
      <c r="EY254" s="299"/>
      <c r="EZ254" s="299"/>
      <c r="FA254" s="299"/>
      <c r="FB254" s="299"/>
      <c r="FC254" s="299"/>
      <c r="FD254" s="299"/>
      <c r="FE254" s="299"/>
      <c r="FF254" s="299"/>
      <c r="FG254" s="299"/>
      <c r="FH254" s="299"/>
      <c r="FI254" s="299"/>
      <c r="FJ254" s="299"/>
      <c r="FK254" s="299"/>
      <c r="FL254" s="299"/>
      <c r="FM254" s="299"/>
      <c r="FN254" s="299"/>
      <c r="FO254" s="299"/>
      <c r="FP254" s="299"/>
      <c r="FQ254" s="299"/>
      <c r="FR254" s="299"/>
      <c r="FS254" s="299"/>
      <c r="FT254" s="299"/>
      <c r="FU254" s="299"/>
      <c r="FV254" s="299"/>
      <c r="FW254" s="299"/>
      <c r="FX254" s="299"/>
      <c r="FY254" s="299"/>
      <c r="FZ254" s="299"/>
      <c r="GA254" s="299"/>
      <c r="GB254" s="299"/>
      <c r="GC254" s="299"/>
      <c r="GD254" s="299"/>
      <c r="GE254" s="299"/>
    </row>
    <row r="255" spans="2:187" s="149" customFormat="1">
      <c r="B255" s="291">
        <v>249</v>
      </c>
      <c r="C255" s="414" t="s">
        <v>390</v>
      </c>
      <c r="D255" s="414" t="s">
        <v>241</v>
      </c>
      <c r="E255" s="413" t="s">
        <v>204</v>
      </c>
      <c r="F255" s="414" t="s">
        <v>348</v>
      </c>
      <c r="G255" s="418">
        <v>1</v>
      </c>
      <c r="H255" s="415">
        <v>100000</v>
      </c>
      <c r="I255" s="292">
        <f t="shared" si="3"/>
        <v>18750</v>
      </c>
      <c r="J255" s="326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  <c r="AA255" s="299"/>
      <c r="AB255" s="299"/>
      <c r="AC255" s="299"/>
      <c r="AD255" s="299"/>
      <c r="AE255" s="299"/>
      <c r="AF255" s="299"/>
      <c r="AG255" s="299"/>
      <c r="AH255" s="299"/>
      <c r="AI255" s="299"/>
      <c r="AJ255" s="299"/>
      <c r="AK255" s="299"/>
      <c r="AL255" s="299"/>
      <c r="AM255" s="299"/>
      <c r="AN255" s="299"/>
      <c r="AO255" s="299"/>
      <c r="AP255" s="299"/>
      <c r="AQ255" s="299"/>
      <c r="AR255" s="299"/>
      <c r="AS255" s="299"/>
      <c r="AT255" s="299"/>
      <c r="AU255" s="299"/>
      <c r="AV255" s="299"/>
      <c r="AW255" s="299"/>
      <c r="AX255" s="299"/>
      <c r="AY255" s="299"/>
      <c r="AZ255" s="299"/>
      <c r="BA255" s="299"/>
      <c r="BB255" s="299"/>
      <c r="BC255" s="299"/>
      <c r="BD255" s="299"/>
      <c r="BE255" s="299"/>
      <c r="BF255" s="299"/>
      <c r="BG255" s="299"/>
      <c r="BH255" s="299"/>
      <c r="BI255" s="299"/>
      <c r="BJ255" s="299"/>
      <c r="BK255" s="299"/>
      <c r="BL255" s="299"/>
      <c r="BM255" s="299"/>
      <c r="BN255" s="299"/>
      <c r="BO255" s="299"/>
      <c r="BP255" s="299"/>
      <c r="BQ255" s="299"/>
      <c r="BR255" s="299"/>
      <c r="BS255" s="299"/>
      <c r="BT255" s="299"/>
      <c r="BU255" s="299"/>
      <c r="BV255" s="299"/>
      <c r="BW255" s="299"/>
      <c r="BX255" s="299"/>
      <c r="BY255" s="299"/>
      <c r="BZ255" s="299"/>
      <c r="CA255" s="299"/>
      <c r="CB255" s="299"/>
      <c r="CC255" s="299"/>
      <c r="CD255" s="299"/>
      <c r="CE255" s="299"/>
      <c r="CF255" s="299"/>
      <c r="CG255" s="299"/>
      <c r="CH255" s="299"/>
      <c r="CI255" s="299"/>
      <c r="CJ255" s="299"/>
      <c r="CK255" s="299"/>
      <c r="CL255" s="299"/>
      <c r="CM255" s="299"/>
      <c r="CN255" s="299"/>
      <c r="CO255" s="299"/>
      <c r="CP255" s="299"/>
      <c r="CQ255" s="299"/>
      <c r="CR255" s="299"/>
      <c r="CS255" s="299"/>
      <c r="CT255" s="299"/>
      <c r="CU255" s="299"/>
      <c r="CV255" s="299"/>
      <c r="CW255" s="299"/>
      <c r="CX255" s="299"/>
      <c r="CY255" s="299"/>
      <c r="CZ255" s="299"/>
      <c r="DA255" s="299"/>
      <c r="DB255" s="299"/>
      <c r="DC255" s="299"/>
      <c r="DD255" s="299"/>
      <c r="DE255" s="299"/>
      <c r="DF255" s="299"/>
      <c r="DG255" s="299"/>
      <c r="DH255" s="299"/>
      <c r="DI255" s="299"/>
      <c r="DJ255" s="299"/>
      <c r="DK255" s="299"/>
      <c r="DL255" s="299"/>
      <c r="DM255" s="299"/>
      <c r="DN255" s="299"/>
      <c r="DO255" s="299"/>
      <c r="DP255" s="299"/>
      <c r="DQ255" s="299"/>
      <c r="DR255" s="299"/>
      <c r="DS255" s="299"/>
      <c r="DT255" s="299"/>
      <c r="DU255" s="299"/>
      <c r="DV255" s="299"/>
      <c r="DW255" s="299"/>
      <c r="DX255" s="299"/>
      <c r="DY255" s="299"/>
      <c r="DZ255" s="299"/>
      <c r="EA255" s="299"/>
      <c r="EB255" s="299"/>
      <c r="EC255" s="299"/>
      <c r="ED255" s="299"/>
      <c r="EE255" s="299"/>
      <c r="EF255" s="299"/>
      <c r="EG255" s="299"/>
      <c r="EH255" s="299"/>
      <c r="EI255" s="299"/>
      <c r="EJ255" s="299"/>
      <c r="EK255" s="299"/>
      <c r="EL255" s="299"/>
      <c r="EM255" s="299"/>
      <c r="EN255" s="299"/>
      <c r="EO255" s="299"/>
      <c r="EP255" s="299"/>
      <c r="EQ255" s="299"/>
      <c r="ER255" s="299"/>
      <c r="ES255" s="299"/>
      <c r="ET255" s="299"/>
      <c r="EU255" s="299"/>
      <c r="EV255" s="299"/>
      <c r="EW255" s="299"/>
      <c r="EX255" s="299"/>
      <c r="EY255" s="299"/>
      <c r="EZ255" s="299"/>
      <c r="FA255" s="299"/>
      <c r="FB255" s="299"/>
      <c r="FC255" s="299"/>
      <c r="FD255" s="299"/>
      <c r="FE255" s="299"/>
      <c r="FF255" s="299"/>
      <c r="FG255" s="299"/>
      <c r="FH255" s="299"/>
      <c r="FI255" s="299"/>
      <c r="FJ255" s="299"/>
      <c r="FK255" s="299"/>
      <c r="FL255" s="299"/>
      <c r="FM255" s="299"/>
      <c r="FN255" s="299"/>
      <c r="FO255" s="299"/>
      <c r="FP255" s="299"/>
      <c r="FQ255" s="299"/>
      <c r="FR255" s="299"/>
      <c r="FS255" s="299"/>
      <c r="FT255" s="299"/>
      <c r="FU255" s="299"/>
      <c r="FV255" s="299"/>
      <c r="FW255" s="299"/>
      <c r="FX255" s="299"/>
      <c r="FY255" s="299"/>
      <c r="FZ255" s="299"/>
      <c r="GA255" s="299"/>
      <c r="GB255" s="299"/>
      <c r="GC255" s="299"/>
      <c r="GD255" s="299"/>
      <c r="GE255" s="299"/>
    </row>
    <row r="256" spans="2:187" s="149" customFormat="1">
      <c r="B256" s="291">
        <v>250</v>
      </c>
      <c r="C256" s="414" t="s">
        <v>582</v>
      </c>
      <c r="D256" s="414" t="s">
        <v>342</v>
      </c>
      <c r="E256" s="413" t="s">
        <v>195</v>
      </c>
      <c r="F256" s="414" t="s">
        <v>189</v>
      </c>
      <c r="G256" s="418">
        <v>1</v>
      </c>
      <c r="H256" s="415">
        <v>100000</v>
      </c>
      <c r="I256" s="292">
        <f t="shared" si="3"/>
        <v>18750</v>
      </c>
      <c r="J256" s="326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  <c r="AA256" s="299"/>
      <c r="AB256" s="299"/>
      <c r="AC256" s="299"/>
      <c r="AD256" s="299"/>
      <c r="AE256" s="299"/>
      <c r="AF256" s="299"/>
      <c r="AG256" s="299"/>
      <c r="AH256" s="299"/>
      <c r="AI256" s="299"/>
      <c r="AJ256" s="299"/>
      <c r="AK256" s="299"/>
      <c r="AL256" s="299"/>
      <c r="AM256" s="299"/>
      <c r="AN256" s="299"/>
      <c r="AO256" s="299"/>
      <c r="AP256" s="299"/>
      <c r="AQ256" s="299"/>
      <c r="AR256" s="299"/>
      <c r="AS256" s="299"/>
      <c r="AT256" s="299"/>
      <c r="AU256" s="299"/>
      <c r="AV256" s="299"/>
      <c r="AW256" s="299"/>
      <c r="AX256" s="299"/>
      <c r="AY256" s="299"/>
      <c r="AZ256" s="299"/>
      <c r="BA256" s="299"/>
      <c r="BB256" s="299"/>
      <c r="BC256" s="299"/>
      <c r="BD256" s="299"/>
      <c r="BE256" s="299"/>
      <c r="BF256" s="299"/>
      <c r="BG256" s="299"/>
      <c r="BH256" s="299"/>
      <c r="BI256" s="299"/>
      <c r="BJ256" s="299"/>
      <c r="BK256" s="299"/>
      <c r="BL256" s="299"/>
      <c r="BM256" s="299"/>
      <c r="BN256" s="299"/>
      <c r="BO256" s="299"/>
      <c r="BP256" s="299"/>
      <c r="BQ256" s="299"/>
      <c r="BR256" s="299"/>
      <c r="BS256" s="299"/>
      <c r="BT256" s="299"/>
      <c r="BU256" s="299"/>
      <c r="BV256" s="299"/>
      <c r="BW256" s="299"/>
      <c r="BX256" s="299"/>
      <c r="BY256" s="299"/>
      <c r="BZ256" s="299"/>
      <c r="CA256" s="299"/>
      <c r="CB256" s="299"/>
      <c r="CC256" s="299"/>
      <c r="CD256" s="299"/>
      <c r="CE256" s="299"/>
      <c r="CF256" s="299"/>
      <c r="CG256" s="299"/>
      <c r="CH256" s="299"/>
      <c r="CI256" s="299"/>
      <c r="CJ256" s="299"/>
      <c r="CK256" s="299"/>
      <c r="CL256" s="299"/>
      <c r="CM256" s="299"/>
      <c r="CN256" s="299"/>
      <c r="CO256" s="299"/>
      <c r="CP256" s="299"/>
      <c r="CQ256" s="299"/>
      <c r="CR256" s="299"/>
      <c r="CS256" s="299"/>
      <c r="CT256" s="299"/>
      <c r="CU256" s="299"/>
      <c r="CV256" s="299"/>
      <c r="CW256" s="299"/>
      <c r="CX256" s="299"/>
      <c r="CY256" s="299"/>
      <c r="CZ256" s="299"/>
      <c r="DA256" s="299"/>
      <c r="DB256" s="299"/>
      <c r="DC256" s="299"/>
      <c r="DD256" s="299"/>
      <c r="DE256" s="299"/>
      <c r="DF256" s="299"/>
      <c r="DG256" s="299"/>
      <c r="DH256" s="299"/>
      <c r="DI256" s="299"/>
      <c r="DJ256" s="299"/>
      <c r="DK256" s="299"/>
      <c r="DL256" s="299"/>
      <c r="DM256" s="299"/>
      <c r="DN256" s="299"/>
      <c r="DO256" s="299"/>
      <c r="DP256" s="299"/>
      <c r="DQ256" s="299"/>
      <c r="DR256" s="299"/>
      <c r="DS256" s="299"/>
      <c r="DT256" s="299"/>
      <c r="DU256" s="299"/>
      <c r="DV256" s="299"/>
      <c r="DW256" s="299"/>
      <c r="DX256" s="299"/>
      <c r="DY256" s="299"/>
      <c r="DZ256" s="299"/>
      <c r="EA256" s="299"/>
      <c r="EB256" s="299"/>
      <c r="EC256" s="299"/>
      <c r="ED256" s="299"/>
      <c r="EE256" s="299"/>
      <c r="EF256" s="299"/>
      <c r="EG256" s="299"/>
      <c r="EH256" s="299"/>
      <c r="EI256" s="299"/>
      <c r="EJ256" s="299"/>
      <c r="EK256" s="299"/>
      <c r="EL256" s="299"/>
      <c r="EM256" s="299"/>
      <c r="EN256" s="299"/>
      <c r="EO256" s="299"/>
      <c r="EP256" s="299"/>
      <c r="EQ256" s="299"/>
      <c r="ER256" s="299"/>
      <c r="ES256" s="299"/>
      <c r="ET256" s="299"/>
      <c r="EU256" s="299"/>
      <c r="EV256" s="299"/>
      <c r="EW256" s="299"/>
      <c r="EX256" s="299"/>
      <c r="EY256" s="299"/>
      <c r="EZ256" s="299"/>
      <c r="FA256" s="299"/>
      <c r="FB256" s="299"/>
      <c r="FC256" s="299"/>
      <c r="FD256" s="299"/>
      <c r="FE256" s="299"/>
      <c r="FF256" s="299"/>
      <c r="FG256" s="299"/>
      <c r="FH256" s="299"/>
      <c r="FI256" s="299"/>
      <c r="FJ256" s="299"/>
      <c r="FK256" s="299"/>
      <c r="FL256" s="299"/>
      <c r="FM256" s="299"/>
      <c r="FN256" s="299"/>
      <c r="FO256" s="299"/>
      <c r="FP256" s="299"/>
      <c r="FQ256" s="299"/>
      <c r="FR256" s="299"/>
      <c r="FS256" s="299"/>
      <c r="FT256" s="299"/>
      <c r="FU256" s="299"/>
      <c r="FV256" s="299"/>
      <c r="FW256" s="299"/>
      <c r="FX256" s="299"/>
      <c r="FY256" s="299"/>
      <c r="FZ256" s="299"/>
      <c r="GA256" s="299"/>
      <c r="GB256" s="299"/>
      <c r="GC256" s="299"/>
      <c r="GD256" s="299"/>
      <c r="GE256" s="299"/>
    </row>
    <row r="257" spans="2:187" s="149" customFormat="1">
      <c r="B257" s="291">
        <v>251</v>
      </c>
      <c r="C257" s="414" t="s">
        <v>560</v>
      </c>
      <c r="D257" s="414" t="s">
        <v>733</v>
      </c>
      <c r="E257" s="413" t="s">
        <v>538</v>
      </c>
      <c r="F257" s="414" t="s">
        <v>301</v>
      </c>
      <c r="G257" s="418">
        <v>1</v>
      </c>
      <c r="H257" s="415">
        <v>120000</v>
      </c>
      <c r="I257" s="292">
        <f t="shared" si="3"/>
        <v>22500</v>
      </c>
      <c r="J257" s="326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  <c r="AA257" s="299"/>
      <c r="AB257" s="299"/>
      <c r="AC257" s="299"/>
      <c r="AD257" s="299"/>
      <c r="AE257" s="299"/>
      <c r="AF257" s="299"/>
      <c r="AG257" s="299"/>
      <c r="AH257" s="299"/>
      <c r="AI257" s="299"/>
      <c r="AJ257" s="299"/>
      <c r="AK257" s="299"/>
      <c r="AL257" s="299"/>
      <c r="AM257" s="299"/>
      <c r="AN257" s="299"/>
      <c r="AO257" s="299"/>
      <c r="AP257" s="299"/>
      <c r="AQ257" s="299"/>
      <c r="AR257" s="299"/>
      <c r="AS257" s="299"/>
      <c r="AT257" s="299"/>
      <c r="AU257" s="299"/>
      <c r="AV257" s="299"/>
      <c r="AW257" s="299"/>
      <c r="AX257" s="299"/>
      <c r="AY257" s="299"/>
      <c r="AZ257" s="299"/>
      <c r="BA257" s="299"/>
      <c r="BB257" s="299"/>
      <c r="BC257" s="299"/>
      <c r="BD257" s="299"/>
      <c r="BE257" s="299"/>
      <c r="BF257" s="299"/>
      <c r="BG257" s="299"/>
      <c r="BH257" s="299"/>
      <c r="BI257" s="299"/>
      <c r="BJ257" s="299"/>
      <c r="BK257" s="299"/>
      <c r="BL257" s="299"/>
      <c r="BM257" s="299"/>
      <c r="BN257" s="299"/>
      <c r="BO257" s="299"/>
      <c r="BP257" s="299"/>
      <c r="BQ257" s="299"/>
      <c r="BR257" s="299"/>
      <c r="BS257" s="299"/>
      <c r="BT257" s="299"/>
      <c r="BU257" s="299"/>
      <c r="BV257" s="299"/>
      <c r="BW257" s="299"/>
      <c r="BX257" s="299"/>
      <c r="BY257" s="299"/>
      <c r="BZ257" s="299"/>
      <c r="CA257" s="299"/>
      <c r="CB257" s="299"/>
      <c r="CC257" s="299"/>
      <c r="CD257" s="299"/>
      <c r="CE257" s="299"/>
      <c r="CF257" s="299"/>
      <c r="CG257" s="299"/>
      <c r="CH257" s="299"/>
      <c r="CI257" s="299"/>
      <c r="CJ257" s="299"/>
      <c r="CK257" s="299"/>
      <c r="CL257" s="299"/>
      <c r="CM257" s="299"/>
      <c r="CN257" s="299"/>
      <c r="CO257" s="299"/>
      <c r="CP257" s="299"/>
      <c r="CQ257" s="299"/>
      <c r="CR257" s="299"/>
      <c r="CS257" s="299"/>
      <c r="CT257" s="299"/>
      <c r="CU257" s="299"/>
      <c r="CV257" s="299"/>
      <c r="CW257" s="299"/>
      <c r="CX257" s="299"/>
      <c r="CY257" s="299"/>
      <c r="CZ257" s="299"/>
      <c r="DA257" s="299"/>
      <c r="DB257" s="299"/>
      <c r="DC257" s="299"/>
      <c r="DD257" s="299"/>
      <c r="DE257" s="299"/>
      <c r="DF257" s="299"/>
      <c r="DG257" s="299"/>
      <c r="DH257" s="299"/>
      <c r="DI257" s="299"/>
      <c r="DJ257" s="299"/>
      <c r="DK257" s="299"/>
      <c r="DL257" s="299"/>
      <c r="DM257" s="299"/>
      <c r="DN257" s="299"/>
      <c r="DO257" s="299"/>
      <c r="DP257" s="299"/>
      <c r="DQ257" s="299"/>
      <c r="DR257" s="299"/>
      <c r="DS257" s="299"/>
      <c r="DT257" s="299"/>
      <c r="DU257" s="299"/>
      <c r="DV257" s="299"/>
      <c r="DW257" s="299"/>
      <c r="DX257" s="299"/>
      <c r="DY257" s="299"/>
      <c r="DZ257" s="299"/>
      <c r="EA257" s="299"/>
      <c r="EB257" s="299"/>
      <c r="EC257" s="299"/>
      <c r="ED257" s="299"/>
      <c r="EE257" s="299"/>
      <c r="EF257" s="299"/>
      <c r="EG257" s="299"/>
      <c r="EH257" s="299"/>
      <c r="EI257" s="299"/>
      <c r="EJ257" s="299"/>
      <c r="EK257" s="299"/>
      <c r="EL257" s="299"/>
      <c r="EM257" s="299"/>
      <c r="EN257" s="299"/>
      <c r="EO257" s="299"/>
      <c r="EP257" s="299"/>
      <c r="EQ257" s="299"/>
      <c r="ER257" s="299"/>
      <c r="ES257" s="299"/>
      <c r="ET257" s="299"/>
      <c r="EU257" s="299"/>
      <c r="EV257" s="299"/>
      <c r="EW257" s="299"/>
      <c r="EX257" s="299"/>
      <c r="EY257" s="299"/>
      <c r="EZ257" s="299"/>
      <c r="FA257" s="299"/>
      <c r="FB257" s="299"/>
      <c r="FC257" s="299"/>
      <c r="FD257" s="299"/>
      <c r="FE257" s="299"/>
      <c r="FF257" s="299"/>
      <c r="FG257" s="299"/>
      <c r="FH257" s="299"/>
      <c r="FI257" s="299"/>
      <c r="FJ257" s="299"/>
      <c r="FK257" s="299"/>
      <c r="FL257" s="299"/>
      <c r="FM257" s="299"/>
      <c r="FN257" s="299"/>
      <c r="FO257" s="299"/>
      <c r="FP257" s="299"/>
      <c r="FQ257" s="299"/>
      <c r="FR257" s="299"/>
      <c r="FS257" s="299"/>
      <c r="FT257" s="299"/>
      <c r="FU257" s="299"/>
      <c r="FV257" s="299"/>
      <c r="FW257" s="299"/>
      <c r="FX257" s="299"/>
      <c r="FY257" s="299"/>
      <c r="FZ257" s="299"/>
      <c r="GA257" s="299"/>
      <c r="GB257" s="299"/>
      <c r="GC257" s="299"/>
      <c r="GD257" s="299"/>
      <c r="GE257" s="299"/>
    </row>
    <row r="258" spans="2:187" s="149" customFormat="1">
      <c r="B258" s="291">
        <v>252</v>
      </c>
      <c r="C258" s="414" t="s">
        <v>390</v>
      </c>
      <c r="D258" s="414" t="s">
        <v>295</v>
      </c>
      <c r="E258" s="413" t="s">
        <v>219</v>
      </c>
      <c r="F258" s="414" t="s">
        <v>189</v>
      </c>
      <c r="G258" s="418">
        <v>1</v>
      </c>
      <c r="H258" s="415">
        <v>100000</v>
      </c>
      <c r="I258" s="292">
        <f t="shared" si="3"/>
        <v>18750</v>
      </c>
      <c r="J258" s="326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  <c r="AA258" s="299"/>
      <c r="AB258" s="299"/>
      <c r="AC258" s="299"/>
      <c r="AD258" s="299"/>
      <c r="AE258" s="299"/>
      <c r="AF258" s="299"/>
      <c r="AG258" s="299"/>
      <c r="AH258" s="299"/>
      <c r="AI258" s="299"/>
      <c r="AJ258" s="299"/>
      <c r="AK258" s="299"/>
      <c r="AL258" s="299"/>
      <c r="AM258" s="299"/>
      <c r="AN258" s="299"/>
      <c r="AO258" s="299"/>
      <c r="AP258" s="299"/>
      <c r="AQ258" s="299"/>
      <c r="AR258" s="299"/>
      <c r="AS258" s="299"/>
      <c r="AT258" s="299"/>
      <c r="AU258" s="299"/>
      <c r="AV258" s="299"/>
      <c r="AW258" s="299"/>
      <c r="AX258" s="299"/>
      <c r="AY258" s="299"/>
      <c r="AZ258" s="299"/>
      <c r="BA258" s="299"/>
      <c r="BB258" s="299"/>
      <c r="BC258" s="299"/>
      <c r="BD258" s="299"/>
      <c r="BE258" s="299"/>
      <c r="BF258" s="299"/>
      <c r="BG258" s="299"/>
      <c r="BH258" s="299"/>
      <c r="BI258" s="299"/>
      <c r="BJ258" s="299"/>
      <c r="BK258" s="299"/>
      <c r="BL258" s="299"/>
      <c r="BM258" s="299"/>
      <c r="BN258" s="299"/>
      <c r="BO258" s="299"/>
      <c r="BP258" s="299"/>
      <c r="BQ258" s="299"/>
      <c r="BR258" s="299"/>
      <c r="BS258" s="299"/>
      <c r="BT258" s="299"/>
      <c r="BU258" s="299"/>
      <c r="BV258" s="299"/>
      <c r="BW258" s="299"/>
      <c r="BX258" s="299"/>
      <c r="BY258" s="299"/>
      <c r="BZ258" s="299"/>
      <c r="CA258" s="299"/>
      <c r="CB258" s="299"/>
      <c r="CC258" s="299"/>
      <c r="CD258" s="299"/>
      <c r="CE258" s="299"/>
      <c r="CF258" s="299"/>
      <c r="CG258" s="299"/>
      <c r="CH258" s="299"/>
      <c r="CI258" s="299"/>
      <c r="CJ258" s="299"/>
      <c r="CK258" s="299"/>
      <c r="CL258" s="299"/>
      <c r="CM258" s="299"/>
      <c r="CN258" s="299"/>
      <c r="CO258" s="299"/>
      <c r="CP258" s="299"/>
      <c r="CQ258" s="299"/>
      <c r="CR258" s="299"/>
      <c r="CS258" s="299"/>
      <c r="CT258" s="299"/>
      <c r="CU258" s="299"/>
      <c r="CV258" s="299"/>
      <c r="CW258" s="299"/>
      <c r="CX258" s="299"/>
      <c r="CY258" s="299"/>
      <c r="CZ258" s="299"/>
      <c r="DA258" s="299"/>
      <c r="DB258" s="299"/>
      <c r="DC258" s="299"/>
      <c r="DD258" s="299"/>
      <c r="DE258" s="299"/>
      <c r="DF258" s="299"/>
      <c r="DG258" s="299"/>
      <c r="DH258" s="299"/>
      <c r="DI258" s="299"/>
      <c r="DJ258" s="299"/>
      <c r="DK258" s="299"/>
      <c r="DL258" s="299"/>
      <c r="DM258" s="299"/>
      <c r="DN258" s="299"/>
      <c r="DO258" s="299"/>
      <c r="DP258" s="299"/>
      <c r="DQ258" s="299"/>
      <c r="DR258" s="299"/>
      <c r="DS258" s="299"/>
      <c r="DT258" s="299"/>
      <c r="DU258" s="299"/>
      <c r="DV258" s="299"/>
      <c r="DW258" s="299"/>
      <c r="DX258" s="299"/>
      <c r="DY258" s="299"/>
      <c r="DZ258" s="299"/>
      <c r="EA258" s="299"/>
      <c r="EB258" s="299"/>
      <c r="EC258" s="299"/>
      <c r="ED258" s="299"/>
      <c r="EE258" s="299"/>
      <c r="EF258" s="299"/>
      <c r="EG258" s="299"/>
      <c r="EH258" s="299"/>
      <c r="EI258" s="299"/>
      <c r="EJ258" s="299"/>
      <c r="EK258" s="299"/>
      <c r="EL258" s="299"/>
      <c r="EM258" s="299"/>
      <c r="EN258" s="299"/>
      <c r="EO258" s="299"/>
      <c r="EP258" s="299"/>
      <c r="EQ258" s="299"/>
      <c r="ER258" s="299"/>
      <c r="ES258" s="299"/>
      <c r="ET258" s="299"/>
      <c r="EU258" s="299"/>
      <c r="EV258" s="299"/>
      <c r="EW258" s="299"/>
      <c r="EX258" s="299"/>
      <c r="EY258" s="299"/>
      <c r="EZ258" s="299"/>
      <c r="FA258" s="299"/>
      <c r="FB258" s="299"/>
      <c r="FC258" s="299"/>
      <c r="FD258" s="299"/>
      <c r="FE258" s="299"/>
      <c r="FF258" s="299"/>
      <c r="FG258" s="299"/>
      <c r="FH258" s="299"/>
      <c r="FI258" s="299"/>
      <c r="FJ258" s="299"/>
      <c r="FK258" s="299"/>
      <c r="FL258" s="299"/>
      <c r="FM258" s="299"/>
      <c r="FN258" s="299"/>
      <c r="FO258" s="299"/>
      <c r="FP258" s="299"/>
      <c r="FQ258" s="299"/>
      <c r="FR258" s="299"/>
      <c r="FS258" s="299"/>
      <c r="FT258" s="299"/>
      <c r="FU258" s="299"/>
      <c r="FV258" s="299"/>
      <c r="FW258" s="299"/>
      <c r="FX258" s="299"/>
      <c r="FY258" s="299"/>
      <c r="FZ258" s="299"/>
      <c r="GA258" s="299"/>
      <c r="GB258" s="299"/>
      <c r="GC258" s="299"/>
      <c r="GD258" s="299"/>
      <c r="GE258" s="299"/>
    </row>
    <row r="259" spans="2:187" s="149" customFormat="1">
      <c r="B259" s="291">
        <v>253</v>
      </c>
      <c r="C259" s="414" t="s">
        <v>553</v>
      </c>
      <c r="D259" s="414" t="s">
        <v>700</v>
      </c>
      <c r="E259" s="413" t="s">
        <v>190</v>
      </c>
      <c r="F259" s="414" t="s">
        <v>177</v>
      </c>
      <c r="G259" s="418">
        <v>2</v>
      </c>
      <c r="H259" s="415">
        <v>200000</v>
      </c>
      <c r="I259" s="292">
        <f t="shared" si="3"/>
        <v>37500</v>
      </c>
      <c r="J259" s="326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  <c r="AA259" s="299"/>
      <c r="AB259" s="299"/>
      <c r="AC259" s="299"/>
      <c r="AD259" s="299"/>
      <c r="AE259" s="299"/>
      <c r="AF259" s="299"/>
      <c r="AG259" s="299"/>
      <c r="AH259" s="299"/>
      <c r="AI259" s="299"/>
      <c r="AJ259" s="299"/>
      <c r="AK259" s="299"/>
      <c r="AL259" s="299"/>
      <c r="AM259" s="299"/>
      <c r="AN259" s="299"/>
      <c r="AO259" s="299"/>
      <c r="AP259" s="299"/>
      <c r="AQ259" s="299"/>
      <c r="AR259" s="299"/>
      <c r="AS259" s="299"/>
      <c r="AT259" s="299"/>
      <c r="AU259" s="299"/>
      <c r="AV259" s="299"/>
      <c r="AW259" s="299"/>
      <c r="AX259" s="299"/>
      <c r="AY259" s="299"/>
      <c r="AZ259" s="299"/>
      <c r="BA259" s="299"/>
      <c r="BB259" s="299"/>
      <c r="BC259" s="299"/>
      <c r="BD259" s="299"/>
      <c r="BE259" s="299"/>
      <c r="BF259" s="299"/>
      <c r="BG259" s="299"/>
      <c r="BH259" s="299"/>
      <c r="BI259" s="299"/>
      <c r="BJ259" s="299"/>
      <c r="BK259" s="299"/>
      <c r="BL259" s="299"/>
      <c r="BM259" s="299"/>
      <c r="BN259" s="299"/>
      <c r="BO259" s="299"/>
      <c r="BP259" s="299"/>
      <c r="BQ259" s="299"/>
      <c r="BR259" s="299"/>
      <c r="BS259" s="299"/>
      <c r="BT259" s="299"/>
      <c r="BU259" s="299"/>
      <c r="BV259" s="299"/>
      <c r="BW259" s="299"/>
      <c r="BX259" s="299"/>
      <c r="BY259" s="299"/>
      <c r="BZ259" s="299"/>
      <c r="CA259" s="299"/>
      <c r="CB259" s="299"/>
      <c r="CC259" s="299"/>
      <c r="CD259" s="299"/>
      <c r="CE259" s="299"/>
      <c r="CF259" s="299"/>
      <c r="CG259" s="299"/>
      <c r="CH259" s="299"/>
      <c r="CI259" s="299"/>
      <c r="CJ259" s="299"/>
      <c r="CK259" s="299"/>
      <c r="CL259" s="299"/>
      <c r="CM259" s="299"/>
      <c r="CN259" s="299"/>
      <c r="CO259" s="299"/>
      <c r="CP259" s="299"/>
      <c r="CQ259" s="299"/>
      <c r="CR259" s="299"/>
      <c r="CS259" s="299"/>
      <c r="CT259" s="299"/>
      <c r="CU259" s="299"/>
      <c r="CV259" s="299"/>
      <c r="CW259" s="299"/>
      <c r="CX259" s="299"/>
      <c r="CY259" s="299"/>
      <c r="CZ259" s="299"/>
      <c r="DA259" s="299"/>
      <c r="DB259" s="299"/>
      <c r="DC259" s="299"/>
      <c r="DD259" s="299"/>
      <c r="DE259" s="299"/>
      <c r="DF259" s="299"/>
      <c r="DG259" s="299"/>
      <c r="DH259" s="299"/>
      <c r="DI259" s="299"/>
      <c r="DJ259" s="299"/>
      <c r="DK259" s="299"/>
      <c r="DL259" s="299"/>
      <c r="DM259" s="299"/>
      <c r="DN259" s="299"/>
      <c r="DO259" s="299"/>
      <c r="DP259" s="299"/>
      <c r="DQ259" s="299"/>
      <c r="DR259" s="299"/>
      <c r="DS259" s="299"/>
      <c r="DT259" s="299"/>
      <c r="DU259" s="299"/>
      <c r="DV259" s="299"/>
      <c r="DW259" s="299"/>
      <c r="DX259" s="299"/>
      <c r="DY259" s="299"/>
      <c r="DZ259" s="299"/>
      <c r="EA259" s="299"/>
      <c r="EB259" s="299"/>
      <c r="EC259" s="299"/>
      <c r="ED259" s="299"/>
      <c r="EE259" s="299"/>
      <c r="EF259" s="299"/>
      <c r="EG259" s="299"/>
      <c r="EH259" s="299"/>
      <c r="EI259" s="299"/>
      <c r="EJ259" s="299"/>
      <c r="EK259" s="299"/>
      <c r="EL259" s="299"/>
      <c r="EM259" s="299"/>
      <c r="EN259" s="299"/>
      <c r="EO259" s="299"/>
      <c r="EP259" s="299"/>
      <c r="EQ259" s="299"/>
      <c r="ER259" s="299"/>
      <c r="ES259" s="299"/>
      <c r="ET259" s="299"/>
      <c r="EU259" s="299"/>
      <c r="EV259" s="299"/>
      <c r="EW259" s="299"/>
      <c r="EX259" s="299"/>
      <c r="EY259" s="299"/>
      <c r="EZ259" s="299"/>
      <c r="FA259" s="299"/>
      <c r="FB259" s="299"/>
      <c r="FC259" s="299"/>
      <c r="FD259" s="299"/>
      <c r="FE259" s="299"/>
      <c r="FF259" s="299"/>
      <c r="FG259" s="299"/>
      <c r="FH259" s="299"/>
      <c r="FI259" s="299"/>
      <c r="FJ259" s="299"/>
      <c r="FK259" s="299"/>
      <c r="FL259" s="299"/>
      <c r="FM259" s="299"/>
      <c r="FN259" s="299"/>
      <c r="FO259" s="299"/>
      <c r="FP259" s="299"/>
      <c r="FQ259" s="299"/>
      <c r="FR259" s="299"/>
      <c r="FS259" s="299"/>
      <c r="FT259" s="299"/>
      <c r="FU259" s="299"/>
      <c r="FV259" s="299"/>
      <c r="FW259" s="299"/>
      <c r="FX259" s="299"/>
      <c r="FY259" s="299"/>
      <c r="FZ259" s="299"/>
      <c r="GA259" s="299"/>
      <c r="GB259" s="299"/>
      <c r="GC259" s="299"/>
      <c r="GD259" s="299"/>
      <c r="GE259" s="299"/>
    </row>
    <row r="260" spans="2:187" s="149" customFormat="1">
      <c r="B260" s="291">
        <v>254</v>
      </c>
      <c r="C260" s="414" t="s">
        <v>553</v>
      </c>
      <c r="D260" s="414" t="s">
        <v>702</v>
      </c>
      <c r="E260" s="413" t="s">
        <v>703</v>
      </c>
      <c r="F260" s="414" t="s">
        <v>180</v>
      </c>
      <c r="G260" s="418">
        <v>7</v>
      </c>
      <c r="H260" s="415">
        <v>700000</v>
      </c>
      <c r="I260" s="292">
        <f t="shared" si="3"/>
        <v>131250</v>
      </c>
      <c r="J260" s="326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  <c r="AA260" s="299"/>
      <c r="AB260" s="299"/>
      <c r="AC260" s="299"/>
      <c r="AD260" s="299"/>
      <c r="AE260" s="299"/>
      <c r="AF260" s="299"/>
      <c r="AG260" s="299"/>
      <c r="AH260" s="299"/>
      <c r="AI260" s="299"/>
      <c r="AJ260" s="299"/>
      <c r="AK260" s="299"/>
      <c r="AL260" s="299"/>
      <c r="AM260" s="299"/>
      <c r="AN260" s="299"/>
      <c r="AO260" s="299"/>
      <c r="AP260" s="299"/>
      <c r="AQ260" s="299"/>
      <c r="AR260" s="299"/>
      <c r="AS260" s="299"/>
      <c r="AT260" s="299"/>
      <c r="AU260" s="299"/>
      <c r="AV260" s="299"/>
      <c r="AW260" s="299"/>
      <c r="AX260" s="299"/>
      <c r="AY260" s="299"/>
      <c r="AZ260" s="299"/>
      <c r="BA260" s="299"/>
      <c r="BB260" s="299"/>
      <c r="BC260" s="299"/>
      <c r="BD260" s="299"/>
      <c r="BE260" s="299"/>
      <c r="BF260" s="299"/>
      <c r="BG260" s="299"/>
      <c r="BH260" s="299"/>
      <c r="BI260" s="299"/>
      <c r="BJ260" s="299"/>
      <c r="BK260" s="299"/>
      <c r="BL260" s="299"/>
      <c r="BM260" s="299"/>
      <c r="BN260" s="299"/>
      <c r="BO260" s="299"/>
      <c r="BP260" s="299"/>
      <c r="BQ260" s="299"/>
      <c r="BR260" s="299"/>
      <c r="BS260" s="299"/>
      <c r="BT260" s="299"/>
      <c r="BU260" s="299"/>
      <c r="BV260" s="299"/>
      <c r="BW260" s="299"/>
      <c r="BX260" s="299"/>
      <c r="BY260" s="299"/>
      <c r="BZ260" s="299"/>
      <c r="CA260" s="299"/>
      <c r="CB260" s="299"/>
      <c r="CC260" s="299"/>
      <c r="CD260" s="299"/>
      <c r="CE260" s="299"/>
      <c r="CF260" s="299"/>
      <c r="CG260" s="299"/>
      <c r="CH260" s="299"/>
      <c r="CI260" s="299"/>
      <c r="CJ260" s="299"/>
      <c r="CK260" s="299"/>
      <c r="CL260" s="299"/>
      <c r="CM260" s="299"/>
      <c r="CN260" s="299"/>
      <c r="CO260" s="299"/>
      <c r="CP260" s="299"/>
      <c r="CQ260" s="299"/>
      <c r="CR260" s="299"/>
      <c r="CS260" s="299"/>
      <c r="CT260" s="299"/>
      <c r="CU260" s="299"/>
      <c r="CV260" s="299"/>
      <c r="CW260" s="299"/>
      <c r="CX260" s="299"/>
      <c r="CY260" s="299"/>
      <c r="CZ260" s="299"/>
      <c r="DA260" s="299"/>
      <c r="DB260" s="299"/>
      <c r="DC260" s="299"/>
      <c r="DD260" s="299"/>
      <c r="DE260" s="299"/>
      <c r="DF260" s="299"/>
      <c r="DG260" s="299"/>
      <c r="DH260" s="299"/>
      <c r="DI260" s="299"/>
      <c r="DJ260" s="299"/>
      <c r="DK260" s="299"/>
      <c r="DL260" s="299"/>
      <c r="DM260" s="299"/>
      <c r="DN260" s="299"/>
      <c r="DO260" s="299"/>
      <c r="DP260" s="299"/>
      <c r="DQ260" s="299"/>
      <c r="DR260" s="299"/>
      <c r="DS260" s="299"/>
      <c r="DT260" s="299"/>
      <c r="DU260" s="299"/>
      <c r="DV260" s="299"/>
      <c r="DW260" s="299"/>
      <c r="DX260" s="299"/>
      <c r="DY260" s="299"/>
      <c r="DZ260" s="299"/>
      <c r="EA260" s="299"/>
      <c r="EB260" s="299"/>
      <c r="EC260" s="299"/>
      <c r="ED260" s="299"/>
      <c r="EE260" s="299"/>
      <c r="EF260" s="299"/>
      <c r="EG260" s="299"/>
      <c r="EH260" s="299"/>
      <c r="EI260" s="299"/>
      <c r="EJ260" s="299"/>
      <c r="EK260" s="299"/>
      <c r="EL260" s="299"/>
      <c r="EM260" s="299"/>
      <c r="EN260" s="299"/>
      <c r="EO260" s="299"/>
      <c r="EP260" s="299"/>
      <c r="EQ260" s="299"/>
      <c r="ER260" s="299"/>
      <c r="ES260" s="299"/>
      <c r="ET260" s="299"/>
      <c r="EU260" s="299"/>
      <c r="EV260" s="299"/>
      <c r="EW260" s="299"/>
      <c r="EX260" s="299"/>
      <c r="EY260" s="299"/>
      <c r="EZ260" s="299"/>
      <c r="FA260" s="299"/>
      <c r="FB260" s="299"/>
      <c r="FC260" s="299"/>
      <c r="FD260" s="299"/>
      <c r="FE260" s="299"/>
      <c r="FF260" s="299"/>
      <c r="FG260" s="299"/>
      <c r="FH260" s="299"/>
      <c r="FI260" s="299"/>
      <c r="FJ260" s="299"/>
      <c r="FK260" s="299"/>
      <c r="FL260" s="299"/>
      <c r="FM260" s="299"/>
      <c r="FN260" s="299"/>
      <c r="FO260" s="299"/>
      <c r="FP260" s="299"/>
      <c r="FQ260" s="299"/>
      <c r="FR260" s="299"/>
      <c r="FS260" s="299"/>
      <c r="FT260" s="299"/>
      <c r="FU260" s="299"/>
      <c r="FV260" s="299"/>
      <c r="FW260" s="299"/>
      <c r="FX260" s="299"/>
      <c r="FY260" s="299"/>
      <c r="FZ260" s="299"/>
      <c r="GA260" s="299"/>
      <c r="GB260" s="299"/>
      <c r="GC260" s="299"/>
      <c r="GD260" s="299"/>
      <c r="GE260" s="299"/>
    </row>
    <row r="261" spans="2:187" s="149" customFormat="1">
      <c r="B261" s="291">
        <v>255</v>
      </c>
      <c r="C261" s="414" t="s">
        <v>430</v>
      </c>
      <c r="D261" s="414" t="s">
        <v>687</v>
      </c>
      <c r="E261" s="413" t="s">
        <v>224</v>
      </c>
      <c r="F261" s="414" t="s">
        <v>180</v>
      </c>
      <c r="G261" s="418">
        <v>14</v>
      </c>
      <c r="H261" s="415">
        <v>1400000</v>
      </c>
      <c r="I261" s="292">
        <f t="shared" si="3"/>
        <v>262500</v>
      </c>
      <c r="J261" s="326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  <c r="AA261" s="299"/>
      <c r="AB261" s="299"/>
      <c r="AC261" s="299"/>
      <c r="AD261" s="299"/>
      <c r="AE261" s="299"/>
      <c r="AF261" s="299"/>
      <c r="AG261" s="299"/>
      <c r="AH261" s="299"/>
      <c r="AI261" s="299"/>
      <c r="AJ261" s="299"/>
      <c r="AK261" s="299"/>
      <c r="AL261" s="299"/>
      <c r="AM261" s="299"/>
      <c r="AN261" s="299"/>
      <c r="AO261" s="299"/>
      <c r="AP261" s="299"/>
      <c r="AQ261" s="299"/>
      <c r="AR261" s="299"/>
      <c r="AS261" s="299"/>
      <c r="AT261" s="299"/>
      <c r="AU261" s="299"/>
      <c r="AV261" s="299"/>
      <c r="AW261" s="299"/>
      <c r="AX261" s="299"/>
      <c r="AY261" s="299"/>
      <c r="AZ261" s="299"/>
      <c r="BA261" s="299"/>
      <c r="BB261" s="299"/>
      <c r="BC261" s="299"/>
      <c r="BD261" s="299"/>
      <c r="BE261" s="299"/>
      <c r="BF261" s="299"/>
      <c r="BG261" s="299"/>
      <c r="BH261" s="299"/>
      <c r="BI261" s="299"/>
      <c r="BJ261" s="299"/>
      <c r="BK261" s="299"/>
      <c r="BL261" s="299"/>
      <c r="BM261" s="299"/>
      <c r="BN261" s="299"/>
      <c r="BO261" s="299"/>
      <c r="BP261" s="299"/>
      <c r="BQ261" s="299"/>
      <c r="BR261" s="299"/>
      <c r="BS261" s="299"/>
      <c r="BT261" s="299"/>
      <c r="BU261" s="299"/>
      <c r="BV261" s="299"/>
      <c r="BW261" s="299"/>
      <c r="BX261" s="299"/>
      <c r="BY261" s="299"/>
      <c r="BZ261" s="299"/>
      <c r="CA261" s="299"/>
      <c r="CB261" s="299"/>
      <c r="CC261" s="299"/>
      <c r="CD261" s="299"/>
      <c r="CE261" s="299"/>
      <c r="CF261" s="299"/>
      <c r="CG261" s="299"/>
      <c r="CH261" s="299"/>
      <c r="CI261" s="299"/>
      <c r="CJ261" s="299"/>
      <c r="CK261" s="299"/>
      <c r="CL261" s="299"/>
      <c r="CM261" s="299"/>
      <c r="CN261" s="299"/>
      <c r="CO261" s="299"/>
      <c r="CP261" s="299"/>
      <c r="CQ261" s="299"/>
      <c r="CR261" s="299"/>
      <c r="CS261" s="299"/>
      <c r="CT261" s="299"/>
      <c r="CU261" s="299"/>
      <c r="CV261" s="299"/>
      <c r="CW261" s="299"/>
      <c r="CX261" s="299"/>
      <c r="CY261" s="299"/>
      <c r="CZ261" s="299"/>
      <c r="DA261" s="299"/>
      <c r="DB261" s="299"/>
      <c r="DC261" s="299"/>
      <c r="DD261" s="299"/>
      <c r="DE261" s="299"/>
      <c r="DF261" s="299"/>
      <c r="DG261" s="299"/>
      <c r="DH261" s="299"/>
      <c r="DI261" s="299"/>
      <c r="DJ261" s="299"/>
      <c r="DK261" s="299"/>
      <c r="DL261" s="299"/>
      <c r="DM261" s="299"/>
      <c r="DN261" s="299"/>
      <c r="DO261" s="299"/>
      <c r="DP261" s="299"/>
      <c r="DQ261" s="299"/>
      <c r="DR261" s="299"/>
      <c r="DS261" s="299"/>
      <c r="DT261" s="299"/>
      <c r="DU261" s="299"/>
      <c r="DV261" s="299"/>
      <c r="DW261" s="299"/>
      <c r="DX261" s="299"/>
      <c r="DY261" s="299"/>
      <c r="DZ261" s="299"/>
      <c r="EA261" s="299"/>
      <c r="EB261" s="299"/>
      <c r="EC261" s="299"/>
      <c r="ED261" s="299"/>
      <c r="EE261" s="299"/>
      <c r="EF261" s="299"/>
      <c r="EG261" s="299"/>
      <c r="EH261" s="299"/>
      <c r="EI261" s="299"/>
      <c r="EJ261" s="299"/>
      <c r="EK261" s="299"/>
      <c r="EL261" s="299"/>
      <c r="EM261" s="299"/>
      <c r="EN261" s="299"/>
      <c r="EO261" s="299"/>
      <c r="EP261" s="299"/>
      <c r="EQ261" s="299"/>
      <c r="ER261" s="299"/>
      <c r="ES261" s="299"/>
      <c r="ET261" s="299"/>
      <c r="EU261" s="299"/>
      <c r="EV261" s="299"/>
      <c r="EW261" s="299"/>
      <c r="EX261" s="299"/>
      <c r="EY261" s="299"/>
      <c r="EZ261" s="299"/>
      <c r="FA261" s="299"/>
      <c r="FB261" s="299"/>
      <c r="FC261" s="299"/>
      <c r="FD261" s="299"/>
      <c r="FE261" s="299"/>
      <c r="FF261" s="299"/>
      <c r="FG261" s="299"/>
      <c r="FH261" s="299"/>
      <c r="FI261" s="299"/>
      <c r="FJ261" s="299"/>
      <c r="FK261" s="299"/>
      <c r="FL261" s="299"/>
      <c r="FM261" s="299"/>
      <c r="FN261" s="299"/>
      <c r="FO261" s="299"/>
      <c r="FP261" s="299"/>
      <c r="FQ261" s="299"/>
      <c r="FR261" s="299"/>
      <c r="FS261" s="299"/>
      <c r="FT261" s="299"/>
      <c r="FU261" s="299"/>
      <c r="FV261" s="299"/>
      <c r="FW261" s="299"/>
      <c r="FX261" s="299"/>
      <c r="FY261" s="299"/>
      <c r="FZ261" s="299"/>
      <c r="GA261" s="299"/>
      <c r="GB261" s="299"/>
      <c r="GC261" s="299"/>
      <c r="GD261" s="299"/>
      <c r="GE261" s="299"/>
    </row>
    <row r="262" spans="2:187" s="149" customFormat="1" ht="14.25" customHeight="1">
      <c r="B262" s="291">
        <v>256</v>
      </c>
      <c r="C262" s="414" t="s">
        <v>390</v>
      </c>
      <c r="D262" s="414" t="s">
        <v>610</v>
      </c>
      <c r="E262" s="413" t="s">
        <v>211</v>
      </c>
      <c r="F262" s="414" t="s">
        <v>180</v>
      </c>
      <c r="G262" s="418">
        <v>5</v>
      </c>
      <c r="H262" s="415">
        <v>500000</v>
      </c>
      <c r="I262" s="292">
        <f t="shared" si="3"/>
        <v>93750</v>
      </c>
      <c r="J262" s="326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  <c r="AA262" s="299"/>
      <c r="AB262" s="299"/>
      <c r="AC262" s="299"/>
      <c r="AD262" s="299"/>
      <c r="AE262" s="299"/>
      <c r="AF262" s="299"/>
      <c r="AG262" s="299"/>
      <c r="AH262" s="299"/>
      <c r="AI262" s="299"/>
      <c r="AJ262" s="299"/>
      <c r="AK262" s="299"/>
      <c r="AL262" s="299"/>
      <c r="AM262" s="299"/>
      <c r="AN262" s="299"/>
      <c r="AO262" s="299"/>
      <c r="AP262" s="299"/>
      <c r="AQ262" s="299"/>
      <c r="AR262" s="299"/>
      <c r="AS262" s="299"/>
      <c r="AT262" s="299"/>
      <c r="AU262" s="299"/>
      <c r="AV262" s="299"/>
      <c r="AW262" s="299"/>
      <c r="AX262" s="299"/>
      <c r="AY262" s="299"/>
      <c r="AZ262" s="299"/>
      <c r="BA262" s="299"/>
      <c r="BB262" s="299"/>
      <c r="BC262" s="299"/>
      <c r="BD262" s="299"/>
      <c r="BE262" s="299"/>
      <c r="BF262" s="299"/>
      <c r="BG262" s="299"/>
      <c r="BH262" s="299"/>
      <c r="BI262" s="299"/>
      <c r="BJ262" s="299"/>
      <c r="BK262" s="299"/>
      <c r="BL262" s="299"/>
      <c r="BM262" s="299"/>
      <c r="BN262" s="299"/>
      <c r="BO262" s="299"/>
      <c r="BP262" s="299"/>
      <c r="BQ262" s="299"/>
      <c r="BR262" s="299"/>
      <c r="BS262" s="299"/>
      <c r="BT262" s="299"/>
      <c r="BU262" s="299"/>
      <c r="BV262" s="299"/>
      <c r="BW262" s="299"/>
      <c r="BX262" s="299"/>
      <c r="BY262" s="299"/>
      <c r="BZ262" s="299"/>
      <c r="CA262" s="299"/>
      <c r="CB262" s="299"/>
      <c r="CC262" s="299"/>
      <c r="CD262" s="299"/>
      <c r="CE262" s="299"/>
      <c r="CF262" s="299"/>
      <c r="CG262" s="299"/>
      <c r="CH262" s="299"/>
      <c r="CI262" s="299"/>
      <c r="CJ262" s="299"/>
      <c r="CK262" s="299"/>
      <c r="CL262" s="299"/>
      <c r="CM262" s="299"/>
      <c r="CN262" s="299"/>
      <c r="CO262" s="299"/>
      <c r="CP262" s="299"/>
      <c r="CQ262" s="299"/>
      <c r="CR262" s="299"/>
      <c r="CS262" s="299"/>
      <c r="CT262" s="299"/>
      <c r="CU262" s="299"/>
      <c r="CV262" s="299"/>
      <c r="CW262" s="299"/>
      <c r="CX262" s="299"/>
      <c r="CY262" s="299"/>
      <c r="CZ262" s="299"/>
      <c r="DA262" s="299"/>
      <c r="DB262" s="299"/>
      <c r="DC262" s="299"/>
      <c r="DD262" s="299"/>
      <c r="DE262" s="299"/>
      <c r="DF262" s="299"/>
      <c r="DG262" s="299"/>
      <c r="DH262" s="299"/>
      <c r="DI262" s="299"/>
      <c r="DJ262" s="299"/>
      <c r="DK262" s="299"/>
      <c r="DL262" s="299"/>
      <c r="DM262" s="299"/>
      <c r="DN262" s="299"/>
      <c r="DO262" s="299"/>
      <c r="DP262" s="299"/>
      <c r="DQ262" s="299"/>
      <c r="DR262" s="299"/>
      <c r="DS262" s="299"/>
      <c r="DT262" s="299"/>
      <c r="DU262" s="299"/>
      <c r="DV262" s="299"/>
      <c r="DW262" s="299"/>
      <c r="DX262" s="299"/>
      <c r="DY262" s="299"/>
      <c r="DZ262" s="299"/>
      <c r="EA262" s="299"/>
      <c r="EB262" s="299"/>
      <c r="EC262" s="299"/>
      <c r="ED262" s="299"/>
      <c r="EE262" s="299"/>
      <c r="EF262" s="299"/>
      <c r="EG262" s="299"/>
      <c r="EH262" s="299"/>
      <c r="EI262" s="299"/>
      <c r="EJ262" s="299"/>
      <c r="EK262" s="299"/>
      <c r="EL262" s="299"/>
      <c r="EM262" s="299"/>
      <c r="EN262" s="299"/>
      <c r="EO262" s="299"/>
      <c r="EP262" s="299"/>
      <c r="EQ262" s="299"/>
      <c r="ER262" s="299"/>
      <c r="ES262" s="299"/>
      <c r="ET262" s="299"/>
      <c r="EU262" s="299"/>
      <c r="EV262" s="299"/>
      <c r="EW262" s="299"/>
      <c r="EX262" s="299"/>
      <c r="EY262" s="299"/>
      <c r="EZ262" s="299"/>
      <c r="FA262" s="299"/>
      <c r="FB262" s="299"/>
      <c r="FC262" s="299"/>
      <c r="FD262" s="299"/>
      <c r="FE262" s="299"/>
      <c r="FF262" s="299"/>
      <c r="FG262" s="299"/>
      <c r="FH262" s="299"/>
      <c r="FI262" s="299"/>
      <c r="FJ262" s="299"/>
      <c r="FK262" s="299"/>
      <c r="FL262" s="299"/>
      <c r="FM262" s="299"/>
      <c r="FN262" s="299"/>
      <c r="FO262" s="299"/>
      <c r="FP262" s="299"/>
      <c r="FQ262" s="299"/>
      <c r="FR262" s="299"/>
      <c r="FS262" s="299"/>
      <c r="FT262" s="299"/>
      <c r="FU262" s="299"/>
      <c r="FV262" s="299"/>
      <c r="FW262" s="299"/>
      <c r="FX262" s="299"/>
      <c r="FY262" s="299"/>
      <c r="FZ262" s="299"/>
      <c r="GA262" s="299"/>
      <c r="GB262" s="299"/>
      <c r="GC262" s="299"/>
      <c r="GD262" s="299"/>
      <c r="GE262" s="299"/>
    </row>
    <row r="263" spans="2:187" s="149" customFormat="1">
      <c r="B263" s="291">
        <v>257</v>
      </c>
      <c r="C263" s="414" t="s">
        <v>430</v>
      </c>
      <c r="D263" s="414" t="s">
        <v>335</v>
      </c>
      <c r="E263" s="413" t="s">
        <v>336</v>
      </c>
      <c r="F263" s="414" t="s">
        <v>180</v>
      </c>
      <c r="G263" s="418">
        <v>8</v>
      </c>
      <c r="H263" s="415">
        <v>800000</v>
      </c>
      <c r="I263" s="292">
        <f t="shared" si="3"/>
        <v>150000</v>
      </c>
      <c r="J263" s="326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  <c r="AA263" s="299"/>
      <c r="AB263" s="299"/>
      <c r="AC263" s="299"/>
      <c r="AD263" s="299"/>
      <c r="AE263" s="299"/>
      <c r="AF263" s="299"/>
      <c r="AG263" s="299"/>
      <c r="AH263" s="299"/>
      <c r="AI263" s="299"/>
      <c r="AJ263" s="299"/>
      <c r="AK263" s="299"/>
      <c r="AL263" s="299"/>
      <c r="AM263" s="299"/>
      <c r="AN263" s="299"/>
      <c r="AO263" s="299"/>
      <c r="AP263" s="299"/>
      <c r="AQ263" s="299"/>
      <c r="AR263" s="299"/>
      <c r="AS263" s="299"/>
      <c r="AT263" s="299"/>
      <c r="AU263" s="299"/>
      <c r="AV263" s="299"/>
      <c r="AW263" s="299"/>
      <c r="AX263" s="299"/>
      <c r="AY263" s="299"/>
      <c r="AZ263" s="299"/>
      <c r="BA263" s="299"/>
      <c r="BB263" s="299"/>
      <c r="BC263" s="299"/>
      <c r="BD263" s="299"/>
      <c r="BE263" s="299"/>
      <c r="BF263" s="299"/>
      <c r="BG263" s="299"/>
      <c r="BH263" s="299"/>
      <c r="BI263" s="299"/>
      <c r="BJ263" s="299"/>
      <c r="BK263" s="299"/>
      <c r="BL263" s="299"/>
      <c r="BM263" s="299"/>
      <c r="BN263" s="299"/>
      <c r="BO263" s="299"/>
      <c r="BP263" s="299"/>
      <c r="BQ263" s="299"/>
      <c r="BR263" s="299"/>
      <c r="BS263" s="299"/>
      <c r="BT263" s="299"/>
      <c r="BU263" s="299"/>
      <c r="BV263" s="299"/>
      <c r="BW263" s="299"/>
      <c r="BX263" s="299"/>
      <c r="BY263" s="299"/>
      <c r="BZ263" s="299"/>
      <c r="CA263" s="299"/>
      <c r="CB263" s="299"/>
      <c r="CC263" s="299"/>
      <c r="CD263" s="299"/>
      <c r="CE263" s="299"/>
      <c r="CF263" s="299"/>
      <c r="CG263" s="299"/>
      <c r="CH263" s="299"/>
      <c r="CI263" s="299"/>
      <c r="CJ263" s="299"/>
      <c r="CK263" s="299"/>
      <c r="CL263" s="299"/>
      <c r="CM263" s="299"/>
      <c r="CN263" s="299"/>
      <c r="CO263" s="299"/>
      <c r="CP263" s="299"/>
      <c r="CQ263" s="299"/>
      <c r="CR263" s="299"/>
      <c r="CS263" s="299"/>
      <c r="CT263" s="299"/>
      <c r="CU263" s="299"/>
      <c r="CV263" s="299"/>
      <c r="CW263" s="299"/>
      <c r="CX263" s="299"/>
      <c r="CY263" s="299"/>
      <c r="CZ263" s="299"/>
      <c r="DA263" s="299"/>
      <c r="DB263" s="299"/>
      <c r="DC263" s="299"/>
      <c r="DD263" s="299"/>
      <c r="DE263" s="299"/>
      <c r="DF263" s="299"/>
      <c r="DG263" s="299"/>
      <c r="DH263" s="299"/>
      <c r="DI263" s="299"/>
      <c r="DJ263" s="299"/>
      <c r="DK263" s="299"/>
      <c r="DL263" s="299"/>
      <c r="DM263" s="299"/>
      <c r="DN263" s="299"/>
      <c r="DO263" s="299"/>
      <c r="DP263" s="299"/>
      <c r="DQ263" s="299"/>
      <c r="DR263" s="299"/>
      <c r="DS263" s="299"/>
      <c r="DT263" s="299"/>
      <c r="DU263" s="299"/>
      <c r="DV263" s="299"/>
      <c r="DW263" s="299"/>
      <c r="DX263" s="299"/>
      <c r="DY263" s="299"/>
      <c r="DZ263" s="299"/>
      <c r="EA263" s="299"/>
      <c r="EB263" s="299"/>
      <c r="EC263" s="299"/>
      <c r="ED263" s="299"/>
      <c r="EE263" s="299"/>
      <c r="EF263" s="299"/>
      <c r="EG263" s="299"/>
      <c r="EH263" s="299"/>
      <c r="EI263" s="299"/>
      <c r="EJ263" s="299"/>
      <c r="EK263" s="299"/>
      <c r="EL263" s="299"/>
      <c r="EM263" s="299"/>
      <c r="EN263" s="299"/>
      <c r="EO263" s="299"/>
      <c r="EP263" s="299"/>
      <c r="EQ263" s="299"/>
      <c r="ER263" s="299"/>
      <c r="ES263" s="299"/>
      <c r="ET263" s="299"/>
      <c r="EU263" s="299"/>
      <c r="EV263" s="299"/>
      <c r="EW263" s="299"/>
      <c r="EX263" s="299"/>
      <c r="EY263" s="299"/>
      <c r="EZ263" s="299"/>
      <c r="FA263" s="299"/>
      <c r="FB263" s="299"/>
      <c r="FC263" s="299"/>
      <c r="FD263" s="299"/>
      <c r="FE263" s="299"/>
      <c r="FF263" s="299"/>
      <c r="FG263" s="299"/>
      <c r="FH263" s="299"/>
      <c r="FI263" s="299"/>
      <c r="FJ263" s="299"/>
      <c r="FK263" s="299"/>
      <c r="FL263" s="299"/>
      <c r="FM263" s="299"/>
      <c r="FN263" s="299"/>
      <c r="FO263" s="299"/>
      <c r="FP263" s="299"/>
      <c r="FQ263" s="299"/>
      <c r="FR263" s="299"/>
      <c r="FS263" s="299"/>
      <c r="FT263" s="299"/>
      <c r="FU263" s="299"/>
      <c r="FV263" s="299"/>
      <c r="FW263" s="299"/>
      <c r="FX263" s="299"/>
      <c r="FY263" s="299"/>
      <c r="FZ263" s="299"/>
      <c r="GA263" s="299"/>
      <c r="GB263" s="299"/>
      <c r="GC263" s="299"/>
      <c r="GD263" s="299"/>
      <c r="GE263" s="299"/>
    </row>
    <row r="264" spans="2:187" s="149" customFormat="1">
      <c r="B264" s="291">
        <v>258</v>
      </c>
      <c r="C264" s="414" t="s">
        <v>396</v>
      </c>
      <c r="D264" s="414" t="s">
        <v>734</v>
      </c>
      <c r="E264" s="413" t="s">
        <v>181</v>
      </c>
      <c r="F264" s="414" t="s">
        <v>180</v>
      </c>
      <c r="G264" s="418">
        <v>9</v>
      </c>
      <c r="H264" s="415">
        <v>900000</v>
      </c>
      <c r="I264" s="292">
        <f t="shared" ref="I264:I327" si="4">H264*25%*75%</f>
        <v>168750</v>
      </c>
      <c r="J264" s="326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  <c r="AA264" s="299"/>
      <c r="AB264" s="299"/>
      <c r="AC264" s="299"/>
      <c r="AD264" s="299"/>
      <c r="AE264" s="299"/>
      <c r="AF264" s="299"/>
      <c r="AG264" s="299"/>
      <c r="AH264" s="299"/>
      <c r="AI264" s="299"/>
      <c r="AJ264" s="299"/>
      <c r="AK264" s="299"/>
      <c r="AL264" s="299"/>
      <c r="AM264" s="299"/>
      <c r="AN264" s="299"/>
      <c r="AO264" s="299"/>
      <c r="AP264" s="299"/>
      <c r="AQ264" s="299"/>
      <c r="AR264" s="299"/>
      <c r="AS264" s="299"/>
      <c r="AT264" s="299"/>
      <c r="AU264" s="299"/>
      <c r="AV264" s="299"/>
      <c r="AW264" s="299"/>
      <c r="AX264" s="299"/>
      <c r="AY264" s="299"/>
      <c r="AZ264" s="299"/>
      <c r="BA264" s="299"/>
      <c r="BB264" s="299"/>
      <c r="BC264" s="299"/>
      <c r="BD264" s="299"/>
      <c r="BE264" s="299"/>
      <c r="BF264" s="299"/>
      <c r="BG264" s="299"/>
      <c r="BH264" s="299"/>
      <c r="BI264" s="299"/>
      <c r="BJ264" s="299"/>
      <c r="BK264" s="299"/>
      <c r="BL264" s="299"/>
      <c r="BM264" s="299"/>
      <c r="BN264" s="299"/>
      <c r="BO264" s="299"/>
      <c r="BP264" s="299"/>
      <c r="BQ264" s="299"/>
      <c r="BR264" s="299"/>
      <c r="BS264" s="299"/>
      <c r="BT264" s="299"/>
      <c r="BU264" s="299"/>
      <c r="BV264" s="299"/>
      <c r="BW264" s="299"/>
      <c r="BX264" s="299"/>
      <c r="BY264" s="299"/>
      <c r="BZ264" s="299"/>
      <c r="CA264" s="299"/>
      <c r="CB264" s="299"/>
      <c r="CC264" s="299"/>
      <c r="CD264" s="299"/>
      <c r="CE264" s="299"/>
      <c r="CF264" s="299"/>
      <c r="CG264" s="299"/>
      <c r="CH264" s="299"/>
      <c r="CI264" s="299"/>
      <c r="CJ264" s="299"/>
      <c r="CK264" s="299"/>
      <c r="CL264" s="299"/>
      <c r="CM264" s="299"/>
      <c r="CN264" s="299"/>
      <c r="CO264" s="299"/>
      <c r="CP264" s="299"/>
      <c r="CQ264" s="299"/>
      <c r="CR264" s="299"/>
      <c r="CS264" s="299"/>
      <c r="CT264" s="299"/>
      <c r="CU264" s="299"/>
      <c r="CV264" s="299"/>
      <c r="CW264" s="299"/>
      <c r="CX264" s="299"/>
      <c r="CY264" s="299"/>
      <c r="CZ264" s="299"/>
      <c r="DA264" s="299"/>
      <c r="DB264" s="299"/>
      <c r="DC264" s="299"/>
      <c r="DD264" s="299"/>
      <c r="DE264" s="299"/>
      <c r="DF264" s="299"/>
      <c r="DG264" s="299"/>
      <c r="DH264" s="299"/>
      <c r="DI264" s="299"/>
      <c r="DJ264" s="299"/>
      <c r="DK264" s="299"/>
      <c r="DL264" s="299"/>
      <c r="DM264" s="299"/>
      <c r="DN264" s="299"/>
      <c r="DO264" s="299"/>
      <c r="DP264" s="299"/>
      <c r="DQ264" s="299"/>
      <c r="DR264" s="299"/>
      <c r="DS264" s="299"/>
      <c r="DT264" s="299"/>
      <c r="DU264" s="299"/>
      <c r="DV264" s="299"/>
      <c r="DW264" s="299"/>
      <c r="DX264" s="299"/>
      <c r="DY264" s="299"/>
      <c r="DZ264" s="299"/>
      <c r="EA264" s="299"/>
      <c r="EB264" s="299"/>
      <c r="EC264" s="299"/>
      <c r="ED264" s="299"/>
      <c r="EE264" s="299"/>
      <c r="EF264" s="299"/>
      <c r="EG264" s="299"/>
      <c r="EH264" s="299"/>
      <c r="EI264" s="299"/>
      <c r="EJ264" s="299"/>
      <c r="EK264" s="299"/>
      <c r="EL264" s="299"/>
      <c r="EM264" s="299"/>
      <c r="EN264" s="299"/>
      <c r="EO264" s="299"/>
      <c r="EP264" s="299"/>
      <c r="EQ264" s="299"/>
      <c r="ER264" s="299"/>
      <c r="ES264" s="299"/>
      <c r="ET264" s="299"/>
      <c r="EU264" s="299"/>
      <c r="EV264" s="299"/>
      <c r="EW264" s="299"/>
      <c r="EX264" s="299"/>
      <c r="EY264" s="299"/>
      <c r="EZ264" s="299"/>
      <c r="FA264" s="299"/>
      <c r="FB264" s="299"/>
      <c r="FC264" s="299"/>
      <c r="FD264" s="299"/>
      <c r="FE264" s="299"/>
      <c r="FF264" s="299"/>
      <c r="FG264" s="299"/>
      <c r="FH264" s="299"/>
      <c r="FI264" s="299"/>
      <c r="FJ264" s="299"/>
      <c r="FK264" s="299"/>
      <c r="FL264" s="299"/>
      <c r="FM264" s="299"/>
      <c r="FN264" s="299"/>
      <c r="FO264" s="299"/>
      <c r="FP264" s="299"/>
      <c r="FQ264" s="299"/>
      <c r="FR264" s="299"/>
      <c r="FS264" s="299"/>
      <c r="FT264" s="299"/>
      <c r="FU264" s="299"/>
      <c r="FV264" s="299"/>
      <c r="FW264" s="299"/>
      <c r="FX264" s="299"/>
      <c r="FY264" s="299"/>
      <c r="FZ264" s="299"/>
      <c r="GA264" s="299"/>
      <c r="GB264" s="299"/>
      <c r="GC264" s="299"/>
      <c r="GD264" s="299"/>
      <c r="GE264" s="299"/>
    </row>
    <row r="265" spans="2:187" s="149" customFormat="1">
      <c r="B265" s="291">
        <v>259</v>
      </c>
      <c r="C265" s="414" t="s">
        <v>571</v>
      </c>
      <c r="D265" s="414" t="s">
        <v>660</v>
      </c>
      <c r="E265" s="413" t="s">
        <v>190</v>
      </c>
      <c r="F265" s="414" t="s">
        <v>182</v>
      </c>
      <c r="G265" s="418">
        <v>1</v>
      </c>
      <c r="H265" s="415">
        <v>100000</v>
      </c>
      <c r="I265" s="292">
        <f t="shared" si="4"/>
        <v>18750</v>
      </c>
      <c r="J265" s="326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  <c r="AA265" s="299"/>
      <c r="AB265" s="299"/>
      <c r="AC265" s="299"/>
      <c r="AD265" s="299"/>
      <c r="AE265" s="299"/>
      <c r="AF265" s="299"/>
      <c r="AG265" s="299"/>
      <c r="AH265" s="299"/>
      <c r="AI265" s="299"/>
      <c r="AJ265" s="299"/>
      <c r="AK265" s="299"/>
      <c r="AL265" s="299"/>
      <c r="AM265" s="299"/>
      <c r="AN265" s="299"/>
      <c r="AO265" s="299"/>
      <c r="AP265" s="299"/>
      <c r="AQ265" s="299"/>
      <c r="AR265" s="299"/>
      <c r="AS265" s="299"/>
      <c r="AT265" s="299"/>
      <c r="AU265" s="299"/>
      <c r="AV265" s="299"/>
      <c r="AW265" s="299"/>
      <c r="AX265" s="299"/>
      <c r="AY265" s="299"/>
      <c r="AZ265" s="299"/>
      <c r="BA265" s="299"/>
      <c r="BB265" s="299"/>
      <c r="BC265" s="299"/>
      <c r="BD265" s="299"/>
      <c r="BE265" s="299"/>
      <c r="BF265" s="299"/>
      <c r="BG265" s="299"/>
      <c r="BH265" s="299"/>
      <c r="BI265" s="299"/>
      <c r="BJ265" s="299"/>
      <c r="BK265" s="299"/>
      <c r="BL265" s="299"/>
      <c r="BM265" s="299"/>
      <c r="BN265" s="299"/>
      <c r="BO265" s="299"/>
      <c r="BP265" s="299"/>
      <c r="BQ265" s="299"/>
      <c r="BR265" s="299"/>
      <c r="BS265" s="299"/>
      <c r="BT265" s="299"/>
      <c r="BU265" s="299"/>
      <c r="BV265" s="299"/>
      <c r="BW265" s="299"/>
      <c r="BX265" s="299"/>
      <c r="BY265" s="299"/>
      <c r="BZ265" s="299"/>
      <c r="CA265" s="299"/>
      <c r="CB265" s="299"/>
      <c r="CC265" s="299"/>
      <c r="CD265" s="299"/>
      <c r="CE265" s="299"/>
      <c r="CF265" s="299"/>
      <c r="CG265" s="299"/>
      <c r="CH265" s="299"/>
      <c r="CI265" s="299"/>
      <c r="CJ265" s="299"/>
      <c r="CK265" s="299"/>
      <c r="CL265" s="299"/>
      <c r="CM265" s="299"/>
      <c r="CN265" s="299"/>
      <c r="CO265" s="299"/>
      <c r="CP265" s="299"/>
      <c r="CQ265" s="299"/>
      <c r="CR265" s="299"/>
      <c r="CS265" s="299"/>
      <c r="CT265" s="299"/>
      <c r="CU265" s="299"/>
      <c r="CV265" s="299"/>
      <c r="CW265" s="299"/>
      <c r="CX265" s="299"/>
      <c r="CY265" s="299"/>
      <c r="CZ265" s="299"/>
      <c r="DA265" s="299"/>
      <c r="DB265" s="299"/>
      <c r="DC265" s="299"/>
      <c r="DD265" s="299"/>
      <c r="DE265" s="299"/>
      <c r="DF265" s="299"/>
      <c r="DG265" s="299"/>
      <c r="DH265" s="299"/>
      <c r="DI265" s="299"/>
      <c r="DJ265" s="299"/>
      <c r="DK265" s="299"/>
      <c r="DL265" s="299"/>
      <c r="DM265" s="299"/>
      <c r="DN265" s="299"/>
      <c r="DO265" s="299"/>
      <c r="DP265" s="299"/>
      <c r="DQ265" s="299"/>
      <c r="DR265" s="299"/>
      <c r="DS265" s="299"/>
      <c r="DT265" s="299"/>
      <c r="DU265" s="299"/>
      <c r="DV265" s="299"/>
      <c r="DW265" s="299"/>
      <c r="DX265" s="299"/>
      <c r="DY265" s="299"/>
      <c r="DZ265" s="299"/>
      <c r="EA265" s="299"/>
      <c r="EB265" s="299"/>
      <c r="EC265" s="299"/>
      <c r="ED265" s="299"/>
      <c r="EE265" s="299"/>
      <c r="EF265" s="299"/>
      <c r="EG265" s="299"/>
      <c r="EH265" s="299"/>
      <c r="EI265" s="299"/>
      <c r="EJ265" s="299"/>
      <c r="EK265" s="299"/>
      <c r="EL265" s="299"/>
      <c r="EM265" s="299"/>
      <c r="EN265" s="299"/>
      <c r="EO265" s="299"/>
      <c r="EP265" s="299"/>
      <c r="EQ265" s="299"/>
      <c r="ER265" s="299"/>
      <c r="ES265" s="299"/>
      <c r="ET265" s="299"/>
      <c r="EU265" s="299"/>
      <c r="EV265" s="299"/>
      <c r="EW265" s="299"/>
      <c r="EX265" s="299"/>
      <c r="EY265" s="299"/>
      <c r="EZ265" s="299"/>
      <c r="FA265" s="299"/>
      <c r="FB265" s="299"/>
      <c r="FC265" s="299"/>
      <c r="FD265" s="299"/>
      <c r="FE265" s="299"/>
      <c r="FF265" s="299"/>
      <c r="FG265" s="299"/>
      <c r="FH265" s="299"/>
      <c r="FI265" s="299"/>
      <c r="FJ265" s="299"/>
      <c r="FK265" s="299"/>
      <c r="FL265" s="299"/>
      <c r="FM265" s="299"/>
      <c r="FN265" s="299"/>
      <c r="FO265" s="299"/>
      <c r="FP265" s="299"/>
      <c r="FQ265" s="299"/>
      <c r="FR265" s="299"/>
      <c r="FS265" s="299"/>
      <c r="FT265" s="299"/>
      <c r="FU265" s="299"/>
      <c r="FV265" s="299"/>
      <c r="FW265" s="299"/>
      <c r="FX265" s="299"/>
      <c r="FY265" s="299"/>
      <c r="FZ265" s="299"/>
      <c r="GA265" s="299"/>
      <c r="GB265" s="299"/>
      <c r="GC265" s="299"/>
      <c r="GD265" s="299"/>
      <c r="GE265" s="299"/>
    </row>
    <row r="266" spans="2:187" s="149" customFormat="1">
      <c r="B266" s="291">
        <v>260</v>
      </c>
      <c r="C266" s="414" t="s">
        <v>508</v>
      </c>
      <c r="D266" s="414" t="s">
        <v>725</v>
      </c>
      <c r="E266" s="413" t="s">
        <v>216</v>
      </c>
      <c r="F266" s="414" t="s">
        <v>177</v>
      </c>
      <c r="G266" s="418">
        <v>2</v>
      </c>
      <c r="H266" s="415">
        <v>200000</v>
      </c>
      <c r="I266" s="292">
        <f t="shared" si="4"/>
        <v>37500</v>
      </c>
      <c r="J266" s="326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99"/>
      <c r="AB266" s="299"/>
      <c r="AC266" s="299"/>
      <c r="AD266" s="299"/>
      <c r="AE266" s="299"/>
      <c r="AF266" s="299"/>
      <c r="AG266" s="299"/>
      <c r="AH266" s="299"/>
      <c r="AI266" s="299"/>
      <c r="AJ266" s="299"/>
      <c r="AK266" s="299"/>
      <c r="AL266" s="299"/>
      <c r="AM266" s="299"/>
      <c r="AN266" s="299"/>
      <c r="AO266" s="299"/>
      <c r="AP266" s="299"/>
      <c r="AQ266" s="299"/>
      <c r="AR266" s="299"/>
      <c r="AS266" s="299"/>
      <c r="AT266" s="299"/>
      <c r="AU266" s="299"/>
      <c r="AV266" s="299"/>
      <c r="AW266" s="299"/>
      <c r="AX266" s="299"/>
      <c r="AY266" s="299"/>
      <c r="AZ266" s="299"/>
      <c r="BA266" s="299"/>
      <c r="BB266" s="299"/>
      <c r="BC266" s="299"/>
      <c r="BD266" s="299"/>
      <c r="BE266" s="299"/>
      <c r="BF266" s="299"/>
      <c r="BG266" s="299"/>
      <c r="BH266" s="299"/>
      <c r="BI266" s="299"/>
      <c r="BJ266" s="299"/>
      <c r="BK266" s="299"/>
      <c r="BL266" s="299"/>
      <c r="BM266" s="299"/>
      <c r="BN266" s="299"/>
      <c r="BO266" s="299"/>
      <c r="BP266" s="299"/>
      <c r="BQ266" s="299"/>
      <c r="BR266" s="299"/>
      <c r="BS266" s="299"/>
      <c r="BT266" s="299"/>
      <c r="BU266" s="299"/>
      <c r="BV266" s="299"/>
      <c r="BW266" s="299"/>
      <c r="BX266" s="299"/>
      <c r="BY266" s="299"/>
      <c r="BZ266" s="299"/>
      <c r="CA266" s="299"/>
      <c r="CB266" s="299"/>
      <c r="CC266" s="299"/>
      <c r="CD266" s="299"/>
      <c r="CE266" s="299"/>
      <c r="CF266" s="299"/>
      <c r="CG266" s="299"/>
      <c r="CH266" s="299"/>
      <c r="CI266" s="299"/>
      <c r="CJ266" s="299"/>
      <c r="CK266" s="299"/>
      <c r="CL266" s="299"/>
      <c r="CM266" s="299"/>
      <c r="CN266" s="299"/>
      <c r="CO266" s="299"/>
      <c r="CP266" s="299"/>
      <c r="CQ266" s="299"/>
      <c r="CR266" s="299"/>
      <c r="CS266" s="299"/>
      <c r="CT266" s="299"/>
      <c r="CU266" s="299"/>
      <c r="CV266" s="299"/>
      <c r="CW266" s="299"/>
      <c r="CX266" s="299"/>
      <c r="CY266" s="299"/>
      <c r="CZ266" s="299"/>
      <c r="DA266" s="299"/>
      <c r="DB266" s="299"/>
      <c r="DC266" s="299"/>
      <c r="DD266" s="299"/>
      <c r="DE266" s="299"/>
      <c r="DF266" s="299"/>
      <c r="DG266" s="299"/>
      <c r="DH266" s="299"/>
      <c r="DI266" s="299"/>
      <c r="DJ266" s="299"/>
      <c r="DK266" s="299"/>
      <c r="DL266" s="299"/>
      <c r="DM266" s="299"/>
      <c r="DN266" s="299"/>
      <c r="DO266" s="299"/>
      <c r="DP266" s="299"/>
      <c r="DQ266" s="299"/>
      <c r="DR266" s="299"/>
      <c r="DS266" s="299"/>
      <c r="DT266" s="299"/>
      <c r="DU266" s="299"/>
      <c r="DV266" s="299"/>
      <c r="DW266" s="299"/>
      <c r="DX266" s="299"/>
      <c r="DY266" s="299"/>
      <c r="DZ266" s="299"/>
      <c r="EA266" s="299"/>
      <c r="EB266" s="299"/>
      <c r="EC266" s="299"/>
      <c r="ED266" s="299"/>
      <c r="EE266" s="299"/>
      <c r="EF266" s="299"/>
      <c r="EG266" s="299"/>
      <c r="EH266" s="299"/>
      <c r="EI266" s="299"/>
      <c r="EJ266" s="299"/>
      <c r="EK266" s="299"/>
      <c r="EL266" s="299"/>
      <c r="EM266" s="299"/>
      <c r="EN266" s="299"/>
      <c r="EO266" s="299"/>
      <c r="EP266" s="299"/>
      <c r="EQ266" s="299"/>
      <c r="ER266" s="299"/>
      <c r="ES266" s="299"/>
      <c r="ET266" s="299"/>
      <c r="EU266" s="299"/>
      <c r="EV266" s="299"/>
      <c r="EW266" s="299"/>
      <c r="EX266" s="299"/>
      <c r="EY266" s="299"/>
      <c r="EZ266" s="299"/>
      <c r="FA266" s="299"/>
      <c r="FB266" s="299"/>
      <c r="FC266" s="299"/>
      <c r="FD266" s="299"/>
      <c r="FE266" s="299"/>
      <c r="FF266" s="299"/>
      <c r="FG266" s="299"/>
      <c r="FH266" s="299"/>
      <c r="FI266" s="299"/>
      <c r="FJ266" s="299"/>
      <c r="FK266" s="299"/>
      <c r="FL266" s="299"/>
      <c r="FM266" s="299"/>
      <c r="FN266" s="299"/>
      <c r="FO266" s="299"/>
      <c r="FP266" s="299"/>
      <c r="FQ266" s="299"/>
      <c r="FR266" s="299"/>
      <c r="FS266" s="299"/>
      <c r="FT266" s="299"/>
      <c r="FU266" s="299"/>
      <c r="FV266" s="299"/>
      <c r="FW266" s="299"/>
      <c r="FX266" s="299"/>
      <c r="FY266" s="299"/>
      <c r="FZ266" s="299"/>
      <c r="GA266" s="299"/>
      <c r="GB266" s="299"/>
      <c r="GC266" s="299"/>
      <c r="GD266" s="299"/>
      <c r="GE266" s="299"/>
    </row>
    <row r="267" spans="2:187" s="149" customFormat="1">
      <c r="B267" s="291">
        <v>261</v>
      </c>
      <c r="C267" s="414" t="s">
        <v>512</v>
      </c>
      <c r="D267" s="414" t="s">
        <v>693</v>
      </c>
      <c r="E267" s="413" t="s">
        <v>202</v>
      </c>
      <c r="F267" s="414" t="s">
        <v>180</v>
      </c>
      <c r="G267" s="418">
        <v>1</v>
      </c>
      <c r="H267" s="415">
        <v>100000</v>
      </c>
      <c r="I267" s="292">
        <f t="shared" si="4"/>
        <v>18750</v>
      </c>
      <c r="J267" s="326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  <c r="AA267" s="299"/>
      <c r="AB267" s="299"/>
      <c r="AC267" s="299"/>
      <c r="AD267" s="299"/>
      <c r="AE267" s="299"/>
      <c r="AF267" s="299"/>
      <c r="AG267" s="299"/>
      <c r="AH267" s="299"/>
      <c r="AI267" s="299"/>
      <c r="AJ267" s="299"/>
      <c r="AK267" s="299"/>
      <c r="AL267" s="299"/>
      <c r="AM267" s="299"/>
      <c r="AN267" s="299"/>
      <c r="AO267" s="299"/>
      <c r="AP267" s="299"/>
      <c r="AQ267" s="299"/>
      <c r="AR267" s="299"/>
      <c r="AS267" s="299"/>
      <c r="AT267" s="299"/>
      <c r="AU267" s="299"/>
      <c r="AV267" s="299"/>
      <c r="AW267" s="299"/>
      <c r="AX267" s="299"/>
      <c r="AY267" s="299"/>
      <c r="AZ267" s="299"/>
      <c r="BA267" s="299"/>
      <c r="BB267" s="299"/>
      <c r="BC267" s="299"/>
      <c r="BD267" s="299"/>
      <c r="BE267" s="299"/>
      <c r="BF267" s="299"/>
      <c r="BG267" s="299"/>
      <c r="BH267" s="299"/>
      <c r="BI267" s="299"/>
      <c r="BJ267" s="299"/>
      <c r="BK267" s="299"/>
      <c r="BL267" s="299"/>
      <c r="BM267" s="299"/>
      <c r="BN267" s="299"/>
      <c r="BO267" s="299"/>
      <c r="BP267" s="299"/>
      <c r="BQ267" s="299"/>
      <c r="BR267" s="299"/>
      <c r="BS267" s="299"/>
      <c r="BT267" s="299"/>
      <c r="BU267" s="299"/>
      <c r="BV267" s="299"/>
      <c r="BW267" s="299"/>
      <c r="BX267" s="299"/>
      <c r="BY267" s="299"/>
      <c r="BZ267" s="299"/>
      <c r="CA267" s="299"/>
      <c r="CB267" s="299"/>
      <c r="CC267" s="299"/>
      <c r="CD267" s="299"/>
      <c r="CE267" s="299"/>
      <c r="CF267" s="299"/>
      <c r="CG267" s="299"/>
      <c r="CH267" s="299"/>
      <c r="CI267" s="299"/>
      <c r="CJ267" s="299"/>
      <c r="CK267" s="299"/>
      <c r="CL267" s="299"/>
      <c r="CM267" s="299"/>
      <c r="CN267" s="299"/>
      <c r="CO267" s="299"/>
      <c r="CP267" s="299"/>
      <c r="CQ267" s="299"/>
      <c r="CR267" s="299"/>
      <c r="CS267" s="299"/>
      <c r="CT267" s="299"/>
      <c r="CU267" s="299"/>
      <c r="CV267" s="299"/>
      <c r="CW267" s="299"/>
      <c r="CX267" s="299"/>
      <c r="CY267" s="299"/>
      <c r="CZ267" s="299"/>
      <c r="DA267" s="299"/>
      <c r="DB267" s="299"/>
      <c r="DC267" s="299"/>
      <c r="DD267" s="299"/>
      <c r="DE267" s="299"/>
      <c r="DF267" s="299"/>
      <c r="DG267" s="299"/>
      <c r="DH267" s="299"/>
      <c r="DI267" s="299"/>
      <c r="DJ267" s="299"/>
      <c r="DK267" s="299"/>
      <c r="DL267" s="299"/>
      <c r="DM267" s="299"/>
      <c r="DN267" s="299"/>
      <c r="DO267" s="299"/>
      <c r="DP267" s="299"/>
      <c r="DQ267" s="299"/>
      <c r="DR267" s="299"/>
      <c r="DS267" s="299"/>
      <c r="DT267" s="299"/>
      <c r="DU267" s="299"/>
      <c r="DV267" s="299"/>
      <c r="DW267" s="299"/>
      <c r="DX267" s="299"/>
      <c r="DY267" s="299"/>
      <c r="DZ267" s="299"/>
      <c r="EA267" s="299"/>
      <c r="EB267" s="299"/>
      <c r="EC267" s="299"/>
      <c r="ED267" s="299"/>
      <c r="EE267" s="299"/>
      <c r="EF267" s="299"/>
      <c r="EG267" s="299"/>
      <c r="EH267" s="299"/>
      <c r="EI267" s="299"/>
      <c r="EJ267" s="299"/>
      <c r="EK267" s="299"/>
      <c r="EL267" s="299"/>
      <c r="EM267" s="299"/>
      <c r="EN267" s="299"/>
      <c r="EO267" s="299"/>
      <c r="EP267" s="299"/>
      <c r="EQ267" s="299"/>
      <c r="ER267" s="299"/>
      <c r="ES267" s="299"/>
      <c r="ET267" s="299"/>
      <c r="EU267" s="299"/>
      <c r="EV267" s="299"/>
      <c r="EW267" s="299"/>
      <c r="EX267" s="299"/>
      <c r="EY267" s="299"/>
      <c r="EZ267" s="299"/>
      <c r="FA267" s="299"/>
      <c r="FB267" s="299"/>
      <c r="FC267" s="299"/>
      <c r="FD267" s="299"/>
      <c r="FE267" s="299"/>
      <c r="FF267" s="299"/>
      <c r="FG267" s="299"/>
      <c r="FH267" s="299"/>
      <c r="FI267" s="299"/>
      <c r="FJ267" s="299"/>
      <c r="FK267" s="299"/>
      <c r="FL267" s="299"/>
      <c r="FM267" s="299"/>
      <c r="FN267" s="299"/>
      <c r="FO267" s="299"/>
      <c r="FP267" s="299"/>
      <c r="FQ267" s="299"/>
      <c r="FR267" s="299"/>
      <c r="FS267" s="299"/>
      <c r="FT267" s="299"/>
      <c r="FU267" s="299"/>
      <c r="FV267" s="299"/>
      <c r="FW267" s="299"/>
      <c r="FX267" s="299"/>
      <c r="FY267" s="299"/>
      <c r="FZ267" s="299"/>
      <c r="GA267" s="299"/>
      <c r="GB267" s="299"/>
      <c r="GC267" s="299"/>
      <c r="GD267" s="299"/>
      <c r="GE267" s="299"/>
    </row>
    <row r="268" spans="2:187" s="149" customFormat="1">
      <c r="B268" s="291">
        <v>262</v>
      </c>
      <c r="C268" s="414" t="s">
        <v>553</v>
      </c>
      <c r="D268" s="414" t="s">
        <v>654</v>
      </c>
      <c r="E268" s="413" t="s">
        <v>350</v>
      </c>
      <c r="F268" s="414" t="s">
        <v>177</v>
      </c>
      <c r="G268" s="418">
        <v>2</v>
      </c>
      <c r="H268" s="415">
        <v>200000</v>
      </c>
      <c r="I268" s="292">
        <f t="shared" si="4"/>
        <v>37500</v>
      </c>
      <c r="J268" s="238"/>
    </row>
    <row r="269" spans="2:187" s="149" customFormat="1">
      <c r="B269" s="291">
        <v>263</v>
      </c>
      <c r="C269" s="414" t="s">
        <v>551</v>
      </c>
      <c r="D269" s="414" t="s">
        <v>709</v>
      </c>
      <c r="E269" s="413" t="s">
        <v>207</v>
      </c>
      <c r="F269" s="414" t="s">
        <v>180</v>
      </c>
      <c r="G269" s="418">
        <v>2</v>
      </c>
      <c r="H269" s="415">
        <v>200000</v>
      </c>
      <c r="I269" s="292">
        <f t="shared" si="4"/>
        <v>37500</v>
      </c>
      <c r="J269" s="238"/>
    </row>
    <row r="270" spans="2:187" s="149" customFormat="1">
      <c r="B270" s="291">
        <v>264</v>
      </c>
      <c r="C270" s="414" t="s">
        <v>571</v>
      </c>
      <c r="D270" s="414" t="s">
        <v>735</v>
      </c>
      <c r="E270" s="413" t="s">
        <v>260</v>
      </c>
      <c r="F270" s="414" t="s">
        <v>177</v>
      </c>
      <c r="G270" s="418">
        <v>3</v>
      </c>
      <c r="H270" s="415">
        <v>300000</v>
      </c>
      <c r="I270" s="292">
        <f t="shared" si="4"/>
        <v>56250</v>
      </c>
      <c r="J270" s="238"/>
    </row>
    <row r="271" spans="2:187" s="149" customFormat="1">
      <c r="B271" s="291">
        <v>265</v>
      </c>
      <c r="C271" s="414" t="s">
        <v>512</v>
      </c>
      <c r="D271" s="414" t="s">
        <v>731</v>
      </c>
      <c r="E271" s="413" t="s">
        <v>235</v>
      </c>
      <c r="F271" s="414" t="s">
        <v>177</v>
      </c>
      <c r="G271" s="418">
        <v>7</v>
      </c>
      <c r="H271" s="415">
        <v>700000</v>
      </c>
      <c r="I271" s="292">
        <f t="shared" si="4"/>
        <v>131250</v>
      </c>
      <c r="J271" s="238"/>
    </row>
    <row r="272" spans="2:187" s="149" customFormat="1">
      <c r="B272" s="291">
        <v>266</v>
      </c>
      <c r="C272" s="414" t="s">
        <v>435</v>
      </c>
      <c r="D272" s="414" t="s">
        <v>333</v>
      </c>
      <c r="E272" s="413" t="s">
        <v>227</v>
      </c>
      <c r="F272" s="414" t="s">
        <v>177</v>
      </c>
      <c r="G272" s="418">
        <v>7</v>
      </c>
      <c r="H272" s="415">
        <v>700000</v>
      </c>
      <c r="I272" s="292">
        <f t="shared" si="4"/>
        <v>131250</v>
      </c>
      <c r="J272" s="238"/>
    </row>
    <row r="273" spans="2:187" s="149" customFormat="1">
      <c r="B273" s="291">
        <v>267</v>
      </c>
      <c r="C273" s="414" t="s">
        <v>544</v>
      </c>
      <c r="D273" s="414" t="s">
        <v>736</v>
      </c>
      <c r="E273" s="413" t="s">
        <v>231</v>
      </c>
      <c r="F273" s="414" t="s">
        <v>180</v>
      </c>
      <c r="G273" s="418">
        <v>2</v>
      </c>
      <c r="H273" s="415">
        <v>200000</v>
      </c>
      <c r="I273" s="292">
        <f t="shared" si="4"/>
        <v>37500</v>
      </c>
      <c r="J273" s="238"/>
    </row>
    <row r="274" spans="2:187" s="149" customFormat="1">
      <c r="B274" s="291">
        <v>268</v>
      </c>
      <c r="C274" s="414" t="s">
        <v>571</v>
      </c>
      <c r="D274" s="414" t="s">
        <v>645</v>
      </c>
      <c r="E274" s="413" t="s">
        <v>255</v>
      </c>
      <c r="F274" s="414" t="s">
        <v>182</v>
      </c>
      <c r="G274" s="418">
        <v>1</v>
      </c>
      <c r="H274" s="415">
        <v>40300</v>
      </c>
      <c r="I274" s="292">
        <f t="shared" si="4"/>
        <v>7556.25</v>
      </c>
      <c r="J274" s="238"/>
    </row>
    <row r="275" spans="2:187" s="149" customFormat="1">
      <c r="B275" s="291">
        <v>269</v>
      </c>
      <c r="C275" s="414" t="s">
        <v>544</v>
      </c>
      <c r="D275" s="414" t="s">
        <v>736</v>
      </c>
      <c r="E275" s="413" t="s">
        <v>231</v>
      </c>
      <c r="F275" s="414" t="s">
        <v>177</v>
      </c>
      <c r="G275" s="418">
        <v>2</v>
      </c>
      <c r="H275" s="415">
        <v>200000</v>
      </c>
      <c r="I275" s="292">
        <f t="shared" si="4"/>
        <v>37500</v>
      </c>
      <c r="J275" s="238"/>
    </row>
    <row r="276" spans="2:187" s="149" customFormat="1">
      <c r="B276" s="291">
        <v>270</v>
      </c>
      <c r="C276" s="414" t="s">
        <v>430</v>
      </c>
      <c r="D276" s="414" t="s">
        <v>737</v>
      </c>
      <c r="E276" s="413" t="s">
        <v>203</v>
      </c>
      <c r="F276" s="414" t="s">
        <v>177</v>
      </c>
      <c r="G276" s="418">
        <v>6</v>
      </c>
      <c r="H276" s="415">
        <v>600000</v>
      </c>
      <c r="I276" s="292">
        <f t="shared" si="4"/>
        <v>112500</v>
      </c>
      <c r="J276" s="238"/>
    </row>
    <row r="277" spans="2:187" s="149" customFormat="1">
      <c r="B277" s="291">
        <v>271</v>
      </c>
      <c r="C277" s="414" t="s">
        <v>580</v>
      </c>
      <c r="D277" s="414" t="s">
        <v>738</v>
      </c>
      <c r="E277" s="413" t="s">
        <v>227</v>
      </c>
      <c r="F277" s="414" t="s">
        <v>213</v>
      </c>
      <c r="G277" s="418">
        <v>1</v>
      </c>
      <c r="H277" s="415">
        <v>400000</v>
      </c>
      <c r="I277" s="292">
        <f t="shared" si="4"/>
        <v>75000</v>
      </c>
      <c r="J277" s="238"/>
    </row>
    <row r="278" spans="2:187" s="149" customFormat="1">
      <c r="B278" s="291">
        <v>272</v>
      </c>
      <c r="C278" s="414" t="s">
        <v>567</v>
      </c>
      <c r="D278" s="414" t="s">
        <v>667</v>
      </c>
      <c r="E278" s="413" t="s">
        <v>351</v>
      </c>
      <c r="F278" s="414" t="s">
        <v>177</v>
      </c>
      <c r="G278" s="418">
        <v>1</v>
      </c>
      <c r="H278" s="415">
        <v>100000</v>
      </c>
      <c r="I278" s="292">
        <f t="shared" si="4"/>
        <v>18750</v>
      </c>
      <c r="J278" s="238"/>
    </row>
    <row r="279" spans="2:187" s="149" customFormat="1">
      <c r="B279" s="291">
        <v>273</v>
      </c>
      <c r="C279" s="414" t="s">
        <v>571</v>
      </c>
      <c r="D279" s="414" t="s">
        <v>739</v>
      </c>
      <c r="E279" s="413" t="s">
        <v>306</v>
      </c>
      <c r="F279" s="414" t="s">
        <v>180</v>
      </c>
      <c r="G279" s="418">
        <v>2</v>
      </c>
      <c r="H279" s="415">
        <v>200000</v>
      </c>
      <c r="I279" s="292">
        <f t="shared" si="4"/>
        <v>37500</v>
      </c>
      <c r="J279" s="238"/>
    </row>
    <row r="280" spans="2:187" s="149" customFormat="1">
      <c r="B280" s="291">
        <v>274</v>
      </c>
      <c r="C280" s="414" t="s">
        <v>571</v>
      </c>
      <c r="D280" s="414" t="s">
        <v>665</v>
      </c>
      <c r="E280" s="413" t="s">
        <v>208</v>
      </c>
      <c r="F280" s="414" t="s">
        <v>180</v>
      </c>
      <c r="G280" s="418">
        <v>14</v>
      </c>
      <c r="H280" s="415">
        <v>1400000</v>
      </c>
      <c r="I280" s="292">
        <f t="shared" si="4"/>
        <v>262500</v>
      </c>
      <c r="J280" s="238"/>
    </row>
    <row r="281" spans="2:187" s="149" customFormat="1">
      <c r="B281" s="291">
        <v>275</v>
      </c>
      <c r="C281" s="414" t="s">
        <v>571</v>
      </c>
      <c r="D281" s="414" t="s">
        <v>740</v>
      </c>
      <c r="E281" s="413" t="s">
        <v>538</v>
      </c>
      <c r="F281" s="414" t="s">
        <v>180</v>
      </c>
      <c r="G281" s="418">
        <v>5</v>
      </c>
      <c r="H281" s="415">
        <v>500000</v>
      </c>
      <c r="I281" s="292">
        <f t="shared" si="4"/>
        <v>93750</v>
      </c>
      <c r="J281" s="238"/>
    </row>
    <row r="282" spans="2:187" s="149" customFormat="1" ht="15.75" customHeight="1">
      <c r="B282" s="291">
        <v>276</v>
      </c>
      <c r="C282" s="414" t="s">
        <v>512</v>
      </c>
      <c r="D282" s="414" t="s">
        <v>690</v>
      </c>
      <c r="E282" s="413" t="s">
        <v>187</v>
      </c>
      <c r="F282" s="414" t="s">
        <v>189</v>
      </c>
      <c r="G282" s="418">
        <v>1</v>
      </c>
      <c r="H282" s="415">
        <v>100000</v>
      </c>
      <c r="I282" s="292">
        <f t="shared" si="4"/>
        <v>18750</v>
      </c>
      <c r="J282" s="238"/>
    </row>
    <row r="283" spans="2:187" s="149" customFormat="1">
      <c r="B283" s="291">
        <v>277</v>
      </c>
      <c r="C283" s="414" t="s">
        <v>567</v>
      </c>
      <c r="D283" s="414" t="s">
        <v>297</v>
      </c>
      <c r="E283" s="413" t="s">
        <v>187</v>
      </c>
      <c r="F283" s="414" t="s">
        <v>180</v>
      </c>
      <c r="G283" s="418">
        <v>5</v>
      </c>
      <c r="H283" s="415">
        <v>500000</v>
      </c>
      <c r="I283" s="292">
        <f t="shared" si="4"/>
        <v>93750</v>
      </c>
      <c r="J283" s="238"/>
    </row>
    <row r="284" spans="2:187" s="149" customFormat="1">
      <c r="B284" s="291">
        <v>278</v>
      </c>
      <c r="C284" s="414" t="s">
        <v>512</v>
      </c>
      <c r="D284" s="414" t="s">
        <v>720</v>
      </c>
      <c r="E284" s="413" t="s">
        <v>306</v>
      </c>
      <c r="F284" s="414" t="s">
        <v>177</v>
      </c>
      <c r="G284" s="418">
        <v>2</v>
      </c>
      <c r="H284" s="415">
        <v>200000</v>
      </c>
      <c r="I284" s="292">
        <f t="shared" si="4"/>
        <v>37500</v>
      </c>
      <c r="J284" s="326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  <c r="AA284" s="299"/>
      <c r="AB284" s="299"/>
      <c r="AC284" s="299"/>
      <c r="AD284" s="299"/>
      <c r="AE284" s="299"/>
      <c r="AF284" s="299"/>
      <c r="AG284" s="299"/>
      <c r="AH284" s="299"/>
      <c r="AI284" s="299"/>
      <c r="AJ284" s="299"/>
      <c r="AK284" s="299"/>
      <c r="AL284" s="299"/>
      <c r="AM284" s="299"/>
      <c r="AN284" s="299"/>
      <c r="AO284" s="299"/>
      <c r="AP284" s="299"/>
      <c r="AQ284" s="299"/>
      <c r="AR284" s="299"/>
      <c r="AS284" s="299"/>
      <c r="AT284" s="299"/>
      <c r="AU284" s="299"/>
      <c r="AV284" s="299"/>
      <c r="AW284" s="299"/>
      <c r="AX284" s="299"/>
      <c r="AY284" s="299"/>
      <c r="AZ284" s="299"/>
      <c r="BA284" s="299"/>
      <c r="BB284" s="299"/>
      <c r="BC284" s="299"/>
      <c r="BD284" s="299"/>
      <c r="BE284" s="299"/>
      <c r="BF284" s="299"/>
      <c r="BG284" s="299"/>
      <c r="BH284" s="299"/>
      <c r="BI284" s="299"/>
      <c r="BJ284" s="299"/>
      <c r="BK284" s="299"/>
      <c r="BL284" s="299"/>
      <c r="BM284" s="299"/>
      <c r="BN284" s="299"/>
      <c r="BO284" s="299"/>
      <c r="BP284" s="299"/>
      <c r="BQ284" s="299"/>
      <c r="BR284" s="299"/>
      <c r="BS284" s="299"/>
      <c r="BT284" s="299"/>
      <c r="BU284" s="299"/>
      <c r="BV284" s="299"/>
      <c r="BW284" s="299"/>
      <c r="BX284" s="299"/>
      <c r="BY284" s="299"/>
      <c r="BZ284" s="299"/>
      <c r="CA284" s="299"/>
      <c r="CB284" s="299"/>
      <c r="CC284" s="299"/>
      <c r="CD284" s="299"/>
      <c r="CE284" s="299"/>
      <c r="CF284" s="299"/>
      <c r="CG284" s="299"/>
      <c r="CH284" s="299"/>
      <c r="CI284" s="299"/>
      <c r="CJ284" s="299"/>
      <c r="CK284" s="299"/>
      <c r="CL284" s="299"/>
      <c r="CM284" s="299"/>
      <c r="CN284" s="299"/>
      <c r="CO284" s="299"/>
      <c r="CP284" s="299"/>
      <c r="CQ284" s="299"/>
      <c r="CR284" s="299"/>
      <c r="CS284" s="299"/>
      <c r="CT284" s="299"/>
      <c r="CU284" s="299"/>
      <c r="CV284" s="299"/>
      <c r="CW284" s="299"/>
      <c r="CX284" s="299"/>
      <c r="CY284" s="299"/>
      <c r="CZ284" s="299"/>
      <c r="DA284" s="299"/>
      <c r="DB284" s="299"/>
      <c r="DC284" s="299"/>
      <c r="DD284" s="299"/>
      <c r="DE284" s="299"/>
      <c r="DF284" s="299"/>
      <c r="DG284" s="299"/>
      <c r="DH284" s="299"/>
      <c r="DI284" s="299"/>
      <c r="DJ284" s="299"/>
      <c r="DK284" s="299"/>
      <c r="DL284" s="299"/>
      <c r="DM284" s="299"/>
      <c r="DN284" s="299"/>
      <c r="DO284" s="299"/>
      <c r="DP284" s="299"/>
      <c r="DQ284" s="299"/>
      <c r="DR284" s="299"/>
      <c r="DS284" s="299"/>
      <c r="DT284" s="299"/>
      <c r="DU284" s="299"/>
      <c r="DV284" s="299"/>
      <c r="DW284" s="299"/>
      <c r="DX284" s="299"/>
      <c r="DY284" s="299"/>
      <c r="DZ284" s="299"/>
      <c r="EA284" s="299"/>
      <c r="EB284" s="299"/>
      <c r="EC284" s="299"/>
      <c r="ED284" s="299"/>
      <c r="EE284" s="299"/>
      <c r="EF284" s="299"/>
      <c r="EG284" s="299"/>
      <c r="EH284" s="299"/>
      <c r="EI284" s="299"/>
      <c r="EJ284" s="299"/>
      <c r="EK284" s="299"/>
      <c r="EL284" s="299"/>
      <c r="EM284" s="299"/>
      <c r="EN284" s="299"/>
      <c r="EO284" s="299"/>
      <c r="EP284" s="299"/>
      <c r="EQ284" s="299"/>
      <c r="ER284" s="299"/>
      <c r="ES284" s="299"/>
      <c r="ET284" s="299"/>
      <c r="EU284" s="299"/>
      <c r="EV284" s="299"/>
      <c r="EW284" s="299"/>
      <c r="EX284" s="299"/>
      <c r="EY284" s="299"/>
      <c r="EZ284" s="299"/>
      <c r="FA284" s="299"/>
      <c r="FB284" s="299"/>
      <c r="FC284" s="299"/>
      <c r="FD284" s="299"/>
      <c r="FE284" s="299"/>
      <c r="FF284" s="299"/>
      <c r="FG284" s="299"/>
      <c r="FH284" s="299"/>
      <c r="FI284" s="299"/>
      <c r="FJ284" s="299"/>
      <c r="FK284" s="299"/>
      <c r="FL284" s="299"/>
      <c r="FM284" s="299"/>
      <c r="FN284" s="299"/>
      <c r="FO284" s="299"/>
      <c r="FP284" s="299"/>
      <c r="FQ284" s="299"/>
      <c r="FR284" s="299"/>
      <c r="FS284" s="299"/>
      <c r="FT284" s="299"/>
      <c r="FU284" s="299"/>
      <c r="FV284" s="299"/>
      <c r="FW284" s="299"/>
      <c r="FX284" s="299"/>
      <c r="FY284" s="299"/>
      <c r="FZ284" s="299"/>
      <c r="GA284" s="299"/>
      <c r="GB284" s="299"/>
      <c r="GC284" s="299"/>
      <c r="GD284" s="299"/>
      <c r="GE284" s="299"/>
    </row>
    <row r="285" spans="2:187" s="149" customFormat="1">
      <c r="B285" s="291">
        <v>279</v>
      </c>
      <c r="C285" s="414" t="s">
        <v>571</v>
      </c>
      <c r="D285" s="414" t="s">
        <v>630</v>
      </c>
      <c r="E285" s="413" t="s">
        <v>196</v>
      </c>
      <c r="F285" s="414" t="s">
        <v>177</v>
      </c>
      <c r="G285" s="418">
        <v>2</v>
      </c>
      <c r="H285" s="415">
        <v>200000</v>
      </c>
      <c r="I285" s="292">
        <f t="shared" si="4"/>
        <v>37500</v>
      </c>
      <c r="J285" s="326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  <c r="AA285" s="299"/>
      <c r="AB285" s="299"/>
      <c r="AC285" s="299"/>
      <c r="AD285" s="299"/>
      <c r="AE285" s="299"/>
      <c r="AF285" s="299"/>
      <c r="AG285" s="299"/>
      <c r="AH285" s="299"/>
      <c r="AI285" s="299"/>
      <c r="AJ285" s="299"/>
      <c r="AK285" s="299"/>
      <c r="AL285" s="299"/>
      <c r="AM285" s="299"/>
      <c r="AN285" s="299"/>
      <c r="AO285" s="299"/>
      <c r="AP285" s="299"/>
      <c r="AQ285" s="299"/>
      <c r="AR285" s="299"/>
      <c r="AS285" s="299"/>
      <c r="AT285" s="299"/>
      <c r="AU285" s="299"/>
      <c r="AV285" s="299"/>
      <c r="AW285" s="299"/>
      <c r="AX285" s="299"/>
      <c r="AY285" s="299"/>
      <c r="AZ285" s="299"/>
      <c r="BA285" s="299"/>
      <c r="BB285" s="299"/>
      <c r="BC285" s="299"/>
      <c r="BD285" s="299"/>
      <c r="BE285" s="299"/>
      <c r="BF285" s="299"/>
      <c r="BG285" s="299"/>
      <c r="BH285" s="299"/>
      <c r="BI285" s="299"/>
      <c r="BJ285" s="299"/>
      <c r="BK285" s="299"/>
      <c r="BL285" s="299"/>
      <c r="BM285" s="299"/>
      <c r="BN285" s="299"/>
      <c r="BO285" s="299"/>
      <c r="BP285" s="299"/>
      <c r="BQ285" s="299"/>
      <c r="BR285" s="299"/>
      <c r="BS285" s="299"/>
      <c r="BT285" s="299"/>
      <c r="BU285" s="299"/>
      <c r="BV285" s="299"/>
      <c r="BW285" s="299"/>
      <c r="BX285" s="299"/>
      <c r="BY285" s="299"/>
      <c r="BZ285" s="299"/>
      <c r="CA285" s="299"/>
      <c r="CB285" s="299"/>
      <c r="CC285" s="299"/>
      <c r="CD285" s="299"/>
      <c r="CE285" s="299"/>
      <c r="CF285" s="299"/>
      <c r="CG285" s="299"/>
      <c r="CH285" s="299"/>
      <c r="CI285" s="299"/>
      <c r="CJ285" s="299"/>
      <c r="CK285" s="299"/>
      <c r="CL285" s="299"/>
      <c r="CM285" s="299"/>
      <c r="CN285" s="299"/>
      <c r="CO285" s="299"/>
      <c r="CP285" s="299"/>
      <c r="CQ285" s="299"/>
      <c r="CR285" s="299"/>
      <c r="CS285" s="299"/>
      <c r="CT285" s="299"/>
      <c r="CU285" s="299"/>
      <c r="CV285" s="299"/>
      <c r="CW285" s="299"/>
      <c r="CX285" s="299"/>
      <c r="CY285" s="299"/>
      <c r="CZ285" s="299"/>
      <c r="DA285" s="299"/>
      <c r="DB285" s="299"/>
      <c r="DC285" s="299"/>
      <c r="DD285" s="299"/>
      <c r="DE285" s="299"/>
      <c r="DF285" s="299"/>
      <c r="DG285" s="299"/>
      <c r="DH285" s="299"/>
      <c r="DI285" s="299"/>
      <c r="DJ285" s="299"/>
      <c r="DK285" s="299"/>
      <c r="DL285" s="299"/>
      <c r="DM285" s="299"/>
      <c r="DN285" s="299"/>
      <c r="DO285" s="299"/>
      <c r="DP285" s="299"/>
      <c r="DQ285" s="299"/>
      <c r="DR285" s="299"/>
      <c r="DS285" s="299"/>
      <c r="DT285" s="299"/>
      <c r="DU285" s="299"/>
      <c r="DV285" s="299"/>
      <c r="DW285" s="299"/>
      <c r="DX285" s="299"/>
      <c r="DY285" s="299"/>
      <c r="DZ285" s="299"/>
      <c r="EA285" s="299"/>
      <c r="EB285" s="299"/>
      <c r="EC285" s="299"/>
      <c r="ED285" s="299"/>
      <c r="EE285" s="299"/>
      <c r="EF285" s="299"/>
      <c r="EG285" s="299"/>
      <c r="EH285" s="299"/>
      <c r="EI285" s="299"/>
      <c r="EJ285" s="299"/>
      <c r="EK285" s="299"/>
      <c r="EL285" s="299"/>
      <c r="EM285" s="299"/>
      <c r="EN285" s="299"/>
      <c r="EO285" s="299"/>
      <c r="EP285" s="299"/>
      <c r="EQ285" s="299"/>
      <c r="ER285" s="299"/>
      <c r="ES285" s="299"/>
      <c r="ET285" s="299"/>
      <c r="EU285" s="299"/>
      <c r="EV285" s="299"/>
      <c r="EW285" s="299"/>
      <c r="EX285" s="299"/>
      <c r="EY285" s="299"/>
      <c r="EZ285" s="299"/>
      <c r="FA285" s="299"/>
      <c r="FB285" s="299"/>
      <c r="FC285" s="299"/>
      <c r="FD285" s="299"/>
      <c r="FE285" s="299"/>
      <c r="FF285" s="299"/>
      <c r="FG285" s="299"/>
      <c r="FH285" s="299"/>
      <c r="FI285" s="299"/>
      <c r="FJ285" s="299"/>
      <c r="FK285" s="299"/>
      <c r="FL285" s="299"/>
      <c r="FM285" s="299"/>
      <c r="FN285" s="299"/>
      <c r="FO285" s="299"/>
      <c r="FP285" s="299"/>
      <c r="FQ285" s="299"/>
      <c r="FR285" s="299"/>
      <c r="FS285" s="299"/>
      <c r="FT285" s="299"/>
      <c r="FU285" s="299"/>
      <c r="FV285" s="299"/>
      <c r="FW285" s="299"/>
      <c r="FX285" s="299"/>
      <c r="FY285" s="299"/>
      <c r="FZ285" s="299"/>
      <c r="GA285" s="299"/>
      <c r="GB285" s="299"/>
      <c r="GC285" s="299"/>
      <c r="GD285" s="299"/>
      <c r="GE285" s="299"/>
    </row>
    <row r="286" spans="2:187" s="149" customFormat="1">
      <c r="B286" s="291">
        <v>280</v>
      </c>
      <c r="C286" s="414" t="s">
        <v>512</v>
      </c>
      <c r="D286" s="414" t="s">
        <v>550</v>
      </c>
      <c r="E286" s="413" t="s">
        <v>181</v>
      </c>
      <c r="F286" s="414" t="s">
        <v>180</v>
      </c>
      <c r="G286" s="418">
        <v>3</v>
      </c>
      <c r="H286" s="415">
        <v>300000</v>
      </c>
      <c r="I286" s="292">
        <f t="shared" si="4"/>
        <v>56250</v>
      </c>
      <c r="J286" s="326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  <c r="AA286" s="299"/>
      <c r="AB286" s="299"/>
      <c r="AC286" s="299"/>
      <c r="AD286" s="299"/>
      <c r="AE286" s="299"/>
      <c r="AF286" s="299"/>
      <c r="AG286" s="299"/>
      <c r="AH286" s="299"/>
      <c r="AI286" s="299"/>
      <c r="AJ286" s="299"/>
      <c r="AK286" s="299"/>
      <c r="AL286" s="299"/>
      <c r="AM286" s="299"/>
      <c r="AN286" s="299"/>
      <c r="AO286" s="299"/>
      <c r="AP286" s="299"/>
      <c r="AQ286" s="299"/>
      <c r="AR286" s="299"/>
      <c r="AS286" s="299"/>
      <c r="AT286" s="299"/>
      <c r="AU286" s="299"/>
      <c r="AV286" s="299"/>
      <c r="AW286" s="299"/>
      <c r="AX286" s="299"/>
      <c r="AY286" s="299"/>
      <c r="AZ286" s="299"/>
      <c r="BA286" s="299"/>
      <c r="BB286" s="299"/>
      <c r="BC286" s="299"/>
      <c r="BD286" s="299"/>
      <c r="BE286" s="299"/>
      <c r="BF286" s="299"/>
      <c r="BG286" s="299"/>
      <c r="BH286" s="299"/>
      <c r="BI286" s="299"/>
      <c r="BJ286" s="299"/>
      <c r="BK286" s="299"/>
      <c r="BL286" s="299"/>
      <c r="BM286" s="299"/>
      <c r="BN286" s="299"/>
      <c r="BO286" s="299"/>
      <c r="BP286" s="299"/>
      <c r="BQ286" s="299"/>
      <c r="BR286" s="299"/>
      <c r="BS286" s="299"/>
      <c r="BT286" s="299"/>
      <c r="BU286" s="299"/>
      <c r="BV286" s="299"/>
      <c r="BW286" s="299"/>
      <c r="BX286" s="299"/>
      <c r="BY286" s="299"/>
      <c r="BZ286" s="299"/>
      <c r="CA286" s="299"/>
      <c r="CB286" s="299"/>
      <c r="CC286" s="299"/>
      <c r="CD286" s="299"/>
      <c r="CE286" s="299"/>
      <c r="CF286" s="299"/>
      <c r="CG286" s="299"/>
      <c r="CH286" s="299"/>
      <c r="CI286" s="299"/>
      <c r="CJ286" s="299"/>
      <c r="CK286" s="299"/>
      <c r="CL286" s="299"/>
      <c r="CM286" s="299"/>
      <c r="CN286" s="299"/>
      <c r="CO286" s="299"/>
      <c r="CP286" s="299"/>
      <c r="CQ286" s="299"/>
      <c r="CR286" s="299"/>
      <c r="CS286" s="299"/>
      <c r="CT286" s="299"/>
      <c r="CU286" s="299"/>
      <c r="CV286" s="299"/>
      <c r="CW286" s="299"/>
      <c r="CX286" s="299"/>
      <c r="CY286" s="299"/>
      <c r="CZ286" s="299"/>
      <c r="DA286" s="299"/>
      <c r="DB286" s="299"/>
      <c r="DC286" s="299"/>
      <c r="DD286" s="299"/>
      <c r="DE286" s="299"/>
      <c r="DF286" s="299"/>
      <c r="DG286" s="299"/>
      <c r="DH286" s="299"/>
      <c r="DI286" s="299"/>
      <c r="DJ286" s="299"/>
      <c r="DK286" s="299"/>
      <c r="DL286" s="299"/>
      <c r="DM286" s="299"/>
      <c r="DN286" s="299"/>
      <c r="DO286" s="299"/>
      <c r="DP286" s="299"/>
      <c r="DQ286" s="299"/>
      <c r="DR286" s="299"/>
      <c r="DS286" s="299"/>
      <c r="DT286" s="299"/>
      <c r="DU286" s="299"/>
      <c r="DV286" s="299"/>
      <c r="DW286" s="299"/>
      <c r="DX286" s="299"/>
      <c r="DY286" s="299"/>
      <c r="DZ286" s="299"/>
      <c r="EA286" s="299"/>
      <c r="EB286" s="299"/>
      <c r="EC286" s="299"/>
      <c r="ED286" s="299"/>
      <c r="EE286" s="299"/>
      <c r="EF286" s="299"/>
      <c r="EG286" s="299"/>
      <c r="EH286" s="299"/>
      <c r="EI286" s="299"/>
      <c r="EJ286" s="299"/>
      <c r="EK286" s="299"/>
      <c r="EL286" s="299"/>
      <c r="EM286" s="299"/>
      <c r="EN286" s="299"/>
      <c r="EO286" s="299"/>
      <c r="EP286" s="299"/>
      <c r="EQ286" s="299"/>
      <c r="ER286" s="299"/>
      <c r="ES286" s="299"/>
      <c r="ET286" s="299"/>
      <c r="EU286" s="299"/>
      <c r="EV286" s="299"/>
      <c r="EW286" s="299"/>
      <c r="EX286" s="299"/>
      <c r="EY286" s="299"/>
      <c r="EZ286" s="299"/>
      <c r="FA286" s="299"/>
      <c r="FB286" s="299"/>
      <c r="FC286" s="299"/>
      <c r="FD286" s="299"/>
      <c r="FE286" s="299"/>
      <c r="FF286" s="299"/>
      <c r="FG286" s="299"/>
      <c r="FH286" s="299"/>
      <c r="FI286" s="299"/>
      <c r="FJ286" s="299"/>
      <c r="FK286" s="299"/>
      <c r="FL286" s="299"/>
      <c r="FM286" s="299"/>
      <c r="FN286" s="299"/>
      <c r="FO286" s="299"/>
      <c r="FP286" s="299"/>
      <c r="FQ286" s="299"/>
      <c r="FR286" s="299"/>
      <c r="FS286" s="299"/>
      <c r="FT286" s="299"/>
      <c r="FU286" s="299"/>
      <c r="FV286" s="299"/>
      <c r="FW286" s="299"/>
      <c r="FX286" s="299"/>
      <c r="FY286" s="299"/>
      <c r="FZ286" s="299"/>
      <c r="GA286" s="299"/>
      <c r="GB286" s="299"/>
      <c r="GC286" s="299"/>
      <c r="GD286" s="299"/>
      <c r="GE286" s="299"/>
    </row>
    <row r="287" spans="2:187" s="149" customFormat="1">
      <c r="B287" s="291">
        <v>281</v>
      </c>
      <c r="C287" s="414" t="s">
        <v>567</v>
      </c>
      <c r="D287" s="414" t="s">
        <v>741</v>
      </c>
      <c r="E287" s="413" t="s">
        <v>195</v>
      </c>
      <c r="F287" s="414" t="s">
        <v>180</v>
      </c>
      <c r="G287" s="418">
        <v>4</v>
      </c>
      <c r="H287" s="415">
        <v>400000</v>
      </c>
      <c r="I287" s="292">
        <f t="shared" si="4"/>
        <v>75000</v>
      </c>
      <c r="J287" s="326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  <c r="AA287" s="299"/>
      <c r="AB287" s="299"/>
      <c r="AC287" s="299"/>
      <c r="AD287" s="299"/>
      <c r="AE287" s="299"/>
      <c r="AF287" s="299"/>
      <c r="AG287" s="299"/>
      <c r="AH287" s="299"/>
      <c r="AI287" s="299"/>
      <c r="AJ287" s="299"/>
      <c r="AK287" s="299"/>
      <c r="AL287" s="299"/>
      <c r="AM287" s="299"/>
      <c r="AN287" s="299"/>
      <c r="AO287" s="299"/>
      <c r="AP287" s="299"/>
      <c r="AQ287" s="299"/>
      <c r="AR287" s="299"/>
      <c r="AS287" s="299"/>
      <c r="AT287" s="299"/>
      <c r="AU287" s="299"/>
      <c r="AV287" s="299"/>
      <c r="AW287" s="299"/>
      <c r="AX287" s="299"/>
      <c r="AY287" s="299"/>
      <c r="AZ287" s="299"/>
      <c r="BA287" s="299"/>
      <c r="BB287" s="299"/>
      <c r="BC287" s="299"/>
      <c r="BD287" s="299"/>
      <c r="BE287" s="299"/>
      <c r="BF287" s="299"/>
      <c r="BG287" s="299"/>
      <c r="BH287" s="299"/>
      <c r="BI287" s="299"/>
      <c r="BJ287" s="299"/>
      <c r="BK287" s="299"/>
      <c r="BL287" s="299"/>
      <c r="BM287" s="299"/>
      <c r="BN287" s="299"/>
      <c r="BO287" s="299"/>
      <c r="BP287" s="299"/>
      <c r="BQ287" s="299"/>
      <c r="BR287" s="299"/>
      <c r="BS287" s="299"/>
      <c r="BT287" s="299"/>
      <c r="BU287" s="299"/>
      <c r="BV287" s="299"/>
      <c r="BW287" s="299"/>
      <c r="BX287" s="299"/>
      <c r="BY287" s="299"/>
      <c r="BZ287" s="299"/>
      <c r="CA287" s="299"/>
      <c r="CB287" s="299"/>
      <c r="CC287" s="299"/>
      <c r="CD287" s="299"/>
      <c r="CE287" s="299"/>
      <c r="CF287" s="299"/>
      <c r="CG287" s="299"/>
      <c r="CH287" s="299"/>
      <c r="CI287" s="299"/>
      <c r="CJ287" s="299"/>
      <c r="CK287" s="299"/>
      <c r="CL287" s="299"/>
      <c r="CM287" s="299"/>
      <c r="CN287" s="299"/>
      <c r="CO287" s="299"/>
      <c r="CP287" s="299"/>
      <c r="CQ287" s="299"/>
      <c r="CR287" s="299"/>
      <c r="CS287" s="299"/>
      <c r="CT287" s="299"/>
      <c r="CU287" s="299"/>
      <c r="CV287" s="299"/>
      <c r="CW287" s="299"/>
      <c r="CX287" s="299"/>
      <c r="CY287" s="299"/>
      <c r="CZ287" s="299"/>
      <c r="DA287" s="299"/>
      <c r="DB287" s="299"/>
      <c r="DC287" s="299"/>
      <c r="DD287" s="299"/>
      <c r="DE287" s="299"/>
      <c r="DF287" s="299"/>
      <c r="DG287" s="299"/>
      <c r="DH287" s="299"/>
      <c r="DI287" s="299"/>
      <c r="DJ287" s="299"/>
      <c r="DK287" s="299"/>
      <c r="DL287" s="299"/>
      <c r="DM287" s="299"/>
      <c r="DN287" s="299"/>
      <c r="DO287" s="299"/>
      <c r="DP287" s="299"/>
      <c r="DQ287" s="299"/>
      <c r="DR287" s="299"/>
      <c r="DS287" s="299"/>
      <c r="DT287" s="299"/>
      <c r="DU287" s="299"/>
      <c r="DV287" s="299"/>
      <c r="DW287" s="299"/>
      <c r="DX287" s="299"/>
      <c r="DY287" s="299"/>
      <c r="DZ287" s="299"/>
      <c r="EA287" s="299"/>
      <c r="EB287" s="299"/>
      <c r="EC287" s="299"/>
      <c r="ED287" s="299"/>
      <c r="EE287" s="299"/>
      <c r="EF287" s="299"/>
      <c r="EG287" s="299"/>
      <c r="EH287" s="299"/>
      <c r="EI287" s="299"/>
      <c r="EJ287" s="299"/>
      <c r="EK287" s="299"/>
      <c r="EL287" s="299"/>
      <c r="EM287" s="299"/>
      <c r="EN287" s="299"/>
      <c r="EO287" s="299"/>
      <c r="EP287" s="299"/>
      <c r="EQ287" s="299"/>
      <c r="ER287" s="299"/>
      <c r="ES287" s="299"/>
      <c r="ET287" s="299"/>
      <c r="EU287" s="299"/>
      <c r="EV287" s="299"/>
      <c r="EW287" s="299"/>
      <c r="EX287" s="299"/>
      <c r="EY287" s="299"/>
      <c r="EZ287" s="299"/>
      <c r="FA287" s="299"/>
      <c r="FB287" s="299"/>
      <c r="FC287" s="299"/>
      <c r="FD287" s="299"/>
      <c r="FE287" s="299"/>
      <c r="FF287" s="299"/>
      <c r="FG287" s="299"/>
      <c r="FH287" s="299"/>
      <c r="FI287" s="299"/>
      <c r="FJ287" s="299"/>
      <c r="FK287" s="299"/>
      <c r="FL287" s="299"/>
      <c r="FM287" s="299"/>
      <c r="FN287" s="299"/>
      <c r="FO287" s="299"/>
      <c r="FP287" s="299"/>
      <c r="FQ287" s="299"/>
      <c r="FR287" s="299"/>
      <c r="FS287" s="299"/>
      <c r="FT287" s="299"/>
      <c r="FU287" s="299"/>
      <c r="FV287" s="299"/>
      <c r="FW287" s="299"/>
      <c r="FX287" s="299"/>
      <c r="FY287" s="299"/>
      <c r="FZ287" s="299"/>
      <c r="GA287" s="299"/>
      <c r="GB287" s="299"/>
      <c r="GC287" s="299"/>
      <c r="GD287" s="299"/>
      <c r="GE287" s="299"/>
    </row>
    <row r="288" spans="2:187" s="149" customFormat="1">
      <c r="B288" s="291">
        <v>282</v>
      </c>
      <c r="C288" s="414" t="s">
        <v>567</v>
      </c>
      <c r="D288" s="414" t="s">
        <v>741</v>
      </c>
      <c r="E288" s="413" t="s">
        <v>195</v>
      </c>
      <c r="F288" s="414" t="s">
        <v>177</v>
      </c>
      <c r="G288" s="418">
        <v>5</v>
      </c>
      <c r="H288" s="415">
        <v>500000</v>
      </c>
      <c r="I288" s="292">
        <f t="shared" si="4"/>
        <v>93750</v>
      </c>
      <c r="J288" s="326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  <c r="AA288" s="299"/>
      <c r="AB288" s="299"/>
      <c r="AC288" s="299"/>
      <c r="AD288" s="299"/>
      <c r="AE288" s="299"/>
      <c r="AF288" s="299"/>
      <c r="AG288" s="299"/>
      <c r="AH288" s="299"/>
      <c r="AI288" s="299"/>
      <c r="AJ288" s="299"/>
      <c r="AK288" s="299"/>
      <c r="AL288" s="299"/>
      <c r="AM288" s="299"/>
      <c r="AN288" s="299"/>
      <c r="AO288" s="299"/>
      <c r="AP288" s="299"/>
      <c r="AQ288" s="299"/>
      <c r="AR288" s="299"/>
      <c r="AS288" s="299"/>
      <c r="AT288" s="299"/>
      <c r="AU288" s="299"/>
      <c r="AV288" s="299"/>
      <c r="AW288" s="299"/>
      <c r="AX288" s="299"/>
      <c r="AY288" s="299"/>
      <c r="AZ288" s="299"/>
      <c r="BA288" s="299"/>
      <c r="BB288" s="299"/>
      <c r="BC288" s="299"/>
      <c r="BD288" s="299"/>
      <c r="BE288" s="299"/>
      <c r="BF288" s="299"/>
      <c r="BG288" s="299"/>
      <c r="BH288" s="299"/>
      <c r="BI288" s="299"/>
      <c r="BJ288" s="299"/>
      <c r="BK288" s="299"/>
      <c r="BL288" s="299"/>
      <c r="BM288" s="299"/>
      <c r="BN288" s="299"/>
      <c r="BO288" s="299"/>
      <c r="BP288" s="299"/>
      <c r="BQ288" s="299"/>
      <c r="BR288" s="299"/>
      <c r="BS288" s="299"/>
      <c r="BT288" s="299"/>
      <c r="BU288" s="299"/>
      <c r="BV288" s="299"/>
      <c r="BW288" s="299"/>
      <c r="BX288" s="299"/>
      <c r="BY288" s="299"/>
      <c r="BZ288" s="299"/>
      <c r="CA288" s="299"/>
      <c r="CB288" s="299"/>
      <c r="CC288" s="299"/>
      <c r="CD288" s="299"/>
      <c r="CE288" s="299"/>
      <c r="CF288" s="299"/>
      <c r="CG288" s="299"/>
      <c r="CH288" s="299"/>
      <c r="CI288" s="299"/>
      <c r="CJ288" s="299"/>
      <c r="CK288" s="299"/>
      <c r="CL288" s="299"/>
      <c r="CM288" s="299"/>
      <c r="CN288" s="299"/>
      <c r="CO288" s="299"/>
      <c r="CP288" s="299"/>
      <c r="CQ288" s="299"/>
      <c r="CR288" s="299"/>
      <c r="CS288" s="299"/>
      <c r="CT288" s="299"/>
      <c r="CU288" s="299"/>
      <c r="CV288" s="299"/>
      <c r="CW288" s="299"/>
      <c r="CX288" s="299"/>
      <c r="CY288" s="299"/>
      <c r="CZ288" s="299"/>
      <c r="DA288" s="299"/>
      <c r="DB288" s="299"/>
      <c r="DC288" s="299"/>
      <c r="DD288" s="299"/>
      <c r="DE288" s="299"/>
      <c r="DF288" s="299"/>
      <c r="DG288" s="299"/>
      <c r="DH288" s="299"/>
      <c r="DI288" s="299"/>
      <c r="DJ288" s="299"/>
      <c r="DK288" s="299"/>
      <c r="DL288" s="299"/>
      <c r="DM288" s="299"/>
      <c r="DN288" s="299"/>
      <c r="DO288" s="299"/>
      <c r="DP288" s="299"/>
      <c r="DQ288" s="299"/>
      <c r="DR288" s="299"/>
      <c r="DS288" s="299"/>
      <c r="DT288" s="299"/>
      <c r="DU288" s="299"/>
      <c r="DV288" s="299"/>
      <c r="DW288" s="299"/>
      <c r="DX288" s="299"/>
      <c r="DY288" s="299"/>
      <c r="DZ288" s="299"/>
      <c r="EA288" s="299"/>
      <c r="EB288" s="299"/>
      <c r="EC288" s="299"/>
      <c r="ED288" s="299"/>
      <c r="EE288" s="299"/>
      <c r="EF288" s="299"/>
      <c r="EG288" s="299"/>
      <c r="EH288" s="299"/>
      <c r="EI288" s="299"/>
      <c r="EJ288" s="299"/>
      <c r="EK288" s="299"/>
      <c r="EL288" s="299"/>
      <c r="EM288" s="299"/>
      <c r="EN288" s="299"/>
      <c r="EO288" s="299"/>
      <c r="EP288" s="299"/>
      <c r="EQ288" s="299"/>
      <c r="ER288" s="299"/>
      <c r="ES288" s="299"/>
      <c r="ET288" s="299"/>
      <c r="EU288" s="299"/>
      <c r="EV288" s="299"/>
      <c r="EW288" s="299"/>
      <c r="EX288" s="299"/>
      <c r="EY288" s="299"/>
      <c r="EZ288" s="299"/>
      <c r="FA288" s="299"/>
      <c r="FB288" s="299"/>
      <c r="FC288" s="299"/>
      <c r="FD288" s="299"/>
      <c r="FE288" s="299"/>
      <c r="FF288" s="299"/>
      <c r="FG288" s="299"/>
      <c r="FH288" s="299"/>
      <c r="FI288" s="299"/>
      <c r="FJ288" s="299"/>
      <c r="FK288" s="299"/>
      <c r="FL288" s="299"/>
      <c r="FM288" s="299"/>
      <c r="FN288" s="299"/>
      <c r="FO288" s="299"/>
      <c r="FP288" s="299"/>
      <c r="FQ288" s="299"/>
      <c r="FR288" s="299"/>
      <c r="FS288" s="299"/>
      <c r="FT288" s="299"/>
      <c r="FU288" s="299"/>
      <c r="FV288" s="299"/>
      <c r="FW288" s="299"/>
      <c r="FX288" s="299"/>
      <c r="FY288" s="299"/>
      <c r="FZ288" s="299"/>
      <c r="GA288" s="299"/>
      <c r="GB288" s="299"/>
      <c r="GC288" s="299"/>
      <c r="GD288" s="299"/>
      <c r="GE288" s="299"/>
    </row>
    <row r="289" spans="2:187" s="149" customFormat="1">
      <c r="B289" s="291">
        <v>283</v>
      </c>
      <c r="C289" s="414" t="s">
        <v>560</v>
      </c>
      <c r="D289" s="414" t="s">
        <v>625</v>
      </c>
      <c r="E289" s="413" t="s">
        <v>237</v>
      </c>
      <c r="F289" s="414" t="s">
        <v>180</v>
      </c>
      <c r="G289" s="418">
        <v>6</v>
      </c>
      <c r="H289" s="415">
        <v>600000</v>
      </c>
      <c r="I289" s="292">
        <f t="shared" si="4"/>
        <v>112500</v>
      </c>
      <c r="J289" s="326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  <c r="AA289" s="299"/>
      <c r="AB289" s="299"/>
      <c r="AC289" s="299"/>
      <c r="AD289" s="299"/>
      <c r="AE289" s="299"/>
      <c r="AF289" s="299"/>
      <c r="AG289" s="299"/>
      <c r="AH289" s="299"/>
      <c r="AI289" s="299"/>
      <c r="AJ289" s="299"/>
      <c r="AK289" s="299"/>
      <c r="AL289" s="299"/>
      <c r="AM289" s="299"/>
      <c r="AN289" s="299"/>
      <c r="AO289" s="299"/>
      <c r="AP289" s="299"/>
      <c r="AQ289" s="299"/>
      <c r="AR289" s="299"/>
      <c r="AS289" s="299"/>
      <c r="AT289" s="299"/>
      <c r="AU289" s="299"/>
      <c r="AV289" s="299"/>
      <c r="AW289" s="299"/>
      <c r="AX289" s="299"/>
      <c r="AY289" s="299"/>
      <c r="AZ289" s="299"/>
      <c r="BA289" s="299"/>
      <c r="BB289" s="299"/>
      <c r="BC289" s="299"/>
      <c r="BD289" s="299"/>
      <c r="BE289" s="299"/>
      <c r="BF289" s="299"/>
      <c r="BG289" s="299"/>
      <c r="BH289" s="299"/>
      <c r="BI289" s="299"/>
      <c r="BJ289" s="299"/>
      <c r="BK289" s="299"/>
      <c r="BL289" s="299"/>
      <c r="BM289" s="299"/>
      <c r="BN289" s="299"/>
      <c r="BO289" s="299"/>
      <c r="BP289" s="299"/>
      <c r="BQ289" s="299"/>
      <c r="BR289" s="299"/>
      <c r="BS289" s="299"/>
      <c r="BT289" s="299"/>
      <c r="BU289" s="299"/>
      <c r="BV289" s="299"/>
      <c r="BW289" s="299"/>
      <c r="BX289" s="299"/>
      <c r="BY289" s="299"/>
      <c r="BZ289" s="299"/>
      <c r="CA289" s="299"/>
      <c r="CB289" s="299"/>
      <c r="CC289" s="299"/>
      <c r="CD289" s="299"/>
      <c r="CE289" s="299"/>
      <c r="CF289" s="299"/>
      <c r="CG289" s="299"/>
      <c r="CH289" s="299"/>
      <c r="CI289" s="299"/>
      <c r="CJ289" s="299"/>
      <c r="CK289" s="299"/>
      <c r="CL289" s="299"/>
      <c r="CM289" s="299"/>
      <c r="CN289" s="299"/>
      <c r="CO289" s="299"/>
      <c r="CP289" s="299"/>
      <c r="CQ289" s="299"/>
      <c r="CR289" s="299"/>
      <c r="CS289" s="299"/>
      <c r="CT289" s="299"/>
      <c r="CU289" s="299"/>
      <c r="CV289" s="299"/>
      <c r="CW289" s="299"/>
      <c r="CX289" s="299"/>
      <c r="CY289" s="299"/>
      <c r="CZ289" s="299"/>
      <c r="DA289" s="299"/>
      <c r="DB289" s="299"/>
      <c r="DC289" s="299"/>
      <c r="DD289" s="299"/>
      <c r="DE289" s="299"/>
      <c r="DF289" s="299"/>
      <c r="DG289" s="299"/>
      <c r="DH289" s="299"/>
      <c r="DI289" s="299"/>
      <c r="DJ289" s="299"/>
      <c r="DK289" s="299"/>
      <c r="DL289" s="299"/>
      <c r="DM289" s="299"/>
      <c r="DN289" s="299"/>
      <c r="DO289" s="299"/>
      <c r="DP289" s="299"/>
      <c r="DQ289" s="299"/>
      <c r="DR289" s="299"/>
      <c r="DS289" s="299"/>
      <c r="DT289" s="299"/>
      <c r="DU289" s="299"/>
      <c r="DV289" s="299"/>
      <c r="DW289" s="299"/>
      <c r="DX289" s="299"/>
      <c r="DY289" s="299"/>
      <c r="DZ289" s="299"/>
      <c r="EA289" s="299"/>
      <c r="EB289" s="299"/>
      <c r="EC289" s="299"/>
      <c r="ED289" s="299"/>
      <c r="EE289" s="299"/>
      <c r="EF289" s="299"/>
      <c r="EG289" s="299"/>
      <c r="EH289" s="299"/>
      <c r="EI289" s="299"/>
      <c r="EJ289" s="299"/>
      <c r="EK289" s="299"/>
      <c r="EL289" s="299"/>
      <c r="EM289" s="299"/>
      <c r="EN289" s="299"/>
      <c r="EO289" s="299"/>
      <c r="EP289" s="299"/>
      <c r="EQ289" s="299"/>
      <c r="ER289" s="299"/>
      <c r="ES289" s="299"/>
      <c r="ET289" s="299"/>
      <c r="EU289" s="299"/>
      <c r="EV289" s="299"/>
      <c r="EW289" s="299"/>
      <c r="EX289" s="299"/>
      <c r="EY289" s="299"/>
      <c r="EZ289" s="299"/>
      <c r="FA289" s="299"/>
      <c r="FB289" s="299"/>
      <c r="FC289" s="299"/>
      <c r="FD289" s="299"/>
      <c r="FE289" s="299"/>
      <c r="FF289" s="299"/>
      <c r="FG289" s="299"/>
      <c r="FH289" s="299"/>
      <c r="FI289" s="299"/>
      <c r="FJ289" s="299"/>
      <c r="FK289" s="299"/>
      <c r="FL289" s="299"/>
      <c r="FM289" s="299"/>
      <c r="FN289" s="299"/>
      <c r="FO289" s="299"/>
      <c r="FP289" s="299"/>
      <c r="FQ289" s="299"/>
      <c r="FR289" s="299"/>
      <c r="FS289" s="299"/>
      <c r="FT289" s="299"/>
      <c r="FU289" s="299"/>
      <c r="FV289" s="299"/>
      <c r="FW289" s="299"/>
      <c r="FX289" s="299"/>
      <c r="FY289" s="299"/>
      <c r="FZ289" s="299"/>
      <c r="GA289" s="299"/>
      <c r="GB289" s="299"/>
      <c r="GC289" s="299"/>
      <c r="GD289" s="299"/>
      <c r="GE289" s="299"/>
    </row>
    <row r="290" spans="2:187" s="149" customFormat="1">
      <c r="B290" s="291">
        <v>284</v>
      </c>
      <c r="C290" s="414" t="s">
        <v>508</v>
      </c>
      <c r="D290" s="414" t="s">
        <v>742</v>
      </c>
      <c r="E290" s="413" t="s">
        <v>222</v>
      </c>
      <c r="F290" s="414" t="s">
        <v>177</v>
      </c>
      <c r="G290" s="418">
        <v>5</v>
      </c>
      <c r="H290" s="415">
        <v>500000</v>
      </c>
      <c r="I290" s="292">
        <f t="shared" si="4"/>
        <v>93750</v>
      </c>
      <c r="J290" s="326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  <c r="AA290" s="299"/>
      <c r="AB290" s="299"/>
      <c r="AC290" s="299"/>
      <c r="AD290" s="299"/>
      <c r="AE290" s="299"/>
      <c r="AF290" s="299"/>
      <c r="AG290" s="299"/>
      <c r="AH290" s="299"/>
      <c r="AI290" s="299"/>
      <c r="AJ290" s="299"/>
      <c r="AK290" s="299"/>
      <c r="AL290" s="299"/>
      <c r="AM290" s="299"/>
      <c r="AN290" s="299"/>
      <c r="AO290" s="299"/>
      <c r="AP290" s="299"/>
      <c r="AQ290" s="299"/>
      <c r="AR290" s="299"/>
      <c r="AS290" s="299"/>
      <c r="AT290" s="299"/>
      <c r="AU290" s="299"/>
      <c r="AV290" s="299"/>
      <c r="AW290" s="299"/>
      <c r="AX290" s="299"/>
      <c r="AY290" s="299"/>
      <c r="AZ290" s="299"/>
      <c r="BA290" s="299"/>
      <c r="BB290" s="299"/>
      <c r="BC290" s="299"/>
      <c r="BD290" s="299"/>
      <c r="BE290" s="299"/>
      <c r="BF290" s="299"/>
      <c r="BG290" s="299"/>
      <c r="BH290" s="299"/>
      <c r="BI290" s="299"/>
      <c r="BJ290" s="299"/>
      <c r="BK290" s="299"/>
      <c r="BL290" s="299"/>
      <c r="BM290" s="299"/>
      <c r="BN290" s="299"/>
      <c r="BO290" s="299"/>
      <c r="BP290" s="299"/>
      <c r="BQ290" s="299"/>
      <c r="BR290" s="299"/>
      <c r="BS290" s="299"/>
      <c r="BT290" s="299"/>
      <c r="BU290" s="299"/>
      <c r="BV290" s="299"/>
      <c r="BW290" s="299"/>
      <c r="BX290" s="299"/>
      <c r="BY290" s="299"/>
      <c r="BZ290" s="299"/>
      <c r="CA290" s="299"/>
      <c r="CB290" s="299"/>
      <c r="CC290" s="299"/>
      <c r="CD290" s="299"/>
      <c r="CE290" s="299"/>
      <c r="CF290" s="299"/>
      <c r="CG290" s="299"/>
      <c r="CH290" s="299"/>
      <c r="CI290" s="299"/>
      <c r="CJ290" s="299"/>
      <c r="CK290" s="299"/>
      <c r="CL290" s="299"/>
      <c r="CM290" s="299"/>
      <c r="CN290" s="299"/>
      <c r="CO290" s="299"/>
      <c r="CP290" s="299"/>
      <c r="CQ290" s="299"/>
      <c r="CR290" s="299"/>
      <c r="CS290" s="299"/>
      <c r="CT290" s="299"/>
      <c r="CU290" s="299"/>
      <c r="CV290" s="299"/>
      <c r="CW290" s="299"/>
      <c r="CX290" s="299"/>
      <c r="CY290" s="299"/>
      <c r="CZ290" s="299"/>
      <c r="DA290" s="299"/>
      <c r="DB290" s="299"/>
      <c r="DC290" s="299"/>
      <c r="DD290" s="299"/>
      <c r="DE290" s="299"/>
      <c r="DF290" s="299"/>
      <c r="DG290" s="299"/>
      <c r="DH290" s="299"/>
      <c r="DI290" s="299"/>
      <c r="DJ290" s="299"/>
      <c r="DK290" s="299"/>
      <c r="DL290" s="299"/>
      <c r="DM290" s="299"/>
      <c r="DN290" s="299"/>
      <c r="DO290" s="299"/>
      <c r="DP290" s="299"/>
      <c r="DQ290" s="299"/>
      <c r="DR290" s="299"/>
      <c r="DS290" s="299"/>
      <c r="DT290" s="299"/>
      <c r="DU290" s="299"/>
      <c r="DV290" s="299"/>
      <c r="DW290" s="299"/>
      <c r="DX290" s="299"/>
      <c r="DY290" s="299"/>
      <c r="DZ290" s="299"/>
      <c r="EA290" s="299"/>
      <c r="EB290" s="299"/>
      <c r="EC290" s="299"/>
      <c r="ED290" s="299"/>
      <c r="EE290" s="299"/>
      <c r="EF290" s="299"/>
      <c r="EG290" s="299"/>
      <c r="EH290" s="299"/>
      <c r="EI290" s="299"/>
      <c r="EJ290" s="299"/>
      <c r="EK290" s="299"/>
      <c r="EL290" s="299"/>
      <c r="EM290" s="299"/>
      <c r="EN290" s="299"/>
      <c r="EO290" s="299"/>
      <c r="EP290" s="299"/>
      <c r="EQ290" s="299"/>
      <c r="ER290" s="299"/>
      <c r="ES290" s="299"/>
      <c r="ET290" s="299"/>
      <c r="EU290" s="299"/>
      <c r="EV290" s="299"/>
      <c r="EW290" s="299"/>
      <c r="EX290" s="299"/>
      <c r="EY290" s="299"/>
      <c r="EZ290" s="299"/>
      <c r="FA290" s="299"/>
      <c r="FB290" s="299"/>
      <c r="FC290" s="299"/>
      <c r="FD290" s="299"/>
      <c r="FE290" s="299"/>
      <c r="FF290" s="299"/>
      <c r="FG290" s="299"/>
      <c r="FH290" s="299"/>
      <c r="FI290" s="299"/>
      <c r="FJ290" s="299"/>
      <c r="FK290" s="299"/>
      <c r="FL290" s="299"/>
      <c r="FM290" s="299"/>
      <c r="FN290" s="299"/>
      <c r="FO290" s="299"/>
      <c r="FP290" s="299"/>
      <c r="FQ290" s="299"/>
      <c r="FR290" s="299"/>
      <c r="FS290" s="299"/>
      <c r="FT290" s="299"/>
      <c r="FU290" s="299"/>
      <c r="FV290" s="299"/>
      <c r="FW290" s="299"/>
      <c r="FX290" s="299"/>
      <c r="FY290" s="299"/>
      <c r="FZ290" s="299"/>
      <c r="GA290" s="299"/>
      <c r="GB290" s="299"/>
      <c r="GC290" s="299"/>
      <c r="GD290" s="299"/>
      <c r="GE290" s="299"/>
    </row>
    <row r="291" spans="2:187" s="149" customFormat="1">
      <c r="B291" s="291">
        <v>285</v>
      </c>
      <c r="C291" s="414" t="s">
        <v>571</v>
      </c>
      <c r="D291" s="414" t="s">
        <v>740</v>
      </c>
      <c r="E291" s="413" t="s">
        <v>538</v>
      </c>
      <c r="F291" s="414" t="s">
        <v>177</v>
      </c>
      <c r="G291" s="418">
        <v>4</v>
      </c>
      <c r="H291" s="415">
        <v>400000</v>
      </c>
      <c r="I291" s="292">
        <f t="shared" si="4"/>
        <v>75000</v>
      </c>
      <c r="J291" s="326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  <c r="AA291" s="299"/>
      <c r="AB291" s="299"/>
      <c r="AC291" s="299"/>
      <c r="AD291" s="299"/>
      <c r="AE291" s="299"/>
      <c r="AF291" s="299"/>
      <c r="AG291" s="299"/>
      <c r="AH291" s="299"/>
      <c r="AI291" s="299"/>
      <c r="AJ291" s="299"/>
      <c r="AK291" s="299"/>
      <c r="AL291" s="299"/>
      <c r="AM291" s="299"/>
      <c r="AN291" s="299"/>
      <c r="AO291" s="299"/>
      <c r="AP291" s="299"/>
      <c r="AQ291" s="299"/>
      <c r="AR291" s="299"/>
      <c r="AS291" s="299"/>
      <c r="AT291" s="299"/>
      <c r="AU291" s="299"/>
      <c r="AV291" s="299"/>
      <c r="AW291" s="299"/>
      <c r="AX291" s="299"/>
      <c r="AY291" s="299"/>
      <c r="AZ291" s="299"/>
      <c r="BA291" s="299"/>
      <c r="BB291" s="299"/>
      <c r="BC291" s="299"/>
      <c r="BD291" s="299"/>
      <c r="BE291" s="299"/>
      <c r="BF291" s="299"/>
      <c r="BG291" s="299"/>
      <c r="BH291" s="299"/>
      <c r="BI291" s="299"/>
      <c r="BJ291" s="299"/>
      <c r="BK291" s="299"/>
      <c r="BL291" s="299"/>
      <c r="BM291" s="299"/>
      <c r="BN291" s="299"/>
      <c r="BO291" s="299"/>
      <c r="BP291" s="299"/>
      <c r="BQ291" s="299"/>
      <c r="BR291" s="299"/>
      <c r="BS291" s="299"/>
      <c r="BT291" s="299"/>
      <c r="BU291" s="299"/>
      <c r="BV291" s="299"/>
      <c r="BW291" s="299"/>
      <c r="BX291" s="299"/>
      <c r="BY291" s="299"/>
      <c r="BZ291" s="299"/>
      <c r="CA291" s="299"/>
      <c r="CB291" s="299"/>
      <c r="CC291" s="299"/>
      <c r="CD291" s="299"/>
      <c r="CE291" s="299"/>
      <c r="CF291" s="299"/>
      <c r="CG291" s="299"/>
      <c r="CH291" s="299"/>
      <c r="CI291" s="299"/>
      <c r="CJ291" s="299"/>
      <c r="CK291" s="299"/>
      <c r="CL291" s="299"/>
      <c r="CM291" s="299"/>
      <c r="CN291" s="299"/>
      <c r="CO291" s="299"/>
      <c r="CP291" s="299"/>
      <c r="CQ291" s="299"/>
      <c r="CR291" s="299"/>
      <c r="CS291" s="299"/>
      <c r="CT291" s="299"/>
      <c r="CU291" s="299"/>
      <c r="CV291" s="299"/>
      <c r="CW291" s="299"/>
      <c r="CX291" s="299"/>
      <c r="CY291" s="299"/>
      <c r="CZ291" s="299"/>
      <c r="DA291" s="299"/>
      <c r="DB291" s="299"/>
      <c r="DC291" s="299"/>
      <c r="DD291" s="299"/>
      <c r="DE291" s="299"/>
      <c r="DF291" s="299"/>
      <c r="DG291" s="299"/>
      <c r="DH291" s="299"/>
      <c r="DI291" s="299"/>
      <c r="DJ291" s="299"/>
      <c r="DK291" s="299"/>
      <c r="DL291" s="299"/>
      <c r="DM291" s="299"/>
      <c r="DN291" s="299"/>
      <c r="DO291" s="299"/>
      <c r="DP291" s="299"/>
      <c r="DQ291" s="299"/>
      <c r="DR291" s="299"/>
      <c r="DS291" s="299"/>
      <c r="DT291" s="299"/>
      <c r="DU291" s="299"/>
      <c r="DV291" s="299"/>
      <c r="DW291" s="299"/>
      <c r="DX291" s="299"/>
      <c r="DY291" s="299"/>
      <c r="DZ291" s="299"/>
      <c r="EA291" s="299"/>
      <c r="EB291" s="299"/>
      <c r="EC291" s="299"/>
      <c r="ED291" s="299"/>
      <c r="EE291" s="299"/>
      <c r="EF291" s="299"/>
      <c r="EG291" s="299"/>
      <c r="EH291" s="299"/>
      <c r="EI291" s="299"/>
      <c r="EJ291" s="299"/>
      <c r="EK291" s="299"/>
      <c r="EL291" s="299"/>
      <c r="EM291" s="299"/>
      <c r="EN291" s="299"/>
      <c r="EO291" s="299"/>
      <c r="EP291" s="299"/>
      <c r="EQ291" s="299"/>
      <c r="ER291" s="299"/>
      <c r="ES291" s="299"/>
      <c r="ET291" s="299"/>
      <c r="EU291" s="299"/>
      <c r="EV291" s="299"/>
      <c r="EW291" s="299"/>
      <c r="EX291" s="299"/>
      <c r="EY291" s="299"/>
      <c r="EZ291" s="299"/>
      <c r="FA291" s="299"/>
      <c r="FB291" s="299"/>
      <c r="FC291" s="299"/>
      <c r="FD291" s="299"/>
      <c r="FE291" s="299"/>
      <c r="FF291" s="299"/>
      <c r="FG291" s="299"/>
      <c r="FH291" s="299"/>
      <c r="FI291" s="299"/>
      <c r="FJ291" s="299"/>
      <c r="FK291" s="299"/>
      <c r="FL291" s="299"/>
      <c r="FM291" s="299"/>
      <c r="FN291" s="299"/>
      <c r="FO291" s="299"/>
      <c r="FP291" s="299"/>
      <c r="FQ291" s="299"/>
      <c r="FR291" s="299"/>
      <c r="FS291" s="299"/>
      <c r="FT291" s="299"/>
      <c r="FU291" s="299"/>
      <c r="FV291" s="299"/>
      <c r="FW291" s="299"/>
      <c r="FX291" s="299"/>
      <c r="FY291" s="299"/>
      <c r="FZ291" s="299"/>
      <c r="GA291" s="299"/>
      <c r="GB291" s="299"/>
      <c r="GC291" s="299"/>
      <c r="GD291" s="299"/>
      <c r="GE291" s="299"/>
    </row>
    <row r="292" spans="2:187" s="149" customFormat="1">
      <c r="B292" s="291">
        <v>286</v>
      </c>
      <c r="C292" s="414" t="s">
        <v>542</v>
      </c>
      <c r="D292" s="414" t="s">
        <v>741</v>
      </c>
      <c r="E292" s="413" t="s">
        <v>195</v>
      </c>
      <c r="F292" s="414" t="s">
        <v>182</v>
      </c>
      <c r="G292" s="418">
        <v>1</v>
      </c>
      <c r="H292" s="415">
        <v>100000</v>
      </c>
      <c r="I292" s="292">
        <f t="shared" si="4"/>
        <v>18750</v>
      </c>
      <c r="J292" s="326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  <c r="AA292" s="299"/>
      <c r="AB292" s="299"/>
      <c r="AC292" s="299"/>
      <c r="AD292" s="299"/>
      <c r="AE292" s="299"/>
      <c r="AF292" s="299"/>
      <c r="AG292" s="299"/>
      <c r="AH292" s="299"/>
      <c r="AI292" s="299"/>
      <c r="AJ292" s="299"/>
      <c r="AK292" s="299"/>
      <c r="AL292" s="299"/>
      <c r="AM292" s="299"/>
      <c r="AN292" s="299"/>
      <c r="AO292" s="299"/>
      <c r="AP292" s="299"/>
      <c r="AQ292" s="299"/>
      <c r="AR292" s="299"/>
      <c r="AS292" s="299"/>
      <c r="AT292" s="299"/>
      <c r="AU292" s="299"/>
      <c r="AV292" s="299"/>
      <c r="AW292" s="299"/>
      <c r="AX292" s="299"/>
      <c r="AY292" s="299"/>
      <c r="AZ292" s="299"/>
      <c r="BA292" s="299"/>
      <c r="BB292" s="299"/>
      <c r="BC292" s="299"/>
      <c r="BD292" s="299"/>
      <c r="BE292" s="299"/>
      <c r="BF292" s="299"/>
      <c r="BG292" s="299"/>
      <c r="BH292" s="299"/>
      <c r="BI292" s="299"/>
      <c r="BJ292" s="299"/>
      <c r="BK292" s="299"/>
      <c r="BL292" s="299"/>
      <c r="BM292" s="299"/>
      <c r="BN292" s="299"/>
      <c r="BO292" s="299"/>
      <c r="BP292" s="299"/>
      <c r="BQ292" s="299"/>
      <c r="BR292" s="299"/>
      <c r="BS292" s="299"/>
      <c r="BT292" s="299"/>
      <c r="BU292" s="299"/>
      <c r="BV292" s="299"/>
      <c r="BW292" s="299"/>
      <c r="BX292" s="299"/>
      <c r="BY292" s="299"/>
      <c r="BZ292" s="299"/>
      <c r="CA292" s="299"/>
      <c r="CB292" s="299"/>
      <c r="CC292" s="299"/>
      <c r="CD292" s="299"/>
      <c r="CE292" s="299"/>
      <c r="CF292" s="299"/>
      <c r="CG292" s="299"/>
      <c r="CH292" s="299"/>
      <c r="CI292" s="299"/>
      <c r="CJ292" s="299"/>
      <c r="CK292" s="299"/>
      <c r="CL292" s="299"/>
      <c r="CM292" s="299"/>
      <c r="CN292" s="299"/>
      <c r="CO292" s="299"/>
      <c r="CP292" s="299"/>
      <c r="CQ292" s="299"/>
      <c r="CR292" s="299"/>
      <c r="CS292" s="299"/>
      <c r="CT292" s="299"/>
      <c r="CU292" s="299"/>
      <c r="CV292" s="299"/>
      <c r="CW292" s="299"/>
      <c r="CX292" s="299"/>
      <c r="CY292" s="299"/>
      <c r="CZ292" s="299"/>
      <c r="DA292" s="299"/>
      <c r="DB292" s="299"/>
      <c r="DC292" s="299"/>
      <c r="DD292" s="299"/>
      <c r="DE292" s="299"/>
      <c r="DF292" s="299"/>
      <c r="DG292" s="299"/>
      <c r="DH292" s="299"/>
      <c r="DI292" s="299"/>
      <c r="DJ292" s="299"/>
      <c r="DK292" s="299"/>
      <c r="DL292" s="299"/>
      <c r="DM292" s="299"/>
      <c r="DN292" s="299"/>
      <c r="DO292" s="299"/>
      <c r="DP292" s="299"/>
      <c r="DQ292" s="299"/>
      <c r="DR292" s="299"/>
      <c r="DS292" s="299"/>
      <c r="DT292" s="299"/>
      <c r="DU292" s="299"/>
      <c r="DV292" s="299"/>
      <c r="DW292" s="299"/>
      <c r="DX292" s="299"/>
      <c r="DY292" s="299"/>
      <c r="DZ292" s="299"/>
      <c r="EA292" s="299"/>
      <c r="EB292" s="299"/>
      <c r="EC292" s="299"/>
      <c r="ED292" s="299"/>
      <c r="EE292" s="299"/>
      <c r="EF292" s="299"/>
      <c r="EG292" s="299"/>
      <c r="EH292" s="299"/>
      <c r="EI292" s="299"/>
      <c r="EJ292" s="299"/>
      <c r="EK292" s="299"/>
      <c r="EL292" s="299"/>
      <c r="EM292" s="299"/>
      <c r="EN292" s="299"/>
      <c r="EO292" s="299"/>
      <c r="EP292" s="299"/>
      <c r="EQ292" s="299"/>
      <c r="ER292" s="299"/>
      <c r="ES292" s="299"/>
      <c r="ET292" s="299"/>
      <c r="EU292" s="299"/>
      <c r="EV292" s="299"/>
      <c r="EW292" s="299"/>
      <c r="EX292" s="299"/>
      <c r="EY292" s="299"/>
      <c r="EZ292" s="299"/>
      <c r="FA292" s="299"/>
      <c r="FB292" s="299"/>
      <c r="FC292" s="299"/>
      <c r="FD292" s="299"/>
      <c r="FE292" s="299"/>
      <c r="FF292" s="299"/>
      <c r="FG292" s="299"/>
      <c r="FH292" s="299"/>
      <c r="FI292" s="299"/>
      <c r="FJ292" s="299"/>
      <c r="FK292" s="299"/>
      <c r="FL292" s="299"/>
      <c r="FM292" s="299"/>
      <c r="FN292" s="299"/>
      <c r="FO292" s="299"/>
      <c r="FP292" s="299"/>
      <c r="FQ292" s="299"/>
      <c r="FR292" s="299"/>
      <c r="FS292" s="299"/>
      <c r="FT292" s="299"/>
      <c r="FU292" s="299"/>
      <c r="FV292" s="299"/>
      <c r="FW292" s="299"/>
      <c r="FX292" s="299"/>
      <c r="FY292" s="299"/>
      <c r="FZ292" s="299"/>
      <c r="GA292" s="299"/>
      <c r="GB292" s="299"/>
      <c r="GC292" s="299"/>
      <c r="GD292" s="299"/>
      <c r="GE292" s="299"/>
    </row>
    <row r="293" spans="2:187" s="149" customFormat="1">
      <c r="B293" s="291">
        <v>287</v>
      </c>
      <c r="C293" s="414" t="s">
        <v>535</v>
      </c>
      <c r="D293" s="414" t="s">
        <v>743</v>
      </c>
      <c r="E293" s="413" t="s">
        <v>209</v>
      </c>
      <c r="F293" s="414" t="s">
        <v>348</v>
      </c>
      <c r="G293" s="418">
        <v>1</v>
      </c>
      <c r="H293" s="415">
        <v>100000</v>
      </c>
      <c r="I293" s="292">
        <f t="shared" si="4"/>
        <v>18750</v>
      </c>
      <c r="J293" s="326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  <c r="AA293" s="299"/>
      <c r="AB293" s="299"/>
      <c r="AC293" s="299"/>
      <c r="AD293" s="299"/>
      <c r="AE293" s="299"/>
      <c r="AF293" s="299"/>
      <c r="AG293" s="299"/>
      <c r="AH293" s="299"/>
      <c r="AI293" s="299"/>
      <c r="AJ293" s="299"/>
      <c r="AK293" s="299"/>
      <c r="AL293" s="299"/>
      <c r="AM293" s="299"/>
      <c r="AN293" s="299"/>
      <c r="AO293" s="299"/>
      <c r="AP293" s="299"/>
      <c r="AQ293" s="299"/>
      <c r="AR293" s="299"/>
      <c r="AS293" s="299"/>
      <c r="AT293" s="299"/>
      <c r="AU293" s="299"/>
      <c r="AV293" s="299"/>
      <c r="AW293" s="299"/>
      <c r="AX293" s="299"/>
      <c r="AY293" s="299"/>
      <c r="AZ293" s="299"/>
      <c r="BA293" s="299"/>
      <c r="BB293" s="299"/>
      <c r="BC293" s="299"/>
      <c r="BD293" s="299"/>
      <c r="BE293" s="299"/>
      <c r="BF293" s="299"/>
      <c r="BG293" s="299"/>
      <c r="BH293" s="299"/>
      <c r="BI293" s="299"/>
      <c r="BJ293" s="299"/>
      <c r="BK293" s="299"/>
      <c r="BL293" s="299"/>
      <c r="BM293" s="299"/>
      <c r="BN293" s="299"/>
      <c r="BO293" s="299"/>
      <c r="BP293" s="299"/>
      <c r="BQ293" s="299"/>
      <c r="BR293" s="299"/>
      <c r="BS293" s="299"/>
      <c r="BT293" s="299"/>
      <c r="BU293" s="299"/>
      <c r="BV293" s="299"/>
      <c r="BW293" s="299"/>
      <c r="BX293" s="299"/>
      <c r="BY293" s="299"/>
      <c r="BZ293" s="299"/>
      <c r="CA293" s="299"/>
      <c r="CB293" s="299"/>
      <c r="CC293" s="299"/>
      <c r="CD293" s="299"/>
      <c r="CE293" s="299"/>
      <c r="CF293" s="299"/>
      <c r="CG293" s="299"/>
      <c r="CH293" s="299"/>
      <c r="CI293" s="299"/>
      <c r="CJ293" s="299"/>
      <c r="CK293" s="299"/>
      <c r="CL293" s="299"/>
      <c r="CM293" s="299"/>
      <c r="CN293" s="299"/>
      <c r="CO293" s="299"/>
      <c r="CP293" s="299"/>
      <c r="CQ293" s="299"/>
      <c r="CR293" s="299"/>
      <c r="CS293" s="299"/>
      <c r="CT293" s="299"/>
      <c r="CU293" s="299"/>
      <c r="CV293" s="299"/>
      <c r="CW293" s="299"/>
      <c r="CX293" s="299"/>
      <c r="CY293" s="299"/>
      <c r="CZ293" s="299"/>
      <c r="DA293" s="299"/>
      <c r="DB293" s="299"/>
      <c r="DC293" s="299"/>
      <c r="DD293" s="299"/>
      <c r="DE293" s="299"/>
      <c r="DF293" s="299"/>
      <c r="DG293" s="299"/>
      <c r="DH293" s="299"/>
      <c r="DI293" s="299"/>
      <c r="DJ293" s="299"/>
      <c r="DK293" s="299"/>
      <c r="DL293" s="299"/>
      <c r="DM293" s="299"/>
      <c r="DN293" s="299"/>
      <c r="DO293" s="299"/>
      <c r="DP293" s="299"/>
      <c r="DQ293" s="299"/>
      <c r="DR293" s="299"/>
      <c r="DS293" s="299"/>
      <c r="DT293" s="299"/>
      <c r="DU293" s="299"/>
      <c r="DV293" s="299"/>
      <c r="DW293" s="299"/>
      <c r="DX293" s="299"/>
      <c r="DY293" s="299"/>
      <c r="DZ293" s="299"/>
      <c r="EA293" s="299"/>
      <c r="EB293" s="299"/>
      <c r="EC293" s="299"/>
      <c r="ED293" s="299"/>
      <c r="EE293" s="299"/>
      <c r="EF293" s="299"/>
      <c r="EG293" s="299"/>
      <c r="EH293" s="299"/>
      <c r="EI293" s="299"/>
      <c r="EJ293" s="299"/>
      <c r="EK293" s="299"/>
      <c r="EL293" s="299"/>
      <c r="EM293" s="299"/>
      <c r="EN293" s="299"/>
      <c r="EO293" s="299"/>
      <c r="EP293" s="299"/>
      <c r="EQ293" s="299"/>
      <c r="ER293" s="299"/>
      <c r="ES293" s="299"/>
      <c r="ET293" s="299"/>
      <c r="EU293" s="299"/>
      <c r="EV293" s="299"/>
      <c r="EW293" s="299"/>
      <c r="EX293" s="299"/>
      <c r="EY293" s="299"/>
      <c r="EZ293" s="299"/>
      <c r="FA293" s="299"/>
      <c r="FB293" s="299"/>
      <c r="FC293" s="299"/>
      <c r="FD293" s="299"/>
      <c r="FE293" s="299"/>
      <c r="FF293" s="299"/>
      <c r="FG293" s="299"/>
      <c r="FH293" s="299"/>
      <c r="FI293" s="299"/>
      <c r="FJ293" s="299"/>
      <c r="FK293" s="299"/>
      <c r="FL293" s="299"/>
      <c r="FM293" s="299"/>
      <c r="FN293" s="299"/>
      <c r="FO293" s="299"/>
      <c r="FP293" s="299"/>
      <c r="FQ293" s="299"/>
      <c r="FR293" s="299"/>
      <c r="FS293" s="299"/>
      <c r="FT293" s="299"/>
      <c r="FU293" s="299"/>
      <c r="FV293" s="299"/>
      <c r="FW293" s="299"/>
      <c r="FX293" s="299"/>
      <c r="FY293" s="299"/>
      <c r="FZ293" s="299"/>
      <c r="GA293" s="299"/>
      <c r="GB293" s="299"/>
      <c r="GC293" s="299"/>
      <c r="GD293" s="299"/>
      <c r="GE293" s="299"/>
    </row>
    <row r="294" spans="2:187" s="149" customFormat="1">
      <c r="B294" s="291">
        <v>288</v>
      </c>
      <c r="C294" s="414" t="s">
        <v>512</v>
      </c>
      <c r="D294" s="414" t="s">
        <v>744</v>
      </c>
      <c r="E294" s="413" t="s">
        <v>176</v>
      </c>
      <c r="F294" s="414" t="s">
        <v>301</v>
      </c>
      <c r="G294" s="418">
        <v>1</v>
      </c>
      <c r="H294" s="415">
        <v>120000</v>
      </c>
      <c r="I294" s="292">
        <f t="shared" si="4"/>
        <v>22500</v>
      </c>
      <c r="J294" s="326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  <c r="AA294" s="299"/>
      <c r="AB294" s="299"/>
      <c r="AC294" s="299"/>
      <c r="AD294" s="299"/>
      <c r="AE294" s="299"/>
      <c r="AF294" s="299"/>
      <c r="AG294" s="299"/>
      <c r="AH294" s="299"/>
      <c r="AI294" s="299"/>
      <c r="AJ294" s="299"/>
      <c r="AK294" s="299"/>
      <c r="AL294" s="299"/>
      <c r="AM294" s="299"/>
      <c r="AN294" s="299"/>
      <c r="AO294" s="299"/>
      <c r="AP294" s="299"/>
      <c r="AQ294" s="299"/>
      <c r="AR294" s="299"/>
      <c r="AS294" s="299"/>
      <c r="AT294" s="299"/>
      <c r="AU294" s="299"/>
      <c r="AV294" s="299"/>
      <c r="AW294" s="299"/>
      <c r="AX294" s="299"/>
      <c r="AY294" s="299"/>
      <c r="AZ294" s="299"/>
      <c r="BA294" s="299"/>
      <c r="BB294" s="299"/>
      <c r="BC294" s="299"/>
      <c r="BD294" s="299"/>
      <c r="BE294" s="299"/>
      <c r="BF294" s="299"/>
      <c r="BG294" s="299"/>
      <c r="BH294" s="299"/>
      <c r="BI294" s="299"/>
      <c r="BJ294" s="299"/>
      <c r="BK294" s="299"/>
      <c r="BL294" s="299"/>
      <c r="BM294" s="299"/>
      <c r="BN294" s="299"/>
      <c r="BO294" s="299"/>
      <c r="BP294" s="299"/>
      <c r="BQ294" s="299"/>
      <c r="BR294" s="299"/>
      <c r="BS294" s="299"/>
      <c r="BT294" s="299"/>
      <c r="BU294" s="299"/>
      <c r="BV294" s="299"/>
      <c r="BW294" s="299"/>
      <c r="BX294" s="299"/>
      <c r="BY294" s="299"/>
      <c r="BZ294" s="299"/>
      <c r="CA294" s="299"/>
      <c r="CB294" s="299"/>
      <c r="CC294" s="299"/>
      <c r="CD294" s="299"/>
      <c r="CE294" s="299"/>
      <c r="CF294" s="299"/>
      <c r="CG294" s="299"/>
      <c r="CH294" s="299"/>
      <c r="CI294" s="299"/>
      <c r="CJ294" s="299"/>
      <c r="CK294" s="299"/>
      <c r="CL294" s="299"/>
      <c r="CM294" s="299"/>
      <c r="CN294" s="299"/>
      <c r="CO294" s="299"/>
      <c r="CP294" s="299"/>
      <c r="CQ294" s="299"/>
      <c r="CR294" s="299"/>
      <c r="CS294" s="299"/>
      <c r="CT294" s="299"/>
      <c r="CU294" s="299"/>
      <c r="CV294" s="299"/>
      <c r="CW294" s="299"/>
      <c r="CX294" s="299"/>
      <c r="CY294" s="299"/>
      <c r="CZ294" s="299"/>
      <c r="DA294" s="299"/>
      <c r="DB294" s="299"/>
      <c r="DC294" s="299"/>
      <c r="DD294" s="299"/>
      <c r="DE294" s="299"/>
      <c r="DF294" s="299"/>
      <c r="DG294" s="299"/>
      <c r="DH294" s="299"/>
      <c r="DI294" s="299"/>
      <c r="DJ294" s="299"/>
      <c r="DK294" s="299"/>
      <c r="DL294" s="299"/>
      <c r="DM294" s="299"/>
      <c r="DN294" s="299"/>
      <c r="DO294" s="299"/>
      <c r="DP294" s="299"/>
      <c r="DQ294" s="299"/>
      <c r="DR294" s="299"/>
      <c r="DS294" s="299"/>
      <c r="DT294" s="299"/>
      <c r="DU294" s="299"/>
      <c r="DV294" s="299"/>
      <c r="DW294" s="299"/>
      <c r="DX294" s="299"/>
      <c r="DY294" s="299"/>
      <c r="DZ294" s="299"/>
      <c r="EA294" s="299"/>
      <c r="EB294" s="299"/>
      <c r="EC294" s="299"/>
      <c r="ED294" s="299"/>
      <c r="EE294" s="299"/>
      <c r="EF294" s="299"/>
      <c r="EG294" s="299"/>
      <c r="EH294" s="299"/>
      <c r="EI294" s="299"/>
      <c r="EJ294" s="299"/>
      <c r="EK294" s="299"/>
      <c r="EL294" s="299"/>
      <c r="EM294" s="299"/>
      <c r="EN294" s="299"/>
      <c r="EO294" s="299"/>
      <c r="EP294" s="299"/>
      <c r="EQ294" s="299"/>
      <c r="ER294" s="299"/>
      <c r="ES294" s="299"/>
      <c r="ET294" s="299"/>
      <c r="EU294" s="299"/>
      <c r="EV294" s="299"/>
      <c r="EW294" s="299"/>
      <c r="EX294" s="299"/>
      <c r="EY294" s="299"/>
      <c r="EZ294" s="299"/>
      <c r="FA294" s="299"/>
      <c r="FB294" s="299"/>
      <c r="FC294" s="299"/>
      <c r="FD294" s="299"/>
      <c r="FE294" s="299"/>
      <c r="FF294" s="299"/>
      <c r="FG294" s="299"/>
      <c r="FH294" s="299"/>
      <c r="FI294" s="299"/>
      <c r="FJ294" s="299"/>
      <c r="FK294" s="299"/>
      <c r="FL294" s="299"/>
      <c r="FM294" s="299"/>
      <c r="FN294" s="299"/>
      <c r="FO294" s="299"/>
      <c r="FP294" s="299"/>
      <c r="FQ294" s="299"/>
      <c r="FR294" s="299"/>
      <c r="FS294" s="299"/>
      <c r="FT294" s="299"/>
      <c r="FU294" s="299"/>
      <c r="FV294" s="299"/>
      <c r="FW294" s="299"/>
      <c r="FX294" s="299"/>
      <c r="FY294" s="299"/>
      <c r="FZ294" s="299"/>
      <c r="GA294" s="299"/>
      <c r="GB294" s="299"/>
      <c r="GC294" s="299"/>
      <c r="GD294" s="299"/>
      <c r="GE294" s="299"/>
    </row>
    <row r="295" spans="2:187" s="149" customFormat="1">
      <c r="B295" s="291">
        <v>289</v>
      </c>
      <c r="C295" s="414" t="s">
        <v>430</v>
      </c>
      <c r="D295" s="414" t="s">
        <v>687</v>
      </c>
      <c r="E295" s="413" t="s">
        <v>224</v>
      </c>
      <c r="F295" s="414" t="s">
        <v>177</v>
      </c>
      <c r="G295" s="418">
        <v>7</v>
      </c>
      <c r="H295" s="415">
        <v>700000</v>
      </c>
      <c r="I295" s="292">
        <f t="shared" si="4"/>
        <v>131250</v>
      </c>
      <c r="J295" s="326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  <c r="AA295" s="299"/>
      <c r="AB295" s="299"/>
      <c r="AC295" s="299"/>
      <c r="AD295" s="299"/>
      <c r="AE295" s="299"/>
      <c r="AF295" s="299"/>
      <c r="AG295" s="299"/>
      <c r="AH295" s="299"/>
      <c r="AI295" s="299"/>
      <c r="AJ295" s="299"/>
      <c r="AK295" s="299"/>
      <c r="AL295" s="299"/>
      <c r="AM295" s="299"/>
      <c r="AN295" s="299"/>
      <c r="AO295" s="299"/>
      <c r="AP295" s="299"/>
      <c r="AQ295" s="299"/>
      <c r="AR295" s="299"/>
      <c r="AS295" s="299"/>
      <c r="AT295" s="299"/>
      <c r="AU295" s="299"/>
      <c r="AV295" s="299"/>
      <c r="AW295" s="299"/>
      <c r="AX295" s="299"/>
      <c r="AY295" s="299"/>
      <c r="AZ295" s="299"/>
      <c r="BA295" s="299"/>
      <c r="BB295" s="299"/>
      <c r="BC295" s="299"/>
      <c r="BD295" s="299"/>
      <c r="BE295" s="299"/>
      <c r="BF295" s="299"/>
      <c r="BG295" s="299"/>
      <c r="BH295" s="299"/>
      <c r="BI295" s="299"/>
      <c r="BJ295" s="299"/>
      <c r="BK295" s="299"/>
      <c r="BL295" s="299"/>
      <c r="BM295" s="299"/>
      <c r="BN295" s="299"/>
      <c r="BO295" s="299"/>
      <c r="BP295" s="299"/>
      <c r="BQ295" s="299"/>
      <c r="BR295" s="299"/>
      <c r="BS295" s="299"/>
      <c r="BT295" s="299"/>
      <c r="BU295" s="299"/>
      <c r="BV295" s="299"/>
      <c r="BW295" s="299"/>
      <c r="BX295" s="299"/>
      <c r="BY295" s="299"/>
      <c r="BZ295" s="299"/>
      <c r="CA295" s="299"/>
      <c r="CB295" s="299"/>
      <c r="CC295" s="299"/>
      <c r="CD295" s="299"/>
      <c r="CE295" s="299"/>
      <c r="CF295" s="299"/>
      <c r="CG295" s="299"/>
      <c r="CH295" s="299"/>
      <c r="CI295" s="299"/>
      <c r="CJ295" s="299"/>
      <c r="CK295" s="299"/>
      <c r="CL295" s="299"/>
      <c r="CM295" s="299"/>
      <c r="CN295" s="299"/>
      <c r="CO295" s="299"/>
      <c r="CP295" s="299"/>
      <c r="CQ295" s="299"/>
      <c r="CR295" s="299"/>
      <c r="CS295" s="299"/>
      <c r="CT295" s="299"/>
      <c r="CU295" s="299"/>
      <c r="CV295" s="299"/>
      <c r="CW295" s="299"/>
      <c r="CX295" s="299"/>
      <c r="CY295" s="299"/>
      <c r="CZ295" s="299"/>
      <c r="DA295" s="299"/>
      <c r="DB295" s="299"/>
      <c r="DC295" s="299"/>
      <c r="DD295" s="299"/>
      <c r="DE295" s="299"/>
      <c r="DF295" s="299"/>
      <c r="DG295" s="299"/>
      <c r="DH295" s="299"/>
      <c r="DI295" s="299"/>
      <c r="DJ295" s="299"/>
      <c r="DK295" s="299"/>
      <c r="DL295" s="299"/>
      <c r="DM295" s="299"/>
      <c r="DN295" s="299"/>
      <c r="DO295" s="299"/>
      <c r="DP295" s="299"/>
      <c r="DQ295" s="299"/>
      <c r="DR295" s="299"/>
      <c r="DS295" s="299"/>
      <c r="DT295" s="299"/>
      <c r="DU295" s="299"/>
      <c r="DV295" s="299"/>
      <c r="DW295" s="299"/>
      <c r="DX295" s="299"/>
      <c r="DY295" s="299"/>
      <c r="DZ295" s="299"/>
      <c r="EA295" s="299"/>
      <c r="EB295" s="299"/>
      <c r="EC295" s="299"/>
      <c r="ED295" s="299"/>
      <c r="EE295" s="299"/>
      <c r="EF295" s="299"/>
      <c r="EG295" s="299"/>
      <c r="EH295" s="299"/>
      <c r="EI295" s="299"/>
      <c r="EJ295" s="299"/>
      <c r="EK295" s="299"/>
      <c r="EL295" s="299"/>
      <c r="EM295" s="299"/>
      <c r="EN295" s="299"/>
      <c r="EO295" s="299"/>
      <c r="EP295" s="299"/>
      <c r="EQ295" s="299"/>
      <c r="ER295" s="299"/>
      <c r="ES295" s="299"/>
      <c r="ET295" s="299"/>
      <c r="EU295" s="299"/>
      <c r="EV295" s="299"/>
      <c r="EW295" s="299"/>
      <c r="EX295" s="299"/>
      <c r="EY295" s="299"/>
      <c r="EZ295" s="299"/>
      <c r="FA295" s="299"/>
      <c r="FB295" s="299"/>
      <c r="FC295" s="299"/>
      <c r="FD295" s="299"/>
      <c r="FE295" s="299"/>
      <c r="FF295" s="299"/>
      <c r="FG295" s="299"/>
      <c r="FH295" s="299"/>
      <c r="FI295" s="299"/>
      <c r="FJ295" s="299"/>
      <c r="FK295" s="299"/>
      <c r="FL295" s="299"/>
      <c r="FM295" s="299"/>
      <c r="FN295" s="299"/>
      <c r="FO295" s="299"/>
      <c r="FP295" s="299"/>
      <c r="FQ295" s="299"/>
      <c r="FR295" s="299"/>
      <c r="FS295" s="299"/>
      <c r="FT295" s="299"/>
      <c r="FU295" s="299"/>
      <c r="FV295" s="299"/>
      <c r="FW295" s="299"/>
      <c r="FX295" s="299"/>
      <c r="FY295" s="299"/>
      <c r="FZ295" s="299"/>
      <c r="GA295" s="299"/>
      <c r="GB295" s="299"/>
      <c r="GC295" s="299"/>
      <c r="GD295" s="299"/>
      <c r="GE295" s="299"/>
    </row>
    <row r="296" spans="2:187" s="149" customFormat="1">
      <c r="B296" s="291">
        <v>290</v>
      </c>
      <c r="C296" s="414" t="s">
        <v>551</v>
      </c>
      <c r="D296" s="414" t="s">
        <v>690</v>
      </c>
      <c r="E296" s="413" t="s">
        <v>187</v>
      </c>
      <c r="F296" s="414" t="s">
        <v>180</v>
      </c>
      <c r="G296" s="418">
        <v>5</v>
      </c>
      <c r="H296" s="415">
        <v>500000</v>
      </c>
      <c r="I296" s="292">
        <f t="shared" si="4"/>
        <v>93750</v>
      </c>
      <c r="J296" s="326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  <c r="AA296" s="299"/>
      <c r="AB296" s="299"/>
      <c r="AC296" s="299"/>
      <c r="AD296" s="299"/>
      <c r="AE296" s="299"/>
      <c r="AF296" s="299"/>
      <c r="AG296" s="299"/>
      <c r="AH296" s="299"/>
      <c r="AI296" s="299"/>
      <c r="AJ296" s="299"/>
      <c r="AK296" s="299"/>
      <c r="AL296" s="299"/>
      <c r="AM296" s="299"/>
      <c r="AN296" s="299"/>
      <c r="AO296" s="299"/>
      <c r="AP296" s="299"/>
      <c r="AQ296" s="299"/>
      <c r="AR296" s="299"/>
      <c r="AS296" s="299"/>
      <c r="AT296" s="299"/>
      <c r="AU296" s="299"/>
      <c r="AV296" s="299"/>
      <c r="AW296" s="299"/>
      <c r="AX296" s="299"/>
      <c r="AY296" s="299"/>
      <c r="AZ296" s="299"/>
      <c r="BA296" s="299"/>
      <c r="BB296" s="299"/>
      <c r="BC296" s="299"/>
      <c r="BD296" s="299"/>
      <c r="BE296" s="299"/>
      <c r="BF296" s="299"/>
      <c r="BG296" s="299"/>
      <c r="BH296" s="299"/>
      <c r="BI296" s="299"/>
      <c r="BJ296" s="299"/>
      <c r="BK296" s="299"/>
      <c r="BL296" s="299"/>
      <c r="BM296" s="299"/>
      <c r="BN296" s="299"/>
      <c r="BO296" s="299"/>
      <c r="BP296" s="299"/>
      <c r="BQ296" s="299"/>
      <c r="BR296" s="299"/>
      <c r="BS296" s="299"/>
      <c r="BT296" s="299"/>
      <c r="BU296" s="299"/>
      <c r="BV296" s="299"/>
      <c r="BW296" s="299"/>
      <c r="BX296" s="299"/>
      <c r="BY296" s="299"/>
      <c r="BZ296" s="299"/>
      <c r="CA296" s="299"/>
      <c r="CB296" s="299"/>
      <c r="CC296" s="299"/>
      <c r="CD296" s="299"/>
      <c r="CE296" s="299"/>
      <c r="CF296" s="299"/>
      <c r="CG296" s="299"/>
      <c r="CH296" s="299"/>
      <c r="CI296" s="299"/>
      <c r="CJ296" s="299"/>
      <c r="CK296" s="299"/>
      <c r="CL296" s="299"/>
      <c r="CM296" s="299"/>
      <c r="CN296" s="299"/>
      <c r="CO296" s="299"/>
      <c r="CP296" s="299"/>
      <c r="CQ296" s="299"/>
      <c r="CR296" s="299"/>
      <c r="CS296" s="299"/>
      <c r="CT296" s="299"/>
      <c r="CU296" s="299"/>
      <c r="CV296" s="299"/>
      <c r="CW296" s="299"/>
      <c r="CX296" s="299"/>
      <c r="CY296" s="299"/>
      <c r="CZ296" s="299"/>
      <c r="DA296" s="299"/>
      <c r="DB296" s="299"/>
      <c r="DC296" s="299"/>
      <c r="DD296" s="299"/>
      <c r="DE296" s="299"/>
      <c r="DF296" s="299"/>
      <c r="DG296" s="299"/>
      <c r="DH296" s="299"/>
      <c r="DI296" s="299"/>
      <c r="DJ296" s="299"/>
      <c r="DK296" s="299"/>
      <c r="DL296" s="299"/>
      <c r="DM296" s="299"/>
      <c r="DN296" s="299"/>
      <c r="DO296" s="299"/>
      <c r="DP296" s="299"/>
      <c r="DQ296" s="299"/>
      <c r="DR296" s="299"/>
      <c r="DS296" s="299"/>
      <c r="DT296" s="299"/>
      <c r="DU296" s="299"/>
      <c r="DV296" s="299"/>
      <c r="DW296" s="299"/>
      <c r="DX296" s="299"/>
      <c r="DY296" s="299"/>
      <c r="DZ296" s="299"/>
      <c r="EA296" s="299"/>
      <c r="EB296" s="299"/>
      <c r="EC296" s="299"/>
      <c r="ED296" s="299"/>
      <c r="EE296" s="299"/>
      <c r="EF296" s="299"/>
      <c r="EG296" s="299"/>
      <c r="EH296" s="299"/>
      <c r="EI296" s="299"/>
      <c r="EJ296" s="299"/>
      <c r="EK296" s="299"/>
      <c r="EL296" s="299"/>
      <c r="EM296" s="299"/>
      <c r="EN296" s="299"/>
      <c r="EO296" s="299"/>
      <c r="EP296" s="299"/>
      <c r="EQ296" s="299"/>
      <c r="ER296" s="299"/>
      <c r="ES296" s="299"/>
      <c r="ET296" s="299"/>
      <c r="EU296" s="299"/>
      <c r="EV296" s="299"/>
      <c r="EW296" s="299"/>
      <c r="EX296" s="299"/>
      <c r="EY296" s="299"/>
      <c r="EZ296" s="299"/>
      <c r="FA296" s="299"/>
      <c r="FB296" s="299"/>
      <c r="FC296" s="299"/>
      <c r="FD296" s="299"/>
      <c r="FE296" s="299"/>
      <c r="FF296" s="299"/>
      <c r="FG296" s="299"/>
      <c r="FH296" s="299"/>
      <c r="FI296" s="299"/>
      <c r="FJ296" s="299"/>
      <c r="FK296" s="299"/>
      <c r="FL296" s="299"/>
      <c r="FM296" s="299"/>
      <c r="FN296" s="299"/>
      <c r="FO296" s="299"/>
      <c r="FP296" s="299"/>
      <c r="FQ296" s="299"/>
      <c r="FR296" s="299"/>
      <c r="FS296" s="299"/>
      <c r="FT296" s="299"/>
      <c r="FU296" s="299"/>
      <c r="FV296" s="299"/>
      <c r="FW296" s="299"/>
      <c r="FX296" s="299"/>
      <c r="FY296" s="299"/>
      <c r="FZ296" s="299"/>
      <c r="GA296" s="299"/>
      <c r="GB296" s="299"/>
      <c r="GC296" s="299"/>
      <c r="GD296" s="299"/>
      <c r="GE296" s="299"/>
    </row>
    <row r="297" spans="2:187" s="149" customFormat="1">
      <c r="B297" s="291">
        <v>291</v>
      </c>
      <c r="C297" s="414" t="s">
        <v>553</v>
      </c>
      <c r="D297" s="414" t="s">
        <v>322</v>
      </c>
      <c r="E297" s="413" t="s">
        <v>176</v>
      </c>
      <c r="F297" s="414" t="s">
        <v>177</v>
      </c>
      <c r="G297" s="418">
        <v>6</v>
      </c>
      <c r="H297" s="415">
        <v>600000</v>
      </c>
      <c r="I297" s="292">
        <f t="shared" si="4"/>
        <v>112500</v>
      </c>
      <c r="J297" s="326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  <c r="AA297" s="299"/>
      <c r="AB297" s="299"/>
      <c r="AC297" s="299"/>
      <c r="AD297" s="299"/>
      <c r="AE297" s="299"/>
      <c r="AF297" s="299"/>
      <c r="AG297" s="299"/>
      <c r="AH297" s="299"/>
      <c r="AI297" s="299"/>
      <c r="AJ297" s="299"/>
      <c r="AK297" s="299"/>
      <c r="AL297" s="299"/>
      <c r="AM297" s="299"/>
      <c r="AN297" s="299"/>
      <c r="AO297" s="299"/>
      <c r="AP297" s="299"/>
      <c r="AQ297" s="299"/>
      <c r="AR297" s="299"/>
      <c r="AS297" s="299"/>
      <c r="AT297" s="299"/>
      <c r="AU297" s="299"/>
      <c r="AV297" s="299"/>
      <c r="AW297" s="299"/>
      <c r="AX297" s="299"/>
      <c r="AY297" s="299"/>
      <c r="AZ297" s="299"/>
      <c r="BA297" s="299"/>
      <c r="BB297" s="299"/>
      <c r="BC297" s="299"/>
      <c r="BD297" s="299"/>
      <c r="BE297" s="299"/>
      <c r="BF297" s="299"/>
      <c r="BG297" s="299"/>
      <c r="BH297" s="299"/>
      <c r="BI297" s="299"/>
      <c r="BJ297" s="299"/>
      <c r="BK297" s="299"/>
      <c r="BL297" s="299"/>
      <c r="BM297" s="299"/>
      <c r="BN297" s="299"/>
      <c r="BO297" s="299"/>
      <c r="BP297" s="299"/>
      <c r="BQ297" s="299"/>
      <c r="BR297" s="299"/>
      <c r="BS297" s="299"/>
      <c r="BT297" s="299"/>
      <c r="BU297" s="299"/>
      <c r="BV297" s="299"/>
      <c r="BW297" s="299"/>
      <c r="BX297" s="299"/>
      <c r="BY297" s="299"/>
      <c r="BZ297" s="299"/>
      <c r="CA297" s="299"/>
      <c r="CB297" s="299"/>
      <c r="CC297" s="299"/>
      <c r="CD297" s="299"/>
      <c r="CE297" s="299"/>
      <c r="CF297" s="299"/>
      <c r="CG297" s="299"/>
      <c r="CH297" s="299"/>
      <c r="CI297" s="299"/>
      <c r="CJ297" s="299"/>
      <c r="CK297" s="299"/>
      <c r="CL297" s="299"/>
      <c r="CM297" s="299"/>
      <c r="CN297" s="299"/>
      <c r="CO297" s="299"/>
      <c r="CP297" s="299"/>
      <c r="CQ297" s="299"/>
      <c r="CR297" s="299"/>
      <c r="CS297" s="299"/>
      <c r="CT297" s="299"/>
      <c r="CU297" s="299"/>
      <c r="CV297" s="299"/>
      <c r="CW297" s="299"/>
      <c r="CX297" s="299"/>
      <c r="CY297" s="299"/>
      <c r="CZ297" s="299"/>
      <c r="DA297" s="299"/>
      <c r="DB297" s="299"/>
      <c r="DC297" s="299"/>
      <c r="DD297" s="299"/>
      <c r="DE297" s="299"/>
      <c r="DF297" s="299"/>
      <c r="DG297" s="299"/>
      <c r="DH297" s="299"/>
      <c r="DI297" s="299"/>
      <c r="DJ297" s="299"/>
      <c r="DK297" s="299"/>
      <c r="DL297" s="299"/>
      <c r="DM297" s="299"/>
      <c r="DN297" s="299"/>
      <c r="DO297" s="299"/>
      <c r="DP297" s="299"/>
      <c r="DQ297" s="299"/>
      <c r="DR297" s="299"/>
      <c r="DS297" s="299"/>
      <c r="DT297" s="299"/>
      <c r="DU297" s="299"/>
      <c r="DV297" s="299"/>
      <c r="DW297" s="299"/>
      <c r="DX297" s="299"/>
      <c r="DY297" s="299"/>
      <c r="DZ297" s="299"/>
      <c r="EA297" s="299"/>
      <c r="EB297" s="299"/>
      <c r="EC297" s="299"/>
      <c r="ED297" s="299"/>
      <c r="EE297" s="299"/>
      <c r="EF297" s="299"/>
      <c r="EG297" s="299"/>
      <c r="EH297" s="299"/>
      <c r="EI297" s="299"/>
      <c r="EJ297" s="299"/>
      <c r="EK297" s="299"/>
      <c r="EL297" s="299"/>
      <c r="EM297" s="299"/>
      <c r="EN297" s="299"/>
      <c r="EO297" s="299"/>
      <c r="EP297" s="299"/>
      <c r="EQ297" s="299"/>
      <c r="ER297" s="299"/>
      <c r="ES297" s="299"/>
      <c r="ET297" s="299"/>
      <c r="EU297" s="299"/>
      <c r="EV297" s="299"/>
      <c r="EW297" s="299"/>
      <c r="EX297" s="299"/>
      <c r="EY297" s="299"/>
      <c r="EZ297" s="299"/>
      <c r="FA297" s="299"/>
      <c r="FB297" s="299"/>
      <c r="FC297" s="299"/>
      <c r="FD297" s="299"/>
      <c r="FE297" s="299"/>
      <c r="FF297" s="299"/>
      <c r="FG297" s="299"/>
      <c r="FH297" s="299"/>
      <c r="FI297" s="299"/>
      <c r="FJ297" s="299"/>
      <c r="FK297" s="299"/>
      <c r="FL297" s="299"/>
      <c r="FM297" s="299"/>
      <c r="FN297" s="299"/>
      <c r="FO297" s="299"/>
      <c r="FP297" s="299"/>
      <c r="FQ297" s="299"/>
      <c r="FR297" s="299"/>
      <c r="FS297" s="299"/>
      <c r="FT297" s="299"/>
      <c r="FU297" s="299"/>
      <c r="FV297" s="299"/>
      <c r="FW297" s="299"/>
      <c r="FX297" s="299"/>
      <c r="FY297" s="299"/>
      <c r="FZ297" s="299"/>
      <c r="GA297" s="299"/>
      <c r="GB297" s="299"/>
      <c r="GC297" s="299"/>
      <c r="GD297" s="299"/>
      <c r="GE297" s="299"/>
    </row>
    <row r="298" spans="2:187" s="149" customFormat="1">
      <c r="B298" s="291">
        <v>292</v>
      </c>
      <c r="C298" s="414" t="s">
        <v>512</v>
      </c>
      <c r="D298" s="414" t="s">
        <v>745</v>
      </c>
      <c r="E298" s="413" t="s">
        <v>207</v>
      </c>
      <c r="F298" s="414" t="s">
        <v>180</v>
      </c>
      <c r="G298" s="418">
        <v>3</v>
      </c>
      <c r="H298" s="415">
        <v>300000</v>
      </c>
      <c r="I298" s="292">
        <f t="shared" si="4"/>
        <v>56250</v>
      </c>
      <c r="J298" s="326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  <c r="AA298" s="299"/>
      <c r="AB298" s="299"/>
      <c r="AC298" s="299"/>
      <c r="AD298" s="299"/>
      <c r="AE298" s="299"/>
      <c r="AF298" s="299"/>
      <c r="AG298" s="299"/>
      <c r="AH298" s="299"/>
      <c r="AI298" s="299"/>
      <c r="AJ298" s="299"/>
      <c r="AK298" s="299"/>
      <c r="AL298" s="299"/>
      <c r="AM298" s="299"/>
      <c r="AN298" s="299"/>
      <c r="AO298" s="299"/>
      <c r="AP298" s="299"/>
      <c r="AQ298" s="299"/>
      <c r="AR298" s="299"/>
      <c r="AS298" s="299"/>
      <c r="AT298" s="299"/>
      <c r="AU298" s="299"/>
      <c r="AV298" s="299"/>
      <c r="AW298" s="299"/>
      <c r="AX298" s="299"/>
      <c r="AY298" s="299"/>
      <c r="AZ298" s="299"/>
      <c r="BA298" s="299"/>
      <c r="BB298" s="299"/>
      <c r="BC298" s="299"/>
      <c r="BD298" s="299"/>
      <c r="BE298" s="299"/>
      <c r="BF298" s="299"/>
      <c r="BG298" s="299"/>
      <c r="BH298" s="299"/>
      <c r="BI298" s="299"/>
      <c r="BJ298" s="299"/>
      <c r="BK298" s="299"/>
      <c r="BL298" s="299"/>
      <c r="BM298" s="299"/>
      <c r="BN298" s="299"/>
      <c r="BO298" s="299"/>
      <c r="BP298" s="299"/>
      <c r="BQ298" s="299"/>
      <c r="BR298" s="299"/>
      <c r="BS298" s="299"/>
      <c r="BT298" s="299"/>
      <c r="BU298" s="299"/>
      <c r="BV298" s="299"/>
      <c r="BW298" s="299"/>
      <c r="BX298" s="299"/>
      <c r="BY298" s="299"/>
      <c r="BZ298" s="299"/>
      <c r="CA298" s="299"/>
      <c r="CB298" s="299"/>
      <c r="CC298" s="299"/>
      <c r="CD298" s="299"/>
      <c r="CE298" s="299"/>
      <c r="CF298" s="299"/>
      <c r="CG298" s="299"/>
      <c r="CH298" s="299"/>
      <c r="CI298" s="299"/>
      <c r="CJ298" s="299"/>
      <c r="CK298" s="299"/>
      <c r="CL298" s="299"/>
      <c r="CM298" s="299"/>
      <c r="CN298" s="299"/>
      <c r="CO298" s="299"/>
      <c r="CP298" s="299"/>
      <c r="CQ298" s="299"/>
      <c r="CR298" s="299"/>
      <c r="CS298" s="299"/>
      <c r="CT298" s="299"/>
      <c r="CU298" s="299"/>
      <c r="CV298" s="299"/>
      <c r="CW298" s="299"/>
      <c r="CX298" s="299"/>
      <c r="CY298" s="299"/>
      <c r="CZ298" s="299"/>
      <c r="DA298" s="299"/>
      <c r="DB298" s="299"/>
      <c r="DC298" s="299"/>
      <c r="DD298" s="299"/>
      <c r="DE298" s="299"/>
      <c r="DF298" s="299"/>
      <c r="DG298" s="299"/>
      <c r="DH298" s="299"/>
      <c r="DI298" s="299"/>
      <c r="DJ298" s="299"/>
      <c r="DK298" s="299"/>
      <c r="DL298" s="299"/>
      <c r="DM298" s="299"/>
      <c r="DN298" s="299"/>
      <c r="DO298" s="299"/>
      <c r="DP298" s="299"/>
      <c r="DQ298" s="299"/>
      <c r="DR298" s="299"/>
      <c r="DS298" s="299"/>
      <c r="DT298" s="299"/>
      <c r="DU298" s="299"/>
      <c r="DV298" s="299"/>
      <c r="DW298" s="299"/>
      <c r="DX298" s="299"/>
      <c r="DY298" s="299"/>
      <c r="DZ298" s="299"/>
      <c r="EA298" s="299"/>
      <c r="EB298" s="299"/>
      <c r="EC298" s="299"/>
      <c r="ED298" s="299"/>
      <c r="EE298" s="299"/>
      <c r="EF298" s="299"/>
      <c r="EG298" s="299"/>
      <c r="EH298" s="299"/>
      <c r="EI298" s="299"/>
      <c r="EJ298" s="299"/>
      <c r="EK298" s="299"/>
      <c r="EL298" s="299"/>
      <c r="EM298" s="299"/>
      <c r="EN298" s="299"/>
      <c r="EO298" s="299"/>
      <c r="EP298" s="299"/>
      <c r="EQ298" s="299"/>
      <c r="ER298" s="299"/>
      <c r="ES298" s="299"/>
      <c r="ET298" s="299"/>
      <c r="EU298" s="299"/>
      <c r="EV298" s="299"/>
      <c r="EW298" s="299"/>
      <c r="EX298" s="299"/>
      <c r="EY298" s="299"/>
      <c r="EZ298" s="299"/>
      <c r="FA298" s="299"/>
      <c r="FB298" s="299"/>
      <c r="FC298" s="299"/>
      <c r="FD298" s="299"/>
      <c r="FE298" s="299"/>
      <c r="FF298" s="299"/>
      <c r="FG298" s="299"/>
      <c r="FH298" s="299"/>
      <c r="FI298" s="299"/>
      <c r="FJ298" s="299"/>
      <c r="FK298" s="299"/>
      <c r="FL298" s="299"/>
      <c r="FM298" s="299"/>
      <c r="FN298" s="299"/>
      <c r="FO298" s="299"/>
      <c r="FP298" s="299"/>
      <c r="FQ298" s="299"/>
      <c r="FR298" s="299"/>
      <c r="FS298" s="299"/>
      <c r="FT298" s="299"/>
      <c r="FU298" s="299"/>
      <c r="FV298" s="299"/>
      <c r="FW298" s="299"/>
      <c r="FX298" s="299"/>
      <c r="FY298" s="299"/>
      <c r="FZ298" s="299"/>
      <c r="GA298" s="299"/>
      <c r="GB298" s="299"/>
      <c r="GC298" s="299"/>
      <c r="GD298" s="299"/>
      <c r="GE298" s="299"/>
    </row>
    <row r="299" spans="2:187" s="149" customFormat="1">
      <c r="B299" s="291">
        <v>293</v>
      </c>
      <c r="C299" s="414" t="s">
        <v>390</v>
      </c>
      <c r="D299" s="414" t="s">
        <v>746</v>
      </c>
      <c r="E299" s="413" t="s">
        <v>235</v>
      </c>
      <c r="F299" s="414" t="s">
        <v>177</v>
      </c>
      <c r="G299" s="418">
        <v>5</v>
      </c>
      <c r="H299" s="415">
        <v>500000</v>
      </c>
      <c r="I299" s="292">
        <f t="shared" si="4"/>
        <v>93750</v>
      </c>
      <c r="J299" s="326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  <c r="AA299" s="299"/>
      <c r="AB299" s="299"/>
      <c r="AC299" s="299"/>
      <c r="AD299" s="299"/>
      <c r="AE299" s="299"/>
      <c r="AF299" s="299"/>
      <c r="AG299" s="299"/>
      <c r="AH299" s="299"/>
      <c r="AI299" s="299"/>
      <c r="AJ299" s="299"/>
      <c r="AK299" s="299"/>
      <c r="AL299" s="299"/>
      <c r="AM299" s="299"/>
      <c r="AN299" s="299"/>
      <c r="AO299" s="299"/>
      <c r="AP299" s="299"/>
      <c r="AQ299" s="299"/>
      <c r="AR299" s="299"/>
      <c r="AS299" s="299"/>
      <c r="AT299" s="299"/>
      <c r="AU299" s="299"/>
      <c r="AV299" s="299"/>
      <c r="AW299" s="299"/>
      <c r="AX299" s="299"/>
      <c r="AY299" s="299"/>
      <c r="AZ299" s="299"/>
      <c r="BA299" s="299"/>
      <c r="BB299" s="299"/>
      <c r="BC299" s="299"/>
      <c r="BD299" s="299"/>
      <c r="BE299" s="299"/>
      <c r="BF299" s="299"/>
      <c r="BG299" s="299"/>
      <c r="BH299" s="299"/>
      <c r="BI299" s="299"/>
      <c r="BJ299" s="299"/>
      <c r="BK299" s="299"/>
      <c r="BL299" s="299"/>
      <c r="BM299" s="299"/>
      <c r="BN299" s="299"/>
      <c r="BO299" s="299"/>
      <c r="BP299" s="299"/>
      <c r="BQ299" s="299"/>
      <c r="BR299" s="299"/>
      <c r="BS299" s="299"/>
      <c r="BT299" s="299"/>
      <c r="BU299" s="299"/>
      <c r="BV299" s="299"/>
      <c r="BW299" s="299"/>
      <c r="BX299" s="299"/>
      <c r="BY299" s="299"/>
      <c r="BZ299" s="299"/>
      <c r="CA299" s="299"/>
      <c r="CB299" s="299"/>
      <c r="CC299" s="299"/>
      <c r="CD299" s="299"/>
      <c r="CE299" s="299"/>
      <c r="CF299" s="299"/>
      <c r="CG299" s="299"/>
      <c r="CH299" s="299"/>
      <c r="CI299" s="299"/>
      <c r="CJ299" s="299"/>
      <c r="CK299" s="299"/>
      <c r="CL299" s="299"/>
      <c r="CM299" s="299"/>
      <c r="CN299" s="299"/>
      <c r="CO299" s="299"/>
      <c r="CP299" s="299"/>
      <c r="CQ299" s="299"/>
      <c r="CR299" s="299"/>
      <c r="CS299" s="299"/>
      <c r="CT299" s="299"/>
      <c r="CU299" s="299"/>
      <c r="CV299" s="299"/>
      <c r="CW299" s="299"/>
      <c r="CX299" s="299"/>
      <c r="CY299" s="299"/>
      <c r="CZ299" s="299"/>
      <c r="DA299" s="299"/>
      <c r="DB299" s="299"/>
      <c r="DC299" s="299"/>
      <c r="DD299" s="299"/>
      <c r="DE299" s="299"/>
      <c r="DF299" s="299"/>
      <c r="DG299" s="299"/>
      <c r="DH299" s="299"/>
      <c r="DI299" s="299"/>
      <c r="DJ299" s="299"/>
      <c r="DK299" s="299"/>
      <c r="DL299" s="299"/>
      <c r="DM299" s="299"/>
      <c r="DN299" s="299"/>
      <c r="DO299" s="299"/>
      <c r="DP299" s="299"/>
      <c r="DQ299" s="299"/>
      <c r="DR299" s="299"/>
      <c r="DS299" s="299"/>
      <c r="DT299" s="299"/>
      <c r="DU299" s="299"/>
      <c r="DV299" s="299"/>
      <c r="DW299" s="299"/>
      <c r="DX299" s="299"/>
      <c r="DY299" s="299"/>
      <c r="DZ299" s="299"/>
      <c r="EA299" s="299"/>
      <c r="EB299" s="299"/>
      <c r="EC299" s="299"/>
      <c r="ED299" s="299"/>
      <c r="EE299" s="299"/>
      <c r="EF299" s="299"/>
      <c r="EG299" s="299"/>
      <c r="EH299" s="299"/>
      <c r="EI299" s="299"/>
      <c r="EJ299" s="299"/>
      <c r="EK299" s="299"/>
      <c r="EL299" s="299"/>
      <c r="EM299" s="299"/>
      <c r="EN299" s="299"/>
      <c r="EO299" s="299"/>
      <c r="EP299" s="299"/>
      <c r="EQ299" s="299"/>
      <c r="ER299" s="299"/>
      <c r="ES299" s="299"/>
      <c r="ET299" s="299"/>
      <c r="EU299" s="299"/>
      <c r="EV299" s="299"/>
      <c r="EW299" s="299"/>
      <c r="EX299" s="299"/>
      <c r="EY299" s="299"/>
      <c r="EZ299" s="299"/>
      <c r="FA299" s="299"/>
      <c r="FB299" s="299"/>
      <c r="FC299" s="299"/>
      <c r="FD299" s="299"/>
      <c r="FE299" s="299"/>
      <c r="FF299" s="299"/>
      <c r="FG299" s="299"/>
      <c r="FH299" s="299"/>
      <c r="FI299" s="299"/>
      <c r="FJ299" s="299"/>
      <c r="FK299" s="299"/>
      <c r="FL299" s="299"/>
      <c r="FM299" s="299"/>
      <c r="FN299" s="299"/>
      <c r="FO299" s="299"/>
      <c r="FP299" s="299"/>
      <c r="FQ299" s="299"/>
      <c r="FR299" s="299"/>
      <c r="FS299" s="299"/>
      <c r="FT299" s="299"/>
      <c r="FU299" s="299"/>
      <c r="FV299" s="299"/>
      <c r="FW299" s="299"/>
      <c r="FX299" s="299"/>
      <c r="FY299" s="299"/>
      <c r="FZ299" s="299"/>
      <c r="GA299" s="299"/>
      <c r="GB299" s="299"/>
      <c r="GC299" s="299"/>
      <c r="GD299" s="299"/>
      <c r="GE299" s="299"/>
    </row>
    <row r="300" spans="2:187" s="149" customFormat="1">
      <c r="B300" s="291">
        <v>294</v>
      </c>
      <c r="C300" s="414" t="s">
        <v>560</v>
      </c>
      <c r="D300" s="414" t="s">
        <v>651</v>
      </c>
      <c r="E300" s="413" t="s">
        <v>214</v>
      </c>
      <c r="F300" s="414" t="s">
        <v>180</v>
      </c>
      <c r="G300" s="418">
        <v>2</v>
      </c>
      <c r="H300" s="415">
        <v>200000</v>
      </c>
      <c r="I300" s="292">
        <f t="shared" si="4"/>
        <v>37500</v>
      </c>
      <c r="J300" s="326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  <c r="AA300" s="299"/>
      <c r="AB300" s="299"/>
      <c r="AC300" s="299"/>
      <c r="AD300" s="299"/>
      <c r="AE300" s="299"/>
      <c r="AF300" s="299"/>
      <c r="AG300" s="299"/>
      <c r="AH300" s="299"/>
      <c r="AI300" s="299"/>
      <c r="AJ300" s="299"/>
      <c r="AK300" s="299"/>
      <c r="AL300" s="299"/>
      <c r="AM300" s="299"/>
      <c r="AN300" s="299"/>
      <c r="AO300" s="299"/>
      <c r="AP300" s="299"/>
      <c r="AQ300" s="299"/>
      <c r="AR300" s="299"/>
      <c r="AS300" s="299"/>
      <c r="AT300" s="299"/>
      <c r="AU300" s="299"/>
      <c r="AV300" s="299"/>
      <c r="AW300" s="299"/>
      <c r="AX300" s="299"/>
      <c r="AY300" s="299"/>
      <c r="AZ300" s="299"/>
      <c r="BA300" s="299"/>
      <c r="BB300" s="299"/>
      <c r="BC300" s="299"/>
      <c r="BD300" s="299"/>
      <c r="BE300" s="299"/>
      <c r="BF300" s="299"/>
      <c r="BG300" s="299"/>
      <c r="BH300" s="299"/>
      <c r="BI300" s="299"/>
      <c r="BJ300" s="299"/>
      <c r="BK300" s="299"/>
      <c r="BL300" s="299"/>
      <c r="BM300" s="299"/>
      <c r="BN300" s="299"/>
      <c r="BO300" s="299"/>
      <c r="BP300" s="299"/>
      <c r="BQ300" s="299"/>
      <c r="BR300" s="299"/>
      <c r="BS300" s="299"/>
      <c r="BT300" s="299"/>
      <c r="BU300" s="299"/>
      <c r="BV300" s="299"/>
      <c r="BW300" s="299"/>
      <c r="BX300" s="299"/>
      <c r="BY300" s="299"/>
      <c r="BZ300" s="299"/>
      <c r="CA300" s="299"/>
      <c r="CB300" s="299"/>
      <c r="CC300" s="299"/>
      <c r="CD300" s="299"/>
      <c r="CE300" s="299"/>
      <c r="CF300" s="299"/>
      <c r="CG300" s="299"/>
      <c r="CH300" s="299"/>
      <c r="CI300" s="299"/>
      <c r="CJ300" s="299"/>
      <c r="CK300" s="299"/>
      <c r="CL300" s="299"/>
      <c r="CM300" s="299"/>
      <c r="CN300" s="299"/>
      <c r="CO300" s="299"/>
      <c r="CP300" s="299"/>
      <c r="CQ300" s="299"/>
      <c r="CR300" s="299"/>
      <c r="CS300" s="299"/>
      <c r="CT300" s="299"/>
      <c r="CU300" s="299"/>
      <c r="CV300" s="299"/>
      <c r="CW300" s="299"/>
      <c r="CX300" s="299"/>
      <c r="CY300" s="299"/>
      <c r="CZ300" s="299"/>
      <c r="DA300" s="299"/>
      <c r="DB300" s="299"/>
      <c r="DC300" s="299"/>
      <c r="DD300" s="299"/>
      <c r="DE300" s="299"/>
      <c r="DF300" s="299"/>
      <c r="DG300" s="299"/>
      <c r="DH300" s="299"/>
      <c r="DI300" s="299"/>
      <c r="DJ300" s="299"/>
      <c r="DK300" s="299"/>
      <c r="DL300" s="299"/>
      <c r="DM300" s="299"/>
      <c r="DN300" s="299"/>
      <c r="DO300" s="299"/>
      <c r="DP300" s="299"/>
      <c r="DQ300" s="299"/>
      <c r="DR300" s="299"/>
      <c r="DS300" s="299"/>
      <c r="DT300" s="299"/>
      <c r="DU300" s="299"/>
      <c r="DV300" s="299"/>
      <c r="DW300" s="299"/>
      <c r="DX300" s="299"/>
      <c r="DY300" s="299"/>
      <c r="DZ300" s="299"/>
      <c r="EA300" s="299"/>
      <c r="EB300" s="299"/>
      <c r="EC300" s="299"/>
      <c r="ED300" s="299"/>
      <c r="EE300" s="299"/>
      <c r="EF300" s="299"/>
      <c r="EG300" s="299"/>
      <c r="EH300" s="299"/>
      <c r="EI300" s="299"/>
      <c r="EJ300" s="299"/>
      <c r="EK300" s="299"/>
      <c r="EL300" s="299"/>
      <c r="EM300" s="299"/>
      <c r="EN300" s="299"/>
      <c r="EO300" s="299"/>
      <c r="EP300" s="299"/>
      <c r="EQ300" s="299"/>
      <c r="ER300" s="299"/>
      <c r="ES300" s="299"/>
      <c r="ET300" s="299"/>
      <c r="EU300" s="299"/>
      <c r="EV300" s="299"/>
      <c r="EW300" s="299"/>
      <c r="EX300" s="299"/>
      <c r="EY300" s="299"/>
      <c r="EZ300" s="299"/>
      <c r="FA300" s="299"/>
      <c r="FB300" s="299"/>
      <c r="FC300" s="299"/>
      <c r="FD300" s="299"/>
      <c r="FE300" s="299"/>
      <c r="FF300" s="299"/>
      <c r="FG300" s="299"/>
      <c r="FH300" s="299"/>
      <c r="FI300" s="299"/>
      <c r="FJ300" s="299"/>
      <c r="FK300" s="299"/>
      <c r="FL300" s="299"/>
      <c r="FM300" s="299"/>
      <c r="FN300" s="299"/>
      <c r="FO300" s="299"/>
      <c r="FP300" s="299"/>
      <c r="FQ300" s="299"/>
      <c r="FR300" s="299"/>
      <c r="FS300" s="299"/>
      <c r="FT300" s="299"/>
      <c r="FU300" s="299"/>
      <c r="FV300" s="299"/>
      <c r="FW300" s="299"/>
      <c r="FX300" s="299"/>
      <c r="FY300" s="299"/>
      <c r="FZ300" s="299"/>
      <c r="GA300" s="299"/>
      <c r="GB300" s="299"/>
      <c r="GC300" s="299"/>
      <c r="GD300" s="299"/>
      <c r="GE300" s="299"/>
    </row>
    <row r="301" spans="2:187" s="149" customFormat="1">
      <c r="B301" s="291">
        <v>295</v>
      </c>
      <c r="C301" s="414" t="s">
        <v>390</v>
      </c>
      <c r="D301" s="414" t="s">
        <v>746</v>
      </c>
      <c r="E301" s="413" t="s">
        <v>235</v>
      </c>
      <c r="F301" s="414" t="s">
        <v>180</v>
      </c>
      <c r="G301" s="418">
        <v>5</v>
      </c>
      <c r="H301" s="415">
        <v>500000</v>
      </c>
      <c r="I301" s="292">
        <f t="shared" si="4"/>
        <v>93750</v>
      </c>
      <c r="J301" s="326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  <c r="AA301" s="299"/>
      <c r="AB301" s="299"/>
      <c r="AC301" s="299"/>
      <c r="AD301" s="299"/>
      <c r="AE301" s="299"/>
      <c r="AF301" s="299"/>
      <c r="AG301" s="299"/>
      <c r="AH301" s="299"/>
      <c r="AI301" s="299"/>
      <c r="AJ301" s="299"/>
      <c r="AK301" s="299"/>
      <c r="AL301" s="299"/>
      <c r="AM301" s="299"/>
      <c r="AN301" s="299"/>
      <c r="AO301" s="299"/>
      <c r="AP301" s="299"/>
      <c r="AQ301" s="299"/>
      <c r="AR301" s="299"/>
      <c r="AS301" s="299"/>
      <c r="AT301" s="299"/>
      <c r="AU301" s="299"/>
      <c r="AV301" s="299"/>
      <c r="AW301" s="299"/>
      <c r="AX301" s="299"/>
      <c r="AY301" s="299"/>
      <c r="AZ301" s="299"/>
      <c r="BA301" s="299"/>
      <c r="BB301" s="299"/>
      <c r="BC301" s="299"/>
      <c r="BD301" s="299"/>
      <c r="BE301" s="299"/>
      <c r="BF301" s="299"/>
      <c r="BG301" s="299"/>
      <c r="BH301" s="299"/>
      <c r="BI301" s="299"/>
      <c r="BJ301" s="299"/>
      <c r="BK301" s="299"/>
      <c r="BL301" s="299"/>
      <c r="BM301" s="299"/>
      <c r="BN301" s="299"/>
      <c r="BO301" s="299"/>
      <c r="BP301" s="299"/>
      <c r="BQ301" s="299"/>
      <c r="BR301" s="299"/>
      <c r="BS301" s="299"/>
      <c r="BT301" s="299"/>
      <c r="BU301" s="299"/>
      <c r="BV301" s="299"/>
      <c r="BW301" s="299"/>
      <c r="BX301" s="299"/>
      <c r="BY301" s="299"/>
      <c r="BZ301" s="299"/>
      <c r="CA301" s="299"/>
      <c r="CB301" s="299"/>
      <c r="CC301" s="299"/>
      <c r="CD301" s="299"/>
      <c r="CE301" s="299"/>
      <c r="CF301" s="299"/>
      <c r="CG301" s="299"/>
      <c r="CH301" s="299"/>
      <c r="CI301" s="299"/>
      <c r="CJ301" s="299"/>
      <c r="CK301" s="299"/>
      <c r="CL301" s="299"/>
      <c r="CM301" s="299"/>
      <c r="CN301" s="299"/>
      <c r="CO301" s="299"/>
      <c r="CP301" s="299"/>
      <c r="CQ301" s="299"/>
      <c r="CR301" s="299"/>
      <c r="CS301" s="299"/>
      <c r="CT301" s="299"/>
      <c r="CU301" s="299"/>
      <c r="CV301" s="299"/>
      <c r="CW301" s="299"/>
      <c r="CX301" s="299"/>
      <c r="CY301" s="299"/>
      <c r="CZ301" s="299"/>
      <c r="DA301" s="299"/>
      <c r="DB301" s="299"/>
      <c r="DC301" s="299"/>
      <c r="DD301" s="299"/>
      <c r="DE301" s="299"/>
      <c r="DF301" s="299"/>
      <c r="DG301" s="299"/>
      <c r="DH301" s="299"/>
      <c r="DI301" s="299"/>
      <c r="DJ301" s="299"/>
      <c r="DK301" s="299"/>
      <c r="DL301" s="299"/>
      <c r="DM301" s="299"/>
      <c r="DN301" s="299"/>
      <c r="DO301" s="299"/>
      <c r="DP301" s="299"/>
      <c r="DQ301" s="299"/>
      <c r="DR301" s="299"/>
      <c r="DS301" s="299"/>
      <c r="DT301" s="299"/>
      <c r="DU301" s="299"/>
      <c r="DV301" s="299"/>
      <c r="DW301" s="299"/>
      <c r="DX301" s="299"/>
      <c r="DY301" s="299"/>
      <c r="DZ301" s="299"/>
      <c r="EA301" s="299"/>
      <c r="EB301" s="299"/>
      <c r="EC301" s="299"/>
      <c r="ED301" s="299"/>
      <c r="EE301" s="299"/>
      <c r="EF301" s="299"/>
      <c r="EG301" s="299"/>
      <c r="EH301" s="299"/>
      <c r="EI301" s="299"/>
      <c r="EJ301" s="299"/>
      <c r="EK301" s="299"/>
      <c r="EL301" s="299"/>
      <c r="EM301" s="299"/>
      <c r="EN301" s="299"/>
      <c r="EO301" s="299"/>
      <c r="EP301" s="299"/>
      <c r="EQ301" s="299"/>
      <c r="ER301" s="299"/>
      <c r="ES301" s="299"/>
      <c r="ET301" s="299"/>
      <c r="EU301" s="299"/>
      <c r="EV301" s="299"/>
      <c r="EW301" s="299"/>
      <c r="EX301" s="299"/>
      <c r="EY301" s="299"/>
      <c r="EZ301" s="299"/>
      <c r="FA301" s="299"/>
      <c r="FB301" s="299"/>
      <c r="FC301" s="299"/>
      <c r="FD301" s="299"/>
      <c r="FE301" s="299"/>
      <c r="FF301" s="299"/>
      <c r="FG301" s="299"/>
      <c r="FH301" s="299"/>
      <c r="FI301" s="299"/>
      <c r="FJ301" s="299"/>
      <c r="FK301" s="299"/>
      <c r="FL301" s="299"/>
      <c r="FM301" s="299"/>
      <c r="FN301" s="299"/>
      <c r="FO301" s="299"/>
      <c r="FP301" s="299"/>
      <c r="FQ301" s="299"/>
      <c r="FR301" s="299"/>
      <c r="FS301" s="299"/>
      <c r="FT301" s="299"/>
      <c r="FU301" s="299"/>
      <c r="FV301" s="299"/>
      <c r="FW301" s="299"/>
      <c r="FX301" s="299"/>
      <c r="FY301" s="299"/>
      <c r="FZ301" s="299"/>
      <c r="GA301" s="299"/>
      <c r="GB301" s="299"/>
      <c r="GC301" s="299"/>
      <c r="GD301" s="299"/>
      <c r="GE301" s="299"/>
    </row>
    <row r="302" spans="2:187" s="149" customFormat="1">
      <c r="B302" s="291">
        <v>296</v>
      </c>
      <c r="C302" s="414" t="s">
        <v>567</v>
      </c>
      <c r="D302" s="414" t="s">
        <v>330</v>
      </c>
      <c r="E302" s="413" t="s">
        <v>185</v>
      </c>
      <c r="F302" s="414" t="s">
        <v>182</v>
      </c>
      <c r="G302" s="418">
        <v>1</v>
      </c>
      <c r="H302" s="415">
        <v>40300</v>
      </c>
      <c r="I302" s="292">
        <f t="shared" si="4"/>
        <v>7556.25</v>
      </c>
      <c r="J302" s="326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  <c r="AA302" s="299"/>
      <c r="AB302" s="299"/>
      <c r="AC302" s="299"/>
      <c r="AD302" s="299"/>
      <c r="AE302" s="299"/>
      <c r="AF302" s="299"/>
      <c r="AG302" s="299"/>
      <c r="AH302" s="299"/>
      <c r="AI302" s="299"/>
      <c r="AJ302" s="299"/>
      <c r="AK302" s="299"/>
      <c r="AL302" s="299"/>
      <c r="AM302" s="299"/>
      <c r="AN302" s="299"/>
      <c r="AO302" s="299"/>
      <c r="AP302" s="299"/>
      <c r="AQ302" s="299"/>
      <c r="AR302" s="299"/>
      <c r="AS302" s="299"/>
      <c r="AT302" s="299"/>
      <c r="AU302" s="299"/>
      <c r="AV302" s="299"/>
      <c r="AW302" s="299"/>
      <c r="AX302" s="299"/>
      <c r="AY302" s="299"/>
      <c r="AZ302" s="299"/>
      <c r="BA302" s="299"/>
      <c r="BB302" s="299"/>
      <c r="BC302" s="299"/>
      <c r="BD302" s="299"/>
      <c r="BE302" s="299"/>
      <c r="BF302" s="299"/>
      <c r="BG302" s="299"/>
      <c r="BH302" s="299"/>
      <c r="BI302" s="299"/>
      <c r="BJ302" s="299"/>
      <c r="BK302" s="299"/>
      <c r="BL302" s="299"/>
      <c r="BM302" s="299"/>
      <c r="BN302" s="299"/>
      <c r="BO302" s="299"/>
      <c r="BP302" s="299"/>
      <c r="BQ302" s="299"/>
      <c r="BR302" s="299"/>
      <c r="BS302" s="299"/>
      <c r="BT302" s="299"/>
      <c r="BU302" s="299"/>
      <c r="BV302" s="299"/>
      <c r="BW302" s="299"/>
      <c r="BX302" s="299"/>
      <c r="BY302" s="299"/>
      <c r="BZ302" s="299"/>
      <c r="CA302" s="299"/>
      <c r="CB302" s="299"/>
      <c r="CC302" s="299"/>
      <c r="CD302" s="299"/>
      <c r="CE302" s="299"/>
      <c r="CF302" s="299"/>
      <c r="CG302" s="299"/>
      <c r="CH302" s="299"/>
      <c r="CI302" s="299"/>
      <c r="CJ302" s="299"/>
      <c r="CK302" s="299"/>
      <c r="CL302" s="299"/>
      <c r="CM302" s="299"/>
      <c r="CN302" s="299"/>
      <c r="CO302" s="299"/>
      <c r="CP302" s="299"/>
      <c r="CQ302" s="299"/>
      <c r="CR302" s="299"/>
      <c r="CS302" s="299"/>
      <c r="CT302" s="299"/>
      <c r="CU302" s="299"/>
      <c r="CV302" s="299"/>
      <c r="CW302" s="299"/>
      <c r="CX302" s="299"/>
      <c r="CY302" s="299"/>
      <c r="CZ302" s="299"/>
      <c r="DA302" s="299"/>
      <c r="DB302" s="299"/>
      <c r="DC302" s="299"/>
      <c r="DD302" s="299"/>
      <c r="DE302" s="299"/>
      <c r="DF302" s="299"/>
      <c r="DG302" s="299"/>
      <c r="DH302" s="299"/>
      <c r="DI302" s="299"/>
      <c r="DJ302" s="299"/>
      <c r="DK302" s="299"/>
      <c r="DL302" s="299"/>
      <c r="DM302" s="299"/>
      <c r="DN302" s="299"/>
      <c r="DO302" s="299"/>
      <c r="DP302" s="299"/>
      <c r="DQ302" s="299"/>
      <c r="DR302" s="299"/>
      <c r="DS302" s="299"/>
      <c r="DT302" s="299"/>
      <c r="DU302" s="299"/>
      <c r="DV302" s="299"/>
      <c r="DW302" s="299"/>
      <c r="DX302" s="299"/>
      <c r="DY302" s="299"/>
      <c r="DZ302" s="299"/>
      <c r="EA302" s="299"/>
      <c r="EB302" s="299"/>
      <c r="EC302" s="299"/>
      <c r="ED302" s="299"/>
      <c r="EE302" s="299"/>
      <c r="EF302" s="299"/>
      <c r="EG302" s="299"/>
      <c r="EH302" s="299"/>
      <c r="EI302" s="299"/>
      <c r="EJ302" s="299"/>
      <c r="EK302" s="299"/>
      <c r="EL302" s="299"/>
      <c r="EM302" s="299"/>
      <c r="EN302" s="299"/>
      <c r="EO302" s="299"/>
      <c r="EP302" s="299"/>
      <c r="EQ302" s="299"/>
      <c r="ER302" s="299"/>
      <c r="ES302" s="299"/>
      <c r="ET302" s="299"/>
      <c r="EU302" s="299"/>
      <c r="EV302" s="299"/>
      <c r="EW302" s="299"/>
      <c r="EX302" s="299"/>
      <c r="EY302" s="299"/>
      <c r="EZ302" s="299"/>
      <c r="FA302" s="299"/>
      <c r="FB302" s="299"/>
      <c r="FC302" s="299"/>
      <c r="FD302" s="299"/>
      <c r="FE302" s="299"/>
      <c r="FF302" s="299"/>
      <c r="FG302" s="299"/>
      <c r="FH302" s="299"/>
      <c r="FI302" s="299"/>
      <c r="FJ302" s="299"/>
      <c r="FK302" s="299"/>
      <c r="FL302" s="299"/>
      <c r="FM302" s="299"/>
      <c r="FN302" s="299"/>
      <c r="FO302" s="299"/>
      <c r="FP302" s="299"/>
      <c r="FQ302" s="299"/>
      <c r="FR302" s="299"/>
      <c r="FS302" s="299"/>
      <c r="FT302" s="299"/>
      <c r="FU302" s="299"/>
      <c r="FV302" s="299"/>
      <c r="FW302" s="299"/>
      <c r="FX302" s="299"/>
      <c r="FY302" s="299"/>
      <c r="FZ302" s="299"/>
      <c r="GA302" s="299"/>
      <c r="GB302" s="299"/>
      <c r="GC302" s="299"/>
      <c r="GD302" s="299"/>
      <c r="GE302" s="299"/>
    </row>
    <row r="303" spans="2:187" s="149" customFormat="1" ht="12.75" customHeight="1">
      <c r="B303" s="291">
        <v>297</v>
      </c>
      <c r="C303" s="414" t="s">
        <v>582</v>
      </c>
      <c r="D303" s="414" t="s">
        <v>332</v>
      </c>
      <c r="E303" s="413" t="s">
        <v>200</v>
      </c>
      <c r="F303" s="414" t="s">
        <v>189</v>
      </c>
      <c r="G303" s="418">
        <v>1</v>
      </c>
      <c r="H303" s="415">
        <v>40300</v>
      </c>
      <c r="I303" s="292">
        <f t="shared" si="4"/>
        <v>7556.25</v>
      </c>
      <c r="J303" s="238"/>
    </row>
    <row r="304" spans="2:187" s="149" customFormat="1" ht="12.75" customHeight="1">
      <c r="B304" s="291">
        <v>298</v>
      </c>
      <c r="C304" s="414" t="s">
        <v>580</v>
      </c>
      <c r="D304" s="414" t="s">
        <v>747</v>
      </c>
      <c r="E304" s="413" t="s">
        <v>197</v>
      </c>
      <c r="F304" s="414" t="s">
        <v>189</v>
      </c>
      <c r="G304" s="418">
        <v>1</v>
      </c>
      <c r="H304" s="415">
        <v>100000</v>
      </c>
      <c r="I304" s="292">
        <f t="shared" si="4"/>
        <v>18750</v>
      </c>
      <c r="J304" s="238"/>
    </row>
    <row r="305" spans="2:10" s="149" customFormat="1" ht="12.75" customHeight="1">
      <c r="B305" s="291">
        <v>299</v>
      </c>
      <c r="C305" s="414" t="s">
        <v>571</v>
      </c>
      <c r="D305" s="414" t="s">
        <v>643</v>
      </c>
      <c r="E305" s="413" t="s">
        <v>197</v>
      </c>
      <c r="F305" s="414" t="s">
        <v>182</v>
      </c>
      <c r="G305" s="418">
        <v>1</v>
      </c>
      <c r="H305" s="415">
        <v>100000</v>
      </c>
      <c r="I305" s="292">
        <f t="shared" si="4"/>
        <v>18750</v>
      </c>
      <c r="J305" s="238"/>
    </row>
    <row r="306" spans="2:10" s="149" customFormat="1" ht="12.75" customHeight="1">
      <c r="B306" s="291">
        <v>300</v>
      </c>
      <c r="C306" s="414" t="s">
        <v>542</v>
      </c>
      <c r="D306" s="414" t="s">
        <v>717</v>
      </c>
      <c r="E306" s="413" t="s">
        <v>218</v>
      </c>
      <c r="F306" s="414" t="s">
        <v>177</v>
      </c>
      <c r="G306" s="418">
        <v>2</v>
      </c>
      <c r="H306" s="415">
        <v>200000</v>
      </c>
      <c r="I306" s="292">
        <f t="shared" si="4"/>
        <v>37500</v>
      </c>
      <c r="J306" s="238"/>
    </row>
    <row r="307" spans="2:10" s="149" customFormat="1" ht="12.75" customHeight="1">
      <c r="B307" s="291">
        <v>301</v>
      </c>
      <c r="C307" s="414" t="s">
        <v>512</v>
      </c>
      <c r="D307" s="414" t="s">
        <v>748</v>
      </c>
      <c r="E307" s="413" t="s">
        <v>306</v>
      </c>
      <c r="F307" s="414" t="s">
        <v>180</v>
      </c>
      <c r="G307" s="418">
        <v>3</v>
      </c>
      <c r="H307" s="415">
        <v>300000</v>
      </c>
      <c r="I307" s="292">
        <f t="shared" si="4"/>
        <v>56250</v>
      </c>
      <c r="J307" s="238"/>
    </row>
    <row r="308" spans="2:10" s="149" customFormat="1" ht="12.75" customHeight="1">
      <c r="B308" s="291">
        <v>302</v>
      </c>
      <c r="C308" s="414" t="s">
        <v>512</v>
      </c>
      <c r="D308" s="414" t="s">
        <v>638</v>
      </c>
      <c r="E308" s="413" t="s">
        <v>183</v>
      </c>
      <c r="F308" s="414" t="s">
        <v>177</v>
      </c>
      <c r="G308" s="418">
        <v>10</v>
      </c>
      <c r="H308" s="415">
        <v>1000000</v>
      </c>
      <c r="I308" s="292">
        <f t="shared" si="4"/>
        <v>187500</v>
      </c>
      <c r="J308" s="238"/>
    </row>
    <row r="309" spans="2:10" s="149" customFormat="1" ht="12.75" customHeight="1">
      <c r="B309" s="291">
        <v>303</v>
      </c>
      <c r="C309" s="414" t="s">
        <v>551</v>
      </c>
      <c r="D309" s="414" t="s">
        <v>744</v>
      </c>
      <c r="E309" s="413" t="s">
        <v>176</v>
      </c>
      <c r="F309" s="414" t="s">
        <v>180</v>
      </c>
      <c r="G309" s="418">
        <v>5</v>
      </c>
      <c r="H309" s="415">
        <v>500000</v>
      </c>
      <c r="I309" s="292">
        <f t="shared" si="4"/>
        <v>93750</v>
      </c>
      <c r="J309" s="238"/>
    </row>
    <row r="310" spans="2:10" s="149" customFormat="1" ht="12.75" customHeight="1">
      <c r="B310" s="291">
        <v>304</v>
      </c>
      <c r="C310" s="414" t="s">
        <v>585</v>
      </c>
      <c r="D310" s="414" t="s">
        <v>749</v>
      </c>
      <c r="E310" s="413" t="s">
        <v>208</v>
      </c>
      <c r="F310" s="414" t="s">
        <v>177</v>
      </c>
      <c r="G310" s="418">
        <v>7</v>
      </c>
      <c r="H310" s="415">
        <v>700000</v>
      </c>
      <c r="I310" s="292">
        <f t="shared" si="4"/>
        <v>131250</v>
      </c>
      <c r="J310" s="238"/>
    </row>
    <row r="311" spans="2:10" s="149" customFormat="1" ht="12.75" customHeight="1">
      <c r="B311" s="291">
        <v>305</v>
      </c>
      <c r="C311" s="414" t="s">
        <v>544</v>
      </c>
      <c r="D311" s="414" t="s">
        <v>644</v>
      </c>
      <c r="E311" s="413" t="s">
        <v>201</v>
      </c>
      <c r="F311" s="414" t="s">
        <v>177</v>
      </c>
      <c r="G311" s="418">
        <v>1</v>
      </c>
      <c r="H311" s="415">
        <v>100000</v>
      </c>
      <c r="I311" s="292">
        <f t="shared" si="4"/>
        <v>18750</v>
      </c>
      <c r="J311" s="238"/>
    </row>
    <row r="312" spans="2:10" s="149" customFormat="1" ht="12.75" customHeight="1">
      <c r="B312" s="291">
        <v>306</v>
      </c>
      <c r="C312" s="414" t="s">
        <v>512</v>
      </c>
      <c r="D312" s="414" t="s">
        <v>550</v>
      </c>
      <c r="E312" s="413" t="s">
        <v>181</v>
      </c>
      <c r="F312" s="414" t="s">
        <v>177</v>
      </c>
      <c r="G312" s="418">
        <v>2</v>
      </c>
      <c r="H312" s="415">
        <v>200000</v>
      </c>
      <c r="I312" s="292">
        <f t="shared" si="4"/>
        <v>37500</v>
      </c>
      <c r="J312" s="238"/>
    </row>
    <row r="313" spans="2:10" s="149" customFormat="1" ht="12.75" customHeight="1">
      <c r="B313" s="291">
        <v>307</v>
      </c>
      <c r="C313" s="414" t="s">
        <v>582</v>
      </c>
      <c r="D313" s="414" t="s">
        <v>726</v>
      </c>
      <c r="E313" s="413" t="s">
        <v>204</v>
      </c>
      <c r="F313" s="414" t="s">
        <v>180</v>
      </c>
      <c r="G313" s="418">
        <v>6</v>
      </c>
      <c r="H313" s="415">
        <v>600000</v>
      </c>
      <c r="I313" s="292">
        <f t="shared" si="4"/>
        <v>112500</v>
      </c>
      <c r="J313" s="238"/>
    </row>
    <row r="314" spans="2:10" s="149" customFormat="1" ht="12.75" customHeight="1">
      <c r="B314" s="291">
        <v>308</v>
      </c>
      <c r="C314" s="414" t="s">
        <v>551</v>
      </c>
      <c r="D314" s="414" t="s">
        <v>690</v>
      </c>
      <c r="E314" s="413" t="s">
        <v>187</v>
      </c>
      <c r="F314" s="414" t="s">
        <v>308</v>
      </c>
      <c r="G314" s="418">
        <v>1</v>
      </c>
      <c r="H314" s="415">
        <v>101800</v>
      </c>
      <c r="I314" s="292">
        <f t="shared" si="4"/>
        <v>19087.5</v>
      </c>
      <c r="J314" s="238"/>
    </row>
    <row r="315" spans="2:10" s="149" customFormat="1" ht="12.75" customHeight="1">
      <c r="B315" s="291">
        <v>309</v>
      </c>
      <c r="C315" s="414" t="s">
        <v>571</v>
      </c>
      <c r="D315" s="414" t="s">
        <v>735</v>
      </c>
      <c r="E315" s="413" t="s">
        <v>260</v>
      </c>
      <c r="F315" s="414" t="s">
        <v>180</v>
      </c>
      <c r="G315" s="418">
        <v>2</v>
      </c>
      <c r="H315" s="415">
        <v>200000</v>
      </c>
      <c r="I315" s="292">
        <f t="shared" si="4"/>
        <v>37500</v>
      </c>
      <c r="J315" s="238"/>
    </row>
    <row r="316" spans="2:10" s="149" customFormat="1" ht="12.75" customHeight="1">
      <c r="B316" s="291">
        <v>310</v>
      </c>
      <c r="C316" s="414" t="s">
        <v>430</v>
      </c>
      <c r="D316" s="414" t="s">
        <v>676</v>
      </c>
      <c r="E316" s="413" t="s">
        <v>229</v>
      </c>
      <c r="F316" s="414" t="s">
        <v>180</v>
      </c>
      <c r="G316" s="418">
        <v>2</v>
      </c>
      <c r="H316" s="415">
        <v>200000</v>
      </c>
      <c r="I316" s="292">
        <f t="shared" si="4"/>
        <v>37500</v>
      </c>
      <c r="J316" s="238"/>
    </row>
    <row r="317" spans="2:10" s="149" customFormat="1" ht="12.75" customHeight="1">
      <c r="B317" s="291">
        <v>311</v>
      </c>
      <c r="C317" s="414" t="s">
        <v>535</v>
      </c>
      <c r="D317" s="414" t="s">
        <v>682</v>
      </c>
      <c r="E317" s="413" t="s">
        <v>206</v>
      </c>
      <c r="F317" s="414" t="s">
        <v>177</v>
      </c>
      <c r="G317" s="418">
        <v>2</v>
      </c>
      <c r="H317" s="415">
        <v>200000</v>
      </c>
      <c r="I317" s="292">
        <f t="shared" si="4"/>
        <v>37500</v>
      </c>
      <c r="J317" s="238"/>
    </row>
    <row r="318" spans="2:10" s="149" customFormat="1" ht="12.75" customHeight="1">
      <c r="B318" s="291">
        <v>312</v>
      </c>
      <c r="C318" s="414" t="s">
        <v>551</v>
      </c>
      <c r="D318" s="414" t="s">
        <v>744</v>
      </c>
      <c r="E318" s="413" t="s">
        <v>176</v>
      </c>
      <c r="F318" s="414" t="s">
        <v>177</v>
      </c>
      <c r="G318" s="418">
        <v>5</v>
      </c>
      <c r="H318" s="415">
        <v>500000</v>
      </c>
      <c r="I318" s="292">
        <f t="shared" si="4"/>
        <v>93750</v>
      </c>
      <c r="J318" s="238"/>
    </row>
    <row r="319" spans="2:10" s="149" customFormat="1" ht="12.75" customHeight="1">
      <c r="B319" s="291">
        <v>313</v>
      </c>
      <c r="C319" s="414" t="s">
        <v>551</v>
      </c>
      <c r="D319" s="414" t="s">
        <v>712</v>
      </c>
      <c r="E319" s="413" t="s">
        <v>231</v>
      </c>
      <c r="F319" s="414" t="s">
        <v>177</v>
      </c>
      <c r="G319" s="418">
        <v>2</v>
      </c>
      <c r="H319" s="415">
        <v>200000</v>
      </c>
      <c r="I319" s="292">
        <f t="shared" si="4"/>
        <v>37500</v>
      </c>
      <c r="J319" s="238"/>
    </row>
    <row r="320" spans="2:10" s="149" customFormat="1" ht="12.75" customHeight="1">
      <c r="B320" s="291">
        <v>314</v>
      </c>
      <c r="C320" s="414" t="s">
        <v>585</v>
      </c>
      <c r="D320" s="414" t="s">
        <v>749</v>
      </c>
      <c r="E320" s="413" t="s">
        <v>208</v>
      </c>
      <c r="F320" s="414" t="s">
        <v>180</v>
      </c>
      <c r="G320" s="418">
        <v>7</v>
      </c>
      <c r="H320" s="415">
        <v>700000</v>
      </c>
      <c r="I320" s="292">
        <f t="shared" si="4"/>
        <v>131250</v>
      </c>
      <c r="J320" s="238"/>
    </row>
    <row r="321" spans="2:10" s="149" customFormat="1" ht="12.75" customHeight="1">
      <c r="B321" s="291">
        <v>315</v>
      </c>
      <c r="C321" s="414" t="s">
        <v>577</v>
      </c>
      <c r="D321" s="414" t="s">
        <v>716</v>
      </c>
      <c r="E321" s="413" t="s">
        <v>194</v>
      </c>
      <c r="F321" s="414" t="s">
        <v>300</v>
      </c>
      <c r="G321" s="418">
        <v>1</v>
      </c>
      <c r="H321" s="415">
        <v>400000</v>
      </c>
      <c r="I321" s="292">
        <f t="shared" si="4"/>
        <v>75000</v>
      </c>
      <c r="J321" s="238"/>
    </row>
    <row r="322" spans="2:10" s="149" customFormat="1" ht="12.75" customHeight="1">
      <c r="B322" s="291">
        <v>316</v>
      </c>
      <c r="C322" s="414" t="s">
        <v>582</v>
      </c>
      <c r="D322" s="414" t="s">
        <v>661</v>
      </c>
      <c r="E322" s="413" t="s">
        <v>211</v>
      </c>
      <c r="F322" s="414" t="s">
        <v>180</v>
      </c>
      <c r="G322" s="418">
        <v>4</v>
      </c>
      <c r="H322" s="415">
        <v>400000</v>
      </c>
      <c r="I322" s="292">
        <f t="shared" si="4"/>
        <v>75000</v>
      </c>
      <c r="J322" s="238"/>
    </row>
    <row r="323" spans="2:10" s="149" customFormat="1" ht="12.75" customHeight="1">
      <c r="B323" s="291">
        <v>317</v>
      </c>
      <c r="C323" s="414" t="s">
        <v>512</v>
      </c>
      <c r="D323" s="414" t="s">
        <v>677</v>
      </c>
      <c r="E323" s="413" t="s">
        <v>306</v>
      </c>
      <c r="F323" s="414" t="s">
        <v>180</v>
      </c>
      <c r="G323" s="418">
        <v>3</v>
      </c>
      <c r="H323" s="415">
        <v>300000</v>
      </c>
      <c r="I323" s="292">
        <f t="shared" si="4"/>
        <v>56250</v>
      </c>
      <c r="J323" s="238"/>
    </row>
    <row r="324" spans="2:10" s="149" customFormat="1" ht="12.75" customHeight="1">
      <c r="B324" s="291">
        <v>318</v>
      </c>
      <c r="C324" s="414" t="s">
        <v>390</v>
      </c>
      <c r="D324" s="414" t="s">
        <v>610</v>
      </c>
      <c r="E324" s="413" t="s">
        <v>211</v>
      </c>
      <c r="F324" s="414" t="s">
        <v>304</v>
      </c>
      <c r="G324" s="418">
        <v>1</v>
      </c>
      <c r="H324" s="415">
        <v>300000</v>
      </c>
      <c r="I324" s="292">
        <f t="shared" si="4"/>
        <v>56250</v>
      </c>
      <c r="J324" s="238"/>
    </row>
    <row r="325" spans="2:10" s="149" customFormat="1" ht="12.75" customHeight="1">
      <c r="B325" s="291">
        <v>319</v>
      </c>
      <c r="C325" s="414" t="s">
        <v>585</v>
      </c>
      <c r="D325" s="414" t="s">
        <v>687</v>
      </c>
      <c r="E325" s="413" t="s">
        <v>224</v>
      </c>
      <c r="F325" s="414" t="s">
        <v>189</v>
      </c>
      <c r="G325" s="418">
        <v>1</v>
      </c>
      <c r="H325" s="415">
        <v>40300</v>
      </c>
      <c r="I325" s="292">
        <f t="shared" si="4"/>
        <v>7556.25</v>
      </c>
      <c r="J325" s="238"/>
    </row>
    <row r="326" spans="2:10" s="149" customFormat="1" ht="12.75" customHeight="1">
      <c r="B326" s="291">
        <v>320</v>
      </c>
      <c r="C326" s="414" t="s">
        <v>580</v>
      </c>
      <c r="D326" s="414" t="s">
        <v>329</v>
      </c>
      <c r="E326" s="413" t="s">
        <v>208</v>
      </c>
      <c r="F326" s="414" t="s">
        <v>189</v>
      </c>
      <c r="G326" s="418">
        <v>1</v>
      </c>
      <c r="H326" s="415">
        <v>40300</v>
      </c>
      <c r="I326" s="292">
        <f t="shared" si="4"/>
        <v>7556.25</v>
      </c>
      <c r="J326" s="238"/>
    </row>
    <row r="327" spans="2:10" s="149" customFormat="1" ht="12.75" customHeight="1">
      <c r="B327" s="291">
        <v>321</v>
      </c>
      <c r="C327" s="414" t="s">
        <v>544</v>
      </c>
      <c r="D327" s="414" t="s">
        <v>669</v>
      </c>
      <c r="E327" s="413" t="s">
        <v>219</v>
      </c>
      <c r="F327" s="414" t="s">
        <v>182</v>
      </c>
      <c r="G327" s="418">
        <v>1</v>
      </c>
      <c r="H327" s="415">
        <v>40300</v>
      </c>
      <c r="I327" s="292">
        <f t="shared" si="4"/>
        <v>7556.25</v>
      </c>
      <c r="J327" s="238"/>
    </row>
    <row r="328" spans="2:10" s="149" customFormat="1" ht="12.75" customHeight="1">
      <c r="B328" s="291">
        <v>322</v>
      </c>
      <c r="C328" s="414" t="s">
        <v>508</v>
      </c>
      <c r="D328" s="414" t="s">
        <v>750</v>
      </c>
      <c r="E328" s="413" t="s">
        <v>227</v>
      </c>
      <c r="F328" s="414" t="s">
        <v>180</v>
      </c>
      <c r="G328" s="418">
        <v>4</v>
      </c>
      <c r="H328" s="415">
        <v>400000</v>
      </c>
      <c r="I328" s="292">
        <f t="shared" ref="I328:I391" si="5">H328*25%*75%</f>
        <v>75000</v>
      </c>
      <c r="J328" s="238"/>
    </row>
    <row r="329" spans="2:10" s="149" customFormat="1" ht="12.75" customHeight="1">
      <c r="B329" s="291">
        <v>323</v>
      </c>
      <c r="C329" s="414" t="s">
        <v>430</v>
      </c>
      <c r="D329" s="414" t="s">
        <v>622</v>
      </c>
      <c r="E329" s="413" t="s">
        <v>179</v>
      </c>
      <c r="F329" s="414" t="s">
        <v>177</v>
      </c>
      <c r="G329" s="418">
        <v>3</v>
      </c>
      <c r="H329" s="415">
        <v>300000</v>
      </c>
      <c r="I329" s="292">
        <f t="shared" si="5"/>
        <v>56250</v>
      </c>
      <c r="J329" s="238"/>
    </row>
    <row r="330" spans="2:10" s="149" customFormat="1" ht="12.75" customHeight="1">
      <c r="B330" s="291">
        <v>324</v>
      </c>
      <c r="C330" s="414" t="s">
        <v>580</v>
      </c>
      <c r="D330" s="414" t="s">
        <v>650</v>
      </c>
      <c r="E330" s="413" t="s">
        <v>199</v>
      </c>
      <c r="F330" s="414" t="s">
        <v>180</v>
      </c>
      <c r="G330" s="418">
        <v>3</v>
      </c>
      <c r="H330" s="415">
        <v>300000</v>
      </c>
      <c r="I330" s="292">
        <f t="shared" si="5"/>
        <v>56250</v>
      </c>
      <c r="J330" s="238"/>
    </row>
    <row r="331" spans="2:10" s="149" customFormat="1" ht="12.75" customHeight="1">
      <c r="B331" s="291">
        <v>325</v>
      </c>
      <c r="C331" s="414" t="s">
        <v>567</v>
      </c>
      <c r="D331" s="414" t="s">
        <v>686</v>
      </c>
      <c r="E331" s="413" t="s">
        <v>191</v>
      </c>
      <c r="F331" s="414" t="s">
        <v>180</v>
      </c>
      <c r="G331" s="418">
        <v>3</v>
      </c>
      <c r="H331" s="415">
        <v>300000</v>
      </c>
      <c r="I331" s="292">
        <f t="shared" si="5"/>
        <v>56250</v>
      </c>
      <c r="J331" s="238"/>
    </row>
    <row r="332" spans="2:10" s="149" customFormat="1" ht="12.75" customHeight="1">
      <c r="B332" s="291">
        <v>326</v>
      </c>
      <c r="C332" s="414" t="s">
        <v>567</v>
      </c>
      <c r="D332" s="414" t="s">
        <v>705</v>
      </c>
      <c r="E332" s="413" t="s">
        <v>260</v>
      </c>
      <c r="F332" s="414" t="s">
        <v>180</v>
      </c>
      <c r="G332" s="418">
        <v>3</v>
      </c>
      <c r="H332" s="415">
        <v>300000</v>
      </c>
      <c r="I332" s="292">
        <f t="shared" si="5"/>
        <v>56250</v>
      </c>
      <c r="J332" s="238"/>
    </row>
    <row r="333" spans="2:10" s="149" customFormat="1" ht="12.75" customHeight="1">
      <c r="B333" s="291">
        <v>327</v>
      </c>
      <c r="C333" s="414" t="s">
        <v>585</v>
      </c>
      <c r="D333" s="414" t="s">
        <v>707</v>
      </c>
      <c r="E333" s="413" t="s">
        <v>215</v>
      </c>
      <c r="F333" s="414" t="s">
        <v>177</v>
      </c>
      <c r="G333" s="418">
        <v>1</v>
      </c>
      <c r="H333" s="415">
        <v>100000</v>
      </c>
      <c r="I333" s="292">
        <f t="shared" si="5"/>
        <v>18750</v>
      </c>
      <c r="J333" s="238"/>
    </row>
    <row r="334" spans="2:10" s="149" customFormat="1" ht="12.75" customHeight="1">
      <c r="B334" s="291">
        <v>328</v>
      </c>
      <c r="C334" s="414" t="s">
        <v>626</v>
      </c>
      <c r="D334" s="414" t="s">
        <v>322</v>
      </c>
      <c r="E334" s="413" t="s">
        <v>176</v>
      </c>
      <c r="F334" s="414" t="s">
        <v>189</v>
      </c>
      <c r="G334" s="418">
        <v>1</v>
      </c>
      <c r="H334" s="415">
        <v>40300</v>
      </c>
      <c r="I334" s="292">
        <f t="shared" si="5"/>
        <v>7556.25</v>
      </c>
      <c r="J334" s="238"/>
    </row>
    <row r="335" spans="2:10" s="149" customFormat="1" ht="12.75" customHeight="1">
      <c r="B335" s="291">
        <v>329</v>
      </c>
      <c r="C335" s="414" t="s">
        <v>553</v>
      </c>
      <c r="D335" s="414" t="s">
        <v>322</v>
      </c>
      <c r="E335" s="413" t="s">
        <v>176</v>
      </c>
      <c r="F335" s="414" t="s">
        <v>308</v>
      </c>
      <c r="G335" s="418">
        <v>1</v>
      </c>
      <c r="H335" s="415">
        <v>101800</v>
      </c>
      <c r="I335" s="292">
        <f t="shared" si="5"/>
        <v>19087.5</v>
      </c>
      <c r="J335" s="238"/>
    </row>
    <row r="336" spans="2:10" s="149" customFormat="1" ht="12.75" customHeight="1">
      <c r="B336" s="291">
        <v>330</v>
      </c>
      <c r="C336" s="414" t="s">
        <v>508</v>
      </c>
      <c r="D336" s="414" t="s">
        <v>675</v>
      </c>
      <c r="E336" s="413" t="s">
        <v>210</v>
      </c>
      <c r="F336" s="414" t="s">
        <v>182</v>
      </c>
      <c r="G336" s="418">
        <v>1</v>
      </c>
      <c r="H336" s="415">
        <v>100000</v>
      </c>
      <c r="I336" s="292">
        <f t="shared" si="5"/>
        <v>18750</v>
      </c>
      <c r="J336" s="238"/>
    </row>
    <row r="337" spans="2:10" s="149" customFormat="1" ht="12.75" customHeight="1">
      <c r="B337" s="291">
        <v>331</v>
      </c>
      <c r="C337" s="414" t="s">
        <v>430</v>
      </c>
      <c r="D337" s="414" t="s">
        <v>751</v>
      </c>
      <c r="E337" s="413" t="s">
        <v>188</v>
      </c>
      <c r="F337" s="414" t="s">
        <v>189</v>
      </c>
      <c r="G337" s="418">
        <v>1</v>
      </c>
      <c r="H337" s="415">
        <v>100000</v>
      </c>
      <c r="I337" s="292">
        <f t="shared" si="5"/>
        <v>18750</v>
      </c>
      <c r="J337" s="238"/>
    </row>
    <row r="338" spans="2:10" s="149" customFormat="1" ht="12.75" customHeight="1">
      <c r="B338" s="291">
        <v>332</v>
      </c>
      <c r="C338" s="414" t="s">
        <v>577</v>
      </c>
      <c r="D338" s="414" t="s">
        <v>616</v>
      </c>
      <c r="E338" s="413" t="s">
        <v>617</v>
      </c>
      <c r="F338" s="414" t="s">
        <v>180</v>
      </c>
      <c r="G338" s="418">
        <v>3</v>
      </c>
      <c r="H338" s="415">
        <v>300000</v>
      </c>
      <c r="I338" s="292">
        <f t="shared" si="5"/>
        <v>56250</v>
      </c>
      <c r="J338" s="238"/>
    </row>
    <row r="339" spans="2:10" s="149" customFormat="1" ht="12.75" customHeight="1">
      <c r="B339" s="291">
        <v>333</v>
      </c>
      <c r="C339" s="414" t="s">
        <v>555</v>
      </c>
      <c r="D339" s="414" t="s">
        <v>429</v>
      </c>
      <c r="E339" s="413" t="s">
        <v>231</v>
      </c>
      <c r="F339" s="414" t="s">
        <v>180</v>
      </c>
      <c r="G339" s="418">
        <v>1</v>
      </c>
      <c r="H339" s="415">
        <v>100000</v>
      </c>
      <c r="I339" s="292">
        <f t="shared" si="5"/>
        <v>18750</v>
      </c>
      <c r="J339" s="238"/>
    </row>
    <row r="340" spans="2:10" s="149" customFormat="1" ht="12.75" customHeight="1">
      <c r="B340" s="291">
        <v>334</v>
      </c>
      <c r="C340" s="414" t="s">
        <v>553</v>
      </c>
      <c r="D340" s="414" t="s">
        <v>312</v>
      </c>
      <c r="E340" s="413" t="s">
        <v>212</v>
      </c>
      <c r="F340" s="414" t="s">
        <v>348</v>
      </c>
      <c r="G340" s="418">
        <v>1</v>
      </c>
      <c r="H340" s="415">
        <v>100000</v>
      </c>
      <c r="I340" s="292">
        <f t="shared" si="5"/>
        <v>18750</v>
      </c>
      <c r="J340" s="238"/>
    </row>
    <row r="341" spans="2:10" s="149" customFormat="1" ht="12.75" customHeight="1">
      <c r="B341" s="291">
        <v>335</v>
      </c>
      <c r="C341" s="414" t="s">
        <v>508</v>
      </c>
      <c r="D341" s="414" t="s">
        <v>710</v>
      </c>
      <c r="E341" s="413" t="s">
        <v>306</v>
      </c>
      <c r="F341" s="414" t="s">
        <v>308</v>
      </c>
      <c r="G341" s="418">
        <v>1</v>
      </c>
      <c r="H341" s="415">
        <v>101800</v>
      </c>
      <c r="I341" s="292">
        <f t="shared" si="5"/>
        <v>19087.5</v>
      </c>
      <c r="J341" s="238"/>
    </row>
    <row r="342" spans="2:10" s="149" customFormat="1" ht="12.75" customHeight="1">
      <c r="B342" s="291">
        <v>336</v>
      </c>
      <c r="C342" s="414" t="s">
        <v>555</v>
      </c>
      <c r="D342" s="414" t="s">
        <v>429</v>
      </c>
      <c r="E342" s="413" t="s">
        <v>231</v>
      </c>
      <c r="F342" s="414" t="s">
        <v>177</v>
      </c>
      <c r="G342" s="418">
        <v>1</v>
      </c>
      <c r="H342" s="415">
        <v>100000</v>
      </c>
      <c r="I342" s="292">
        <f t="shared" si="5"/>
        <v>18750</v>
      </c>
      <c r="J342" s="238"/>
    </row>
    <row r="343" spans="2:10" s="149" customFormat="1" ht="12.75" customHeight="1">
      <c r="B343" s="291">
        <v>337</v>
      </c>
      <c r="C343" s="414" t="s">
        <v>430</v>
      </c>
      <c r="D343" s="414" t="s">
        <v>715</v>
      </c>
      <c r="E343" s="413" t="s">
        <v>197</v>
      </c>
      <c r="F343" s="414" t="s">
        <v>177</v>
      </c>
      <c r="G343" s="418">
        <v>6</v>
      </c>
      <c r="H343" s="415">
        <v>600000</v>
      </c>
      <c r="I343" s="292">
        <f t="shared" si="5"/>
        <v>112500</v>
      </c>
      <c r="J343" s="238"/>
    </row>
    <row r="344" spans="2:10" s="149" customFormat="1" ht="12.75" customHeight="1">
      <c r="B344" s="291">
        <v>338</v>
      </c>
      <c r="C344" s="414" t="s">
        <v>512</v>
      </c>
      <c r="D344" s="414" t="s">
        <v>658</v>
      </c>
      <c r="E344" s="413" t="s">
        <v>208</v>
      </c>
      <c r="F344" s="414" t="s">
        <v>308</v>
      </c>
      <c r="G344" s="418">
        <v>1</v>
      </c>
      <c r="H344" s="415">
        <v>101800</v>
      </c>
      <c r="I344" s="292">
        <f t="shared" si="5"/>
        <v>19087.5</v>
      </c>
      <c r="J344" s="238"/>
    </row>
    <row r="345" spans="2:10" s="149" customFormat="1" ht="12.75" customHeight="1">
      <c r="B345" s="291">
        <v>339</v>
      </c>
      <c r="C345" s="414" t="s">
        <v>430</v>
      </c>
      <c r="D345" s="414" t="s">
        <v>335</v>
      </c>
      <c r="E345" s="413" t="s">
        <v>336</v>
      </c>
      <c r="F345" s="414" t="s">
        <v>177</v>
      </c>
      <c r="G345" s="418">
        <v>8</v>
      </c>
      <c r="H345" s="415">
        <v>800000</v>
      </c>
      <c r="I345" s="292">
        <f t="shared" si="5"/>
        <v>150000</v>
      </c>
      <c r="J345" s="238"/>
    </row>
    <row r="346" spans="2:10" s="149" customFormat="1" ht="12.75" customHeight="1">
      <c r="B346" s="291">
        <v>340</v>
      </c>
      <c r="C346" s="414" t="s">
        <v>553</v>
      </c>
      <c r="D346" s="414" t="s">
        <v>320</v>
      </c>
      <c r="E346" s="413" t="s">
        <v>188</v>
      </c>
      <c r="F346" s="414" t="s">
        <v>180</v>
      </c>
      <c r="G346" s="418">
        <v>8</v>
      </c>
      <c r="H346" s="415">
        <v>800000</v>
      </c>
      <c r="I346" s="292">
        <f t="shared" si="5"/>
        <v>150000</v>
      </c>
      <c r="J346" s="238"/>
    </row>
    <row r="347" spans="2:10" s="149" customFormat="1" ht="12.75" customHeight="1">
      <c r="B347" s="291">
        <v>341</v>
      </c>
      <c r="C347" s="414" t="s">
        <v>544</v>
      </c>
      <c r="D347" s="414" t="s">
        <v>641</v>
      </c>
      <c r="E347" s="413" t="s">
        <v>199</v>
      </c>
      <c r="F347" s="414" t="s">
        <v>177</v>
      </c>
      <c r="G347" s="418">
        <v>3</v>
      </c>
      <c r="H347" s="415">
        <v>300000</v>
      </c>
      <c r="I347" s="292">
        <f t="shared" si="5"/>
        <v>56250</v>
      </c>
      <c r="J347" s="238"/>
    </row>
    <row r="348" spans="2:10" s="149" customFormat="1" ht="12.75" customHeight="1">
      <c r="B348" s="291">
        <v>342</v>
      </c>
      <c r="C348" s="414" t="s">
        <v>430</v>
      </c>
      <c r="D348" s="414" t="s">
        <v>321</v>
      </c>
      <c r="E348" s="413" t="s">
        <v>237</v>
      </c>
      <c r="F348" s="414" t="s">
        <v>177</v>
      </c>
      <c r="G348" s="418">
        <v>11</v>
      </c>
      <c r="H348" s="415">
        <v>1100000</v>
      </c>
      <c r="I348" s="292">
        <f t="shared" si="5"/>
        <v>206250</v>
      </c>
      <c r="J348" s="238"/>
    </row>
    <row r="349" spans="2:10" s="149" customFormat="1" ht="12.75" customHeight="1">
      <c r="B349" s="291">
        <v>343</v>
      </c>
      <c r="C349" s="414" t="s">
        <v>508</v>
      </c>
      <c r="D349" s="414" t="s">
        <v>750</v>
      </c>
      <c r="E349" s="413" t="s">
        <v>227</v>
      </c>
      <c r="F349" s="414" t="s">
        <v>177</v>
      </c>
      <c r="G349" s="418">
        <v>6</v>
      </c>
      <c r="H349" s="415">
        <v>600000</v>
      </c>
      <c r="I349" s="292">
        <f t="shared" si="5"/>
        <v>112500</v>
      </c>
      <c r="J349" s="238"/>
    </row>
    <row r="350" spans="2:10" s="149" customFormat="1" ht="12.75" customHeight="1">
      <c r="B350" s="291">
        <v>344</v>
      </c>
      <c r="C350" s="414" t="s">
        <v>544</v>
      </c>
      <c r="D350" s="414" t="s">
        <v>712</v>
      </c>
      <c r="E350" s="413" t="s">
        <v>231</v>
      </c>
      <c r="F350" s="414" t="s">
        <v>182</v>
      </c>
      <c r="G350" s="418">
        <v>1</v>
      </c>
      <c r="H350" s="415">
        <v>40300</v>
      </c>
      <c r="I350" s="292">
        <f t="shared" si="5"/>
        <v>7556.25</v>
      </c>
      <c r="J350" s="238"/>
    </row>
    <row r="351" spans="2:10" s="149" customFormat="1" ht="12.75" customHeight="1">
      <c r="B351" s="291">
        <v>345</v>
      </c>
      <c r="C351" s="414" t="s">
        <v>551</v>
      </c>
      <c r="D351" s="414" t="s">
        <v>317</v>
      </c>
      <c r="E351" s="413" t="s">
        <v>232</v>
      </c>
      <c r="F351" s="414" t="s">
        <v>348</v>
      </c>
      <c r="G351" s="418">
        <v>1</v>
      </c>
      <c r="H351" s="415">
        <v>100000</v>
      </c>
      <c r="I351" s="292">
        <f t="shared" si="5"/>
        <v>18750</v>
      </c>
      <c r="J351" s="238"/>
    </row>
    <row r="352" spans="2:10" s="149" customFormat="1" ht="12.75" customHeight="1">
      <c r="B352" s="291">
        <v>346</v>
      </c>
      <c r="C352" s="414" t="s">
        <v>555</v>
      </c>
      <c r="D352" s="414" t="s">
        <v>735</v>
      </c>
      <c r="E352" s="413" t="s">
        <v>260</v>
      </c>
      <c r="F352" s="414" t="s">
        <v>182</v>
      </c>
      <c r="G352" s="418">
        <v>1</v>
      </c>
      <c r="H352" s="415">
        <v>100000</v>
      </c>
      <c r="I352" s="292">
        <f t="shared" si="5"/>
        <v>18750</v>
      </c>
      <c r="J352" s="238"/>
    </row>
    <row r="353" spans="2:10" s="149" customFormat="1" ht="12.75" customHeight="1">
      <c r="B353" s="291">
        <v>347</v>
      </c>
      <c r="C353" s="414" t="s">
        <v>585</v>
      </c>
      <c r="D353" s="414" t="s">
        <v>665</v>
      </c>
      <c r="E353" s="413" t="s">
        <v>208</v>
      </c>
      <c r="F353" s="414" t="s">
        <v>182</v>
      </c>
      <c r="G353" s="418">
        <v>1</v>
      </c>
      <c r="H353" s="415">
        <v>100000</v>
      </c>
      <c r="I353" s="292">
        <f t="shared" si="5"/>
        <v>18750</v>
      </c>
      <c r="J353" s="238"/>
    </row>
    <row r="354" spans="2:10" s="149" customFormat="1" ht="12.75" customHeight="1">
      <c r="B354" s="291">
        <v>348</v>
      </c>
      <c r="C354" s="414" t="s">
        <v>577</v>
      </c>
      <c r="D354" s="414" t="s">
        <v>664</v>
      </c>
      <c r="E354" s="413" t="s">
        <v>216</v>
      </c>
      <c r="F354" s="414" t="s">
        <v>177</v>
      </c>
      <c r="G354" s="418">
        <v>6</v>
      </c>
      <c r="H354" s="415">
        <v>600000</v>
      </c>
      <c r="I354" s="292">
        <f t="shared" si="5"/>
        <v>112500</v>
      </c>
      <c r="J354" s="238"/>
    </row>
    <row r="355" spans="2:10" s="149" customFormat="1" ht="12.75" customHeight="1">
      <c r="B355" s="291">
        <v>349</v>
      </c>
      <c r="C355" s="414" t="s">
        <v>567</v>
      </c>
      <c r="D355" s="414" t="s">
        <v>645</v>
      </c>
      <c r="E355" s="413" t="s">
        <v>255</v>
      </c>
      <c r="F355" s="414" t="s">
        <v>177</v>
      </c>
      <c r="G355" s="418">
        <v>3</v>
      </c>
      <c r="H355" s="415">
        <v>300000</v>
      </c>
      <c r="I355" s="292">
        <f t="shared" si="5"/>
        <v>56250</v>
      </c>
      <c r="J355" s="238"/>
    </row>
    <row r="356" spans="2:10" s="149" customFormat="1" ht="12.75" customHeight="1">
      <c r="B356" s="291">
        <v>350</v>
      </c>
      <c r="C356" s="414" t="s">
        <v>535</v>
      </c>
      <c r="D356" s="414" t="s">
        <v>682</v>
      </c>
      <c r="E356" s="413" t="s">
        <v>206</v>
      </c>
      <c r="F356" s="414" t="s">
        <v>225</v>
      </c>
      <c r="G356" s="418">
        <v>1</v>
      </c>
      <c r="H356" s="415">
        <v>200000</v>
      </c>
      <c r="I356" s="292">
        <f t="shared" si="5"/>
        <v>37500</v>
      </c>
      <c r="J356" s="238"/>
    </row>
    <row r="357" spans="2:10" s="149" customFormat="1" ht="12.75" customHeight="1">
      <c r="B357" s="291">
        <v>351</v>
      </c>
      <c r="C357" s="414" t="s">
        <v>580</v>
      </c>
      <c r="D357" s="414" t="s">
        <v>309</v>
      </c>
      <c r="E357" s="413" t="s">
        <v>224</v>
      </c>
      <c r="F357" s="414" t="s">
        <v>189</v>
      </c>
      <c r="G357" s="418">
        <v>1</v>
      </c>
      <c r="H357" s="415">
        <v>40300</v>
      </c>
      <c r="I357" s="292">
        <f t="shared" si="5"/>
        <v>7556.25</v>
      </c>
      <c r="J357" s="238"/>
    </row>
    <row r="358" spans="2:10" s="149" customFormat="1" ht="12.75" customHeight="1">
      <c r="B358" s="291">
        <v>352</v>
      </c>
      <c r="C358" s="414" t="s">
        <v>580</v>
      </c>
      <c r="D358" s="414" t="s">
        <v>331</v>
      </c>
      <c r="E358" s="413" t="s">
        <v>201</v>
      </c>
      <c r="F358" s="414" t="s">
        <v>189</v>
      </c>
      <c r="G358" s="418">
        <v>1</v>
      </c>
      <c r="H358" s="415">
        <v>40300</v>
      </c>
      <c r="I358" s="292">
        <f t="shared" si="5"/>
        <v>7556.25</v>
      </c>
      <c r="J358" s="238"/>
    </row>
    <row r="359" spans="2:10" s="149" customFormat="1" ht="12.75" customHeight="1">
      <c r="B359" s="291">
        <v>353</v>
      </c>
      <c r="C359" s="414" t="s">
        <v>396</v>
      </c>
      <c r="D359" s="414" t="s">
        <v>734</v>
      </c>
      <c r="E359" s="413" t="s">
        <v>181</v>
      </c>
      <c r="F359" s="414" t="s">
        <v>177</v>
      </c>
      <c r="G359" s="418">
        <v>9</v>
      </c>
      <c r="H359" s="415">
        <v>900000</v>
      </c>
      <c r="I359" s="292">
        <f t="shared" si="5"/>
        <v>168750</v>
      </c>
      <c r="J359" s="238"/>
    </row>
    <row r="360" spans="2:10" s="149" customFormat="1" ht="12.75" customHeight="1">
      <c r="B360" s="291">
        <v>354</v>
      </c>
      <c r="C360" s="414" t="s">
        <v>577</v>
      </c>
      <c r="D360" s="414" t="s">
        <v>623</v>
      </c>
      <c r="E360" s="413" t="s">
        <v>188</v>
      </c>
      <c r="F360" s="414" t="s">
        <v>180</v>
      </c>
      <c r="G360" s="418">
        <v>4</v>
      </c>
      <c r="H360" s="415">
        <v>400000</v>
      </c>
      <c r="I360" s="292">
        <f t="shared" si="5"/>
        <v>75000</v>
      </c>
      <c r="J360" s="238"/>
    </row>
    <row r="361" spans="2:10" s="149" customFormat="1" ht="12.75" customHeight="1">
      <c r="B361" s="291">
        <v>355</v>
      </c>
      <c r="C361" s="414" t="s">
        <v>535</v>
      </c>
      <c r="D361" s="414" t="s">
        <v>752</v>
      </c>
      <c r="E361" s="413" t="s">
        <v>235</v>
      </c>
      <c r="F361" s="414" t="s">
        <v>177</v>
      </c>
      <c r="G361" s="418">
        <v>3</v>
      </c>
      <c r="H361" s="415">
        <v>300000</v>
      </c>
      <c r="I361" s="292">
        <f t="shared" si="5"/>
        <v>56250</v>
      </c>
      <c r="J361" s="238"/>
    </row>
    <row r="362" spans="2:10" s="149" customFormat="1" ht="12.75" customHeight="1">
      <c r="B362" s="291">
        <v>356</v>
      </c>
      <c r="C362" s="414" t="s">
        <v>512</v>
      </c>
      <c r="D362" s="414" t="s">
        <v>745</v>
      </c>
      <c r="E362" s="413" t="s">
        <v>207</v>
      </c>
      <c r="F362" s="414" t="s">
        <v>177</v>
      </c>
      <c r="G362" s="418">
        <v>3</v>
      </c>
      <c r="H362" s="415">
        <v>300000</v>
      </c>
      <c r="I362" s="292">
        <f t="shared" si="5"/>
        <v>56250</v>
      </c>
      <c r="J362" s="238"/>
    </row>
    <row r="363" spans="2:10" s="149" customFormat="1" ht="12.75" customHeight="1">
      <c r="B363" s="291">
        <v>357</v>
      </c>
      <c r="C363" s="414" t="s">
        <v>555</v>
      </c>
      <c r="D363" s="414" t="s">
        <v>613</v>
      </c>
      <c r="E363" s="413" t="s">
        <v>199</v>
      </c>
      <c r="F363" s="414" t="s">
        <v>180</v>
      </c>
      <c r="G363" s="418">
        <v>1</v>
      </c>
      <c r="H363" s="415">
        <v>100000</v>
      </c>
      <c r="I363" s="292">
        <f t="shared" si="5"/>
        <v>18750</v>
      </c>
      <c r="J363" s="238"/>
    </row>
    <row r="364" spans="2:10" s="149" customFormat="1" ht="12.75" customHeight="1">
      <c r="B364" s="291">
        <v>358</v>
      </c>
      <c r="C364" s="414" t="s">
        <v>553</v>
      </c>
      <c r="D364" s="414" t="s">
        <v>700</v>
      </c>
      <c r="E364" s="413" t="s">
        <v>190</v>
      </c>
      <c r="F364" s="414" t="s">
        <v>180</v>
      </c>
      <c r="G364" s="418">
        <v>1</v>
      </c>
      <c r="H364" s="415">
        <v>100000</v>
      </c>
      <c r="I364" s="292">
        <f t="shared" si="5"/>
        <v>18750</v>
      </c>
      <c r="J364" s="238"/>
    </row>
    <row r="365" spans="2:10" s="149" customFormat="1" ht="12.75" customHeight="1">
      <c r="B365" s="291">
        <v>359</v>
      </c>
      <c r="C365" s="414" t="s">
        <v>542</v>
      </c>
      <c r="D365" s="414" t="s">
        <v>753</v>
      </c>
      <c r="E365" s="413" t="s">
        <v>196</v>
      </c>
      <c r="F365" s="414" t="s">
        <v>319</v>
      </c>
      <c r="G365" s="418">
        <v>1</v>
      </c>
      <c r="H365" s="415">
        <v>300000</v>
      </c>
      <c r="I365" s="292">
        <f t="shared" si="5"/>
        <v>56250</v>
      </c>
      <c r="J365" s="238"/>
    </row>
    <row r="366" spans="2:10" s="149" customFormat="1" ht="12.75" customHeight="1">
      <c r="B366" s="291">
        <v>360</v>
      </c>
      <c r="C366" s="414" t="s">
        <v>542</v>
      </c>
      <c r="D366" s="414" t="s">
        <v>754</v>
      </c>
      <c r="E366" s="413" t="s">
        <v>178</v>
      </c>
      <c r="F366" s="414" t="s">
        <v>182</v>
      </c>
      <c r="G366" s="418">
        <v>1</v>
      </c>
      <c r="H366" s="415">
        <v>100000</v>
      </c>
      <c r="I366" s="292">
        <f t="shared" si="5"/>
        <v>18750</v>
      </c>
      <c r="J366" s="238"/>
    </row>
    <row r="367" spans="2:10" s="149" customFormat="1" ht="12.75" customHeight="1">
      <c r="B367" s="291">
        <v>361</v>
      </c>
      <c r="C367" s="414" t="s">
        <v>571</v>
      </c>
      <c r="D367" s="414" t="s">
        <v>739</v>
      </c>
      <c r="E367" s="413" t="s">
        <v>306</v>
      </c>
      <c r="F367" s="414" t="s">
        <v>177</v>
      </c>
      <c r="G367" s="418">
        <v>2</v>
      </c>
      <c r="H367" s="415">
        <v>200000</v>
      </c>
      <c r="I367" s="292">
        <f t="shared" si="5"/>
        <v>37500</v>
      </c>
      <c r="J367" s="238"/>
    </row>
    <row r="368" spans="2:10" s="149" customFormat="1" ht="12.75" customHeight="1">
      <c r="B368" s="291">
        <v>362</v>
      </c>
      <c r="C368" s="414" t="s">
        <v>551</v>
      </c>
      <c r="D368" s="414" t="s">
        <v>709</v>
      </c>
      <c r="E368" s="413" t="s">
        <v>207</v>
      </c>
      <c r="F368" s="414" t="s">
        <v>177</v>
      </c>
      <c r="G368" s="418">
        <v>2</v>
      </c>
      <c r="H368" s="415">
        <v>200000</v>
      </c>
      <c r="I368" s="292">
        <f t="shared" si="5"/>
        <v>37500</v>
      </c>
      <c r="J368" s="238"/>
    </row>
    <row r="369" spans="2:10" s="149" customFormat="1" ht="12.75" customHeight="1">
      <c r="B369" s="291">
        <v>363</v>
      </c>
      <c r="C369" s="414" t="s">
        <v>571</v>
      </c>
      <c r="D369" s="414" t="s">
        <v>305</v>
      </c>
      <c r="E369" s="413" t="s">
        <v>199</v>
      </c>
      <c r="F369" s="414" t="s">
        <v>177</v>
      </c>
      <c r="G369" s="418">
        <v>6</v>
      </c>
      <c r="H369" s="415">
        <v>600000</v>
      </c>
      <c r="I369" s="292">
        <f t="shared" si="5"/>
        <v>112500</v>
      </c>
      <c r="J369" s="238"/>
    </row>
    <row r="370" spans="2:10" s="149" customFormat="1" ht="12.75" customHeight="1">
      <c r="B370" s="291">
        <v>364</v>
      </c>
      <c r="C370" s="414" t="s">
        <v>542</v>
      </c>
      <c r="D370" s="414" t="s">
        <v>671</v>
      </c>
      <c r="E370" s="413" t="s">
        <v>232</v>
      </c>
      <c r="F370" s="414" t="s">
        <v>180</v>
      </c>
      <c r="G370" s="418">
        <v>4</v>
      </c>
      <c r="H370" s="415">
        <v>400000</v>
      </c>
      <c r="I370" s="292">
        <f t="shared" si="5"/>
        <v>75000</v>
      </c>
      <c r="J370" s="238"/>
    </row>
    <row r="371" spans="2:10" s="149" customFormat="1" ht="12.75" customHeight="1">
      <c r="B371" s="291">
        <v>365</v>
      </c>
      <c r="C371" s="414" t="s">
        <v>555</v>
      </c>
      <c r="D371" s="414" t="s">
        <v>674</v>
      </c>
      <c r="E371" s="413" t="s">
        <v>208</v>
      </c>
      <c r="F371" s="414" t="s">
        <v>180</v>
      </c>
      <c r="G371" s="418">
        <v>7</v>
      </c>
      <c r="H371" s="415">
        <v>700000</v>
      </c>
      <c r="I371" s="292">
        <f t="shared" si="5"/>
        <v>131250</v>
      </c>
      <c r="J371" s="238"/>
    </row>
    <row r="372" spans="2:10" s="149" customFormat="1" ht="12.75" customHeight="1">
      <c r="B372" s="291">
        <v>366</v>
      </c>
      <c r="C372" s="414" t="s">
        <v>577</v>
      </c>
      <c r="D372" s="414" t="s">
        <v>716</v>
      </c>
      <c r="E372" s="413" t="s">
        <v>194</v>
      </c>
      <c r="F372" s="414" t="s">
        <v>177</v>
      </c>
      <c r="G372" s="418">
        <v>3</v>
      </c>
      <c r="H372" s="415">
        <v>300000</v>
      </c>
      <c r="I372" s="292">
        <f t="shared" si="5"/>
        <v>56250</v>
      </c>
      <c r="J372" s="238"/>
    </row>
    <row r="373" spans="2:10" s="149" customFormat="1" ht="12.75" customHeight="1">
      <c r="B373" s="291">
        <v>367</v>
      </c>
      <c r="C373" s="414" t="s">
        <v>555</v>
      </c>
      <c r="D373" s="414" t="s">
        <v>706</v>
      </c>
      <c r="E373" s="413" t="s">
        <v>199</v>
      </c>
      <c r="F373" s="414" t="s">
        <v>177</v>
      </c>
      <c r="G373" s="418">
        <v>2</v>
      </c>
      <c r="H373" s="415">
        <v>200000</v>
      </c>
      <c r="I373" s="292">
        <f t="shared" si="5"/>
        <v>37500</v>
      </c>
      <c r="J373" s="238"/>
    </row>
    <row r="374" spans="2:10" s="149" customFormat="1" ht="12.75" customHeight="1">
      <c r="B374" s="291">
        <v>368</v>
      </c>
      <c r="C374" s="414" t="s">
        <v>512</v>
      </c>
      <c r="D374" s="414" t="s">
        <v>748</v>
      </c>
      <c r="E374" s="413" t="s">
        <v>306</v>
      </c>
      <c r="F374" s="414" t="s">
        <v>177</v>
      </c>
      <c r="G374" s="418">
        <v>3</v>
      </c>
      <c r="H374" s="415">
        <v>300000</v>
      </c>
      <c r="I374" s="292">
        <f t="shared" si="5"/>
        <v>56250</v>
      </c>
      <c r="J374" s="238"/>
    </row>
    <row r="375" spans="2:10" s="149" customFormat="1" ht="12.75" customHeight="1">
      <c r="B375" s="291">
        <v>369</v>
      </c>
      <c r="C375" s="414" t="s">
        <v>560</v>
      </c>
      <c r="D375" s="414" t="s">
        <v>755</v>
      </c>
      <c r="E375" s="413" t="s">
        <v>231</v>
      </c>
      <c r="F375" s="414" t="s">
        <v>186</v>
      </c>
      <c r="G375" s="418">
        <v>1</v>
      </c>
      <c r="H375" s="415">
        <v>372700</v>
      </c>
      <c r="I375" s="292">
        <f t="shared" si="5"/>
        <v>69881.25</v>
      </c>
      <c r="J375" s="238"/>
    </row>
    <row r="376" spans="2:10" s="149" customFormat="1" ht="12.75" customHeight="1">
      <c r="B376" s="291">
        <v>370</v>
      </c>
      <c r="C376" s="414" t="s">
        <v>606</v>
      </c>
      <c r="D376" s="414" t="s">
        <v>756</v>
      </c>
      <c r="E376" s="413" t="s">
        <v>167</v>
      </c>
      <c r="F376" s="414" t="s">
        <v>242</v>
      </c>
      <c r="G376" s="418">
        <v>1</v>
      </c>
      <c r="H376" s="415">
        <v>434600</v>
      </c>
      <c r="I376" s="292">
        <f t="shared" si="5"/>
        <v>81487.5</v>
      </c>
      <c r="J376" s="238"/>
    </row>
    <row r="377" spans="2:10" s="149" customFormat="1" ht="12.75" customHeight="1">
      <c r="B377" s="291">
        <v>371</v>
      </c>
      <c r="C377" s="414" t="s">
        <v>551</v>
      </c>
      <c r="D377" s="414" t="s">
        <v>757</v>
      </c>
      <c r="E377" s="413" t="s">
        <v>211</v>
      </c>
      <c r="F377" s="414" t="s">
        <v>315</v>
      </c>
      <c r="G377" s="418">
        <v>1</v>
      </c>
      <c r="H377" s="415">
        <v>167000</v>
      </c>
      <c r="I377" s="292">
        <f t="shared" si="5"/>
        <v>31312.5</v>
      </c>
      <c r="J377" s="238"/>
    </row>
    <row r="378" spans="2:10" s="149" customFormat="1" ht="12.75" customHeight="1">
      <c r="B378" s="291">
        <v>372</v>
      </c>
      <c r="C378" s="414" t="s">
        <v>542</v>
      </c>
      <c r="D378" s="414" t="s">
        <v>671</v>
      </c>
      <c r="E378" s="413" t="s">
        <v>232</v>
      </c>
      <c r="F378" s="414" t="s">
        <v>225</v>
      </c>
      <c r="G378" s="418">
        <v>1</v>
      </c>
      <c r="H378" s="415">
        <v>200000</v>
      </c>
      <c r="I378" s="292">
        <f t="shared" si="5"/>
        <v>37500</v>
      </c>
      <c r="J378" s="238"/>
    </row>
    <row r="379" spans="2:10" s="149" customFormat="1" ht="12.75" customHeight="1">
      <c r="B379" s="291">
        <v>373</v>
      </c>
      <c r="C379" s="414" t="s">
        <v>430</v>
      </c>
      <c r="D379" s="414" t="s">
        <v>758</v>
      </c>
      <c r="E379" s="413" t="s">
        <v>176</v>
      </c>
      <c r="F379" s="414" t="s">
        <v>226</v>
      </c>
      <c r="G379" s="418">
        <v>1</v>
      </c>
      <c r="H379" s="415">
        <v>400000</v>
      </c>
      <c r="I379" s="292">
        <f t="shared" si="5"/>
        <v>75000</v>
      </c>
      <c r="J379" s="238"/>
    </row>
    <row r="380" spans="2:10" s="149" customFormat="1" ht="12.75" customHeight="1">
      <c r="B380" s="291">
        <v>374</v>
      </c>
      <c r="C380" s="414" t="s">
        <v>759</v>
      </c>
      <c r="D380" s="414" t="s">
        <v>760</v>
      </c>
      <c r="E380" s="413" t="s">
        <v>178</v>
      </c>
      <c r="F380" s="414" t="s">
        <v>226</v>
      </c>
      <c r="G380" s="418">
        <v>1</v>
      </c>
      <c r="H380" s="415">
        <v>257000</v>
      </c>
      <c r="I380" s="292">
        <f t="shared" si="5"/>
        <v>48187.5</v>
      </c>
      <c r="J380" s="238"/>
    </row>
    <row r="381" spans="2:10" s="149" customFormat="1" ht="12.75" customHeight="1">
      <c r="B381" s="291">
        <v>375</v>
      </c>
      <c r="C381" s="414" t="s">
        <v>761</v>
      </c>
      <c r="D381" s="414" t="s">
        <v>762</v>
      </c>
      <c r="E381" s="413" t="s">
        <v>185</v>
      </c>
      <c r="F381" s="414" t="s">
        <v>318</v>
      </c>
      <c r="G381" s="418">
        <v>1</v>
      </c>
      <c r="H381" s="415">
        <v>342000</v>
      </c>
      <c r="I381" s="292">
        <f t="shared" si="5"/>
        <v>64125</v>
      </c>
      <c r="J381" s="238"/>
    </row>
    <row r="382" spans="2:10" s="149" customFormat="1" ht="12.75" customHeight="1">
      <c r="B382" s="291">
        <v>376</v>
      </c>
      <c r="C382" s="414" t="s">
        <v>544</v>
      </c>
      <c r="D382" s="414" t="s">
        <v>680</v>
      </c>
      <c r="E382" s="413" t="s">
        <v>260</v>
      </c>
      <c r="F382" s="414" t="s">
        <v>226</v>
      </c>
      <c r="G382" s="418">
        <v>1</v>
      </c>
      <c r="H382" s="415">
        <v>257000</v>
      </c>
      <c r="I382" s="292">
        <f t="shared" si="5"/>
        <v>48187.5</v>
      </c>
      <c r="J382" s="238"/>
    </row>
    <row r="383" spans="2:10" s="149" customFormat="1" ht="12.75" customHeight="1">
      <c r="B383" s="291">
        <v>377</v>
      </c>
      <c r="C383" s="414" t="s">
        <v>512</v>
      </c>
      <c r="D383" s="414" t="s">
        <v>763</v>
      </c>
      <c r="E383" s="413" t="s">
        <v>216</v>
      </c>
      <c r="F383" s="414" t="s">
        <v>225</v>
      </c>
      <c r="G383" s="418">
        <v>1</v>
      </c>
      <c r="H383" s="415">
        <v>200000</v>
      </c>
      <c r="I383" s="292">
        <f t="shared" si="5"/>
        <v>37500</v>
      </c>
      <c r="J383" s="238"/>
    </row>
    <row r="384" spans="2:10" s="149" customFormat="1" ht="12.75" customHeight="1">
      <c r="B384" s="291">
        <v>378</v>
      </c>
      <c r="C384" s="414" t="s">
        <v>553</v>
      </c>
      <c r="D384" s="414" t="s">
        <v>764</v>
      </c>
      <c r="E384" s="413" t="s">
        <v>188</v>
      </c>
      <c r="F384" s="414" t="s">
        <v>318</v>
      </c>
      <c r="G384" s="418">
        <v>1</v>
      </c>
      <c r="H384" s="415">
        <v>600000</v>
      </c>
      <c r="I384" s="292">
        <f t="shared" si="5"/>
        <v>112500</v>
      </c>
      <c r="J384" s="238"/>
    </row>
    <row r="385" spans="2:10" s="149" customFormat="1" ht="12.75" customHeight="1">
      <c r="B385" s="291">
        <v>379</v>
      </c>
      <c r="C385" s="414" t="s">
        <v>765</v>
      </c>
      <c r="D385" s="414" t="s">
        <v>766</v>
      </c>
      <c r="E385" s="413" t="s">
        <v>617</v>
      </c>
      <c r="F385" s="414" t="s">
        <v>318</v>
      </c>
      <c r="G385" s="418">
        <v>1</v>
      </c>
      <c r="H385" s="415">
        <v>342000</v>
      </c>
      <c r="I385" s="292">
        <f t="shared" si="5"/>
        <v>64125</v>
      </c>
      <c r="J385" s="238"/>
    </row>
    <row r="386" spans="2:10" s="149" customFormat="1" ht="12.75" customHeight="1">
      <c r="B386" s="291">
        <v>380</v>
      </c>
      <c r="C386" s="414" t="s">
        <v>542</v>
      </c>
      <c r="D386" s="414" t="s">
        <v>767</v>
      </c>
      <c r="E386" s="413" t="s">
        <v>232</v>
      </c>
      <c r="F386" s="414" t="s">
        <v>175</v>
      </c>
      <c r="G386" s="418">
        <v>1</v>
      </c>
      <c r="H386" s="415">
        <v>372700</v>
      </c>
      <c r="I386" s="292">
        <f t="shared" si="5"/>
        <v>69881.25</v>
      </c>
      <c r="J386" s="238"/>
    </row>
    <row r="387" spans="2:10" s="149" customFormat="1" ht="12.75" customHeight="1">
      <c r="B387" s="291">
        <v>381</v>
      </c>
      <c r="C387" s="414" t="s">
        <v>512</v>
      </c>
      <c r="D387" s="414" t="s">
        <v>688</v>
      </c>
      <c r="E387" s="413" t="s">
        <v>181</v>
      </c>
      <c r="F387" s="414" t="s">
        <v>225</v>
      </c>
      <c r="G387" s="418">
        <v>1</v>
      </c>
      <c r="H387" s="415">
        <v>200000</v>
      </c>
      <c r="I387" s="292">
        <f t="shared" si="5"/>
        <v>37500</v>
      </c>
      <c r="J387" s="238"/>
    </row>
    <row r="388" spans="2:10" s="149" customFormat="1" ht="12.75" customHeight="1">
      <c r="B388" s="291">
        <v>382</v>
      </c>
      <c r="C388" s="414" t="s">
        <v>580</v>
      </c>
      <c r="D388" s="414" t="s">
        <v>650</v>
      </c>
      <c r="E388" s="413" t="s">
        <v>199</v>
      </c>
      <c r="F388" s="414" t="s">
        <v>768</v>
      </c>
      <c r="G388" s="418">
        <v>1</v>
      </c>
      <c r="H388" s="415">
        <v>400000</v>
      </c>
      <c r="I388" s="292">
        <f t="shared" si="5"/>
        <v>75000</v>
      </c>
      <c r="J388" s="238"/>
    </row>
    <row r="389" spans="2:10" s="149" customFormat="1" ht="12.75" customHeight="1">
      <c r="B389" s="291">
        <v>383</v>
      </c>
      <c r="C389" s="414" t="s">
        <v>385</v>
      </c>
      <c r="D389" s="414" t="s">
        <v>698</v>
      </c>
      <c r="E389" s="413" t="s">
        <v>183</v>
      </c>
      <c r="F389" s="414" t="s">
        <v>175</v>
      </c>
      <c r="G389" s="418">
        <v>1</v>
      </c>
      <c r="H389" s="415">
        <v>500000</v>
      </c>
      <c r="I389" s="292">
        <f t="shared" si="5"/>
        <v>93750</v>
      </c>
      <c r="J389" s="238"/>
    </row>
    <row r="390" spans="2:10" s="149" customFormat="1" ht="12.75" customHeight="1">
      <c r="B390" s="291">
        <v>384</v>
      </c>
      <c r="C390" s="414" t="s">
        <v>606</v>
      </c>
      <c r="D390" s="414" t="s">
        <v>756</v>
      </c>
      <c r="E390" s="413" t="s">
        <v>167</v>
      </c>
      <c r="F390" s="414" t="s">
        <v>225</v>
      </c>
      <c r="G390" s="418">
        <v>1</v>
      </c>
      <c r="H390" s="415">
        <v>200000</v>
      </c>
      <c r="I390" s="292">
        <f t="shared" si="5"/>
        <v>37500</v>
      </c>
      <c r="J390" s="238"/>
    </row>
    <row r="391" spans="2:10" s="149" customFormat="1" ht="12.75" customHeight="1">
      <c r="B391" s="291">
        <v>385</v>
      </c>
      <c r="C391" s="414" t="s">
        <v>761</v>
      </c>
      <c r="D391" s="414" t="s">
        <v>769</v>
      </c>
      <c r="E391" s="413" t="s">
        <v>228</v>
      </c>
      <c r="F391" s="414" t="s">
        <v>315</v>
      </c>
      <c r="G391" s="418">
        <v>1</v>
      </c>
      <c r="H391" s="415">
        <v>400000</v>
      </c>
      <c r="I391" s="292">
        <f t="shared" si="5"/>
        <v>75000</v>
      </c>
      <c r="J391" s="238"/>
    </row>
    <row r="392" spans="2:10" s="149" customFormat="1" ht="12.75" customHeight="1">
      <c r="B392" s="291">
        <v>386</v>
      </c>
      <c r="C392" s="414" t="s">
        <v>407</v>
      </c>
      <c r="D392" s="414" t="s">
        <v>770</v>
      </c>
      <c r="E392" s="413" t="s">
        <v>306</v>
      </c>
      <c r="F392" s="414" t="s">
        <v>225</v>
      </c>
      <c r="G392" s="418">
        <v>1</v>
      </c>
      <c r="H392" s="415">
        <v>200000</v>
      </c>
      <c r="I392" s="292">
        <f t="shared" ref="I392:I404" si="6">H392*25%*75%</f>
        <v>37500</v>
      </c>
      <c r="J392" s="238"/>
    </row>
    <row r="393" spans="2:10" s="149" customFormat="1" ht="12.75" customHeight="1">
      <c r="B393" s="291">
        <v>387</v>
      </c>
      <c r="C393" s="414" t="s">
        <v>551</v>
      </c>
      <c r="D393" s="414" t="s">
        <v>771</v>
      </c>
      <c r="E393" s="413" t="s">
        <v>167</v>
      </c>
      <c r="F393" s="414" t="s">
        <v>175</v>
      </c>
      <c r="G393" s="418">
        <v>1</v>
      </c>
      <c r="H393" s="415">
        <v>372700</v>
      </c>
      <c r="I393" s="292">
        <f t="shared" si="6"/>
        <v>69881.25</v>
      </c>
      <c r="J393" s="238"/>
    </row>
    <row r="394" spans="2:10" s="149" customFormat="1" ht="12.75" customHeight="1">
      <c r="B394" s="291">
        <v>388</v>
      </c>
      <c r="C394" s="414" t="s">
        <v>567</v>
      </c>
      <c r="D394" s="414" t="s">
        <v>729</v>
      </c>
      <c r="E394" s="413" t="s">
        <v>730</v>
      </c>
      <c r="F394" s="414" t="s">
        <v>772</v>
      </c>
      <c r="G394" s="418">
        <v>1</v>
      </c>
      <c r="H394" s="415">
        <v>400000</v>
      </c>
      <c r="I394" s="292">
        <f t="shared" si="6"/>
        <v>75000</v>
      </c>
      <c r="J394" s="238"/>
    </row>
    <row r="395" spans="2:10" s="149" customFormat="1" ht="12.75" customHeight="1">
      <c r="B395" s="291">
        <v>389</v>
      </c>
      <c r="C395" s="414" t="s">
        <v>542</v>
      </c>
      <c r="D395" s="414" t="s">
        <v>631</v>
      </c>
      <c r="E395" s="413" t="s">
        <v>192</v>
      </c>
      <c r="F395" s="414" t="s">
        <v>225</v>
      </c>
      <c r="G395" s="418">
        <v>1</v>
      </c>
      <c r="H395" s="415">
        <v>200000</v>
      </c>
      <c r="I395" s="292">
        <f t="shared" si="6"/>
        <v>37500</v>
      </c>
      <c r="J395" s="238"/>
    </row>
    <row r="396" spans="2:10" s="149" customFormat="1" ht="12.75" customHeight="1">
      <c r="B396" s="291">
        <v>390</v>
      </c>
      <c r="C396" s="414" t="s">
        <v>567</v>
      </c>
      <c r="D396" s="414" t="s">
        <v>741</v>
      </c>
      <c r="E396" s="413" t="s">
        <v>195</v>
      </c>
      <c r="F396" s="414" t="s">
        <v>225</v>
      </c>
      <c r="G396" s="418">
        <v>1</v>
      </c>
      <c r="H396" s="415">
        <v>200000</v>
      </c>
      <c r="I396" s="292">
        <f t="shared" si="6"/>
        <v>37500</v>
      </c>
      <c r="J396" s="238"/>
    </row>
    <row r="397" spans="2:10" s="149" customFormat="1" ht="12.75" customHeight="1">
      <c r="B397" s="291">
        <v>391</v>
      </c>
      <c r="C397" s="414" t="s">
        <v>773</v>
      </c>
      <c r="D397" s="414" t="s">
        <v>774</v>
      </c>
      <c r="E397" s="413" t="s">
        <v>167</v>
      </c>
      <c r="F397" s="414" t="s">
        <v>304</v>
      </c>
      <c r="G397" s="418">
        <v>1</v>
      </c>
      <c r="H397" s="415">
        <v>300000</v>
      </c>
      <c r="I397" s="292">
        <f t="shared" si="6"/>
        <v>56250</v>
      </c>
      <c r="J397" s="238"/>
    </row>
    <row r="398" spans="2:10" s="149" customFormat="1" ht="12.75" customHeight="1">
      <c r="B398" s="291">
        <v>392</v>
      </c>
      <c r="C398" s="414" t="s">
        <v>535</v>
      </c>
      <c r="D398" s="414" t="s">
        <v>775</v>
      </c>
      <c r="E398" s="413" t="s">
        <v>214</v>
      </c>
      <c r="F398" s="414" t="s">
        <v>315</v>
      </c>
      <c r="G398" s="418">
        <v>1</v>
      </c>
      <c r="H398" s="415">
        <v>400000</v>
      </c>
      <c r="I398" s="292">
        <f t="shared" si="6"/>
        <v>75000</v>
      </c>
      <c r="J398" s="238"/>
    </row>
    <row r="399" spans="2:10" s="149" customFormat="1" ht="12.75" customHeight="1">
      <c r="B399" s="291">
        <v>393</v>
      </c>
      <c r="C399" s="414" t="s">
        <v>433</v>
      </c>
      <c r="D399" s="414" t="s">
        <v>344</v>
      </c>
      <c r="E399" s="413" t="s">
        <v>239</v>
      </c>
      <c r="F399" s="414" t="s">
        <v>776</v>
      </c>
      <c r="G399" s="418">
        <v>1</v>
      </c>
      <c r="H399" s="415">
        <v>800000</v>
      </c>
      <c r="I399" s="292">
        <f t="shared" si="6"/>
        <v>150000</v>
      </c>
      <c r="J399" s="238"/>
    </row>
    <row r="400" spans="2:10" s="149" customFormat="1" ht="12.75" customHeight="1">
      <c r="B400" s="291">
        <v>394</v>
      </c>
      <c r="C400" s="414" t="s">
        <v>551</v>
      </c>
      <c r="D400" s="414" t="s">
        <v>777</v>
      </c>
      <c r="E400" s="413" t="s">
        <v>178</v>
      </c>
      <c r="F400" s="414" t="s">
        <v>778</v>
      </c>
      <c r="G400" s="418">
        <v>1</v>
      </c>
      <c r="H400" s="415">
        <v>659600</v>
      </c>
      <c r="I400" s="292">
        <f t="shared" si="6"/>
        <v>123675</v>
      </c>
      <c r="J400" s="238"/>
    </row>
    <row r="401" spans="2:10" s="149" customFormat="1" ht="12.75" customHeight="1">
      <c r="B401" s="291">
        <v>395</v>
      </c>
      <c r="C401" s="414" t="s">
        <v>385</v>
      </c>
      <c r="D401" s="414" t="s">
        <v>779</v>
      </c>
      <c r="E401" s="413" t="s">
        <v>234</v>
      </c>
      <c r="F401" s="414" t="s">
        <v>225</v>
      </c>
      <c r="G401" s="418">
        <v>1</v>
      </c>
      <c r="H401" s="415">
        <v>200000</v>
      </c>
      <c r="I401" s="292">
        <f t="shared" si="6"/>
        <v>37500</v>
      </c>
      <c r="J401" s="238"/>
    </row>
    <row r="402" spans="2:10" s="149" customFormat="1" ht="12.75" customHeight="1">
      <c r="B402" s="291">
        <v>396</v>
      </c>
      <c r="C402" s="414" t="s">
        <v>606</v>
      </c>
      <c r="D402" s="414" t="s">
        <v>780</v>
      </c>
      <c r="E402" s="413" t="s">
        <v>215</v>
      </c>
      <c r="F402" s="414" t="s">
        <v>304</v>
      </c>
      <c r="G402" s="418">
        <v>1</v>
      </c>
      <c r="H402" s="415">
        <v>300000</v>
      </c>
      <c r="I402" s="292">
        <f t="shared" si="6"/>
        <v>56250</v>
      </c>
      <c r="J402" s="238"/>
    </row>
    <row r="403" spans="2:10" s="149" customFormat="1" ht="12.75" customHeight="1">
      <c r="B403" s="291">
        <v>397</v>
      </c>
      <c r="C403" s="414" t="s">
        <v>435</v>
      </c>
      <c r="D403" s="414" t="s">
        <v>314</v>
      </c>
      <c r="E403" s="413" t="s">
        <v>781</v>
      </c>
      <c r="F403" s="414" t="s">
        <v>175</v>
      </c>
      <c r="G403" s="418">
        <v>1</v>
      </c>
      <c r="H403" s="415">
        <v>372700</v>
      </c>
      <c r="I403" s="292">
        <f t="shared" si="6"/>
        <v>69881.25</v>
      </c>
      <c r="J403" s="238"/>
    </row>
    <row r="404" spans="2:10" s="149" customFormat="1" ht="12.75" customHeight="1">
      <c r="B404" s="291">
        <v>398</v>
      </c>
      <c r="C404" s="414" t="s">
        <v>606</v>
      </c>
      <c r="D404" s="414" t="s">
        <v>782</v>
      </c>
      <c r="E404" s="413" t="s">
        <v>202</v>
      </c>
      <c r="F404" s="414" t="s">
        <v>225</v>
      </c>
      <c r="G404" s="418">
        <v>1</v>
      </c>
      <c r="H404" s="415">
        <v>200000</v>
      </c>
      <c r="I404" s="292">
        <f t="shared" si="6"/>
        <v>37500</v>
      </c>
      <c r="J404" s="238"/>
    </row>
    <row r="405" spans="2:10" s="299" customFormat="1" ht="12.75" customHeight="1">
      <c r="B405" s="419">
        <v>399</v>
      </c>
      <c r="C405" s="400" t="s">
        <v>585</v>
      </c>
      <c r="D405" s="400" t="s">
        <v>749</v>
      </c>
      <c r="E405" s="399" t="s">
        <v>208</v>
      </c>
      <c r="F405" s="400" t="s">
        <v>243</v>
      </c>
      <c r="G405" s="406">
        <v>3</v>
      </c>
      <c r="H405" s="401">
        <v>48000</v>
      </c>
      <c r="I405" s="325">
        <f>H405*21.25%</f>
        <v>10200</v>
      </c>
      <c r="J405" s="326"/>
    </row>
    <row r="406" spans="2:10" s="299" customFormat="1" ht="12.75" customHeight="1">
      <c r="B406" s="419">
        <v>400</v>
      </c>
      <c r="C406" s="400" t="s">
        <v>585</v>
      </c>
      <c r="D406" s="400" t="s">
        <v>749</v>
      </c>
      <c r="E406" s="399" t="s">
        <v>208</v>
      </c>
      <c r="F406" s="400" t="s">
        <v>243</v>
      </c>
      <c r="G406" s="406">
        <v>2</v>
      </c>
      <c r="H406" s="401">
        <v>32000</v>
      </c>
      <c r="I406" s="325">
        <f t="shared" ref="I406:I469" si="7">H406*21.25%</f>
        <v>6800</v>
      </c>
      <c r="J406" s="326"/>
    </row>
    <row r="407" spans="2:10" s="299" customFormat="1" ht="12.75" customHeight="1">
      <c r="B407" s="419">
        <v>401</v>
      </c>
      <c r="C407" s="400" t="s">
        <v>606</v>
      </c>
      <c r="D407" s="400" t="s">
        <v>653</v>
      </c>
      <c r="E407" s="399" t="s">
        <v>215</v>
      </c>
      <c r="F407" s="400" t="s">
        <v>243</v>
      </c>
      <c r="G407" s="406">
        <v>3</v>
      </c>
      <c r="H407" s="401">
        <v>48000</v>
      </c>
      <c r="I407" s="325">
        <f t="shared" si="7"/>
        <v>10200</v>
      </c>
      <c r="J407" s="326"/>
    </row>
    <row r="408" spans="2:10" s="299" customFormat="1" ht="12.75" customHeight="1">
      <c r="B408" s="419">
        <v>402</v>
      </c>
      <c r="C408" s="400" t="s">
        <v>512</v>
      </c>
      <c r="D408" s="400" t="s">
        <v>731</v>
      </c>
      <c r="E408" s="399" t="s">
        <v>235</v>
      </c>
      <c r="F408" s="400" t="s">
        <v>243</v>
      </c>
      <c r="G408" s="406">
        <v>1</v>
      </c>
      <c r="H408" s="401">
        <v>16000</v>
      </c>
      <c r="I408" s="325">
        <f t="shared" si="7"/>
        <v>3400</v>
      </c>
      <c r="J408" s="326"/>
    </row>
    <row r="409" spans="2:10" s="299" customFormat="1" ht="12.75" customHeight="1">
      <c r="B409" s="419">
        <v>403</v>
      </c>
      <c r="C409" s="400" t="s">
        <v>585</v>
      </c>
      <c r="D409" s="400" t="s">
        <v>749</v>
      </c>
      <c r="E409" s="399" t="s">
        <v>208</v>
      </c>
      <c r="F409" s="400" t="s">
        <v>243</v>
      </c>
      <c r="G409" s="406">
        <v>3</v>
      </c>
      <c r="H409" s="401">
        <v>48000</v>
      </c>
      <c r="I409" s="325">
        <f t="shared" si="7"/>
        <v>10200</v>
      </c>
      <c r="J409" s="326"/>
    </row>
    <row r="410" spans="2:10" s="299" customFormat="1" ht="12.75" customHeight="1">
      <c r="B410" s="419">
        <v>404</v>
      </c>
      <c r="C410" s="400" t="s">
        <v>606</v>
      </c>
      <c r="D410" s="400" t="s">
        <v>653</v>
      </c>
      <c r="E410" s="399" t="s">
        <v>215</v>
      </c>
      <c r="F410" s="400" t="s">
        <v>243</v>
      </c>
      <c r="G410" s="406">
        <v>1</v>
      </c>
      <c r="H410" s="401">
        <v>16000</v>
      </c>
      <c r="I410" s="325">
        <f t="shared" si="7"/>
        <v>3400</v>
      </c>
      <c r="J410" s="326"/>
    </row>
    <row r="411" spans="2:10" s="299" customFormat="1" ht="12.75" customHeight="1">
      <c r="B411" s="419">
        <v>405</v>
      </c>
      <c r="C411" s="400" t="s">
        <v>512</v>
      </c>
      <c r="D411" s="400" t="s">
        <v>731</v>
      </c>
      <c r="E411" s="399" t="s">
        <v>235</v>
      </c>
      <c r="F411" s="400" t="s">
        <v>243</v>
      </c>
      <c r="G411" s="406">
        <v>2</v>
      </c>
      <c r="H411" s="401">
        <v>32000</v>
      </c>
      <c r="I411" s="325">
        <f t="shared" si="7"/>
        <v>6800</v>
      </c>
      <c r="J411" s="326"/>
    </row>
    <row r="412" spans="2:10" s="299" customFormat="1" ht="12.75" customHeight="1">
      <c r="B412" s="419">
        <v>406</v>
      </c>
      <c r="C412" s="400" t="s">
        <v>542</v>
      </c>
      <c r="D412" s="400" t="s">
        <v>691</v>
      </c>
      <c r="E412" s="399" t="s">
        <v>183</v>
      </c>
      <c r="F412" s="400" t="s">
        <v>243</v>
      </c>
      <c r="G412" s="406">
        <v>1</v>
      </c>
      <c r="H412" s="401">
        <v>16000</v>
      </c>
      <c r="I412" s="325">
        <f t="shared" si="7"/>
        <v>3400</v>
      </c>
      <c r="J412" s="326"/>
    </row>
    <row r="413" spans="2:10" s="299" customFormat="1" ht="12.75" customHeight="1">
      <c r="B413" s="419">
        <v>407</v>
      </c>
      <c r="C413" s="400" t="s">
        <v>567</v>
      </c>
      <c r="D413" s="400" t="s">
        <v>705</v>
      </c>
      <c r="E413" s="399" t="s">
        <v>260</v>
      </c>
      <c r="F413" s="400" t="s">
        <v>243</v>
      </c>
      <c r="G413" s="406">
        <v>2</v>
      </c>
      <c r="H413" s="401">
        <v>32000</v>
      </c>
      <c r="I413" s="325">
        <f t="shared" si="7"/>
        <v>6800</v>
      </c>
      <c r="J413" s="326"/>
    </row>
    <row r="414" spans="2:10" s="299" customFormat="1" ht="12.75" customHeight="1">
      <c r="B414" s="419">
        <v>408</v>
      </c>
      <c r="C414" s="400" t="s">
        <v>508</v>
      </c>
      <c r="D414" s="400" t="s">
        <v>742</v>
      </c>
      <c r="E414" s="399" t="s">
        <v>222</v>
      </c>
      <c r="F414" s="400" t="s">
        <v>243</v>
      </c>
      <c r="G414" s="406">
        <v>2</v>
      </c>
      <c r="H414" s="401">
        <v>32000</v>
      </c>
      <c r="I414" s="325">
        <f t="shared" si="7"/>
        <v>6800</v>
      </c>
      <c r="J414" s="326"/>
    </row>
    <row r="415" spans="2:10" s="299" customFormat="1" ht="12.75" customHeight="1">
      <c r="B415" s="419">
        <v>409</v>
      </c>
      <c r="C415" s="400" t="s">
        <v>512</v>
      </c>
      <c r="D415" s="400" t="s">
        <v>731</v>
      </c>
      <c r="E415" s="399" t="s">
        <v>235</v>
      </c>
      <c r="F415" s="400" t="s">
        <v>243</v>
      </c>
      <c r="G415" s="406">
        <v>3</v>
      </c>
      <c r="H415" s="401">
        <v>48000</v>
      </c>
      <c r="I415" s="325">
        <f t="shared" si="7"/>
        <v>10200</v>
      </c>
      <c r="J415" s="326"/>
    </row>
    <row r="416" spans="2:10" s="299" customFormat="1" ht="12.75" customHeight="1">
      <c r="B416" s="419">
        <v>410</v>
      </c>
      <c r="C416" s="400" t="s">
        <v>606</v>
      </c>
      <c r="D416" s="400" t="s">
        <v>653</v>
      </c>
      <c r="E416" s="399" t="s">
        <v>215</v>
      </c>
      <c r="F416" s="400" t="s">
        <v>243</v>
      </c>
      <c r="G416" s="406">
        <v>2</v>
      </c>
      <c r="H416" s="401">
        <v>32000</v>
      </c>
      <c r="I416" s="325">
        <f t="shared" si="7"/>
        <v>6800</v>
      </c>
      <c r="J416" s="326"/>
    </row>
    <row r="417" spans="2:10" s="299" customFormat="1" ht="12.75" customHeight="1">
      <c r="B417" s="419">
        <v>411</v>
      </c>
      <c r="C417" s="400" t="s">
        <v>585</v>
      </c>
      <c r="D417" s="400" t="s">
        <v>749</v>
      </c>
      <c r="E417" s="399" t="s">
        <v>208</v>
      </c>
      <c r="F417" s="400" t="s">
        <v>243</v>
      </c>
      <c r="G417" s="406">
        <v>1</v>
      </c>
      <c r="H417" s="401">
        <v>16000</v>
      </c>
      <c r="I417" s="325">
        <f t="shared" si="7"/>
        <v>3400</v>
      </c>
      <c r="J417" s="326"/>
    </row>
    <row r="418" spans="2:10" s="299" customFormat="1" ht="12.75" customHeight="1">
      <c r="B418" s="419">
        <v>412</v>
      </c>
      <c r="C418" s="400" t="s">
        <v>585</v>
      </c>
      <c r="D418" s="400" t="s">
        <v>749</v>
      </c>
      <c r="E418" s="399" t="s">
        <v>208</v>
      </c>
      <c r="F418" s="400" t="s">
        <v>243</v>
      </c>
      <c r="G418" s="406">
        <v>1</v>
      </c>
      <c r="H418" s="401">
        <v>16000</v>
      </c>
      <c r="I418" s="325">
        <f t="shared" si="7"/>
        <v>3400</v>
      </c>
      <c r="J418" s="326"/>
    </row>
    <row r="419" spans="2:10" s="299" customFormat="1" ht="12.75" customHeight="1">
      <c r="B419" s="419">
        <v>413</v>
      </c>
      <c r="C419" s="400" t="s">
        <v>508</v>
      </c>
      <c r="D419" s="400" t="s">
        <v>742</v>
      </c>
      <c r="E419" s="399" t="s">
        <v>222</v>
      </c>
      <c r="F419" s="400" t="s">
        <v>243</v>
      </c>
      <c r="G419" s="406">
        <v>2</v>
      </c>
      <c r="H419" s="401">
        <v>32000</v>
      </c>
      <c r="I419" s="325">
        <f t="shared" si="7"/>
        <v>6800</v>
      </c>
      <c r="J419" s="326"/>
    </row>
    <row r="420" spans="2:10" s="299" customFormat="1" ht="12.75" customHeight="1">
      <c r="B420" s="419">
        <v>414</v>
      </c>
      <c r="C420" s="400" t="s">
        <v>508</v>
      </c>
      <c r="D420" s="400" t="s">
        <v>742</v>
      </c>
      <c r="E420" s="399" t="s">
        <v>222</v>
      </c>
      <c r="F420" s="400" t="s">
        <v>243</v>
      </c>
      <c r="G420" s="406">
        <v>1</v>
      </c>
      <c r="H420" s="401">
        <v>16000</v>
      </c>
      <c r="I420" s="325">
        <f t="shared" si="7"/>
        <v>3400</v>
      </c>
      <c r="J420" s="326"/>
    </row>
    <row r="421" spans="2:10" s="299" customFormat="1" ht="12.75" customHeight="1">
      <c r="B421" s="419">
        <v>415</v>
      </c>
      <c r="C421" s="400" t="s">
        <v>508</v>
      </c>
      <c r="D421" s="400" t="s">
        <v>742</v>
      </c>
      <c r="E421" s="399" t="s">
        <v>222</v>
      </c>
      <c r="F421" s="400" t="s">
        <v>243</v>
      </c>
      <c r="G421" s="406">
        <v>2</v>
      </c>
      <c r="H421" s="401">
        <v>32000</v>
      </c>
      <c r="I421" s="325">
        <f t="shared" si="7"/>
        <v>6800</v>
      </c>
      <c r="J421" s="326"/>
    </row>
    <row r="422" spans="2:10" s="299" customFormat="1" ht="12.75" customHeight="1">
      <c r="B422" s="419">
        <v>416</v>
      </c>
      <c r="C422" s="400" t="s">
        <v>551</v>
      </c>
      <c r="D422" s="400" t="s">
        <v>619</v>
      </c>
      <c r="E422" s="399" t="s">
        <v>240</v>
      </c>
      <c r="F422" s="400" t="s">
        <v>243</v>
      </c>
      <c r="G422" s="406">
        <v>1</v>
      </c>
      <c r="H422" s="401">
        <v>16000</v>
      </c>
      <c r="I422" s="325">
        <f t="shared" si="7"/>
        <v>3400</v>
      </c>
      <c r="J422" s="326"/>
    </row>
    <row r="423" spans="2:10" s="299" customFormat="1" ht="12.75" customHeight="1">
      <c r="B423" s="419">
        <v>417</v>
      </c>
      <c r="C423" s="400" t="s">
        <v>606</v>
      </c>
      <c r="D423" s="400" t="s">
        <v>653</v>
      </c>
      <c r="E423" s="399" t="s">
        <v>215</v>
      </c>
      <c r="F423" s="400" t="s">
        <v>243</v>
      </c>
      <c r="G423" s="406">
        <v>3</v>
      </c>
      <c r="H423" s="401">
        <v>48000</v>
      </c>
      <c r="I423" s="325">
        <f t="shared" si="7"/>
        <v>10200</v>
      </c>
      <c r="J423" s="326"/>
    </row>
    <row r="424" spans="2:10" s="299" customFormat="1" ht="12.75" customHeight="1">
      <c r="B424" s="419">
        <v>418</v>
      </c>
      <c r="C424" s="400" t="s">
        <v>512</v>
      </c>
      <c r="D424" s="400" t="s">
        <v>731</v>
      </c>
      <c r="E424" s="399" t="s">
        <v>235</v>
      </c>
      <c r="F424" s="400" t="s">
        <v>243</v>
      </c>
      <c r="G424" s="406">
        <v>1</v>
      </c>
      <c r="H424" s="401">
        <v>16000</v>
      </c>
      <c r="I424" s="325">
        <f t="shared" si="7"/>
        <v>3400</v>
      </c>
      <c r="J424" s="326"/>
    </row>
    <row r="425" spans="2:10" s="299" customFormat="1" ht="12.75" customHeight="1">
      <c r="B425" s="419">
        <v>419</v>
      </c>
      <c r="C425" s="400" t="s">
        <v>606</v>
      </c>
      <c r="D425" s="400" t="s">
        <v>653</v>
      </c>
      <c r="E425" s="399" t="s">
        <v>215</v>
      </c>
      <c r="F425" s="400" t="s">
        <v>243</v>
      </c>
      <c r="G425" s="406">
        <v>2</v>
      </c>
      <c r="H425" s="401">
        <v>32000</v>
      </c>
      <c r="I425" s="325">
        <f t="shared" si="7"/>
        <v>6800</v>
      </c>
      <c r="J425" s="326"/>
    </row>
    <row r="426" spans="2:10" s="299" customFormat="1" ht="12.75" customHeight="1">
      <c r="B426" s="419">
        <v>420</v>
      </c>
      <c r="C426" s="400" t="s">
        <v>542</v>
      </c>
      <c r="D426" s="400" t="s">
        <v>691</v>
      </c>
      <c r="E426" s="399" t="s">
        <v>183</v>
      </c>
      <c r="F426" s="400" t="s">
        <v>243</v>
      </c>
      <c r="G426" s="406">
        <v>2</v>
      </c>
      <c r="H426" s="401">
        <v>32000</v>
      </c>
      <c r="I426" s="325">
        <f t="shared" si="7"/>
        <v>6800</v>
      </c>
      <c r="J426" s="326"/>
    </row>
    <row r="427" spans="2:10" s="299" customFormat="1" ht="12.75" customHeight="1">
      <c r="B427" s="419">
        <v>421</v>
      </c>
      <c r="C427" s="400" t="s">
        <v>567</v>
      </c>
      <c r="D427" s="400" t="s">
        <v>655</v>
      </c>
      <c r="E427" s="399" t="s">
        <v>238</v>
      </c>
      <c r="F427" s="400" t="s">
        <v>243</v>
      </c>
      <c r="G427" s="406">
        <v>1</v>
      </c>
      <c r="H427" s="401">
        <v>16000</v>
      </c>
      <c r="I427" s="325">
        <f t="shared" si="7"/>
        <v>3400</v>
      </c>
      <c r="J427" s="326"/>
    </row>
    <row r="428" spans="2:10" s="299" customFormat="1" ht="12.75" customHeight="1">
      <c r="B428" s="419">
        <v>422</v>
      </c>
      <c r="C428" s="400" t="s">
        <v>567</v>
      </c>
      <c r="D428" s="400" t="s">
        <v>705</v>
      </c>
      <c r="E428" s="399" t="s">
        <v>260</v>
      </c>
      <c r="F428" s="400" t="s">
        <v>243</v>
      </c>
      <c r="G428" s="406">
        <v>2</v>
      </c>
      <c r="H428" s="401">
        <v>32000</v>
      </c>
      <c r="I428" s="325">
        <f t="shared" si="7"/>
        <v>6800</v>
      </c>
      <c r="J428" s="326"/>
    </row>
    <row r="429" spans="2:10" s="299" customFormat="1" ht="12.75" customHeight="1">
      <c r="B429" s="419">
        <v>423</v>
      </c>
      <c r="C429" s="400" t="s">
        <v>508</v>
      </c>
      <c r="D429" s="400" t="s">
        <v>742</v>
      </c>
      <c r="E429" s="399" t="s">
        <v>222</v>
      </c>
      <c r="F429" s="400" t="s">
        <v>243</v>
      </c>
      <c r="G429" s="406">
        <v>2</v>
      </c>
      <c r="H429" s="401">
        <v>32000</v>
      </c>
      <c r="I429" s="325">
        <f t="shared" si="7"/>
        <v>6800</v>
      </c>
      <c r="J429" s="326"/>
    </row>
    <row r="430" spans="2:10" s="299" customFormat="1" ht="12.75" customHeight="1">
      <c r="B430" s="419">
        <v>424</v>
      </c>
      <c r="C430" s="400" t="s">
        <v>567</v>
      </c>
      <c r="D430" s="400" t="s">
        <v>655</v>
      </c>
      <c r="E430" s="399" t="s">
        <v>238</v>
      </c>
      <c r="F430" s="400" t="s">
        <v>243</v>
      </c>
      <c r="G430" s="406">
        <v>1</v>
      </c>
      <c r="H430" s="401">
        <v>16000</v>
      </c>
      <c r="I430" s="325">
        <f t="shared" si="7"/>
        <v>3400</v>
      </c>
      <c r="J430" s="326"/>
    </row>
    <row r="431" spans="2:10" s="299" customFormat="1" ht="12.75" customHeight="1">
      <c r="B431" s="419">
        <v>425</v>
      </c>
      <c r="C431" s="400" t="s">
        <v>551</v>
      </c>
      <c r="D431" s="400" t="s">
        <v>690</v>
      </c>
      <c r="E431" s="399" t="s">
        <v>187</v>
      </c>
      <c r="F431" s="400" t="s">
        <v>243</v>
      </c>
      <c r="G431" s="406">
        <v>3</v>
      </c>
      <c r="H431" s="401">
        <v>105000</v>
      </c>
      <c r="I431" s="325">
        <f t="shared" si="7"/>
        <v>22312.5</v>
      </c>
      <c r="J431" s="326"/>
    </row>
    <row r="432" spans="2:10" s="299" customFormat="1" ht="12.75" customHeight="1">
      <c r="B432" s="419">
        <v>426</v>
      </c>
      <c r="C432" s="400" t="s">
        <v>512</v>
      </c>
      <c r="D432" s="400" t="s">
        <v>307</v>
      </c>
      <c r="E432" s="399" t="s">
        <v>202</v>
      </c>
      <c r="F432" s="400" t="s">
        <v>243</v>
      </c>
      <c r="G432" s="406">
        <v>2</v>
      </c>
      <c r="H432" s="401">
        <v>70000</v>
      </c>
      <c r="I432" s="325">
        <f t="shared" si="7"/>
        <v>14875</v>
      </c>
      <c r="J432" s="326"/>
    </row>
    <row r="433" spans="2:10" s="299" customFormat="1" ht="12.75" customHeight="1">
      <c r="B433" s="419">
        <v>427</v>
      </c>
      <c r="C433" s="400" t="s">
        <v>571</v>
      </c>
      <c r="D433" s="400" t="s">
        <v>298</v>
      </c>
      <c r="E433" s="399" t="s">
        <v>193</v>
      </c>
      <c r="F433" s="400" t="s">
        <v>243</v>
      </c>
      <c r="G433" s="406">
        <v>2</v>
      </c>
      <c r="H433" s="401">
        <v>32000</v>
      </c>
      <c r="I433" s="325">
        <f t="shared" si="7"/>
        <v>6800</v>
      </c>
      <c r="J433" s="326"/>
    </row>
    <row r="434" spans="2:10" s="299" customFormat="1" ht="12.75" customHeight="1">
      <c r="B434" s="419">
        <v>428</v>
      </c>
      <c r="C434" s="400" t="s">
        <v>512</v>
      </c>
      <c r="D434" s="400" t="s">
        <v>670</v>
      </c>
      <c r="E434" s="399" t="s">
        <v>227</v>
      </c>
      <c r="F434" s="400" t="s">
        <v>243</v>
      </c>
      <c r="G434" s="406">
        <v>2</v>
      </c>
      <c r="H434" s="401">
        <v>32000</v>
      </c>
      <c r="I434" s="325">
        <f t="shared" si="7"/>
        <v>6800</v>
      </c>
      <c r="J434" s="326"/>
    </row>
    <row r="435" spans="2:10" s="299" customFormat="1" ht="12.75" customHeight="1">
      <c r="B435" s="419">
        <v>429</v>
      </c>
      <c r="C435" s="400" t="s">
        <v>553</v>
      </c>
      <c r="D435" s="400" t="s">
        <v>320</v>
      </c>
      <c r="E435" s="399" t="s">
        <v>188</v>
      </c>
      <c r="F435" s="400" t="s">
        <v>243</v>
      </c>
      <c r="G435" s="406">
        <v>5</v>
      </c>
      <c r="H435" s="401">
        <v>80000</v>
      </c>
      <c r="I435" s="325">
        <f t="shared" si="7"/>
        <v>17000</v>
      </c>
      <c r="J435" s="326"/>
    </row>
    <row r="436" spans="2:10" s="299" customFormat="1" ht="12.75" customHeight="1">
      <c r="B436" s="419">
        <v>430</v>
      </c>
      <c r="C436" s="400" t="s">
        <v>512</v>
      </c>
      <c r="D436" s="400" t="s">
        <v>488</v>
      </c>
      <c r="E436" s="399" t="s">
        <v>227</v>
      </c>
      <c r="F436" s="400" t="s">
        <v>243</v>
      </c>
      <c r="G436" s="406">
        <v>3</v>
      </c>
      <c r="H436" s="401">
        <v>48000</v>
      </c>
      <c r="I436" s="325">
        <f t="shared" si="7"/>
        <v>10200</v>
      </c>
      <c r="J436" s="326"/>
    </row>
    <row r="437" spans="2:10" s="299" customFormat="1" ht="12.75" customHeight="1">
      <c r="B437" s="419">
        <v>431</v>
      </c>
      <c r="C437" s="400" t="s">
        <v>512</v>
      </c>
      <c r="D437" s="400" t="s">
        <v>670</v>
      </c>
      <c r="E437" s="399" t="s">
        <v>227</v>
      </c>
      <c r="F437" s="400" t="s">
        <v>243</v>
      </c>
      <c r="G437" s="406">
        <v>3</v>
      </c>
      <c r="H437" s="401">
        <v>48000</v>
      </c>
      <c r="I437" s="325">
        <f t="shared" si="7"/>
        <v>10200</v>
      </c>
      <c r="J437" s="326"/>
    </row>
    <row r="438" spans="2:10" s="299" customFormat="1" ht="12.75" customHeight="1">
      <c r="B438" s="419">
        <v>432</v>
      </c>
      <c r="C438" s="400" t="s">
        <v>567</v>
      </c>
      <c r="D438" s="400" t="s">
        <v>657</v>
      </c>
      <c r="E438" s="399" t="s">
        <v>183</v>
      </c>
      <c r="F438" s="400" t="s">
        <v>243</v>
      </c>
      <c r="G438" s="406">
        <v>3</v>
      </c>
      <c r="H438" s="401">
        <v>105000</v>
      </c>
      <c r="I438" s="325">
        <f t="shared" si="7"/>
        <v>22312.5</v>
      </c>
      <c r="J438" s="326"/>
    </row>
    <row r="439" spans="2:10" s="299" customFormat="1" ht="12.75" customHeight="1">
      <c r="B439" s="419">
        <v>433</v>
      </c>
      <c r="C439" s="400" t="s">
        <v>430</v>
      </c>
      <c r="D439" s="400" t="s">
        <v>684</v>
      </c>
      <c r="E439" s="399" t="s">
        <v>187</v>
      </c>
      <c r="F439" s="400" t="s">
        <v>243</v>
      </c>
      <c r="G439" s="406">
        <v>3</v>
      </c>
      <c r="H439" s="401">
        <v>105000</v>
      </c>
      <c r="I439" s="325">
        <f t="shared" si="7"/>
        <v>22312.5</v>
      </c>
      <c r="J439" s="326"/>
    </row>
    <row r="440" spans="2:10" s="299" customFormat="1" ht="12.75" customHeight="1">
      <c r="B440" s="419">
        <v>434</v>
      </c>
      <c r="C440" s="400" t="s">
        <v>512</v>
      </c>
      <c r="D440" s="400" t="s">
        <v>307</v>
      </c>
      <c r="E440" s="399" t="s">
        <v>202</v>
      </c>
      <c r="F440" s="400" t="s">
        <v>243</v>
      </c>
      <c r="G440" s="406">
        <v>2</v>
      </c>
      <c r="H440" s="401">
        <v>70000</v>
      </c>
      <c r="I440" s="325">
        <f t="shared" si="7"/>
        <v>14875</v>
      </c>
      <c r="J440" s="326"/>
    </row>
    <row r="441" spans="2:10" s="299" customFormat="1" ht="12.75" customHeight="1">
      <c r="B441" s="419">
        <v>435</v>
      </c>
      <c r="C441" s="400" t="s">
        <v>508</v>
      </c>
      <c r="D441" s="400" t="s">
        <v>708</v>
      </c>
      <c r="E441" s="399" t="s">
        <v>538</v>
      </c>
      <c r="F441" s="400" t="s">
        <v>243</v>
      </c>
      <c r="G441" s="406">
        <v>1</v>
      </c>
      <c r="H441" s="401">
        <v>35000</v>
      </c>
      <c r="I441" s="325">
        <f t="shared" si="7"/>
        <v>7437.5</v>
      </c>
      <c r="J441" s="326"/>
    </row>
    <row r="442" spans="2:10" s="299" customFormat="1" ht="12.75" customHeight="1">
      <c r="B442" s="419">
        <v>436</v>
      </c>
      <c r="C442" s="400" t="s">
        <v>571</v>
      </c>
      <c r="D442" s="400" t="s">
        <v>298</v>
      </c>
      <c r="E442" s="399" t="s">
        <v>193</v>
      </c>
      <c r="F442" s="400" t="s">
        <v>243</v>
      </c>
      <c r="G442" s="406">
        <v>4</v>
      </c>
      <c r="H442" s="401">
        <v>64000</v>
      </c>
      <c r="I442" s="325">
        <f t="shared" si="7"/>
        <v>13600</v>
      </c>
      <c r="J442" s="326"/>
    </row>
    <row r="443" spans="2:10" s="299" customFormat="1" ht="12.75" customHeight="1">
      <c r="B443" s="419">
        <v>437</v>
      </c>
      <c r="C443" s="400" t="s">
        <v>544</v>
      </c>
      <c r="D443" s="400" t="s">
        <v>641</v>
      </c>
      <c r="E443" s="399" t="s">
        <v>199</v>
      </c>
      <c r="F443" s="400" t="s">
        <v>243</v>
      </c>
      <c r="G443" s="406">
        <v>1</v>
      </c>
      <c r="H443" s="401">
        <v>35000</v>
      </c>
      <c r="I443" s="325">
        <f t="shared" si="7"/>
        <v>7437.5</v>
      </c>
      <c r="J443" s="326"/>
    </row>
    <row r="444" spans="2:10" s="299" customFormat="1" ht="12.75" customHeight="1">
      <c r="B444" s="419">
        <v>438</v>
      </c>
      <c r="C444" s="400" t="s">
        <v>512</v>
      </c>
      <c r="D444" s="400" t="s">
        <v>638</v>
      </c>
      <c r="E444" s="399" t="s">
        <v>183</v>
      </c>
      <c r="F444" s="400" t="s">
        <v>243</v>
      </c>
      <c r="G444" s="406">
        <v>3</v>
      </c>
      <c r="H444" s="401">
        <v>48000</v>
      </c>
      <c r="I444" s="325">
        <f t="shared" si="7"/>
        <v>10200</v>
      </c>
      <c r="J444" s="326"/>
    </row>
    <row r="445" spans="2:10" s="299" customFormat="1" ht="12.75" customHeight="1">
      <c r="B445" s="419">
        <v>439</v>
      </c>
      <c r="C445" s="400" t="s">
        <v>430</v>
      </c>
      <c r="D445" s="400" t="s">
        <v>684</v>
      </c>
      <c r="E445" s="399" t="s">
        <v>187</v>
      </c>
      <c r="F445" s="400" t="s">
        <v>243</v>
      </c>
      <c r="G445" s="406">
        <v>3</v>
      </c>
      <c r="H445" s="401">
        <v>105000</v>
      </c>
      <c r="I445" s="325">
        <f t="shared" si="7"/>
        <v>22312.5</v>
      </c>
      <c r="J445" s="326"/>
    </row>
    <row r="446" spans="2:10" s="299" customFormat="1" ht="12.75" customHeight="1">
      <c r="B446" s="419">
        <v>440</v>
      </c>
      <c r="C446" s="400" t="s">
        <v>512</v>
      </c>
      <c r="D446" s="400" t="s">
        <v>307</v>
      </c>
      <c r="E446" s="399" t="s">
        <v>202</v>
      </c>
      <c r="F446" s="400" t="s">
        <v>243</v>
      </c>
      <c r="G446" s="406">
        <v>2</v>
      </c>
      <c r="H446" s="401">
        <v>70000</v>
      </c>
      <c r="I446" s="325">
        <f t="shared" si="7"/>
        <v>14875</v>
      </c>
      <c r="J446" s="326"/>
    </row>
    <row r="447" spans="2:10" s="299" customFormat="1" ht="12.75" customHeight="1">
      <c r="B447" s="419">
        <v>441</v>
      </c>
      <c r="C447" s="400" t="s">
        <v>542</v>
      </c>
      <c r="D447" s="400" t="s">
        <v>347</v>
      </c>
      <c r="E447" s="399" t="s">
        <v>236</v>
      </c>
      <c r="F447" s="400" t="s">
        <v>243</v>
      </c>
      <c r="G447" s="406">
        <v>2</v>
      </c>
      <c r="H447" s="401">
        <v>70000</v>
      </c>
      <c r="I447" s="325">
        <f t="shared" si="7"/>
        <v>14875</v>
      </c>
      <c r="J447" s="326"/>
    </row>
    <row r="448" spans="2:10" s="299" customFormat="1" ht="12.75" customHeight="1">
      <c r="B448" s="419">
        <v>442</v>
      </c>
      <c r="C448" s="400" t="s">
        <v>560</v>
      </c>
      <c r="D448" s="400" t="s">
        <v>718</v>
      </c>
      <c r="E448" s="399" t="s">
        <v>199</v>
      </c>
      <c r="F448" s="400" t="s">
        <v>243</v>
      </c>
      <c r="G448" s="406">
        <v>1</v>
      </c>
      <c r="H448" s="401">
        <v>35000</v>
      </c>
      <c r="I448" s="325">
        <f t="shared" si="7"/>
        <v>7437.5</v>
      </c>
      <c r="J448" s="326"/>
    </row>
    <row r="449" spans="2:10" s="299" customFormat="1" ht="12.75" customHeight="1">
      <c r="B449" s="419">
        <v>443</v>
      </c>
      <c r="C449" s="400" t="s">
        <v>390</v>
      </c>
      <c r="D449" s="400" t="s">
        <v>746</v>
      </c>
      <c r="E449" s="399" t="s">
        <v>235</v>
      </c>
      <c r="F449" s="400" t="s">
        <v>243</v>
      </c>
      <c r="G449" s="406">
        <v>8</v>
      </c>
      <c r="H449" s="401">
        <v>128000</v>
      </c>
      <c r="I449" s="325">
        <f t="shared" si="7"/>
        <v>27200</v>
      </c>
      <c r="J449" s="326"/>
    </row>
    <row r="450" spans="2:10" s="299" customFormat="1" ht="12.75" customHeight="1">
      <c r="B450" s="419">
        <v>444</v>
      </c>
      <c r="C450" s="400" t="s">
        <v>580</v>
      </c>
      <c r="D450" s="400" t="s">
        <v>650</v>
      </c>
      <c r="E450" s="399" t="s">
        <v>199</v>
      </c>
      <c r="F450" s="400" t="s">
        <v>243</v>
      </c>
      <c r="G450" s="406">
        <v>5</v>
      </c>
      <c r="H450" s="401">
        <v>80000</v>
      </c>
      <c r="I450" s="325">
        <f t="shared" si="7"/>
        <v>17000</v>
      </c>
      <c r="J450" s="326"/>
    </row>
    <row r="451" spans="2:10" s="299" customFormat="1" ht="12.75" customHeight="1">
      <c r="B451" s="419">
        <v>445</v>
      </c>
      <c r="C451" s="400" t="s">
        <v>512</v>
      </c>
      <c r="D451" s="400" t="s">
        <v>638</v>
      </c>
      <c r="E451" s="399" t="s">
        <v>183</v>
      </c>
      <c r="F451" s="400" t="s">
        <v>243</v>
      </c>
      <c r="G451" s="406">
        <v>6</v>
      </c>
      <c r="H451" s="401">
        <v>96000</v>
      </c>
      <c r="I451" s="325">
        <f t="shared" si="7"/>
        <v>20400</v>
      </c>
      <c r="J451" s="326"/>
    </row>
    <row r="452" spans="2:10" s="299" customFormat="1" ht="12.75" customHeight="1">
      <c r="B452" s="419">
        <v>446</v>
      </c>
      <c r="C452" s="400" t="s">
        <v>390</v>
      </c>
      <c r="D452" s="400" t="s">
        <v>746</v>
      </c>
      <c r="E452" s="399" t="s">
        <v>235</v>
      </c>
      <c r="F452" s="400" t="s">
        <v>243</v>
      </c>
      <c r="G452" s="406">
        <v>1</v>
      </c>
      <c r="H452" s="401">
        <v>16000</v>
      </c>
      <c r="I452" s="325">
        <f t="shared" si="7"/>
        <v>3400</v>
      </c>
      <c r="J452" s="326"/>
    </row>
    <row r="453" spans="2:10" s="299" customFormat="1" ht="12.75" customHeight="1">
      <c r="B453" s="419">
        <v>447</v>
      </c>
      <c r="C453" s="400" t="s">
        <v>577</v>
      </c>
      <c r="D453" s="400" t="s">
        <v>656</v>
      </c>
      <c r="E453" s="399" t="s">
        <v>219</v>
      </c>
      <c r="F453" s="400" t="s">
        <v>243</v>
      </c>
      <c r="G453" s="406">
        <v>3</v>
      </c>
      <c r="H453" s="401">
        <v>105000</v>
      </c>
      <c r="I453" s="325">
        <f t="shared" si="7"/>
        <v>22312.5</v>
      </c>
      <c r="J453" s="326"/>
    </row>
    <row r="454" spans="2:10" s="299" customFormat="1" ht="12.75" customHeight="1">
      <c r="B454" s="419">
        <v>448</v>
      </c>
      <c r="C454" s="400" t="s">
        <v>430</v>
      </c>
      <c r="D454" s="400" t="s">
        <v>687</v>
      </c>
      <c r="E454" s="399" t="s">
        <v>224</v>
      </c>
      <c r="F454" s="400" t="s">
        <v>243</v>
      </c>
      <c r="G454" s="406">
        <v>1</v>
      </c>
      <c r="H454" s="401">
        <v>16000</v>
      </c>
      <c r="I454" s="325">
        <f t="shared" si="7"/>
        <v>3400</v>
      </c>
      <c r="J454" s="326"/>
    </row>
    <row r="455" spans="2:10" s="299" customFormat="1" ht="12.75" customHeight="1">
      <c r="B455" s="419">
        <v>449</v>
      </c>
      <c r="C455" s="400" t="s">
        <v>390</v>
      </c>
      <c r="D455" s="400" t="s">
        <v>519</v>
      </c>
      <c r="E455" s="399" t="s">
        <v>179</v>
      </c>
      <c r="F455" s="400" t="s">
        <v>243</v>
      </c>
      <c r="G455" s="406">
        <v>1</v>
      </c>
      <c r="H455" s="401">
        <v>35000</v>
      </c>
      <c r="I455" s="325">
        <f t="shared" si="7"/>
        <v>7437.5</v>
      </c>
      <c r="J455" s="326"/>
    </row>
    <row r="456" spans="2:10" s="299" customFormat="1" ht="12.75" customHeight="1">
      <c r="B456" s="419">
        <v>450</v>
      </c>
      <c r="C456" s="400" t="s">
        <v>571</v>
      </c>
      <c r="D456" s="400" t="s">
        <v>584</v>
      </c>
      <c r="E456" s="399" t="s">
        <v>233</v>
      </c>
      <c r="F456" s="400" t="s">
        <v>243</v>
      </c>
      <c r="G456" s="406">
        <v>4</v>
      </c>
      <c r="H456" s="401">
        <v>140000</v>
      </c>
      <c r="I456" s="325">
        <f t="shared" si="7"/>
        <v>29750</v>
      </c>
      <c r="J456" s="326"/>
    </row>
    <row r="457" spans="2:10" s="299" customFormat="1" ht="12.75" customHeight="1">
      <c r="B457" s="419">
        <v>451</v>
      </c>
      <c r="C457" s="400" t="s">
        <v>390</v>
      </c>
      <c r="D457" s="400" t="s">
        <v>643</v>
      </c>
      <c r="E457" s="399" t="s">
        <v>197</v>
      </c>
      <c r="F457" s="400" t="s">
        <v>243</v>
      </c>
      <c r="G457" s="406">
        <v>2</v>
      </c>
      <c r="H457" s="401">
        <v>70000</v>
      </c>
      <c r="I457" s="325">
        <f t="shared" si="7"/>
        <v>14875</v>
      </c>
      <c r="J457" s="326"/>
    </row>
    <row r="458" spans="2:10" s="299" customFormat="1" ht="12.75" customHeight="1">
      <c r="B458" s="419">
        <v>452</v>
      </c>
      <c r="C458" s="400" t="s">
        <v>396</v>
      </c>
      <c r="D458" s="400" t="s">
        <v>734</v>
      </c>
      <c r="E458" s="399" t="s">
        <v>181</v>
      </c>
      <c r="F458" s="400" t="s">
        <v>243</v>
      </c>
      <c r="G458" s="406">
        <v>2</v>
      </c>
      <c r="H458" s="401">
        <v>70000</v>
      </c>
      <c r="I458" s="325">
        <f t="shared" si="7"/>
        <v>14875</v>
      </c>
      <c r="J458" s="326"/>
    </row>
    <row r="459" spans="2:10" s="299" customFormat="1" ht="12.75" customHeight="1">
      <c r="B459" s="419">
        <v>453</v>
      </c>
      <c r="C459" s="400" t="s">
        <v>571</v>
      </c>
      <c r="D459" s="400" t="s">
        <v>584</v>
      </c>
      <c r="E459" s="399" t="s">
        <v>233</v>
      </c>
      <c r="F459" s="400" t="s">
        <v>243</v>
      </c>
      <c r="G459" s="406">
        <v>6</v>
      </c>
      <c r="H459" s="401">
        <v>210000</v>
      </c>
      <c r="I459" s="325">
        <f t="shared" si="7"/>
        <v>44625</v>
      </c>
      <c r="J459" s="326"/>
    </row>
    <row r="460" spans="2:10" s="299" customFormat="1" ht="12.75" customHeight="1">
      <c r="B460" s="419">
        <v>454</v>
      </c>
      <c r="C460" s="400" t="s">
        <v>396</v>
      </c>
      <c r="D460" s="400" t="s">
        <v>734</v>
      </c>
      <c r="E460" s="399" t="s">
        <v>181</v>
      </c>
      <c r="F460" s="400" t="s">
        <v>243</v>
      </c>
      <c r="G460" s="406">
        <v>3</v>
      </c>
      <c r="H460" s="401">
        <v>105000</v>
      </c>
      <c r="I460" s="325">
        <f t="shared" si="7"/>
        <v>22312.5</v>
      </c>
      <c r="J460" s="326"/>
    </row>
    <row r="461" spans="2:10" s="299" customFormat="1" ht="12.75" customHeight="1">
      <c r="B461" s="419">
        <v>455</v>
      </c>
      <c r="C461" s="400" t="s">
        <v>396</v>
      </c>
      <c r="D461" s="400" t="s">
        <v>734</v>
      </c>
      <c r="E461" s="399" t="s">
        <v>181</v>
      </c>
      <c r="F461" s="400" t="s">
        <v>243</v>
      </c>
      <c r="G461" s="406">
        <v>2</v>
      </c>
      <c r="H461" s="401">
        <v>70000</v>
      </c>
      <c r="I461" s="325">
        <f t="shared" si="7"/>
        <v>14875</v>
      </c>
      <c r="J461" s="326"/>
    </row>
    <row r="462" spans="2:10" s="299" customFormat="1" ht="12.75" customHeight="1">
      <c r="B462" s="419">
        <v>456</v>
      </c>
      <c r="C462" s="400" t="s">
        <v>435</v>
      </c>
      <c r="D462" s="400" t="s">
        <v>333</v>
      </c>
      <c r="E462" s="399" t="s">
        <v>227</v>
      </c>
      <c r="F462" s="400" t="s">
        <v>243</v>
      </c>
      <c r="G462" s="406">
        <v>2</v>
      </c>
      <c r="H462" s="401">
        <v>70000</v>
      </c>
      <c r="I462" s="325">
        <f t="shared" si="7"/>
        <v>14875</v>
      </c>
      <c r="J462" s="326"/>
    </row>
    <row r="463" spans="2:10" s="299" customFormat="1" ht="12.75" customHeight="1">
      <c r="B463" s="419">
        <v>457</v>
      </c>
      <c r="C463" s="400" t="s">
        <v>553</v>
      </c>
      <c r="D463" s="400" t="s">
        <v>320</v>
      </c>
      <c r="E463" s="399" t="s">
        <v>188</v>
      </c>
      <c r="F463" s="400" t="s">
        <v>243</v>
      </c>
      <c r="G463" s="406">
        <v>3</v>
      </c>
      <c r="H463" s="401">
        <v>48000</v>
      </c>
      <c r="I463" s="325">
        <f t="shared" si="7"/>
        <v>10200</v>
      </c>
      <c r="J463" s="326"/>
    </row>
    <row r="464" spans="2:10" s="299" customFormat="1" ht="12.75" customHeight="1">
      <c r="B464" s="419">
        <v>458</v>
      </c>
      <c r="C464" s="400" t="s">
        <v>430</v>
      </c>
      <c r="D464" s="400" t="s">
        <v>687</v>
      </c>
      <c r="E464" s="399" t="s">
        <v>224</v>
      </c>
      <c r="F464" s="400" t="s">
        <v>243</v>
      </c>
      <c r="G464" s="406">
        <v>1</v>
      </c>
      <c r="H464" s="401">
        <v>16000</v>
      </c>
      <c r="I464" s="325">
        <f t="shared" si="7"/>
        <v>3400</v>
      </c>
      <c r="J464" s="326"/>
    </row>
    <row r="465" spans="2:10" s="299" customFormat="1" ht="12.75" customHeight="1">
      <c r="B465" s="419">
        <v>459</v>
      </c>
      <c r="C465" s="400" t="s">
        <v>512</v>
      </c>
      <c r="D465" s="400" t="s">
        <v>307</v>
      </c>
      <c r="E465" s="399" t="s">
        <v>202</v>
      </c>
      <c r="F465" s="400" t="s">
        <v>243</v>
      </c>
      <c r="G465" s="406">
        <v>2</v>
      </c>
      <c r="H465" s="401">
        <v>70000</v>
      </c>
      <c r="I465" s="325">
        <f t="shared" si="7"/>
        <v>14875</v>
      </c>
      <c r="J465" s="326"/>
    </row>
    <row r="466" spans="2:10" s="299" customFormat="1" ht="12.75" customHeight="1">
      <c r="B466" s="419">
        <v>460</v>
      </c>
      <c r="C466" s="400" t="s">
        <v>567</v>
      </c>
      <c r="D466" s="400" t="s">
        <v>346</v>
      </c>
      <c r="E466" s="399" t="s">
        <v>222</v>
      </c>
      <c r="F466" s="400" t="s">
        <v>243</v>
      </c>
      <c r="G466" s="406">
        <v>1</v>
      </c>
      <c r="H466" s="401">
        <v>16000</v>
      </c>
      <c r="I466" s="325">
        <f t="shared" si="7"/>
        <v>3400</v>
      </c>
      <c r="J466" s="326"/>
    </row>
    <row r="467" spans="2:10" s="299" customFormat="1" ht="12.75" customHeight="1">
      <c r="B467" s="419">
        <v>461</v>
      </c>
      <c r="C467" s="400" t="s">
        <v>508</v>
      </c>
      <c r="D467" s="400" t="s">
        <v>701</v>
      </c>
      <c r="E467" s="399" t="s">
        <v>195</v>
      </c>
      <c r="F467" s="400" t="s">
        <v>243</v>
      </c>
      <c r="G467" s="406">
        <v>2</v>
      </c>
      <c r="H467" s="401">
        <v>70000</v>
      </c>
      <c r="I467" s="325">
        <f t="shared" si="7"/>
        <v>14875</v>
      </c>
      <c r="J467" s="326"/>
    </row>
    <row r="468" spans="2:10" s="299" customFormat="1" ht="12.75" customHeight="1">
      <c r="B468" s="419">
        <v>462</v>
      </c>
      <c r="C468" s="400" t="s">
        <v>580</v>
      </c>
      <c r="D468" s="400" t="s">
        <v>650</v>
      </c>
      <c r="E468" s="399" t="s">
        <v>199</v>
      </c>
      <c r="F468" s="400" t="s">
        <v>243</v>
      </c>
      <c r="G468" s="406">
        <v>7</v>
      </c>
      <c r="H468" s="401">
        <v>112000</v>
      </c>
      <c r="I468" s="325">
        <f t="shared" si="7"/>
        <v>23800</v>
      </c>
      <c r="J468" s="326"/>
    </row>
    <row r="469" spans="2:10" s="299" customFormat="1" ht="12.75" customHeight="1">
      <c r="B469" s="419">
        <v>463</v>
      </c>
      <c r="C469" s="400" t="s">
        <v>571</v>
      </c>
      <c r="D469" s="400" t="s">
        <v>584</v>
      </c>
      <c r="E469" s="399" t="s">
        <v>233</v>
      </c>
      <c r="F469" s="400" t="s">
        <v>243</v>
      </c>
      <c r="G469" s="406">
        <v>8</v>
      </c>
      <c r="H469" s="401">
        <v>280000</v>
      </c>
      <c r="I469" s="325">
        <f t="shared" si="7"/>
        <v>59500</v>
      </c>
      <c r="J469" s="326"/>
    </row>
    <row r="470" spans="2:10" s="299" customFormat="1" ht="12.75" customHeight="1">
      <c r="B470" s="419">
        <v>464</v>
      </c>
      <c r="C470" s="400" t="s">
        <v>390</v>
      </c>
      <c r="D470" s="400" t="s">
        <v>643</v>
      </c>
      <c r="E470" s="399" t="s">
        <v>197</v>
      </c>
      <c r="F470" s="400" t="s">
        <v>243</v>
      </c>
      <c r="G470" s="406">
        <v>3</v>
      </c>
      <c r="H470" s="401">
        <v>105000</v>
      </c>
      <c r="I470" s="325">
        <f t="shared" ref="I470:I533" si="8">H470*21.25%</f>
        <v>22312.5</v>
      </c>
      <c r="J470" s="326"/>
    </row>
    <row r="471" spans="2:10" s="299" customFormat="1" ht="12.75" customHeight="1">
      <c r="B471" s="419">
        <v>465</v>
      </c>
      <c r="C471" s="400" t="s">
        <v>390</v>
      </c>
      <c r="D471" s="400" t="s">
        <v>746</v>
      </c>
      <c r="E471" s="399" t="s">
        <v>235</v>
      </c>
      <c r="F471" s="400" t="s">
        <v>243</v>
      </c>
      <c r="G471" s="406">
        <v>6</v>
      </c>
      <c r="H471" s="401">
        <v>96000</v>
      </c>
      <c r="I471" s="325">
        <f t="shared" si="8"/>
        <v>20400</v>
      </c>
      <c r="J471" s="326"/>
    </row>
    <row r="472" spans="2:10" s="299" customFormat="1" ht="12.75" customHeight="1">
      <c r="B472" s="419">
        <v>466</v>
      </c>
      <c r="C472" s="400" t="s">
        <v>508</v>
      </c>
      <c r="D472" s="400" t="s">
        <v>708</v>
      </c>
      <c r="E472" s="399" t="s">
        <v>538</v>
      </c>
      <c r="F472" s="400" t="s">
        <v>243</v>
      </c>
      <c r="G472" s="406">
        <v>2</v>
      </c>
      <c r="H472" s="401">
        <v>70000</v>
      </c>
      <c r="I472" s="325">
        <f t="shared" si="8"/>
        <v>14875</v>
      </c>
      <c r="J472" s="326"/>
    </row>
    <row r="473" spans="2:10" s="299" customFormat="1" ht="12.75" customHeight="1">
      <c r="B473" s="419">
        <v>467</v>
      </c>
      <c r="C473" s="400" t="s">
        <v>553</v>
      </c>
      <c r="D473" s="400" t="s">
        <v>320</v>
      </c>
      <c r="E473" s="399" t="s">
        <v>188</v>
      </c>
      <c r="F473" s="400" t="s">
        <v>243</v>
      </c>
      <c r="G473" s="406">
        <v>2</v>
      </c>
      <c r="H473" s="401">
        <v>32000</v>
      </c>
      <c r="I473" s="325">
        <f t="shared" si="8"/>
        <v>6800</v>
      </c>
      <c r="J473" s="326"/>
    </row>
    <row r="474" spans="2:10" s="299" customFormat="1" ht="12.75" customHeight="1">
      <c r="B474" s="419">
        <v>468</v>
      </c>
      <c r="C474" s="400" t="s">
        <v>571</v>
      </c>
      <c r="D474" s="400" t="s">
        <v>638</v>
      </c>
      <c r="E474" s="399" t="s">
        <v>183</v>
      </c>
      <c r="F474" s="400" t="s">
        <v>243</v>
      </c>
      <c r="G474" s="406">
        <v>1</v>
      </c>
      <c r="H474" s="401">
        <v>16000</v>
      </c>
      <c r="I474" s="325">
        <f t="shared" si="8"/>
        <v>3400</v>
      </c>
      <c r="J474" s="326"/>
    </row>
    <row r="475" spans="2:10" s="299" customFormat="1" ht="12.75" customHeight="1">
      <c r="B475" s="419">
        <v>469</v>
      </c>
      <c r="C475" s="400" t="s">
        <v>542</v>
      </c>
      <c r="D475" s="400" t="s">
        <v>347</v>
      </c>
      <c r="E475" s="399" t="s">
        <v>236</v>
      </c>
      <c r="F475" s="400" t="s">
        <v>243</v>
      </c>
      <c r="G475" s="406">
        <v>2</v>
      </c>
      <c r="H475" s="401">
        <v>70000</v>
      </c>
      <c r="I475" s="325">
        <f t="shared" si="8"/>
        <v>14875</v>
      </c>
      <c r="J475" s="326"/>
    </row>
    <row r="476" spans="2:10" s="299" customFormat="1" ht="12.75" customHeight="1">
      <c r="B476" s="419">
        <v>470</v>
      </c>
      <c r="C476" s="400" t="s">
        <v>430</v>
      </c>
      <c r="D476" s="400" t="s">
        <v>684</v>
      </c>
      <c r="E476" s="399" t="s">
        <v>187</v>
      </c>
      <c r="F476" s="400" t="s">
        <v>243</v>
      </c>
      <c r="G476" s="406">
        <v>1</v>
      </c>
      <c r="H476" s="401">
        <v>35000</v>
      </c>
      <c r="I476" s="325">
        <f t="shared" si="8"/>
        <v>7437.5</v>
      </c>
      <c r="J476" s="326"/>
    </row>
    <row r="477" spans="2:10" s="299" customFormat="1" ht="12.75" customHeight="1">
      <c r="B477" s="419">
        <v>471</v>
      </c>
      <c r="C477" s="400" t="s">
        <v>580</v>
      </c>
      <c r="D477" s="400" t="s">
        <v>650</v>
      </c>
      <c r="E477" s="399" t="s">
        <v>199</v>
      </c>
      <c r="F477" s="400" t="s">
        <v>243</v>
      </c>
      <c r="G477" s="406">
        <v>6</v>
      </c>
      <c r="H477" s="401">
        <v>96000</v>
      </c>
      <c r="I477" s="325">
        <f t="shared" si="8"/>
        <v>20400</v>
      </c>
      <c r="J477" s="326"/>
    </row>
    <row r="478" spans="2:10" s="299" customFormat="1" ht="12.75" customHeight="1">
      <c r="B478" s="419">
        <v>472</v>
      </c>
      <c r="C478" s="400" t="s">
        <v>508</v>
      </c>
      <c r="D478" s="400" t="s">
        <v>708</v>
      </c>
      <c r="E478" s="399" t="s">
        <v>538</v>
      </c>
      <c r="F478" s="400" t="s">
        <v>243</v>
      </c>
      <c r="G478" s="406">
        <v>2</v>
      </c>
      <c r="H478" s="401">
        <v>70000</v>
      </c>
      <c r="I478" s="325">
        <f t="shared" si="8"/>
        <v>14875</v>
      </c>
      <c r="J478" s="326"/>
    </row>
    <row r="479" spans="2:10" s="299" customFormat="1" ht="12.75" customHeight="1">
      <c r="B479" s="419">
        <v>473</v>
      </c>
      <c r="C479" s="400" t="s">
        <v>544</v>
      </c>
      <c r="D479" s="400" t="s">
        <v>641</v>
      </c>
      <c r="E479" s="399" t="s">
        <v>199</v>
      </c>
      <c r="F479" s="400" t="s">
        <v>243</v>
      </c>
      <c r="G479" s="406">
        <v>2</v>
      </c>
      <c r="H479" s="401">
        <v>70000</v>
      </c>
      <c r="I479" s="325">
        <f t="shared" si="8"/>
        <v>14875</v>
      </c>
      <c r="J479" s="326"/>
    </row>
    <row r="480" spans="2:10" s="299" customFormat="1" ht="12.75" customHeight="1">
      <c r="B480" s="419">
        <v>474</v>
      </c>
      <c r="C480" s="400" t="s">
        <v>512</v>
      </c>
      <c r="D480" s="400" t="s">
        <v>658</v>
      </c>
      <c r="E480" s="399" t="s">
        <v>208</v>
      </c>
      <c r="F480" s="400" t="s">
        <v>243</v>
      </c>
      <c r="G480" s="406">
        <v>1</v>
      </c>
      <c r="H480" s="401">
        <v>16000</v>
      </c>
      <c r="I480" s="325">
        <f t="shared" si="8"/>
        <v>3400</v>
      </c>
      <c r="J480" s="326"/>
    </row>
    <row r="481" spans="2:10" s="299" customFormat="1" ht="12.75" customHeight="1">
      <c r="B481" s="419">
        <v>475</v>
      </c>
      <c r="C481" s="400" t="s">
        <v>390</v>
      </c>
      <c r="D481" s="400" t="s">
        <v>643</v>
      </c>
      <c r="E481" s="399" t="s">
        <v>197</v>
      </c>
      <c r="F481" s="400" t="s">
        <v>243</v>
      </c>
      <c r="G481" s="406">
        <v>1</v>
      </c>
      <c r="H481" s="401">
        <v>35000</v>
      </c>
      <c r="I481" s="325">
        <f t="shared" si="8"/>
        <v>7437.5</v>
      </c>
      <c r="J481" s="326"/>
    </row>
    <row r="482" spans="2:10" s="299" customFormat="1" ht="12.75" customHeight="1">
      <c r="B482" s="419">
        <v>476</v>
      </c>
      <c r="C482" s="400" t="s">
        <v>577</v>
      </c>
      <c r="D482" s="400" t="s">
        <v>656</v>
      </c>
      <c r="E482" s="399" t="s">
        <v>219</v>
      </c>
      <c r="F482" s="400" t="s">
        <v>243</v>
      </c>
      <c r="G482" s="406">
        <v>2</v>
      </c>
      <c r="H482" s="401">
        <v>70000</v>
      </c>
      <c r="I482" s="325">
        <f t="shared" si="8"/>
        <v>14875</v>
      </c>
      <c r="J482" s="326"/>
    </row>
    <row r="483" spans="2:10" s="299" customFormat="1" ht="12.75" customHeight="1">
      <c r="B483" s="419">
        <v>477</v>
      </c>
      <c r="C483" s="400" t="s">
        <v>551</v>
      </c>
      <c r="D483" s="400" t="s">
        <v>690</v>
      </c>
      <c r="E483" s="399" t="s">
        <v>187</v>
      </c>
      <c r="F483" s="400" t="s">
        <v>243</v>
      </c>
      <c r="G483" s="406">
        <v>1</v>
      </c>
      <c r="H483" s="401">
        <v>35000</v>
      </c>
      <c r="I483" s="325">
        <f t="shared" si="8"/>
        <v>7437.5</v>
      </c>
      <c r="J483" s="326"/>
    </row>
    <row r="484" spans="2:10" s="299" customFormat="1" ht="12.75" customHeight="1">
      <c r="B484" s="419">
        <v>478</v>
      </c>
      <c r="C484" s="400" t="s">
        <v>544</v>
      </c>
      <c r="D484" s="400" t="s">
        <v>641</v>
      </c>
      <c r="E484" s="399" t="s">
        <v>199</v>
      </c>
      <c r="F484" s="400" t="s">
        <v>243</v>
      </c>
      <c r="G484" s="406">
        <v>2</v>
      </c>
      <c r="H484" s="401">
        <v>70000</v>
      </c>
      <c r="I484" s="325">
        <f t="shared" si="8"/>
        <v>14875</v>
      </c>
      <c r="J484" s="326"/>
    </row>
    <row r="485" spans="2:10" s="299" customFormat="1" ht="12.75" customHeight="1">
      <c r="B485" s="419">
        <v>479</v>
      </c>
      <c r="C485" s="400" t="s">
        <v>567</v>
      </c>
      <c r="D485" s="400" t="s">
        <v>297</v>
      </c>
      <c r="E485" s="399" t="s">
        <v>187</v>
      </c>
      <c r="F485" s="400" t="s">
        <v>243</v>
      </c>
      <c r="G485" s="406">
        <v>2</v>
      </c>
      <c r="H485" s="401">
        <v>70000</v>
      </c>
      <c r="I485" s="325">
        <f t="shared" si="8"/>
        <v>14875</v>
      </c>
      <c r="J485" s="326"/>
    </row>
    <row r="486" spans="2:10" s="299" customFormat="1" ht="12.75" customHeight="1">
      <c r="B486" s="419">
        <v>480</v>
      </c>
      <c r="C486" s="400" t="s">
        <v>560</v>
      </c>
      <c r="D486" s="400" t="s">
        <v>718</v>
      </c>
      <c r="E486" s="399" t="s">
        <v>199</v>
      </c>
      <c r="F486" s="400" t="s">
        <v>243</v>
      </c>
      <c r="G486" s="406">
        <v>1</v>
      </c>
      <c r="H486" s="401">
        <v>35000</v>
      </c>
      <c r="I486" s="325">
        <f t="shared" si="8"/>
        <v>7437.5</v>
      </c>
      <c r="J486" s="326"/>
    </row>
    <row r="487" spans="2:10" s="299" customFormat="1" ht="12.75" customHeight="1">
      <c r="B487" s="419">
        <v>481</v>
      </c>
      <c r="C487" s="400" t="s">
        <v>512</v>
      </c>
      <c r="D487" s="400" t="s">
        <v>670</v>
      </c>
      <c r="E487" s="399" t="s">
        <v>227</v>
      </c>
      <c r="F487" s="400" t="s">
        <v>243</v>
      </c>
      <c r="G487" s="406">
        <v>2</v>
      </c>
      <c r="H487" s="401">
        <v>32000</v>
      </c>
      <c r="I487" s="325">
        <f t="shared" si="8"/>
        <v>6800</v>
      </c>
      <c r="J487" s="326"/>
    </row>
    <row r="488" spans="2:10" s="299" customFormat="1" ht="12.75" customHeight="1">
      <c r="B488" s="419">
        <v>482</v>
      </c>
      <c r="C488" s="400" t="s">
        <v>390</v>
      </c>
      <c r="D488" s="400" t="s">
        <v>643</v>
      </c>
      <c r="E488" s="399" t="s">
        <v>197</v>
      </c>
      <c r="F488" s="400" t="s">
        <v>243</v>
      </c>
      <c r="G488" s="406">
        <v>2</v>
      </c>
      <c r="H488" s="401">
        <v>70000</v>
      </c>
      <c r="I488" s="325">
        <f t="shared" si="8"/>
        <v>14875</v>
      </c>
      <c r="J488" s="326"/>
    </row>
    <row r="489" spans="2:10" s="299" customFormat="1" ht="12.75" customHeight="1">
      <c r="B489" s="419">
        <v>483</v>
      </c>
      <c r="C489" s="400" t="s">
        <v>571</v>
      </c>
      <c r="D489" s="400" t="s">
        <v>584</v>
      </c>
      <c r="E489" s="399" t="s">
        <v>233</v>
      </c>
      <c r="F489" s="400" t="s">
        <v>243</v>
      </c>
      <c r="G489" s="406">
        <v>6</v>
      </c>
      <c r="H489" s="401">
        <v>210000</v>
      </c>
      <c r="I489" s="325">
        <f t="shared" si="8"/>
        <v>44625</v>
      </c>
      <c r="J489" s="326"/>
    </row>
    <row r="490" spans="2:10" s="299" customFormat="1" ht="12.75" customHeight="1">
      <c r="B490" s="419">
        <v>484</v>
      </c>
      <c r="C490" s="400" t="s">
        <v>553</v>
      </c>
      <c r="D490" s="400" t="s">
        <v>702</v>
      </c>
      <c r="E490" s="399" t="s">
        <v>703</v>
      </c>
      <c r="F490" s="400" t="s">
        <v>243</v>
      </c>
      <c r="G490" s="406">
        <v>1</v>
      </c>
      <c r="H490" s="401">
        <v>35000</v>
      </c>
      <c r="I490" s="325">
        <f t="shared" si="8"/>
        <v>7437.5</v>
      </c>
      <c r="J490" s="326"/>
    </row>
    <row r="491" spans="2:10" s="299" customFormat="1" ht="12.75" customHeight="1">
      <c r="B491" s="419">
        <v>485</v>
      </c>
      <c r="C491" s="400" t="s">
        <v>512</v>
      </c>
      <c r="D491" s="400" t="s">
        <v>670</v>
      </c>
      <c r="E491" s="399" t="s">
        <v>227</v>
      </c>
      <c r="F491" s="400" t="s">
        <v>243</v>
      </c>
      <c r="G491" s="406">
        <v>2</v>
      </c>
      <c r="H491" s="401">
        <v>32000</v>
      </c>
      <c r="I491" s="325">
        <f t="shared" si="8"/>
        <v>6800</v>
      </c>
      <c r="J491" s="326"/>
    </row>
    <row r="492" spans="2:10" s="299" customFormat="1" ht="12.75" customHeight="1">
      <c r="B492" s="419">
        <v>486</v>
      </c>
      <c r="C492" s="400" t="s">
        <v>430</v>
      </c>
      <c r="D492" s="400" t="s">
        <v>715</v>
      </c>
      <c r="E492" s="399" t="s">
        <v>197</v>
      </c>
      <c r="F492" s="400" t="s">
        <v>243</v>
      </c>
      <c r="G492" s="406">
        <v>1</v>
      </c>
      <c r="H492" s="401">
        <v>35000</v>
      </c>
      <c r="I492" s="325">
        <f t="shared" si="8"/>
        <v>7437.5</v>
      </c>
      <c r="J492" s="326"/>
    </row>
    <row r="493" spans="2:10" s="299" customFormat="1" ht="12.75" customHeight="1">
      <c r="B493" s="419">
        <v>487</v>
      </c>
      <c r="C493" s="400" t="s">
        <v>390</v>
      </c>
      <c r="D493" s="400" t="s">
        <v>746</v>
      </c>
      <c r="E493" s="399" t="s">
        <v>235</v>
      </c>
      <c r="F493" s="400" t="s">
        <v>243</v>
      </c>
      <c r="G493" s="406">
        <v>7</v>
      </c>
      <c r="H493" s="401">
        <v>112000</v>
      </c>
      <c r="I493" s="325">
        <f t="shared" si="8"/>
        <v>23800</v>
      </c>
      <c r="J493" s="326"/>
    </row>
    <row r="494" spans="2:10" s="299" customFormat="1" ht="12.75" customHeight="1">
      <c r="B494" s="419">
        <v>488</v>
      </c>
      <c r="C494" s="400" t="s">
        <v>567</v>
      </c>
      <c r="D494" s="400" t="s">
        <v>297</v>
      </c>
      <c r="E494" s="399" t="s">
        <v>187</v>
      </c>
      <c r="F494" s="400" t="s">
        <v>243</v>
      </c>
      <c r="G494" s="406">
        <v>2</v>
      </c>
      <c r="H494" s="401">
        <v>70000</v>
      </c>
      <c r="I494" s="325">
        <f t="shared" si="8"/>
        <v>14875</v>
      </c>
      <c r="J494" s="326"/>
    </row>
    <row r="495" spans="2:10" s="299" customFormat="1" ht="12.75" customHeight="1">
      <c r="B495" s="419">
        <v>489</v>
      </c>
      <c r="C495" s="400" t="s">
        <v>390</v>
      </c>
      <c r="D495" s="400" t="s">
        <v>746</v>
      </c>
      <c r="E495" s="399" t="s">
        <v>235</v>
      </c>
      <c r="F495" s="400" t="s">
        <v>243</v>
      </c>
      <c r="G495" s="406">
        <v>2</v>
      </c>
      <c r="H495" s="401">
        <v>32000</v>
      </c>
      <c r="I495" s="325">
        <f t="shared" si="8"/>
        <v>6800</v>
      </c>
      <c r="J495" s="326"/>
    </row>
    <row r="496" spans="2:10" s="299" customFormat="1" ht="12.75" customHeight="1">
      <c r="B496" s="419">
        <v>490</v>
      </c>
      <c r="C496" s="400" t="s">
        <v>567</v>
      </c>
      <c r="D496" s="400" t="s">
        <v>657</v>
      </c>
      <c r="E496" s="399" t="s">
        <v>183</v>
      </c>
      <c r="F496" s="400" t="s">
        <v>243</v>
      </c>
      <c r="G496" s="406">
        <v>3</v>
      </c>
      <c r="H496" s="401">
        <v>105000</v>
      </c>
      <c r="I496" s="325">
        <f t="shared" si="8"/>
        <v>22312.5</v>
      </c>
      <c r="J496" s="326"/>
    </row>
    <row r="497" spans="2:10" s="299" customFormat="1" ht="12.75" customHeight="1">
      <c r="B497" s="419">
        <v>491</v>
      </c>
      <c r="C497" s="400" t="s">
        <v>542</v>
      </c>
      <c r="D497" s="400" t="s">
        <v>347</v>
      </c>
      <c r="E497" s="399" t="s">
        <v>236</v>
      </c>
      <c r="F497" s="400" t="s">
        <v>243</v>
      </c>
      <c r="G497" s="406">
        <v>2</v>
      </c>
      <c r="H497" s="401">
        <v>70000</v>
      </c>
      <c r="I497" s="325">
        <f t="shared" si="8"/>
        <v>14875</v>
      </c>
      <c r="J497" s="326"/>
    </row>
    <row r="498" spans="2:10" s="299" customFormat="1" ht="12.75" customHeight="1">
      <c r="B498" s="419">
        <v>492</v>
      </c>
      <c r="C498" s="400" t="s">
        <v>508</v>
      </c>
      <c r="D498" s="400" t="s">
        <v>708</v>
      </c>
      <c r="E498" s="399" t="s">
        <v>538</v>
      </c>
      <c r="F498" s="400" t="s">
        <v>243</v>
      </c>
      <c r="G498" s="406">
        <v>3</v>
      </c>
      <c r="H498" s="401">
        <v>105000</v>
      </c>
      <c r="I498" s="325">
        <f t="shared" si="8"/>
        <v>22312.5</v>
      </c>
      <c r="J498" s="326"/>
    </row>
    <row r="499" spans="2:10" s="299" customFormat="1" ht="12.75" customHeight="1">
      <c r="B499" s="419">
        <v>493</v>
      </c>
      <c r="C499" s="400" t="s">
        <v>571</v>
      </c>
      <c r="D499" s="400" t="s">
        <v>636</v>
      </c>
      <c r="E499" s="399" t="s">
        <v>202</v>
      </c>
      <c r="F499" s="400" t="s">
        <v>243</v>
      </c>
      <c r="G499" s="406">
        <v>1</v>
      </c>
      <c r="H499" s="401">
        <v>35000</v>
      </c>
      <c r="I499" s="325">
        <f t="shared" si="8"/>
        <v>7437.5</v>
      </c>
      <c r="J499" s="326"/>
    </row>
    <row r="500" spans="2:10" s="299" customFormat="1" ht="12.75" customHeight="1">
      <c r="B500" s="419">
        <v>494</v>
      </c>
      <c r="C500" s="400" t="s">
        <v>580</v>
      </c>
      <c r="D500" s="400" t="s">
        <v>650</v>
      </c>
      <c r="E500" s="399" t="s">
        <v>199</v>
      </c>
      <c r="F500" s="400" t="s">
        <v>243</v>
      </c>
      <c r="G500" s="406">
        <v>7</v>
      </c>
      <c r="H500" s="401">
        <v>112000</v>
      </c>
      <c r="I500" s="325">
        <f t="shared" si="8"/>
        <v>23800</v>
      </c>
      <c r="J500" s="326"/>
    </row>
    <row r="501" spans="2:10" s="299" customFormat="1" ht="12.75" customHeight="1">
      <c r="B501" s="419">
        <v>495</v>
      </c>
      <c r="C501" s="400" t="s">
        <v>390</v>
      </c>
      <c r="D501" s="400" t="s">
        <v>643</v>
      </c>
      <c r="E501" s="399" t="s">
        <v>197</v>
      </c>
      <c r="F501" s="400" t="s">
        <v>243</v>
      </c>
      <c r="G501" s="406">
        <v>1</v>
      </c>
      <c r="H501" s="401">
        <v>35000</v>
      </c>
      <c r="I501" s="325">
        <f t="shared" si="8"/>
        <v>7437.5</v>
      </c>
      <c r="J501" s="326"/>
    </row>
    <row r="502" spans="2:10" s="299" customFormat="1" ht="12.75" customHeight="1">
      <c r="B502" s="419">
        <v>496</v>
      </c>
      <c r="C502" s="400" t="s">
        <v>390</v>
      </c>
      <c r="D502" s="400" t="s">
        <v>519</v>
      </c>
      <c r="E502" s="399" t="s">
        <v>179</v>
      </c>
      <c r="F502" s="400" t="s">
        <v>243</v>
      </c>
      <c r="G502" s="406">
        <v>1</v>
      </c>
      <c r="H502" s="401">
        <v>35000</v>
      </c>
      <c r="I502" s="325">
        <f t="shared" si="8"/>
        <v>7437.5</v>
      </c>
      <c r="J502" s="326"/>
    </row>
    <row r="503" spans="2:10" s="299" customFormat="1" ht="12.75" customHeight="1">
      <c r="B503" s="419">
        <v>497</v>
      </c>
      <c r="C503" s="400" t="s">
        <v>508</v>
      </c>
      <c r="D503" s="400" t="s">
        <v>708</v>
      </c>
      <c r="E503" s="399" t="s">
        <v>538</v>
      </c>
      <c r="F503" s="400" t="s">
        <v>243</v>
      </c>
      <c r="G503" s="406">
        <v>3</v>
      </c>
      <c r="H503" s="401">
        <v>105000</v>
      </c>
      <c r="I503" s="325">
        <f t="shared" si="8"/>
        <v>22312.5</v>
      </c>
      <c r="J503" s="326"/>
    </row>
    <row r="504" spans="2:10" s="299" customFormat="1" ht="12.75" customHeight="1">
      <c r="B504" s="419">
        <v>498</v>
      </c>
      <c r="C504" s="400" t="s">
        <v>512</v>
      </c>
      <c r="D504" s="400" t="s">
        <v>658</v>
      </c>
      <c r="E504" s="399" t="s">
        <v>208</v>
      </c>
      <c r="F504" s="400" t="s">
        <v>243</v>
      </c>
      <c r="G504" s="406">
        <v>2</v>
      </c>
      <c r="H504" s="401">
        <v>32000</v>
      </c>
      <c r="I504" s="325">
        <f t="shared" si="8"/>
        <v>6800</v>
      </c>
      <c r="J504" s="326"/>
    </row>
    <row r="505" spans="2:10" s="299" customFormat="1" ht="12.75" customHeight="1">
      <c r="B505" s="419">
        <v>499</v>
      </c>
      <c r="C505" s="400" t="s">
        <v>512</v>
      </c>
      <c r="D505" s="400" t="s">
        <v>658</v>
      </c>
      <c r="E505" s="399" t="s">
        <v>208</v>
      </c>
      <c r="F505" s="400" t="s">
        <v>243</v>
      </c>
      <c r="G505" s="406">
        <v>2</v>
      </c>
      <c r="H505" s="401">
        <v>32000</v>
      </c>
      <c r="I505" s="325">
        <f t="shared" si="8"/>
        <v>6800</v>
      </c>
      <c r="J505" s="326"/>
    </row>
    <row r="506" spans="2:10" s="299" customFormat="1" ht="12.75" customHeight="1">
      <c r="B506" s="419">
        <v>500</v>
      </c>
      <c r="C506" s="400" t="s">
        <v>585</v>
      </c>
      <c r="D506" s="400" t="s">
        <v>648</v>
      </c>
      <c r="E506" s="399" t="s">
        <v>208</v>
      </c>
      <c r="F506" s="400" t="s">
        <v>243</v>
      </c>
      <c r="G506" s="406">
        <v>10</v>
      </c>
      <c r="H506" s="401">
        <v>350000</v>
      </c>
      <c r="I506" s="325">
        <f t="shared" si="8"/>
        <v>74375</v>
      </c>
      <c r="J506" s="326"/>
    </row>
    <row r="507" spans="2:10" s="299" customFormat="1" ht="12.75" customHeight="1">
      <c r="B507" s="419">
        <v>501</v>
      </c>
      <c r="C507" s="400" t="s">
        <v>430</v>
      </c>
      <c r="D507" s="400" t="s">
        <v>715</v>
      </c>
      <c r="E507" s="399" t="s">
        <v>197</v>
      </c>
      <c r="F507" s="400" t="s">
        <v>243</v>
      </c>
      <c r="G507" s="406">
        <v>1</v>
      </c>
      <c r="H507" s="401">
        <v>35000</v>
      </c>
      <c r="I507" s="325">
        <f t="shared" si="8"/>
        <v>7437.5</v>
      </c>
      <c r="J507" s="326"/>
    </row>
    <row r="508" spans="2:10" s="299" customFormat="1" ht="12.75" customHeight="1">
      <c r="B508" s="419">
        <v>502</v>
      </c>
      <c r="C508" s="400" t="s">
        <v>580</v>
      </c>
      <c r="D508" s="400" t="s">
        <v>650</v>
      </c>
      <c r="E508" s="399" t="s">
        <v>199</v>
      </c>
      <c r="F508" s="400" t="s">
        <v>243</v>
      </c>
      <c r="G508" s="406">
        <v>8</v>
      </c>
      <c r="H508" s="401">
        <v>128000</v>
      </c>
      <c r="I508" s="325">
        <f t="shared" si="8"/>
        <v>27200</v>
      </c>
      <c r="J508" s="326"/>
    </row>
    <row r="509" spans="2:10" s="299" customFormat="1" ht="12.75" customHeight="1">
      <c r="B509" s="419">
        <v>503</v>
      </c>
      <c r="C509" s="400" t="s">
        <v>567</v>
      </c>
      <c r="D509" s="400" t="s">
        <v>346</v>
      </c>
      <c r="E509" s="399" t="s">
        <v>222</v>
      </c>
      <c r="F509" s="400" t="s">
        <v>243</v>
      </c>
      <c r="G509" s="406">
        <v>2</v>
      </c>
      <c r="H509" s="401">
        <v>32000</v>
      </c>
      <c r="I509" s="325">
        <f t="shared" si="8"/>
        <v>6800</v>
      </c>
      <c r="J509" s="326"/>
    </row>
    <row r="510" spans="2:10" s="299" customFormat="1" ht="12.75" customHeight="1">
      <c r="B510" s="419">
        <v>504</v>
      </c>
      <c r="C510" s="400" t="s">
        <v>585</v>
      </c>
      <c r="D510" s="400" t="s">
        <v>648</v>
      </c>
      <c r="E510" s="399" t="s">
        <v>208</v>
      </c>
      <c r="F510" s="400" t="s">
        <v>243</v>
      </c>
      <c r="G510" s="406">
        <v>2</v>
      </c>
      <c r="H510" s="401">
        <v>70000</v>
      </c>
      <c r="I510" s="325">
        <f t="shared" si="8"/>
        <v>14875</v>
      </c>
      <c r="J510" s="326"/>
    </row>
    <row r="511" spans="2:10" s="299" customFormat="1" ht="12.75" customHeight="1">
      <c r="B511" s="419">
        <v>505</v>
      </c>
      <c r="C511" s="400" t="s">
        <v>512</v>
      </c>
      <c r="D511" s="400" t="s">
        <v>638</v>
      </c>
      <c r="E511" s="399" t="s">
        <v>183</v>
      </c>
      <c r="F511" s="400" t="s">
        <v>243</v>
      </c>
      <c r="G511" s="406">
        <v>2</v>
      </c>
      <c r="H511" s="401">
        <v>32000</v>
      </c>
      <c r="I511" s="325">
        <f t="shared" si="8"/>
        <v>6800</v>
      </c>
      <c r="J511" s="326"/>
    </row>
    <row r="512" spans="2:10" s="299" customFormat="1" ht="12.75" customHeight="1">
      <c r="B512" s="419">
        <v>506</v>
      </c>
      <c r="C512" s="400" t="s">
        <v>512</v>
      </c>
      <c r="D512" s="400" t="s">
        <v>638</v>
      </c>
      <c r="E512" s="399" t="s">
        <v>183</v>
      </c>
      <c r="F512" s="400" t="s">
        <v>243</v>
      </c>
      <c r="G512" s="406">
        <v>6</v>
      </c>
      <c r="H512" s="401">
        <v>96000</v>
      </c>
      <c r="I512" s="325">
        <f t="shared" si="8"/>
        <v>20400</v>
      </c>
      <c r="J512" s="326"/>
    </row>
    <row r="513" spans="2:10" s="299" customFormat="1" ht="12.75" customHeight="1">
      <c r="B513" s="419">
        <v>507</v>
      </c>
      <c r="C513" s="400" t="s">
        <v>535</v>
      </c>
      <c r="D513" s="400" t="s">
        <v>752</v>
      </c>
      <c r="E513" s="399" t="s">
        <v>235</v>
      </c>
      <c r="F513" s="400" t="s">
        <v>243</v>
      </c>
      <c r="G513" s="406">
        <v>2</v>
      </c>
      <c r="H513" s="401">
        <v>32000</v>
      </c>
      <c r="I513" s="325">
        <f t="shared" si="8"/>
        <v>6800</v>
      </c>
      <c r="J513" s="326"/>
    </row>
    <row r="514" spans="2:10" s="299" customFormat="1" ht="12.75" customHeight="1">
      <c r="B514" s="419">
        <v>508</v>
      </c>
      <c r="C514" s="400" t="s">
        <v>512</v>
      </c>
      <c r="D514" s="400" t="s">
        <v>638</v>
      </c>
      <c r="E514" s="399" t="s">
        <v>183</v>
      </c>
      <c r="F514" s="400" t="s">
        <v>243</v>
      </c>
      <c r="G514" s="406">
        <v>6</v>
      </c>
      <c r="H514" s="401">
        <v>96000</v>
      </c>
      <c r="I514" s="325">
        <f t="shared" si="8"/>
        <v>20400</v>
      </c>
      <c r="J514" s="326"/>
    </row>
    <row r="515" spans="2:10" s="299" customFormat="1" ht="12.75" customHeight="1">
      <c r="B515" s="419">
        <v>509</v>
      </c>
      <c r="C515" s="400" t="s">
        <v>390</v>
      </c>
      <c r="D515" s="400" t="s">
        <v>643</v>
      </c>
      <c r="E515" s="399" t="s">
        <v>197</v>
      </c>
      <c r="F515" s="400" t="s">
        <v>243</v>
      </c>
      <c r="G515" s="406">
        <v>1</v>
      </c>
      <c r="H515" s="401">
        <v>35000</v>
      </c>
      <c r="I515" s="325">
        <f t="shared" si="8"/>
        <v>7437.5</v>
      </c>
      <c r="J515" s="326"/>
    </row>
    <row r="516" spans="2:10" s="299" customFormat="1" ht="12.75" customHeight="1">
      <c r="B516" s="419">
        <v>510</v>
      </c>
      <c r="C516" s="400" t="s">
        <v>430</v>
      </c>
      <c r="D516" s="400" t="s">
        <v>684</v>
      </c>
      <c r="E516" s="399" t="s">
        <v>187</v>
      </c>
      <c r="F516" s="400" t="s">
        <v>243</v>
      </c>
      <c r="G516" s="406">
        <v>4</v>
      </c>
      <c r="H516" s="401">
        <v>140000</v>
      </c>
      <c r="I516" s="325">
        <f t="shared" si="8"/>
        <v>29750</v>
      </c>
      <c r="J516" s="326"/>
    </row>
    <row r="517" spans="2:10" s="299" customFormat="1" ht="12.75" customHeight="1">
      <c r="B517" s="419">
        <v>511</v>
      </c>
      <c r="C517" s="400" t="s">
        <v>567</v>
      </c>
      <c r="D517" s="400" t="s">
        <v>297</v>
      </c>
      <c r="E517" s="399" t="s">
        <v>187</v>
      </c>
      <c r="F517" s="400" t="s">
        <v>243</v>
      </c>
      <c r="G517" s="406">
        <v>2</v>
      </c>
      <c r="H517" s="401">
        <v>70000</v>
      </c>
      <c r="I517" s="325">
        <f t="shared" si="8"/>
        <v>14875</v>
      </c>
      <c r="J517" s="326"/>
    </row>
    <row r="518" spans="2:10" s="299" customFormat="1" ht="12.75" customHeight="1">
      <c r="B518" s="419">
        <v>512</v>
      </c>
      <c r="C518" s="400" t="s">
        <v>567</v>
      </c>
      <c r="D518" s="400" t="s">
        <v>297</v>
      </c>
      <c r="E518" s="399" t="s">
        <v>187</v>
      </c>
      <c r="F518" s="400" t="s">
        <v>243</v>
      </c>
      <c r="G518" s="406">
        <v>1</v>
      </c>
      <c r="H518" s="401">
        <v>35000</v>
      </c>
      <c r="I518" s="325">
        <f t="shared" si="8"/>
        <v>7437.5</v>
      </c>
      <c r="J518" s="326"/>
    </row>
    <row r="519" spans="2:10" s="299" customFormat="1" ht="12.75" customHeight="1">
      <c r="B519" s="419">
        <v>513</v>
      </c>
      <c r="C519" s="400" t="s">
        <v>567</v>
      </c>
      <c r="D519" s="400" t="s">
        <v>346</v>
      </c>
      <c r="E519" s="399" t="s">
        <v>222</v>
      </c>
      <c r="F519" s="400" t="s">
        <v>243</v>
      </c>
      <c r="G519" s="406">
        <v>2</v>
      </c>
      <c r="H519" s="401">
        <v>32000</v>
      </c>
      <c r="I519" s="325">
        <f t="shared" si="8"/>
        <v>6800</v>
      </c>
      <c r="J519" s="326"/>
    </row>
    <row r="520" spans="2:10" s="299" customFormat="1" ht="12.75" customHeight="1">
      <c r="B520" s="419">
        <v>514</v>
      </c>
      <c r="C520" s="400" t="s">
        <v>512</v>
      </c>
      <c r="D520" s="400" t="s">
        <v>307</v>
      </c>
      <c r="E520" s="399" t="s">
        <v>202</v>
      </c>
      <c r="F520" s="400" t="s">
        <v>243</v>
      </c>
      <c r="G520" s="406">
        <v>2</v>
      </c>
      <c r="H520" s="401">
        <v>70000</v>
      </c>
      <c r="I520" s="325">
        <f t="shared" si="8"/>
        <v>14875</v>
      </c>
      <c r="J520" s="326"/>
    </row>
    <row r="521" spans="2:10" s="299" customFormat="1" ht="12.75" customHeight="1">
      <c r="B521" s="419">
        <v>515</v>
      </c>
      <c r="C521" s="400" t="s">
        <v>571</v>
      </c>
      <c r="D521" s="400" t="s">
        <v>584</v>
      </c>
      <c r="E521" s="399" t="s">
        <v>233</v>
      </c>
      <c r="F521" s="400" t="s">
        <v>243</v>
      </c>
      <c r="G521" s="406">
        <v>4</v>
      </c>
      <c r="H521" s="401">
        <v>140000</v>
      </c>
      <c r="I521" s="325">
        <f t="shared" si="8"/>
        <v>29750</v>
      </c>
      <c r="J521" s="326"/>
    </row>
    <row r="522" spans="2:10" s="299" customFormat="1" ht="12.75" customHeight="1">
      <c r="B522" s="419">
        <v>516</v>
      </c>
      <c r="C522" s="400" t="s">
        <v>571</v>
      </c>
      <c r="D522" s="400" t="s">
        <v>638</v>
      </c>
      <c r="E522" s="399" t="s">
        <v>183</v>
      </c>
      <c r="F522" s="400" t="s">
        <v>243</v>
      </c>
      <c r="G522" s="406">
        <v>2</v>
      </c>
      <c r="H522" s="401">
        <v>32000</v>
      </c>
      <c r="I522" s="325">
        <f t="shared" si="8"/>
        <v>6800</v>
      </c>
      <c r="J522" s="326"/>
    </row>
    <row r="523" spans="2:10" s="299" customFormat="1" ht="12.75" customHeight="1">
      <c r="B523" s="419">
        <v>517</v>
      </c>
      <c r="C523" s="400" t="s">
        <v>567</v>
      </c>
      <c r="D523" s="400" t="s">
        <v>657</v>
      </c>
      <c r="E523" s="399" t="s">
        <v>183</v>
      </c>
      <c r="F523" s="400" t="s">
        <v>243</v>
      </c>
      <c r="G523" s="406">
        <v>2</v>
      </c>
      <c r="H523" s="401">
        <v>70000</v>
      </c>
      <c r="I523" s="325">
        <f t="shared" si="8"/>
        <v>14875</v>
      </c>
      <c r="J523" s="326"/>
    </row>
    <row r="524" spans="2:10" s="299" customFormat="1" ht="12.75" customHeight="1">
      <c r="B524" s="419">
        <v>518</v>
      </c>
      <c r="C524" s="400" t="s">
        <v>571</v>
      </c>
      <c r="D524" s="400" t="s">
        <v>638</v>
      </c>
      <c r="E524" s="399" t="s">
        <v>183</v>
      </c>
      <c r="F524" s="400" t="s">
        <v>243</v>
      </c>
      <c r="G524" s="406">
        <v>1</v>
      </c>
      <c r="H524" s="401">
        <v>16000</v>
      </c>
      <c r="I524" s="325">
        <f t="shared" si="8"/>
        <v>3400</v>
      </c>
      <c r="J524" s="326"/>
    </row>
    <row r="525" spans="2:10" s="299" customFormat="1" ht="12.75" customHeight="1">
      <c r="B525" s="419">
        <v>519</v>
      </c>
      <c r="C525" s="400" t="s">
        <v>571</v>
      </c>
      <c r="D525" s="400" t="s">
        <v>638</v>
      </c>
      <c r="E525" s="399" t="s">
        <v>183</v>
      </c>
      <c r="F525" s="400" t="s">
        <v>243</v>
      </c>
      <c r="G525" s="406">
        <v>2</v>
      </c>
      <c r="H525" s="401">
        <v>32000</v>
      </c>
      <c r="I525" s="325">
        <f t="shared" si="8"/>
        <v>6800</v>
      </c>
      <c r="J525" s="326"/>
    </row>
    <row r="526" spans="2:10" s="299" customFormat="1" ht="12.75" customHeight="1">
      <c r="B526" s="419">
        <v>520</v>
      </c>
      <c r="C526" s="400" t="s">
        <v>551</v>
      </c>
      <c r="D526" s="400" t="s">
        <v>690</v>
      </c>
      <c r="E526" s="399" t="s">
        <v>187</v>
      </c>
      <c r="F526" s="400" t="s">
        <v>243</v>
      </c>
      <c r="G526" s="406">
        <v>2</v>
      </c>
      <c r="H526" s="401">
        <v>70000</v>
      </c>
      <c r="I526" s="325">
        <f t="shared" si="8"/>
        <v>14875</v>
      </c>
      <c r="J526" s="326"/>
    </row>
    <row r="527" spans="2:10" s="299" customFormat="1" ht="12.75" customHeight="1">
      <c r="B527" s="419">
        <v>521</v>
      </c>
      <c r="C527" s="400" t="s">
        <v>512</v>
      </c>
      <c r="D527" s="400" t="s">
        <v>670</v>
      </c>
      <c r="E527" s="399" t="s">
        <v>227</v>
      </c>
      <c r="F527" s="400" t="s">
        <v>243</v>
      </c>
      <c r="G527" s="406">
        <v>2</v>
      </c>
      <c r="H527" s="401">
        <v>32000</v>
      </c>
      <c r="I527" s="325">
        <f t="shared" si="8"/>
        <v>6800</v>
      </c>
      <c r="J527" s="326"/>
    </row>
    <row r="528" spans="2:10" s="299" customFormat="1" ht="12.75" customHeight="1">
      <c r="B528" s="419">
        <v>522</v>
      </c>
      <c r="C528" s="400" t="s">
        <v>542</v>
      </c>
      <c r="D528" s="400" t="s">
        <v>347</v>
      </c>
      <c r="E528" s="399" t="s">
        <v>236</v>
      </c>
      <c r="F528" s="400" t="s">
        <v>243</v>
      </c>
      <c r="G528" s="406">
        <v>2</v>
      </c>
      <c r="H528" s="401">
        <v>70000</v>
      </c>
      <c r="I528" s="325">
        <f t="shared" si="8"/>
        <v>14875</v>
      </c>
      <c r="J528" s="326"/>
    </row>
    <row r="529" spans="2:10" s="299" customFormat="1" ht="12.75" customHeight="1">
      <c r="B529" s="419">
        <v>523</v>
      </c>
      <c r="C529" s="400" t="s">
        <v>407</v>
      </c>
      <c r="D529" s="400" t="s">
        <v>550</v>
      </c>
      <c r="E529" s="399" t="s">
        <v>181</v>
      </c>
      <c r="F529" s="400" t="s">
        <v>243</v>
      </c>
      <c r="G529" s="406">
        <v>1</v>
      </c>
      <c r="H529" s="401">
        <v>35000</v>
      </c>
      <c r="I529" s="325">
        <f t="shared" si="8"/>
        <v>7437.5</v>
      </c>
      <c r="J529" s="326"/>
    </row>
    <row r="530" spans="2:10" s="299" customFormat="1" ht="12.75" customHeight="1">
      <c r="B530" s="419">
        <v>524</v>
      </c>
      <c r="C530" s="400" t="s">
        <v>567</v>
      </c>
      <c r="D530" s="400" t="s">
        <v>346</v>
      </c>
      <c r="E530" s="399" t="s">
        <v>222</v>
      </c>
      <c r="F530" s="400" t="s">
        <v>243</v>
      </c>
      <c r="G530" s="406">
        <v>4</v>
      </c>
      <c r="H530" s="401">
        <v>64000</v>
      </c>
      <c r="I530" s="325">
        <f t="shared" si="8"/>
        <v>13600</v>
      </c>
      <c r="J530" s="326"/>
    </row>
    <row r="531" spans="2:10" s="299" customFormat="1" ht="12.75" customHeight="1">
      <c r="B531" s="419">
        <v>525</v>
      </c>
      <c r="C531" s="400" t="s">
        <v>535</v>
      </c>
      <c r="D531" s="400" t="s">
        <v>752</v>
      </c>
      <c r="E531" s="399" t="s">
        <v>235</v>
      </c>
      <c r="F531" s="400" t="s">
        <v>243</v>
      </c>
      <c r="G531" s="406">
        <v>2</v>
      </c>
      <c r="H531" s="401">
        <v>32000</v>
      </c>
      <c r="I531" s="325">
        <f t="shared" si="8"/>
        <v>6800</v>
      </c>
      <c r="J531" s="326"/>
    </row>
    <row r="532" spans="2:10" s="299" customFormat="1" ht="12.75" customHeight="1">
      <c r="B532" s="419">
        <v>526</v>
      </c>
      <c r="C532" s="400" t="s">
        <v>535</v>
      </c>
      <c r="D532" s="400" t="s">
        <v>752</v>
      </c>
      <c r="E532" s="399" t="s">
        <v>235</v>
      </c>
      <c r="F532" s="400" t="s">
        <v>243</v>
      </c>
      <c r="G532" s="406">
        <v>1</v>
      </c>
      <c r="H532" s="401">
        <v>16000</v>
      </c>
      <c r="I532" s="325">
        <f t="shared" si="8"/>
        <v>3400</v>
      </c>
      <c r="J532" s="326"/>
    </row>
    <row r="533" spans="2:10" s="299" customFormat="1" ht="12.75" customHeight="1">
      <c r="B533" s="419">
        <v>527</v>
      </c>
      <c r="C533" s="400" t="s">
        <v>577</v>
      </c>
      <c r="D533" s="400" t="s">
        <v>656</v>
      </c>
      <c r="E533" s="399" t="s">
        <v>219</v>
      </c>
      <c r="F533" s="400" t="s">
        <v>243</v>
      </c>
      <c r="G533" s="406">
        <v>1</v>
      </c>
      <c r="H533" s="401">
        <v>35000</v>
      </c>
      <c r="I533" s="325">
        <f t="shared" si="8"/>
        <v>7437.5</v>
      </c>
      <c r="J533" s="326"/>
    </row>
    <row r="534" spans="2:10" s="299" customFormat="1" ht="12.75" customHeight="1">
      <c r="B534" s="419">
        <v>528</v>
      </c>
      <c r="C534" s="400" t="s">
        <v>551</v>
      </c>
      <c r="D534" s="400" t="s">
        <v>690</v>
      </c>
      <c r="E534" s="399" t="s">
        <v>187</v>
      </c>
      <c r="F534" s="400" t="s">
        <v>243</v>
      </c>
      <c r="G534" s="406">
        <v>2</v>
      </c>
      <c r="H534" s="401">
        <v>70000</v>
      </c>
      <c r="I534" s="325">
        <f t="shared" ref="I534:I574" si="9">H534*21.25%</f>
        <v>14875</v>
      </c>
      <c r="J534" s="326"/>
    </row>
    <row r="535" spans="2:10" s="299" customFormat="1" ht="12.75" customHeight="1">
      <c r="B535" s="419">
        <v>529</v>
      </c>
      <c r="C535" s="400" t="s">
        <v>430</v>
      </c>
      <c r="D535" s="400" t="s">
        <v>684</v>
      </c>
      <c r="E535" s="399" t="s">
        <v>187</v>
      </c>
      <c r="F535" s="400" t="s">
        <v>243</v>
      </c>
      <c r="G535" s="406">
        <v>2</v>
      </c>
      <c r="H535" s="401">
        <v>70000</v>
      </c>
      <c r="I535" s="325">
        <f t="shared" si="9"/>
        <v>14875</v>
      </c>
      <c r="J535" s="326"/>
    </row>
    <row r="536" spans="2:10" s="299" customFormat="1" ht="12.75" customHeight="1">
      <c r="B536" s="419">
        <v>530</v>
      </c>
      <c r="C536" s="400" t="s">
        <v>396</v>
      </c>
      <c r="D536" s="400" t="s">
        <v>734</v>
      </c>
      <c r="E536" s="399" t="s">
        <v>181</v>
      </c>
      <c r="F536" s="400" t="s">
        <v>243</v>
      </c>
      <c r="G536" s="406">
        <v>3</v>
      </c>
      <c r="H536" s="401">
        <v>105000</v>
      </c>
      <c r="I536" s="325">
        <f t="shared" si="9"/>
        <v>22312.5</v>
      </c>
      <c r="J536" s="326"/>
    </row>
    <row r="537" spans="2:10" s="299" customFormat="1" ht="12.75" customHeight="1">
      <c r="B537" s="419">
        <v>531</v>
      </c>
      <c r="C537" s="400" t="s">
        <v>567</v>
      </c>
      <c r="D537" s="400" t="s">
        <v>657</v>
      </c>
      <c r="E537" s="399" t="s">
        <v>183</v>
      </c>
      <c r="F537" s="400" t="s">
        <v>243</v>
      </c>
      <c r="G537" s="406">
        <v>3</v>
      </c>
      <c r="H537" s="401">
        <v>105000</v>
      </c>
      <c r="I537" s="325">
        <f t="shared" si="9"/>
        <v>22312.5</v>
      </c>
      <c r="J537" s="326"/>
    </row>
    <row r="538" spans="2:10" s="299" customFormat="1" ht="12.75" customHeight="1">
      <c r="B538" s="419">
        <v>532</v>
      </c>
      <c r="C538" s="400" t="s">
        <v>577</v>
      </c>
      <c r="D538" s="400" t="s">
        <v>656</v>
      </c>
      <c r="E538" s="399" t="s">
        <v>219</v>
      </c>
      <c r="F538" s="400" t="s">
        <v>243</v>
      </c>
      <c r="G538" s="406">
        <v>1</v>
      </c>
      <c r="H538" s="401">
        <v>35000</v>
      </c>
      <c r="I538" s="325">
        <f t="shared" si="9"/>
        <v>7437.5</v>
      </c>
      <c r="J538" s="326"/>
    </row>
    <row r="539" spans="2:10" s="299" customFormat="1" ht="12.75" customHeight="1">
      <c r="B539" s="419">
        <v>533</v>
      </c>
      <c r="C539" s="400" t="s">
        <v>585</v>
      </c>
      <c r="D539" s="400" t="s">
        <v>648</v>
      </c>
      <c r="E539" s="399" t="s">
        <v>208</v>
      </c>
      <c r="F539" s="400" t="s">
        <v>243</v>
      </c>
      <c r="G539" s="406">
        <v>10</v>
      </c>
      <c r="H539" s="401">
        <v>350000</v>
      </c>
      <c r="I539" s="325">
        <f t="shared" si="9"/>
        <v>74375</v>
      </c>
      <c r="J539" s="326"/>
    </row>
    <row r="540" spans="2:10" s="299" customFormat="1" ht="12.75" customHeight="1">
      <c r="B540" s="419">
        <v>534</v>
      </c>
      <c r="C540" s="400" t="s">
        <v>577</v>
      </c>
      <c r="D540" s="400" t="s">
        <v>656</v>
      </c>
      <c r="E540" s="399" t="s">
        <v>219</v>
      </c>
      <c r="F540" s="400" t="s">
        <v>243</v>
      </c>
      <c r="G540" s="406">
        <v>2</v>
      </c>
      <c r="H540" s="401">
        <v>70000</v>
      </c>
      <c r="I540" s="325">
        <f t="shared" si="9"/>
        <v>14875</v>
      </c>
      <c r="J540" s="326"/>
    </row>
    <row r="541" spans="2:10" s="299" customFormat="1" ht="12.75" customHeight="1">
      <c r="B541" s="419">
        <v>535</v>
      </c>
      <c r="C541" s="400" t="s">
        <v>551</v>
      </c>
      <c r="D541" s="400" t="s">
        <v>690</v>
      </c>
      <c r="E541" s="399" t="s">
        <v>187</v>
      </c>
      <c r="F541" s="400" t="s">
        <v>243</v>
      </c>
      <c r="G541" s="406">
        <v>1</v>
      </c>
      <c r="H541" s="401">
        <v>35000</v>
      </c>
      <c r="I541" s="325">
        <f t="shared" si="9"/>
        <v>7437.5</v>
      </c>
      <c r="J541" s="326"/>
    </row>
    <row r="542" spans="2:10" s="299" customFormat="1" ht="12.75" customHeight="1">
      <c r="B542" s="419">
        <v>536</v>
      </c>
      <c r="C542" s="400" t="s">
        <v>430</v>
      </c>
      <c r="D542" s="400" t="s">
        <v>715</v>
      </c>
      <c r="E542" s="399" t="s">
        <v>197</v>
      </c>
      <c r="F542" s="400" t="s">
        <v>243</v>
      </c>
      <c r="G542" s="406">
        <v>1</v>
      </c>
      <c r="H542" s="401">
        <v>35000</v>
      </c>
      <c r="I542" s="325">
        <f t="shared" si="9"/>
        <v>7437.5</v>
      </c>
      <c r="J542" s="326"/>
    </row>
    <row r="543" spans="2:10" s="299" customFormat="1" ht="12.75" customHeight="1">
      <c r="B543" s="419">
        <v>537</v>
      </c>
      <c r="C543" s="400" t="s">
        <v>407</v>
      </c>
      <c r="D543" s="400" t="s">
        <v>550</v>
      </c>
      <c r="E543" s="399" t="s">
        <v>181</v>
      </c>
      <c r="F543" s="400" t="s">
        <v>243</v>
      </c>
      <c r="G543" s="406">
        <v>1</v>
      </c>
      <c r="H543" s="401">
        <v>35000</v>
      </c>
      <c r="I543" s="325">
        <f t="shared" si="9"/>
        <v>7437.5</v>
      </c>
      <c r="J543" s="326"/>
    </row>
    <row r="544" spans="2:10" s="299" customFormat="1" ht="12.75" customHeight="1">
      <c r="B544" s="419">
        <v>538</v>
      </c>
      <c r="C544" s="400" t="s">
        <v>390</v>
      </c>
      <c r="D544" s="400" t="s">
        <v>746</v>
      </c>
      <c r="E544" s="399" t="s">
        <v>235</v>
      </c>
      <c r="F544" s="400" t="s">
        <v>243</v>
      </c>
      <c r="G544" s="406">
        <v>2</v>
      </c>
      <c r="H544" s="401">
        <v>32000</v>
      </c>
      <c r="I544" s="325">
        <f t="shared" si="9"/>
        <v>6800</v>
      </c>
      <c r="J544" s="326"/>
    </row>
    <row r="545" spans="2:10" s="299" customFormat="1" ht="12.75" customHeight="1">
      <c r="B545" s="419">
        <v>539</v>
      </c>
      <c r="C545" s="400" t="s">
        <v>390</v>
      </c>
      <c r="D545" s="400" t="s">
        <v>643</v>
      </c>
      <c r="E545" s="399" t="s">
        <v>197</v>
      </c>
      <c r="F545" s="400" t="s">
        <v>243</v>
      </c>
      <c r="G545" s="406">
        <v>4</v>
      </c>
      <c r="H545" s="401">
        <v>140000</v>
      </c>
      <c r="I545" s="325">
        <f t="shared" si="9"/>
        <v>29750</v>
      </c>
      <c r="J545" s="326"/>
    </row>
    <row r="546" spans="2:10" s="299" customFormat="1" ht="12.75" customHeight="1">
      <c r="B546" s="419">
        <v>540</v>
      </c>
      <c r="C546" s="400" t="s">
        <v>585</v>
      </c>
      <c r="D546" s="400" t="s">
        <v>707</v>
      </c>
      <c r="E546" s="399" t="s">
        <v>215</v>
      </c>
      <c r="F546" s="400" t="s">
        <v>243</v>
      </c>
      <c r="G546" s="406">
        <v>1</v>
      </c>
      <c r="H546" s="401">
        <v>16000</v>
      </c>
      <c r="I546" s="325">
        <f t="shared" si="9"/>
        <v>3400</v>
      </c>
      <c r="J546" s="326"/>
    </row>
    <row r="547" spans="2:10" s="299" customFormat="1" ht="12.75" customHeight="1">
      <c r="B547" s="419">
        <v>541</v>
      </c>
      <c r="C547" s="400" t="s">
        <v>512</v>
      </c>
      <c r="D547" s="400" t="s">
        <v>488</v>
      </c>
      <c r="E547" s="399" t="s">
        <v>227</v>
      </c>
      <c r="F547" s="400" t="s">
        <v>243</v>
      </c>
      <c r="G547" s="406">
        <v>1</v>
      </c>
      <c r="H547" s="401">
        <v>16000</v>
      </c>
      <c r="I547" s="325">
        <f t="shared" si="9"/>
        <v>3400</v>
      </c>
      <c r="J547" s="326"/>
    </row>
    <row r="548" spans="2:10" s="299" customFormat="1" ht="12.75" customHeight="1">
      <c r="B548" s="419">
        <v>542</v>
      </c>
      <c r="C548" s="400" t="s">
        <v>571</v>
      </c>
      <c r="D548" s="400" t="s">
        <v>636</v>
      </c>
      <c r="E548" s="399" t="s">
        <v>202</v>
      </c>
      <c r="F548" s="400" t="s">
        <v>243</v>
      </c>
      <c r="G548" s="406">
        <v>2</v>
      </c>
      <c r="H548" s="401">
        <v>70000</v>
      </c>
      <c r="I548" s="325">
        <f t="shared" si="9"/>
        <v>14875</v>
      </c>
      <c r="J548" s="326"/>
    </row>
    <row r="549" spans="2:10" s="299" customFormat="1" ht="12.75" customHeight="1">
      <c r="B549" s="419">
        <v>543</v>
      </c>
      <c r="C549" s="400" t="s">
        <v>396</v>
      </c>
      <c r="D549" s="400" t="s">
        <v>734</v>
      </c>
      <c r="E549" s="399" t="s">
        <v>181</v>
      </c>
      <c r="F549" s="400" t="s">
        <v>243</v>
      </c>
      <c r="G549" s="406">
        <v>2</v>
      </c>
      <c r="H549" s="401">
        <v>70000</v>
      </c>
      <c r="I549" s="325">
        <f t="shared" si="9"/>
        <v>14875</v>
      </c>
      <c r="J549" s="326"/>
    </row>
    <row r="550" spans="2:10" s="299" customFormat="1" ht="12.75" customHeight="1">
      <c r="B550" s="419">
        <v>544</v>
      </c>
      <c r="C550" s="400" t="s">
        <v>551</v>
      </c>
      <c r="D550" s="400" t="s">
        <v>690</v>
      </c>
      <c r="E550" s="399" t="s">
        <v>187</v>
      </c>
      <c r="F550" s="400" t="s">
        <v>243</v>
      </c>
      <c r="G550" s="406">
        <v>1</v>
      </c>
      <c r="H550" s="401">
        <v>35000</v>
      </c>
      <c r="I550" s="325">
        <f t="shared" si="9"/>
        <v>7437.5</v>
      </c>
      <c r="J550" s="326"/>
    </row>
    <row r="551" spans="2:10" s="299" customFormat="1" ht="12.75" customHeight="1">
      <c r="B551" s="419">
        <v>545</v>
      </c>
      <c r="C551" s="400" t="s">
        <v>430</v>
      </c>
      <c r="D551" s="400" t="s">
        <v>715</v>
      </c>
      <c r="E551" s="399" t="s">
        <v>197</v>
      </c>
      <c r="F551" s="400" t="s">
        <v>243</v>
      </c>
      <c r="G551" s="406">
        <v>2</v>
      </c>
      <c r="H551" s="401">
        <v>70000</v>
      </c>
      <c r="I551" s="325">
        <f t="shared" si="9"/>
        <v>14875</v>
      </c>
      <c r="J551" s="326"/>
    </row>
    <row r="552" spans="2:10" s="299" customFormat="1" ht="12.75" customHeight="1">
      <c r="B552" s="419">
        <v>546</v>
      </c>
      <c r="C552" s="400" t="s">
        <v>512</v>
      </c>
      <c r="D552" s="400" t="s">
        <v>658</v>
      </c>
      <c r="E552" s="399" t="s">
        <v>208</v>
      </c>
      <c r="F552" s="400" t="s">
        <v>243</v>
      </c>
      <c r="G552" s="406">
        <v>3</v>
      </c>
      <c r="H552" s="401">
        <v>48000</v>
      </c>
      <c r="I552" s="325">
        <f t="shared" si="9"/>
        <v>10200</v>
      </c>
      <c r="J552" s="326"/>
    </row>
    <row r="553" spans="2:10" s="299" customFormat="1" ht="12.75" customHeight="1">
      <c r="B553" s="419">
        <v>547</v>
      </c>
      <c r="C553" s="400" t="s">
        <v>512</v>
      </c>
      <c r="D553" s="400" t="s">
        <v>488</v>
      </c>
      <c r="E553" s="399" t="s">
        <v>227</v>
      </c>
      <c r="F553" s="400" t="s">
        <v>243</v>
      </c>
      <c r="G553" s="406">
        <v>2</v>
      </c>
      <c r="H553" s="401">
        <v>32000</v>
      </c>
      <c r="I553" s="325">
        <f t="shared" si="9"/>
        <v>6800</v>
      </c>
      <c r="J553" s="326"/>
    </row>
    <row r="554" spans="2:10" s="299" customFormat="1" ht="12.75" customHeight="1">
      <c r="B554" s="419">
        <v>548</v>
      </c>
      <c r="C554" s="400" t="s">
        <v>585</v>
      </c>
      <c r="D554" s="400" t="s">
        <v>648</v>
      </c>
      <c r="E554" s="399" t="s">
        <v>208</v>
      </c>
      <c r="F554" s="400" t="s">
        <v>243</v>
      </c>
      <c r="G554" s="406">
        <v>5</v>
      </c>
      <c r="H554" s="401">
        <v>175000</v>
      </c>
      <c r="I554" s="325">
        <f t="shared" si="9"/>
        <v>37187.5</v>
      </c>
      <c r="J554" s="326"/>
    </row>
    <row r="555" spans="2:10" s="299" customFormat="1" ht="12.75" customHeight="1">
      <c r="B555" s="419">
        <v>549</v>
      </c>
      <c r="C555" s="400" t="s">
        <v>585</v>
      </c>
      <c r="D555" s="400" t="s">
        <v>648</v>
      </c>
      <c r="E555" s="399" t="s">
        <v>208</v>
      </c>
      <c r="F555" s="400" t="s">
        <v>243</v>
      </c>
      <c r="G555" s="406">
        <v>4</v>
      </c>
      <c r="H555" s="401">
        <v>140000</v>
      </c>
      <c r="I555" s="325">
        <f t="shared" si="9"/>
        <v>29750</v>
      </c>
      <c r="J555" s="326"/>
    </row>
    <row r="556" spans="2:10" s="299" customFormat="1" ht="12.75" customHeight="1">
      <c r="B556" s="419">
        <v>550</v>
      </c>
      <c r="C556" s="400" t="s">
        <v>606</v>
      </c>
      <c r="D556" s="400" t="s">
        <v>673</v>
      </c>
      <c r="E556" s="399" t="s">
        <v>222</v>
      </c>
      <c r="F556" s="400" t="s">
        <v>243</v>
      </c>
      <c r="G556" s="406">
        <v>1</v>
      </c>
      <c r="H556" s="401">
        <v>35000</v>
      </c>
      <c r="I556" s="325">
        <f t="shared" si="9"/>
        <v>7437.5</v>
      </c>
      <c r="J556" s="326"/>
    </row>
    <row r="557" spans="2:10" s="299" customFormat="1" ht="12.75" customHeight="1">
      <c r="B557" s="419">
        <v>551</v>
      </c>
      <c r="C557" s="400" t="s">
        <v>571</v>
      </c>
      <c r="D557" s="400" t="s">
        <v>298</v>
      </c>
      <c r="E557" s="399" t="s">
        <v>193</v>
      </c>
      <c r="F557" s="400" t="s">
        <v>243</v>
      </c>
      <c r="G557" s="406">
        <v>4</v>
      </c>
      <c r="H557" s="401">
        <v>64000</v>
      </c>
      <c r="I557" s="325">
        <f t="shared" si="9"/>
        <v>13600</v>
      </c>
      <c r="J557" s="326"/>
    </row>
    <row r="558" spans="2:10" s="299" customFormat="1" ht="12.75" customHeight="1">
      <c r="B558" s="419">
        <v>552</v>
      </c>
      <c r="C558" s="400" t="s">
        <v>555</v>
      </c>
      <c r="D558" s="400" t="s">
        <v>613</v>
      </c>
      <c r="E558" s="399" t="s">
        <v>199</v>
      </c>
      <c r="F558" s="400" t="s">
        <v>243</v>
      </c>
      <c r="G558" s="406">
        <v>1</v>
      </c>
      <c r="H558" s="401">
        <v>16000</v>
      </c>
      <c r="I558" s="325">
        <f t="shared" si="9"/>
        <v>3400</v>
      </c>
      <c r="J558" s="326"/>
    </row>
    <row r="559" spans="2:10" s="299" customFormat="1" ht="12.75" customHeight="1">
      <c r="B559" s="419">
        <v>553</v>
      </c>
      <c r="C559" s="400" t="s">
        <v>567</v>
      </c>
      <c r="D559" s="400" t="s">
        <v>657</v>
      </c>
      <c r="E559" s="399" t="s">
        <v>183</v>
      </c>
      <c r="F559" s="400" t="s">
        <v>243</v>
      </c>
      <c r="G559" s="406">
        <v>2</v>
      </c>
      <c r="H559" s="401">
        <v>70000</v>
      </c>
      <c r="I559" s="325">
        <f t="shared" si="9"/>
        <v>14875</v>
      </c>
      <c r="J559" s="326"/>
    </row>
    <row r="560" spans="2:10" s="299" customFormat="1" ht="12.75" customHeight="1">
      <c r="B560" s="419">
        <v>554</v>
      </c>
      <c r="C560" s="400" t="s">
        <v>430</v>
      </c>
      <c r="D560" s="400" t="s">
        <v>684</v>
      </c>
      <c r="E560" s="399" t="s">
        <v>187</v>
      </c>
      <c r="F560" s="400" t="s">
        <v>243</v>
      </c>
      <c r="G560" s="406">
        <v>2</v>
      </c>
      <c r="H560" s="401">
        <v>70000</v>
      </c>
      <c r="I560" s="325">
        <f t="shared" si="9"/>
        <v>14875</v>
      </c>
      <c r="J560" s="326"/>
    </row>
    <row r="561" spans="2:10" s="299" customFormat="1" ht="12.75" customHeight="1">
      <c r="B561" s="419">
        <v>555</v>
      </c>
      <c r="C561" s="400" t="s">
        <v>580</v>
      </c>
      <c r="D561" s="400" t="s">
        <v>721</v>
      </c>
      <c r="E561" s="399" t="s">
        <v>201</v>
      </c>
      <c r="F561" s="400" t="s">
        <v>243</v>
      </c>
      <c r="G561" s="406">
        <v>1</v>
      </c>
      <c r="H561" s="401">
        <v>35000</v>
      </c>
      <c r="I561" s="325">
        <f t="shared" si="9"/>
        <v>7437.5</v>
      </c>
      <c r="J561" s="326"/>
    </row>
    <row r="562" spans="2:10" s="299" customFormat="1" ht="12.75" customHeight="1">
      <c r="B562" s="419">
        <v>556</v>
      </c>
      <c r="C562" s="400" t="s">
        <v>553</v>
      </c>
      <c r="D562" s="400" t="s">
        <v>320</v>
      </c>
      <c r="E562" s="399" t="s">
        <v>188</v>
      </c>
      <c r="F562" s="400" t="s">
        <v>243</v>
      </c>
      <c r="G562" s="406">
        <v>6</v>
      </c>
      <c r="H562" s="401">
        <v>96000</v>
      </c>
      <c r="I562" s="325">
        <f t="shared" si="9"/>
        <v>20400</v>
      </c>
      <c r="J562" s="326"/>
    </row>
    <row r="563" spans="2:10" s="299" customFormat="1" ht="12.75" customHeight="1">
      <c r="B563" s="419">
        <v>557</v>
      </c>
      <c r="C563" s="400" t="s">
        <v>390</v>
      </c>
      <c r="D563" s="400" t="s">
        <v>746</v>
      </c>
      <c r="E563" s="399" t="s">
        <v>235</v>
      </c>
      <c r="F563" s="400" t="s">
        <v>243</v>
      </c>
      <c r="G563" s="406">
        <v>1</v>
      </c>
      <c r="H563" s="401">
        <v>16000</v>
      </c>
      <c r="I563" s="325">
        <f t="shared" si="9"/>
        <v>3400</v>
      </c>
      <c r="J563" s="326"/>
    </row>
    <row r="564" spans="2:10" s="299" customFormat="1" ht="12.75" customHeight="1">
      <c r="B564" s="419">
        <v>558</v>
      </c>
      <c r="C564" s="400" t="s">
        <v>542</v>
      </c>
      <c r="D564" s="400" t="s">
        <v>347</v>
      </c>
      <c r="E564" s="399" t="s">
        <v>236</v>
      </c>
      <c r="F564" s="400" t="s">
        <v>243</v>
      </c>
      <c r="G564" s="406">
        <v>2</v>
      </c>
      <c r="H564" s="401">
        <v>70000</v>
      </c>
      <c r="I564" s="325">
        <f t="shared" si="9"/>
        <v>14875</v>
      </c>
      <c r="J564" s="326"/>
    </row>
    <row r="565" spans="2:10" s="299" customFormat="1" ht="12.75" customHeight="1">
      <c r="B565" s="419">
        <v>559</v>
      </c>
      <c r="C565" s="400" t="s">
        <v>585</v>
      </c>
      <c r="D565" s="400" t="s">
        <v>648</v>
      </c>
      <c r="E565" s="399" t="s">
        <v>208</v>
      </c>
      <c r="F565" s="400" t="s">
        <v>243</v>
      </c>
      <c r="G565" s="406">
        <v>1</v>
      </c>
      <c r="H565" s="401">
        <v>35000</v>
      </c>
      <c r="I565" s="325">
        <f t="shared" si="9"/>
        <v>7437.5</v>
      </c>
      <c r="J565" s="326"/>
    </row>
    <row r="566" spans="2:10" s="299" customFormat="1" ht="12.75" customHeight="1">
      <c r="B566" s="419">
        <v>560</v>
      </c>
      <c r="C566" s="400" t="s">
        <v>580</v>
      </c>
      <c r="D566" s="400" t="s">
        <v>650</v>
      </c>
      <c r="E566" s="399" t="s">
        <v>199</v>
      </c>
      <c r="F566" s="400" t="s">
        <v>243</v>
      </c>
      <c r="G566" s="406">
        <v>1</v>
      </c>
      <c r="H566" s="401">
        <v>16000</v>
      </c>
      <c r="I566" s="325">
        <f t="shared" si="9"/>
        <v>3400</v>
      </c>
      <c r="J566" s="326"/>
    </row>
    <row r="567" spans="2:10" s="299" customFormat="1" ht="12.75" customHeight="1">
      <c r="B567" s="419">
        <v>561</v>
      </c>
      <c r="C567" s="400" t="s">
        <v>571</v>
      </c>
      <c r="D567" s="400" t="s">
        <v>638</v>
      </c>
      <c r="E567" s="399" t="s">
        <v>183</v>
      </c>
      <c r="F567" s="400" t="s">
        <v>243</v>
      </c>
      <c r="G567" s="406">
        <v>1</v>
      </c>
      <c r="H567" s="401">
        <v>16000</v>
      </c>
      <c r="I567" s="325">
        <f t="shared" si="9"/>
        <v>3400</v>
      </c>
      <c r="J567" s="326"/>
    </row>
    <row r="568" spans="2:10" s="299" customFormat="1" ht="12.75" customHeight="1">
      <c r="B568" s="419">
        <v>562</v>
      </c>
      <c r="C568" s="400" t="s">
        <v>553</v>
      </c>
      <c r="D568" s="400" t="s">
        <v>320</v>
      </c>
      <c r="E568" s="399" t="s">
        <v>188</v>
      </c>
      <c r="F568" s="400" t="s">
        <v>243</v>
      </c>
      <c r="G568" s="406">
        <v>3</v>
      </c>
      <c r="H568" s="401">
        <v>48000</v>
      </c>
      <c r="I568" s="325">
        <f t="shared" si="9"/>
        <v>10200</v>
      </c>
      <c r="J568" s="326"/>
    </row>
    <row r="569" spans="2:10" s="299" customFormat="1" ht="12.75" customHeight="1">
      <c r="B569" s="419">
        <v>563</v>
      </c>
      <c r="C569" s="400" t="s">
        <v>435</v>
      </c>
      <c r="D569" s="400" t="s">
        <v>333</v>
      </c>
      <c r="E569" s="399" t="s">
        <v>227</v>
      </c>
      <c r="F569" s="400" t="s">
        <v>243</v>
      </c>
      <c r="G569" s="406">
        <v>2</v>
      </c>
      <c r="H569" s="401">
        <v>70000</v>
      </c>
      <c r="I569" s="325">
        <f t="shared" si="9"/>
        <v>14875</v>
      </c>
      <c r="J569" s="326"/>
    </row>
    <row r="570" spans="2:10" s="299" customFormat="1" ht="12.75" customHeight="1">
      <c r="B570" s="419">
        <v>564</v>
      </c>
      <c r="C570" s="400" t="s">
        <v>430</v>
      </c>
      <c r="D570" s="400" t="s">
        <v>715</v>
      </c>
      <c r="E570" s="399" t="s">
        <v>197</v>
      </c>
      <c r="F570" s="400" t="s">
        <v>243</v>
      </c>
      <c r="G570" s="406">
        <v>2</v>
      </c>
      <c r="H570" s="401">
        <v>70000</v>
      </c>
      <c r="I570" s="325">
        <f t="shared" si="9"/>
        <v>14875</v>
      </c>
      <c r="J570" s="326"/>
    </row>
    <row r="571" spans="2:10" s="299" customFormat="1" ht="12.75" customHeight="1">
      <c r="B571" s="419">
        <v>565</v>
      </c>
      <c r="C571" s="400" t="s">
        <v>555</v>
      </c>
      <c r="D571" s="400" t="s">
        <v>613</v>
      </c>
      <c r="E571" s="399" t="s">
        <v>199</v>
      </c>
      <c r="F571" s="400" t="s">
        <v>243</v>
      </c>
      <c r="G571" s="406">
        <v>2</v>
      </c>
      <c r="H571" s="401">
        <v>32000</v>
      </c>
      <c r="I571" s="325">
        <f t="shared" si="9"/>
        <v>6800</v>
      </c>
      <c r="J571" s="326"/>
    </row>
    <row r="572" spans="2:10" s="299" customFormat="1" ht="12.75" customHeight="1">
      <c r="B572" s="419">
        <v>566</v>
      </c>
      <c r="C572" s="400" t="s">
        <v>390</v>
      </c>
      <c r="D572" s="400" t="s">
        <v>746</v>
      </c>
      <c r="E572" s="399" t="s">
        <v>235</v>
      </c>
      <c r="F572" s="400" t="s">
        <v>243</v>
      </c>
      <c r="G572" s="406">
        <v>1</v>
      </c>
      <c r="H572" s="401">
        <v>16000</v>
      </c>
      <c r="I572" s="325">
        <f t="shared" si="9"/>
        <v>3400</v>
      </c>
      <c r="J572" s="326"/>
    </row>
    <row r="573" spans="2:10" s="299" customFormat="1" ht="12.75" customHeight="1">
      <c r="B573" s="419">
        <v>567</v>
      </c>
      <c r="C573" s="400" t="s">
        <v>567</v>
      </c>
      <c r="D573" s="400" t="s">
        <v>346</v>
      </c>
      <c r="E573" s="399" t="s">
        <v>222</v>
      </c>
      <c r="F573" s="400" t="s">
        <v>243</v>
      </c>
      <c r="G573" s="406">
        <v>1</v>
      </c>
      <c r="H573" s="401">
        <v>16000</v>
      </c>
      <c r="I573" s="325">
        <f t="shared" si="9"/>
        <v>3400</v>
      </c>
      <c r="J573" s="326"/>
    </row>
    <row r="574" spans="2:10" s="299" customFormat="1" ht="12.75" customHeight="1">
      <c r="B574" s="419">
        <v>568</v>
      </c>
      <c r="C574" s="400" t="s">
        <v>544</v>
      </c>
      <c r="D574" s="400" t="s">
        <v>641</v>
      </c>
      <c r="E574" s="399" t="s">
        <v>199</v>
      </c>
      <c r="F574" s="400" t="s">
        <v>243</v>
      </c>
      <c r="G574" s="406">
        <v>2</v>
      </c>
      <c r="H574" s="401">
        <v>70000</v>
      </c>
      <c r="I574" s="325">
        <f t="shared" si="9"/>
        <v>14875</v>
      </c>
      <c r="J574" s="326"/>
    </row>
    <row r="575" spans="2:10" s="149" customFormat="1">
      <c r="B575" s="293"/>
      <c r="C575" s="339"/>
      <c r="D575" s="295" t="s">
        <v>83</v>
      </c>
      <c r="E575" s="339"/>
      <c r="F575" s="295"/>
      <c r="G575" s="294">
        <f>SUBTOTAL(9,G7:G574)</f>
        <v>1571</v>
      </c>
      <c r="H575" s="294">
        <f>SUBTOTAL(9,H7:H574)</f>
        <v>135620000</v>
      </c>
      <c r="I575" s="294">
        <f>SUBTOTAL(9,I7:I574)</f>
        <v>25691975</v>
      </c>
    </row>
    <row r="576" spans="2:10" ht="18.75" customHeight="1">
      <c r="B576" s="311"/>
      <c r="C576" s="358"/>
      <c r="D576" s="312"/>
      <c r="E576" s="353"/>
      <c r="F576" s="467" t="s">
        <v>787</v>
      </c>
      <c r="G576" s="467"/>
      <c r="H576" s="467"/>
      <c r="I576" s="467"/>
      <c r="J576" s="156"/>
    </row>
    <row r="577" spans="2:11" ht="15.75">
      <c r="B577" s="469" t="s">
        <v>35</v>
      </c>
      <c r="C577" s="469"/>
      <c r="D577" s="469"/>
      <c r="E577" s="354"/>
      <c r="F577" s="447" t="s">
        <v>115</v>
      </c>
      <c r="G577" s="447"/>
      <c r="H577" s="447"/>
      <c r="I577" s="447"/>
      <c r="J577" s="121"/>
    </row>
    <row r="578" spans="2:11" ht="18.75">
      <c r="B578" s="313"/>
      <c r="C578" s="313"/>
      <c r="D578" s="313"/>
      <c r="E578" s="354"/>
      <c r="F578" s="314"/>
      <c r="G578" s="314"/>
      <c r="H578" s="472"/>
      <c r="I578" s="472"/>
      <c r="J578" s="128"/>
    </row>
    <row r="579" spans="2:11" ht="18.75">
      <c r="B579" s="313"/>
      <c r="C579" s="313"/>
      <c r="D579" s="313"/>
      <c r="E579" s="354"/>
      <c r="F579" s="319"/>
      <c r="G579" s="314"/>
      <c r="H579" s="471"/>
      <c r="I579" s="471"/>
      <c r="J579" s="128"/>
    </row>
    <row r="580" spans="2:11" ht="18.75">
      <c r="B580" s="311"/>
      <c r="C580" s="358"/>
      <c r="D580" s="315"/>
      <c r="E580" s="355"/>
      <c r="F580" s="316"/>
      <c r="G580" s="316"/>
      <c r="H580" s="272"/>
      <c r="I580" s="272"/>
      <c r="J580" s="128"/>
    </row>
    <row r="581" spans="2:11" ht="15.75">
      <c r="B581" s="470" t="s">
        <v>96</v>
      </c>
      <c r="C581" s="470"/>
      <c r="D581" s="470"/>
      <c r="E581" s="355"/>
      <c r="F581" s="468" t="s">
        <v>262</v>
      </c>
      <c r="G581" s="468"/>
      <c r="H581" s="468"/>
      <c r="I581" s="468"/>
      <c r="J581" s="157"/>
      <c r="K581" s="149"/>
    </row>
    <row r="582" spans="2:11" ht="15.75">
      <c r="B582" s="311"/>
      <c r="C582" s="358"/>
      <c r="D582" s="315"/>
      <c r="E582" s="355"/>
      <c r="F582" s="236"/>
      <c r="G582" s="313"/>
      <c r="H582" s="317"/>
      <c r="I582" s="315"/>
    </row>
    <row r="583" spans="2:11">
      <c r="E583" s="159"/>
      <c r="F583" s="159"/>
      <c r="G583" s="248"/>
      <c r="H583" s="99"/>
      <c r="I583" s="183"/>
    </row>
    <row r="584" spans="2:11">
      <c r="E584" s="159"/>
      <c r="F584" s="159"/>
      <c r="G584" s="248"/>
      <c r="H584" s="99"/>
    </row>
    <row r="585" spans="2:11">
      <c r="E585" s="159"/>
      <c r="F585" s="159"/>
      <c r="G585" s="248"/>
      <c r="H585" s="99"/>
    </row>
    <row r="586" spans="2:11">
      <c r="E586" s="159"/>
      <c r="F586" s="159"/>
      <c r="G586" s="248"/>
      <c r="H586" s="99"/>
    </row>
    <row r="587" spans="2:11">
      <c r="E587" s="159"/>
      <c r="F587" s="159"/>
      <c r="G587" s="248"/>
      <c r="H587" s="99"/>
    </row>
    <row r="588" spans="2:11">
      <c r="E588" s="159"/>
      <c r="F588" s="159"/>
      <c r="G588" s="248"/>
      <c r="H588" s="99"/>
    </row>
    <row r="589" spans="2:11">
      <c r="E589" s="159"/>
      <c r="F589" s="159"/>
      <c r="G589" s="248"/>
      <c r="H589" s="99"/>
    </row>
    <row r="590" spans="2:11">
      <c r="E590" s="159"/>
      <c r="F590" s="159"/>
      <c r="G590" s="248"/>
      <c r="H590" s="99"/>
    </row>
    <row r="591" spans="2:11">
      <c r="E591" s="159"/>
      <c r="F591" s="159"/>
      <c r="G591" s="248"/>
      <c r="H591" s="99"/>
    </row>
    <row r="592" spans="2:11">
      <c r="E592" s="159"/>
      <c r="F592" s="159"/>
      <c r="G592" s="248"/>
      <c r="H592" s="99"/>
    </row>
    <row r="593" spans="5:8">
      <c r="E593" s="159"/>
      <c r="F593" s="159"/>
      <c r="G593" s="248"/>
      <c r="H593" s="99"/>
    </row>
    <row r="594" spans="5:8">
      <c r="E594" s="159"/>
      <c r="F594" s="159"/>
      <c r="G594" s="248"/>
      <c r="H594" s="99"/>
    </row>
    <row r="595" spans="5:8">
      <c r="E595" s="159"/>
      <c r="F595" s="159"/>
      <c r="G595" s="248"/>
      <c r="H595" s="99"/>
    </row>
    <row r="596" spans="5:8">
      <c r="E596" s="159"/>
      <c r="F596" s="159"/>
      <c r="G596" s="248"/>
      <c r="H596" s="99"/>
    </row>
    <row r="597" spans="5:8">
      <c r="E597" s="159"/>
      <c r="F597" s="159"/>
      <c r="G597" s="248"/>
      <c r="H597" s="99"/>
    </row>
    <row r="598" spans="5:8">
      <c r="E598" s="159"/>
      <c r="F598" s="159"/>
      <c r="G598" s="248"/>
      <c r="H598" s="99"/>
    </row>
    <row r="599" spans="5:8">
      <c r="E599" s="159"/>
      <c r="F599" s="159"/>
      <c r="G599" s="248"/>
      <c r="H599" s="99"/>
    </row>
    <row r="600" spans="5:8">
      <c r="E600" s="159"/>
      <c r="F600" s="159"/>
      <c r="G600" s="248"/>
      <c r="H600" s="99"/>
    </row>
    <row r="601" spans="5:8">
      <c r="E601" s="159"/>
      <c r="F601" s="159"/>
      <c r="G601" s="248"/>
      <c r="H601" s="99"/>
    </row>
    <row r="602" spans="5:8">
      <c r="E602" s="159"/>
      <c r="F602" s="159"/>
      <c r="G602" s="248"/>
      <c r="H602" s="99"/>
    </row>
    <row r="603" spans="5:8">
      <c r="E603" s="159"/>
      <c r="F603" s="159"/>
      <c r="G603" s="248"/>
      <c r="H603" s="99"/>
    </row>
    <row r="604" spans="5:8">
      <c r="E604" s="159"/>
      <c r="F604" s="159"/>
      <c r="G604" s="248"/>
      <c r="H604" s="99"/>
    </row>
    <row r="605" spans="5:8">
      <c r="E605" s="159"/>
      <c r="F605" s="159"/>
      <c r="G605" s="248"/>
      <c r="H605" s="99"/>
    </row>
    <row r="606" spans="5:8">
      <c r="E606" s="159"/>
      <c r="F606" s="159"/>
      <c r="G606" s="248"/>
      <c r="H606" s="99"/>
    </row>
    <row r="607" spans="5:8">
      <c r="E607" s="159"/>
      <c r="F607" s="159"/>
      <c r="G607" s="248"/>
      <c r="H607" s="99"/>
    </row>
    <row r="608" spans="5:8">
      <c r="E608" s="159"/>
      <c r="F608" s="159"/>
      <c r="G608" s="248"/>
      <c r="H608" s="99"/>
    </row>
    <row r="609" spans="5:8">
      <c r="E609" s="159"/>
      <c r="F609" s="159"/>
      <c r="G609" s="248"/>
      <c r="H609" s="99"/>
    </row>
    <row r="610" spans="5:8">
      <c r="E610" s="159"/>
      <c r="F610" s="159"/>
      <c r="G610" s="248"/>
      <c r="H610" s="99"/>
    </row>
    <row r="611" spans="5:8">
      <c r="E611" s="159"/>
      <c r="F611" s="159"/>
      <c r="G611" s="248"/>
      <c r="H611" s="99"/>
    </row>
    <row r="612" spans="5:8">
      <c r="E612" s="159"/>
      <c r="F612" s="159"/>
      <c r="G612" s="248"/>
      <c r="H612" s="99"/>
    </row>
    <row r="613" spans="5:8">
      <c r="E613" s="159"/>
      <c r="F613" s="159"/>
      <c r="G613" s="248"/>
      <c r="H613" s="99"/>
    </row>
    <row r="614" spans="5:8">
      <c r="E614" s="159"/>
      <c r="F614" s="159"/>
      <c r="G614" s="248"/>
      <c r="H614" s="99"/>
    </row>
    <row r="615" spans="5:8">
      <c r="E615" s="159"/>
      <c r="F615" s="159"/>
      <c r="G615" s="248"/>
      <c r="H615" s="99"/>
    </row>
    <row r="616" spans="5:8">
      <c r="E616" s="159"/>
      <c r="F616" s="159"/>
      <c r="G616" s="248"/>
      <c r="H616" s="99"/>
    </row>
    <row r="617" spans="5:8">
      <c r="E617" s="159"/>
      <c r="F617" s="159"/>
      <c r="G617" s="248"/>
      <c r="H617" s="99"/>
    </row>
    <row r="618" spans="5:8">
      <c r="E618" s="159"/>
      <c r="F618" s="159"/>
      <c r="G618" s="248"/>
      <c r="H618" s="99"/>
    </row>
    <row r="619" spans="5:8">
      <c r="E619" s="159"/>
      <c r="F619" s="159"/>
      <c r="G619" s="248"/>
      <c r="H619" s="99"/>
    </row>
    <row r="620" spans="5:8">
      <c r="E620" s="159"/>
      <c r="F620" s="159"/>
      <c r="G620" s="248"/>
      <c r="H620" s="99"/>
    </row>
    <row r="621" spans="5:8">
      <c r="E621" s="159"/>
      <c r="F621" s="159"/>
      <c r="G621" s="248"/>
      <c r="H621" s="99"/>
    </row>
    <row r="622" spans="5:8">
      <c r="E622" s="159"/>
      <c r="F622" s="159"/>
      <c r="G622" s="248"/>
      <c r="H622" s="99"/>
    </row>
    <row r="623" spans="5:8">
      <c r="E623" s="159"/>
      <c r="F623" s="159"/>
      <c r="G623" s="248"/>
      <c r="H623" s="99"/>
    </row>
    <row r="624" spans="5:8">
      <c r="E624" s="159"/>
      <c r="F624" s="159"/>
      <c r="G624" s="248"/>
      <c r="H624" s="99"/>
    </row>
    <row r="625" spans="5:8">
      <c r="E625" s="159"/>
      <c r="F625" s="159"/>
      <c r="G625" s="248"/>
      <c r="H625" s="99"/>
    </row>
    <row r="626" spans="5:8">
      <c r="E626" s="159"/>
      <c r="F626" s="159"/>
      <c r="G626" s="248"/>
      <c r="H626" s="99"/>
    </row>
    <row r="627" spans="5:8">
      <c r="E627" s="159"/>
      <c r="F627" s="159"/>
      <c r="G627" s="248"/>
      <c r="H627" s="99"/>
    </row>
    <row r="628" spans="5:8">
      <c r="E628" s="159"/>
      <c r="F628" s="159"/>
      <c r="G628" s="248"/>
      <c r="H628" s="99"/>
    </row>
    <row r="629" spans="5:8">
      <c r="E629" s="159"/>
      <c r="F629" s="159"/>
      <c r="G629" s="248"/>
      <c r="H629" s="99"/>
    </row>
    <row r="630" spans="5:8">
      <c r="E630" s="159"/>
      <c r="F630" s="159"/>
      <c r="G630" s="248"/>
      <c r="H630" s="99"/>
    </row>
    <row r="631" spans="5:8">
      <c r="E631" s="159"/>
      <c r="F631" s="159"/>
      <c r="G631" s="248"/>
      <c r="H631" s="99"/>
    </row>
    <row r="632" spans="5:8">
      <c r="E632" s="159"/>
      <c r="F632" s="159"/>
      <c r="G632" s="248"/>
      <c r="H632" s="99"/>
    </row>
    <row r="633" spans="5:8">
      <c r="E633" s="159"/>
      <c r="F633" s="159"/>
      <c r="G633" s="248"/>
      <c r="H633" s="99"/>
    </row>
    <row r="634" spans="5:8">
      <c r="E634" s="159"/>
      <c r="F634" s="159"/>
      <c r="G634" s="248"/>
      <c r="H634" s="99"/>
    </row>
    <row r="635" spans="5:8">
      <c r="E635" s="159"/>
      <c r="F635" s="159"/>
      <c r="G635" s="248"/>
      <c r="H635" s="99"/>
    </row>
    <row r="636" spans="5:8">
      <c r="E636" s="159"/>
      <c r="F636" s="159"/>
      <c r="G636" s="248"/>
      <c r="H636" s="99"/>
    </row>
    <row r="637" spans="5:8">
      <c r="E637" s="159"/>
      <c r="F637" s="159"/>
      <c r="G637" s="248"/>
      <c r="H637" s="99"/>
    </row>
    <row r="638" spans="5:8">
      <c r="E638" s="159"/>
      <c r="F638" s="159"/>
      <c r="G638" s="248"/>
      <c r="H638" s="99"/>
    </row>
    <row r="639" spans="5:8">
      <c r="E639" s="159"/>
      <c r="F639" s="159"/>
      <c r="G639" s="248"/>
      <c r="H639" s="99"/>
    </row>
    <row r="640" spans="5:8">
      <c r="E640" s="159"/>
      <c r="F640" s="159"/>
      <c r="G640" s="248"/>
      <c r="H640" s="99"/>
    </row>
    <row r="641" spans="5:8">
      <c r="E641" s="159"/>
      <c r="F641" s="159"/>
      <c r="G641" s="248"/>
      <c r="H641" s="99"/>
    </row>
    <row r="642" spans="5:8">
      <c r="E642" s="159"/>
      <c r="F642" s="159"/>
      <c r="G642" s="248"/>
      <c r="H642" s="99"/>
    </row>
    <row r="643" spans="5:8">
      <c r="E643" s="159"/>
      <c r="F643" s="159"/>
      <c r="G643" s="248"/>
      <c r="H643" s="99"/>
    </row>
    <row r="644" spans="5:8">
      <c r="E644" s="159"/>
      <c r="F644" s="159"/>
      <c r="G644" s="248"/>
      <c r="H644" s="99"/>
    </row>
    <row r="645" spans="5:8">
      <c r="E645" s="159"/>
      <c r="F645" s="159"/>
      <c r="G645" s="248"/>
      <c r="H645" s="99"/>
    </row>
    <row r="646" spans="5:8">
      <c r="E646" s="159"/>
      <c r="F646" s="159"/>
      <c r="G646" s="248"/>
      <c r="H646" s="99"/>
    </row>
    <row r="647" spans="5:8">
      <c r="E647" s="159"/>
      <c r="F647" s="159"/>
      <c r="G647" s="248"/>
      <c r="H647" s="99"/>
    </row>
    <row r="648" spans="5:8">
      <c r="E648" s="159"/>
      <c r="F648" s="159"/>
      <c r="G648" s="248"/>
      <c r="H648" s="99"/>
    </row>
    <row r="649" spans="5:8">
      <c r="E649" s="159"/>
      <c r="F649" s="159"/>
      <c r="G649" s="248"/>
      <c r="H649" s="99"/>
    </row>
    <row r="650" spans="5:8">
      <c r="E650" s="159"/>
      <c r="F650" s="159"/>
      <c r="G650" s="248"/>
      <c r="H650" s="99"/>
    </row>
    <row r="651" spans="5:8">
      <c r="E651" s="159"/>
      <c r="F651" s="159"/>
      <c r="G651" s="248"/>
      <c r="H651" s="99"/>
    </row>
    <row r="652" spans="5:8">
      <c r="E652" s="159"/>
      <c r="F652" s="159"/>
      <c r="G652" s="248"/>
      <c r="H652" s="99"/>
    </row>
    <row r="653" spans="5:8">
      <c r="E653" s="159"/>
      <c r="F653" s="159"/>
      <c r="G653" s="248"/>
      <c r="H653" s="99"/>
    </row>
    <row r="654" spans="5:8">
      <c r="E654" s="159"/>
      <c r="F654" s="159"/>
      <c r="G654" s="248"/>
      <c r="H654" s="99"/>
    </row>
    <row r="655" spans="5:8">
      <c r="E655" s="159"/>
      <c r="F655" s="159"/>
      <c r="G655" s="248"/>
      <c r="H655" s="99"/>
    </row>
    <row r="656" spans="5:8">
      <c r="E656" s="159"/>
      <c r="F656" s="159"/>
      <c r="G656" s="248"/>
      <c r="H656" s="99"/>
    </row>
    <row r="657" spans="5:8">
      <c r="E657" s="159"/>
      <c r="F657" s="159"/>
      <c r="G657" s="248"/>
      <c r="H657" s="99"/>
    </row>
    <row r="658" spans="5:8">
      <c r="E658" s="159"/>
      <c r="F658" s="159"/>
      <c r="G658" s="248"/>
      <c r="H658" s="99"/>
    </row>
    <row r="659" spans="5:8">
      <c r="E659" s="159"/>
      <c r="F659" s="159"/>
      <c r="G659" s="248"/>
      <c r="H659" s="99"/>
    </row>
    <row r="660" spans="5:8">
      <c r="E660" s="159"/>
      <c r="F660" s="159"/>
      <c r="G660" s="248"/>
      <c r="H660" s="99"/>
    </row>
    <row r="661" spans="5:8">
      <c r="E661" s="159"/>
      <c r="F661" s="159"/>
      <c r="G661" s="248"/>
      <c r="H661" s="99"/>
    </row>
    <row r="662" spans="5:8">
      <c r="E662" s="159"/>
      <c r="F662" s="159"/>
      <c r="G662" s="248"/>
      <c r="H662" s="99"/>
    </row>
    <row r="663" spans="5:8">
      <c r="E663" s="159"/>
      <c r="F663" s="159"/>
      <c r="G663" s="248"/>
      <c r="H663" s="99"/>
    </row>
    <row r="664" spans="5:8">
      <c r="E664" s="159"/>
      <c r="F664" s="159"/>
      <c r="G664" s="248"/>
      <c r="H664" s="99"/>
    </row>
    <row r="665" spans="5:8">
      <c r="E665" s="159"/>
      <c r="F665" s="159"/>
      <c r="G665" s="248"/>
      <c r="H665" s="99"/>
    </row>
    <row r="666" spans="5:8">
      <c r="E666" s="159"/>
      <c r="F666" s="159"/>
      <c r="G666" s="248"/>
      <c r="H666" s="99"/>
    </row>
    <row r="667" spans="5:8">
      <c r="E667" s="159"/>
      <c r="F667" s="159"/>
      <c r="G667" s="248"/>
      <c r="H667" s="99"/>
    </row>
    <row r="668" spans="5:8">
      <c r="E668" s="159"/>
      <c r="F668" s="159"/>
      <c r="G668" s="248"/>
      <c r="H668" s="99"/>
    </row>
    <row r="669" spans="5:8">
      <c r="E669" s="159"/>
      <c r="F669" s="159"/>
      <c r="G669" s="248"/>
      <c r="H669" s="99"/>
    </row>
    <row r="670" spans="5:8">
      <c r="E670" s="159"/>
      <c r="F670" s="159"/>
      <c r="G670" s="248"/>
      <c r="H670" s="99"/>
    </row>
    <row r="671" spans="5:8">
      <c r="E671" s="159"/>
      <c r="F671" s="159"/>
      <c r="G671" s="248"/>
      <c r="H671" s="99"/>
    </row>
    <row r="672" spans="5:8">
      <c r="E672" s="159"/>
      <c r="F672" s="159"/>
      <c r="G672" s="248"/>
      <c r="H672" s="99"/>
    </row>
    <row r="673" spans="5:8">
      <c r="E673" s="159"/>
      <c r="F673" s="159"/>
      <c r="G673" s="248"/>
      <c r="H673" s="99"/>
    </row>
    <row r="674" spans="5:8">
      <c r="E674" s="159"/>
      <c r="F674" s="159"/>
      <c r="G674" s="248"/>
      <c r="H674" s="99"/>
    </row>
    <row r="675" spans="5:8">
      <c r="E675" s="159"/>
      <c r="F675" s="159"/>
      <c r="G675" s="248"/>
      <c r="H675" s="99"/>
    </row>
    <row r="676" spans="5:8">
      <c r="E676" s="159"/>
      <c r="F676" s="159"/>
      <c r="G676" s="248"/>
      <c r="H676" s="99"/>
    </row>
    <row r="677" spans="5:8">
      <c r="E677" s="159"/>
      <c r="F677" s="159"/>
      <c r="G677" s="248"/>
      <c r="H677" s="99"/>
    </row>
    <row r="678" spans="5:8">
      <c r="E678" s="159"/>
      <c r="F678" s="159"/>
      <c r="G678" s="248"/>
      <c r="H678" s="99"/>
    </row>
    <row r="679" spans="5:8">
      <c r="E679" s="159"/>
      <c r="F679" s="159"/>
      <c r="G679" s="248"/>
      <c r="H679" s="99"/>
    </row>
    <row r="680" spans="5:8">
      <c r="E680" s="159"/>
      <c r="F680" s="159"/>
      <c r="G680" s="248"/>
      <c r="H680" s="99"/>
    </row>
    <row r="681" spans="5:8">
      <c r="E681" s="159"/>
      <c r="F681" s="159"/>
      <c r="G681" s="248"/>
      <c r="H681" s="99"/>
    </row>
    <row r="682" spans="5:8">
      <c r="E682" s="159"/>
      <c r="F682" s="159"/>
      <c r="G682" s="248"/>
      <c r="H682" s="99"/>
    </row>
    <row r="683" spans="5:8">
      <c r="E683" s="159"/>
      <c r="F683" s="159"/>
      <c r="G683" s="248"/>
      <c r="H683" s="99"/>
    </row>
    <row r="684" spans="5:8">
      <c r="E684" s="159"/>
      <c r="F684" s="159"/>
      <c r="G684" s="248"/>
      <c r="H684" s="99"/>
    </row>
    <row r="685" spans="5:8">
      <c r="E685" s="159"/>
      <c r="F685" s="159"/>
      <c r="G685" s="248"/>
      <c r="H685" s="99"/>
    </row>
    <row r="686" spans="5:8">
      <c r="E686" s="159"/>
      <c r="F686" s="159"/>
      <c r="G686" s="248"/>
      <c r="H686" s="99"/>
    </row>
    <row r="687" spans="5:8">
      <c r="E687" s="159"/>
      <c r="F687" s="159"/>
      <c r="G687" s="248"/>
      <c r="H687" s="99"/>
    </row>
    <row r="688" spans="5:8">
      <c r="E688" s="159"/>
      <c r="F688" s="159"/>
      <c r="G688" s="248"/>
      <c r="H688" s="99"/>
    </row>
    <row r="689" spans="5:8">
      <c r="E689" s="159"/>
      <c r="F689" s="159"/>
      <c r="G689" s="248"/>
      <c r="H689" s="99"/>
    </row>
    <row r="690" spans="5:8">
      <c r="E690" s="159"/>
      <c r="F690" s="159"/>
      <c r="G690" s="248"/>
      <c r="H690" s="99"/>
    </row>
    <row r="691" spans="5:8">
      <c r="E691" s="159"/>
      <c r="F691" s="159"/>
      <c r="G691" s="248"/>
      <c r="H691" s="99"/>
    </row>
    <row r="692" spans="5:8">
      <c r="E692" s="159"/>
      <c r="F692" s="159"/>
      <c r="G692" s="248"/>
      <c r="H692" s="99"/>
    </row>
    <row r="693" spans="5:8">
      <c r="E693" s="159"/>
      <c r="F693" s="159"/>
      <c r="G693" s="248"/>
      <c r="H693" s="99"/>
    </row>
    <row r="694" spans="5:8">
      <c r="E694" s="159"/>
      <c r="F694" s="159"/>
      <c r="G694" s="248"/>
      <c r="H694" s="99"/>
    </row>
    <row r="695" spans="5:8">
      <c r="E695" s="159"/>
      <c r="F695" s="159"/>
      <c r="G695" s="248"/>
      <c r="H695" s="99"/>
    </row>
    <row r="696" spans="5:8">
      <c r="E696" s="159"/>
      <c r="F696" s="159"/>
      <c r="G696" s="248"/>
      <c r="H696" s="99"/>
    </row>
    <row r="697" spans="5:8">
      <c r="E697" s="159"/>
      <c r="F697" s="159"/>
      <c r="G697" s="248"/>
      <c r="H697" s="99"/>
    </row>
    <row r="698" spans="5:8">
      <c r="E698" s="159"/>
      <c r="F698" s="159"/>
      <c r="G698" s="248"/>
      <c r="H698" s="99"/>
    </row>
    <row r="699" spans="5:8">
      <c r="E699" s="159"/>
      <c r="F699" s="159"/>
      <c r="G699" s="248"/>
      <c r="H699" s="99"/>
    </row>
    <row r="700" spans="5:8">
      <c r="E700" s="159"/>
      <c r="F700" s="159"/>
      <c r="G700" s="248"/>
      <c r="H700" s="99"/>
    </row>
    <row r="701" spans="5:8">
      <c r="E701" s="159"/>
      <c r="F701" s="159"/>
      <c r="G701" s="248"/>
      <c r="H701" s="99"/>
    </row>
    <row r="702" spans="5:8">
      <c r="E702" s="159"/>
      <c r="F702" s="159"/>
      <c r="G702" s="248"/>
      <c r="H702" s="99"/>
    </row>
    <row r="703" spans="5:8">
      <c r="E703" s="159"/>
      <c r="F703" s="159"/>
      <c r="G703" s="248"/>
      <c r="H703" s="99"/>
    </row>
    <row r="704" spans="5:8">
      <c r="E704" s="159"/>
      <c r="F704" s="159"/>
      <c r="G704" s="248"/>
      <c r="H704" s="99"/>
    </row>
    <row r="705" spans="5:8">
      <c r="E705" s="159"/>
      <c r="F705" s="159"/>
      <c r="G705" s="248"/>
      <c r="H705" s="99"/>
    </row>
    <row r="706" spans="5:8">
      <c r="E706" s="159"/>
      <c r="F706" s="159"/>
      <c r="G706" s="248"/>
      <c r="H706" s="99"/>
    </row>
    <row r="707" spans="5:8">
      <c r="E707" s="159"/>
      <c r="F707" s="159"/>
      <c r="G707" s="248"/>
      <c r="H707" s="99"/>
    </row>
    <row r="708" spans="5:8">
      <c r="E708" s="159"/>
      <c r="F708" s="159"/>
      <c r="G708" s="248"/>
      <c r="H708" s="99"/>
    </row>
    <row r="709" spans="5:8">
      <c r="E709" s="159"/>
      <c r="F709" s="159"/>
      <c r="G709" s="248"/>
      <c r="H709" s="99"/>
    </row>
    <row r="710" spans="5:8">
      <c r="E710" s="159"/>
      <c r="F710" s="159"/>
      <c r="G710" s="248"/>
      <c r="H710" s="99"/>
    </row>
    <row r="711" spans="5:8">
      <c r="E711" s="159"/>
      <c r="F711" s="159"/>
      <c r="G711" s="248"/>
      <c r="H711" s="99"/>
    </row>
    <row r="712" spans="5:8">
      <c r="E712" s="159"/>
      <c r="F712" s="159"/>
      <c r="G712" s="248"/>
      <c r="H712" s="99"/>
    </row>
    <row r="713" spans="5:8">
      <c r="E713" s="159"/>
      <c r="F713" s="159"/>
      <c r="G713" s="248"/>
      <c r="H713" s="99"/>
    </row>
    <row r="714" spans="5:8">
      <c r="E714" s="159"/>
      <c r="F714" s="159"/>
      <c r="G714" s="248"/>
      <c r="H714" s="99"/>
    </row>
    <row r="715" spans="5:8">
      <c r="E715" s="159"/>
      <c r="F715" s="159"/>
      <c r="G715" s="248"/>
      <c r="H715" s="99"/>
    </row>
    <row r="716" spans="5:8">
      <c r="E716" s="159"/>
      <c r="F716" s="159"/>
      <c r="G716" s="248"/>
      <c r="H716" s="99"/>
    </row>
    <row r="717" spans="5:8">
      <c r="E717" s="159"/>
      <c r="F717" s="159"/>
      <c r="G717" s="248"/>
      <c r="H717" s="99"/>
    </row>
    <row r="718" spans="5:8">
      <c r="E718" s="159"/>
      <c r="F718" s="159"/>
      <c r="G718" s="248"/>
      <c r="H718" s="99"/>
    </row>
    <row r="719" spans="5:8">
      <c r="E719" s="159"/>
      <c r="F719" s="159"/>
      <c r="G719" s="248"/>
      <c r="H719" s="99"/>
    </row>
    <row r="720" spans="5:8">
      <c r="E720" s="159"/>
      <c r="F720" s="159"/>
      <c r="G720" s="248"/>
      <c r="H720" s="99"/>
    </row>
    <row r="721" spans="5:8">
      <c r="E721" s="159"/>
      <c r="F721" s="159"/>
      <c r="G721" s="248"/>
      <c r="H721" s="99"/>
    </row>
    <row r="722" spans="5:8">
      <c r="E722" s="159"/>
      <c r="F722" s="159"/>
      <c r="G722" s="248"/>
      <c r="H722" s="99"/>
    </row>
    <row r="723" spans="5:8">
      <c r="E723" s="159"/>
      <c r="F723" s="159"/>
      <c r="G723" s="248"/>
      <c r="H723" s="99"/>
    </row>
    <row r="724" spans="5:8">
      <c r="E724" s="159"/>
      <c r="F724" s="159"/>
      <c r="G724" s="248"/>
      <c r="H724" s="99"/>
    </row>
    <row r="725" spans="5:8">
      <c r="E725" s="159"/>
      <c r="F725" s="159"/>
      <c r="G725" s="248"/>
      <c r="H725" s="99"/>
    </row>
    <row r="726" spans="5:8">
      <c r="E726" s="159"/>
      <c r="F726" s="159"/>
      <c r="G726" s="248"/>
      <c r="H726" s="99"/>
    </row>
    <row r="727" spans="5:8">
      <c r="E727" s="159"/>
      <c r="F727" s="159"/>
      <c r="G727" s="248"/>
      <c r="H727" s="99"/>
    </row>
    <row r="728" spans="5:8">
      <c r="E728" s="159"/>
      <c r="F728" s="159"/>
      <c r="G728" s="248"/>
      <c r="H728" s="99"/>
    </row>
    <row r="729" spans="5:8">
      <c r="E729" s="159"/>
      <c r="F729" s="159"/>
      <c r="G729" s="248"/>
      <c r="H729" s="99"/>
    </row>
    <row r="730" spans="5:8">
      <c r="E730" s="159"/>
      <c r="F730" s="159"/>
      <c r="G730" s="248"/>
      <c r="H730" s="99"/>
    </row>
    <row r="731" spans="5:8">
      <c r="E731" s="159"/>
      <c r="F731" s="159"/>
      <c r="G731" s="248"/>
      <c r="H731" s="99"/>
    </row>
    <row r="732" spans="5:8">
      <c r="E732" s="159"/>
      <c r="F732" s="159"/>
      <c r="G732" s="248"/>
      <c r="H732" s="99"/>
    </row>
    <row r="733" spans="5:8">
      <c r="E733" s="159"/>
      <c r="F733" s="159"/>
      <c r="G733" s="248"/>
      <c r="H733" s="99"/>
    </row>
    <row r="734" spans="5:8">
      <c r="E734" s="159"/>
      <c r="F734" s="159"/>
      <c r="G734" s="248"/>
      <c r="H734" s="99"/>
    </row>
    <row r="735" spans="5:8">
      <c r="E735" s="159"/>
      <c r="F735" s="159"/>
      <c r="G735" s="248"/>
      <c r="H735" s="99"/>
    </row>
    <row r="736" spans="5:8">
      <c r="E736" s="159"/>
      <c r="F736" s="159"/>
      <c r="G736" s="248"/>
      <c r="H736" s="99"/>
    </row>
    <row r="737" spans="5:8">
      <c r="E737" s="159"/>
      <c r="F737" s="159"/>
      <c r="G737" s="248"/>
      <c r="H737" s="99"/>
    </row>
    <row r="738" spans="5:8">
      <c r="E738" s="159"/>
      <c r="F738" s="159"/>
      <c r="G738" s="248"/>
      <c r="H738" s="99"/>
    </row>
    <row r="739" spans="5:8">
      <c r="E739" s="159"/>
      <c r="F739" s="159"/>
      <c r="G739" s="248"/>
      <c r="H739" s="99"/>
    </row>
    <row r="740" spans="5:8">
      <c r="E740" s="159"/>
      <c r="F740" s="159"/>
      <c r="G740" s="248"/>
      <c r="H740" s="99"/>
    </row>
    <row r="741" spans="5:8">
      <c r="E741" s="159"/>
      <c r="F741" s="159"/>
      <c r="G741" s="248"/>
      <c r="H741" s="99"/>
    </row>
    <row r="742" spans="5:8">
      <c r="E742" s="159"/>
      <c r="F742" s="159"/>
      <c r="G742" s="248"/>
      <c r="H742" s="99"/>
    </row>
    <row r="743" spans="5:8">
      <c r="E743" s="159"/>
      <c r="F743" s="159"/>
      <c r="G743" s="248"/>
      <c r="H743" s="99"/>
    </row>
    <row r="744" spans="5:8">
      <c r="E744" s="159"/>
      <c r="F744" s="159"/>
      <c r="G744" s="248"/>
      <c r="H744" s="99"/>
    </row>
    <row r="745" spans="5:8">
      <c r="E745" s="159"/>
      <c r="F745" s="159"/>
      <c r="G745" s="248"/>
      <c r="H745" s="99"/>
    </row>
    <row r="746" spans="5:8">
      <c r="E746" s="159"/>
      <c r="F746" s="159"/>
      <c r="G746" s="248"/>
      <c r="H746" s="99"/>
    </row>
    <row r="747" spans="5:8">
      <c r="E747" s="159"/>
      <c r="F747" s="159"/>
      <c r="G747" s="248"/>
      <c r="H747" s="99"/>
    </row>
    <row r="748" spans="5:8">
      <c r="E748" s="159"/>
      <c r="F748" s="159"/>
      <c r="G748" s="248"/>
      <c r="H748" s="99"/>
    </row>
    <row r="749" spans="5:8">
      <c r="E749" s="159"/>
      <c r="F749" s="159"/>
      <c r="G749" s="248"/>
      <c r="H749" s="99"/>
    </row>
    <row r="750" spans="5:8">
      <c r="E750" s="159"/>
      <c r="F750" s="159"/>
      <c r="G750" s="248"/>
      <c r="H750" s="99"/>
    </row>
    <row r="751" spans="5:8">
      <c r="E751" s="159"/>
      <c r="F751" s="159"/>
      <c r="G751" s="248"/>
      <c r="H751" s="99"/>
    </row>
    <row r="752" spans="5:8">
      <c r="E752" s="159"/>
      <c r="F752" s="159"/>
      <c r="G752" s="248"/>
      <c r="H752" s="99"/>
    </row>
    <row r="753" spans="5:8">
      <c r="E753" s="159"/>
      <c r="F753" s="159"/>
      <c r="G753" s="248"/>
      <c r="H753" s="99"/>
    </row>
    <row r="754" spans="5:8">
      <c r="E754" s="159"/>
      <c r="F754" s="159"/>
      <c r="G754" s="248"/>
      <c r="H754" s="99"/>
    </row>
    <row r="755" spans="5:8">
      <c r="E755" s="159"/>
      <c r="F755" s="159"/>
      <c r="G755" s="248"/>
      <c r="H755" s="99"/>
    </row>
    <row r="756" spans="5:8">
      <c r="E756" s="159"/>
      <c r="F756" s="159"/>
      <c r="G756" s="248"/>
      <c r="H756" s="99"/>
    </row>
    <row r="757" spans="5:8">
      <c r="E757" s="159"/>
      <c r="F757" s="159"/>
      <c r="G757" s="248"/>
      <c r="H757" s="99"/>
    </row>
    <row r="758" spans="5:8">
      <c r="E758" s="159"/>
      <c r="F758" s="159"/>
      <c r="G758" s="248"/>
      <c r="H758" s="99"/>
    </row>
    <row r="759" spans="5:8">
      <c r="E759" s="159"/>
      <c r="F759" s="159"/>
      <c r="G759" s="248"/>
      <c r="H759" s="99"/>
    </row>
    <row r="760" spans="5:8">
      <c r="E760" s="159"/>
      <c r="F760" s="159"/>
      <c r="G760" s="248"/>
      <c r="H760" s="99"/>
    </row>
    <row r="761" spans="5:8">
      <c r="E761" s="159"/>
      <c r="F761" s="159"/>
      <c r="G761" s="248"/>
      <c r="H761" s="99"/>
    </row>
    <row r="762" spans="5:8">
      <c r="E762" s="159"/>
      <c r="F762" s="159"/>
      <c r="G762" s="248"/>
      <c r="H762" s="99"/>
    </row>
    <row r="763" spans="5:8">
      <c r="E763" s="159"/>
      <c r="F763" s="159"/>
      <c r="G763" s="248"/>
      <c r="H763" s="99"/>
    </row>
    <row r="764" spans="5:8">
      <c r="E764" s="159"/>
      <c r="F764" s="159"/>
      <c r="G764" s="248"/>
      <c r="H764" s="99"/>
    </row>
    <row r="765" spans="5:8">
      <c r="E765" s="159"/>
      <c r="F765" s="159"/>
      <c r="G765" s="248"/>
      <c r="H765" s="99"/>
    </row>
    <row r="766" spans="5:8">
      <c r="E766" s="159"/>
      <c r="F766" s="159"/>
      <c r="G766" s="248"/>
      <c r="H766" s="99"/>
    </row>
    <row r="767" spans="5:8">
      <c r="E767" s="159"/>
      <c r="F767" s="159"/>
      <c r="G767" s="248"/>
      <c r="H767" s="99"/>
    </row>
    <row r="768" spans="5:8">
      <c r="E768" s="159"/>
      <c r="F768" s="159"/>
      <c r="G768" s="248"/>
      <c r="H768" s="99"/>
    </row>
    <row r="769" spans="5:8">
      <c r="E769" s="159"/>
      <c r="F769" s="159"/>
      <c r="G769" s="248"/>
      <c r="H769" s="99"/>
    </row>
    <row r="770" spans="5:8">
      <c r="E770" s="159"/>
      <c r="F770" s="159"/>
      <c r="G770" s="248"/>
      <c r="H770" s="99"/>
    </row>
    <row r="771" spans="5:8">
      <c r="E771" s="159"/>
      <c r="F771" s="159"/>
      <c r="G771" s="248"/>
      <c r="H771" s="99"/>
    </row>
    <row r="772" spans="5:8">
      <c r="E772" s="159"/>
      <c r="F772" s="159"/>
      <c r="G772" s="248"/>
      <c r="H772" s="99"/>
    </row>
    <row r="773" spans="5:8">
      <c r="E773" s="159"/>
      <c r="F773" s="159"/>
      <c r="G773" s="248"/>
      <c r="H773" s="99"/>
    </row>
    <row r="774" spans="5:8">
      <c r="E774" s="159"/>
      <c r="F774" s="159"/>
      <c r="G774" s="248"/>
      <c r="H774" s="99"/>
    </row>
    <row r="775" spans="5:8">
      <c r="E775" s="159"/>
      <c r="F775" s="159"/>
      <c r="G775" s="248"/>
      <c r="H775" s="99"/>
    </row>
    <row r="776" spans="5:8">
      <c r="E776" s="159"/>
      <c r="F776" s="159"/>
      <c r="G776" s="248"/>
      <c r="H776" s="99"/>
    </row>
    <row r="777" spans="5:8">
      <c r="E777" s="159"/>
      <c r="F777" s="159"/>
      <c r="G777" s="248"/>
      <c r="H777" s="99"/>
    </row>
    <row r="778" spans="5:8">
      <c r="E778" s="159"/>
      <c r="F778" s="159"/>
      <c r="G778" s="248"/>
      <c r="H778" s="99"/>
    </row>
    <row r="779" spans="5:8">
      <c r="E779" s="159"/>
      <c r="F779" s="159"/>
      <c r="G779" s="248"/>
      <c r="H779" s="99"/>
    </row>
    <row r="780" spans="5:8">
      <c r="E780" s="159"/>
      <c r="F780" s="159"/>
      <c r="G780" s="248"/>
      <c r="H780" s="99"/>
    </row>
    <row r="781" spans="5:8">
      <c r="E781" s="159"/>
      <c r="F781" s="159"/>
      <c r="G781" s="248"/>
      <c r="H781" s="99"/>
    </row>
    <row r="782" spans="5:8">
      <c r="E782" s="159"/>
      <c r="F782" s="159"/>
      <c r="G782" s="248"/>
      <c r="H782" s="99"/>
    </row>
    <row r="783" spans="5:8">
      <c r="E783" s="159"/>
      <c r="F783" s="159"/>
      <c r="G783" s="248"/>
      <c r="H783" s="99"/>
    </row>
    <row r="784" spans="5:8">
      <c r="E784" s="159"/>
      <c r="F784" s="159"/>
      <c r="G784" s="248"/>
      <c r="H784" s="99"/>
    </row>
    <row r="785" spans="5:8">
      <c r="E785" s="159"/>
      <c r="F785" s="159"/>
      <c r="G785" s="248"/>
      <c r="H785" s="99"/>
    </row>
    <row r="786" spans="5:8">
      <c r="E786" s="159"/>
      <c r="F786" s="159"/>
      <c r="G786" s="248"/>
      <c r="H786" s="99"/>
    </row>
    <row r="787" spans="5:8">
      <c r="E787" s="159"/>
      <c r="F787" s="159"/>
      <c r="G787" s="248"/>
      <c r="H787" s="99"/>
    </row>
    <row r="788" spans="5:8">
      <c r="E788" s="159"/>
      <c r="F788" s="159"/>
      <c r="G788" s="248"/>
      <c r="H788" s="99"/>
    </row>
    <row r="789" spans="5:8">
      <c r="E789" s="159"/>
      <c r="F789" s="159"/>
      <c r="G789" s="248"/>
      <c r="H789" s="99"/>
    </row>
    <row r="790" spans="5:8">
      <c r="E790" s="159"/>
      <c r="F790" s="159"/>
      <c r="G790" s="248"/>
      <c r="H790" s="99"/>
    </row>
    <row r="791" spans="5:8">
      <c r="E791" s="159"/>
      <c r="F791" s="159"/>
      <c r="G791" s="248"/>
      <c r="H791" s="99"/>
    </row>
    <row r="792" spans="5:8">
      <c r="E792" s="159"/>
      <c r="F792" s="159"/>
      <c r="G792" s="248"/>
      <c r="H792" s="99"/>
    </row>
    <row r="793" spans="5:8">
      <c r="E793" s="159"/>
      <c r="F793" s="159"/>
      <c r="G793" s="248"/>
      <c r="H793" s="99"/>
    </row>
    <row r="794" spans="5:8">
      <c r="E794" s="159"/>
      <c r="F794" s="159"/>
      <c r="G794" s="248"/>
      <c r="H794" s="99"/>
    </row>
    <row r="795" spans="5:8">
      <c r="E795" s="159"/>
      <c r="F795" s="159"/>
      <c r="G795" s="248"/>
      <c r="H795" s="99"/>
    </row>
    <row r="796" spans="5:8">
      <c r="E796" s="159"/>
      <c r="F796" s="159"/>
      <c r="G796" s="248"/>
      <c r="H796" s="99"/>
    </row>
    <row r="797" spans="5:8">
      <c r="E797" s="159"/>
      <c r="F797" s="159"/>
      <c r="G797" s="248"/>
      <c r="H797" s="99"/>
    </row>
    <row r="798" spans="5:8">
      <c r="E798" s="159"/>
      <c r="F798" s="159"/>
      <c r="G798" s="248"/>
      <c r="H798" s="99"/>
    </row>
    <row r="799" spans="5:8">
      <c r="E799" s="159"/>
      <c r="F799" s="159"/>
      <c r="G799" s="248"/>
      <c r="H799" s="99"/>
    </row>
    <row r="800" spans="5:8">
      <c r="E800" s="159"/>
      <c r="F800" s="159"/>
      <c r="G800" s="248"/>
      <c r="H800" s="99"/>
    </row>
    <row r="801" spans="5:8">
      <c r="E801" s="159"/>
      <c r="F801" s="159"/>
      <c r="G801" s="248"/>
      <c r="H801" s="99"/>
    </row>
    <row r="802" spans="5:8">
      <c r="E802" s="159"/>
      <c r="F802" s="159"/>
      <c r="G802" s="248"/>
      <c r="H802" s="99"/>
    </row>
    <row r="803" spans="5:8">
      <c r="E803" s="159"/>
      <c r="F803" s="159"/>
      <c r="G803" s="248"/>
      <c r="H803" s="99"/>
    </row>
    <row r="804" spans="5:8">
      <c r="E804" s="159"/>
      <c r="F804" s="159"/>
      <c r="G804" s="248"/>
      <c r="H804" s="99"/>
    </row>
    <row r="805" spans="5:8">
      <c r="E805" s="159"/>
      <c r="F805" s="159"/>
      <c r="G805" s="248"/>
      <c r="H805" s="99"/>
    </row>
    <row r="806" spans="5:8">
      <c r="E806" s="159"/>
      <c r="F806" s="159"/>
      <c r="G806" s="248"/>
      <c r="H806" s="99"/>
    </row>
    <row r="807" spans="5:8">
      <c r="E807" s="159"/>
      <c r="F807" s="159"/>
      <c r="G807" s="248"/>
      <c r="H807" s="99"/>
    </row>
    <row r="808" spans="5:8">
      <c r="E808" s="159"/>
      <c r="F808" s="159"/>
      <c r="G808" s="248"/>
      <c r="H808" s="99"/>
    </row>
    <row r="809" spans="5:8">
      <c r="E809" s="159"/>
      <c r="F809" s="159"/>
      <c r="G809" s="248"/>
      <c r="H809" s="99"/>
    </row>
    <row r="810" spans="5:8">
      <c r="E810" s="159"/>
      <c r="F810" s="159"/>
      <c r="G810" s="248"/>
      <c r="H810" s="99"/>
    </row>
    <row r="811" spans="5:8">
      <c r="E811" s="159"/>
      <c r="F811" s="159"/>
      <c r="G811" s="248"/>
      <c r="H811" s="99"/>
    </row>
    <row r="812" spans="5:8">
      <c r="E812" s="159"/>
      <c r="F812" s="159"/>
      <c r="G812" s="248"/>
      <c r="H812" s="99"/>
    </row>
    <row r="813" spans="5:8">
      <c r="E813" s="159"/>
      <c r="F813" s="159"/>
      <c r="G813" s="248"/>
      <c r="H813" s="99"/>
    </row>
    <row r="814" spans="5:8">
      <c r="E814" s="159"/>
      <c r="F814" s="159"/>
      <c r="G814" s="248"/>
      <c r="H814" s="99"/>
    </row>
    <row r="815" spans="5:8">
      <c r="E815" s="159"/>
      <c r="F815" s="159"/>
      <c r="G815" s="248"/>
      <c r="H815" s="99"/>
    </row>
    <row r="816" spans="5:8">
      <c r="E816" s="159"/>
      <c r="F816" s="159"/>
      <c r="G816" s="248"/>
      <c r="H816" s="99"/>
    </row>
    <row r="817" spans="5:8">
      <c r="E817" s="159"/>
      <c r="F817" s="159"/>
      <c r="G817" s="248"/>
      <c r="H817" s="99"/>
    </row>
    <row r="818" spans="5:8">
      <c r="E818" s="159"/>
      <c r="F818" s="159"/>
      <c r="G818" s="248"/>
      <c r="H818" s="99"/>
    </row>
    <row r="819" spans="5:8">
      <c r="E819" s="159"/>
      <c r="F819" s="159"/>
      <c r="G819" s="248"/>
      <c r="H819" s="99"/>
    </row>
    <row r="820" spans="5:8">
      <c r="E820" s="159"/>
      <c r="F820" s="159"/>
      <c r="G820" s="248"/>
      <c r="H820" s="99"/>
    </row>
    <row r="821" spans="5:8">
      <c r="E821" s="159"/>
      <c r="F821" s="159"/>
      <c r="G821" s="248"/>
      <c r="H821" s="99"/>
    </row>
    <row r="822" spans="5:8">
      <c r="E822" s="159"/>
      <c r="F822" s="159"/>
      <c r="G822" s="248"/>
      <c r="H822" s="99"/>
    </row>
    <row r="823" spans="5:8">
      <c r="E823" s="159"/>
      <c r="F823" s="159"/>
      <c r="G823" s="248"/>
      <c r="H823" s="99"/>
    </row>
    <row r="824" spans="5:8">
      <c r="E824" s="159"/>
      <c r="F824" s="159"/>
      <c r="G824" s="248"/>
      <c r="H824" s="99"/>
    </row>
    <row r="825" spans="5:8">
      <c r="E825" s="159"/>
      <c r="F825" s="159"/>
      <c r="G825" s="248"/>
      <c r="H825" s="99"/>
    </row>
    <row r="826" spans="5:8">
      <c r="E826" s="159"/>
      <c r="F826" s="159"/>
      <c r="G826" s="248"/>
      <c r="H826" s="99"/>
    </row>
    <row r="827" spans="5:8">
      <c r="E827" s="159"/>
      <c r="F827" s="159"/>
      <c r="G827" s="248"/>
      <c r="H827" s="99"/>
    </row>
    <row r="828" spans="5:8">
      <c r="E828" s="159"/>
      <c r="F828" s="159"/>
      <c r="G828" s="248"/>
      <c r="H828" s="99"/>
    </row>
    <row r="829" spans="5:8">
      <c r="E829" s="159"/>
      <c r="F829" s="159"/>
      <c r="G829" s="248"/>
      <c r="H829" s="99"/>
    </row>
    <row r="830" spans="5:8">
      <c r="E830" s="159"/>
      <c r="F830" s="159"/>
      <c r="G830" s="248"/>
      <c r="H830" s="99"/>
    </row>
    <row r="831" spans="5:8">
      <c r="E831" s="159"/>
      <c r="F831" s="159"/>
      <c r="G831" s="248"/>
      <c r="H831" s="99"/>
    </row>
    <row r="832" spans="5:8">
      <c r="E832" s="159"/>
      <c r="F832" s="159"/>
      <c r="G832" s="248"/>
      <c r="H832" s="99"/>
    </row>
    <row r="833" spans="5:8">
      <c r="E833" s="159"/>
      <c r="F833" s="159"/>
      <c r="G833" s="248"/>
      <c r="H833" s="99"/>
    </row>
    <row r="834" spans="5:8">
      <c r="E834" s="159"/>
      <c r="F834" s="159"/>
      <c r="G834" s="248"/>
      <c r="H834" s="99"/>
    </row>
    <row r="835" spans="5:8">
      <c r="E835" s="159"/>
      <c r="F835" s="159"/>
      <c r="G835" s="248"/>
      <c r="H835" s="99"/>
    </row>
    <row r="836" spans="5:8">
      <c r="E836" s="159"/>
      <c r="F836" s="159"/>
      <c r="G836" s="248"/>
      <c r="H836" s="99"/>
    </row>
    <row r="837" spans="5:8">
      <c r="E837" s="159"/>
      <c r="F837" s="159"/>
      <c r="G837" s="248"/>
      <c r="H837" s="99"/>
    </row>
    <row r="838" spans="5:8">
      <c r="E838" s="159"/>
      <c r="F838" s="159"/>
      <c r="G838" s="248"/>
      <c r="H838" s="99"/>
    </row>
    <row r="839" spans="5:8">
      <c r="E839" s="159"/>
      <c r="F839" s="159"/>
      <c r="G839" s="248"/>
      <c r="H839" s="99"/>
    </row>
    <row r="840" spans="5:8">
      <c r="E840" s="159"/>
      <c r="F840" s="159"/>
      <c r="G840" s="248"/>
      <c r="H840" s="99"/>
    </row>
    <row r="841" spans="5:8">
      <c r="E841" s="159"/>
      <c r="F841" s="159"/>
      <c r="G841" s="248"/>
      <c r="H841" s="99"/>
    </row>
    <row r="842" spans="5:8">
      <c r="E842" s="159"/>
      <c r="F842" s="159"/>
      <c r="G842" s="248"/>
      <c r="H842" s="99"/>
    </row>
    <row r="843" spans="5:8">
      <c r="E843" s="159"/>
      <c r="F843" s="159"/>
      <c r="G843" s="248"/>
      <c r="H843" s="99"/>
    </row>
    <row r="844" spans="5:8">
      <c r="E844" s="159"/>
      <c r="F844" s="159"/>
      <c r="G844" s="248"/>
      <c r="H844" s="99"/>
    </row>
    <row r="845" spans="5:8">
      <c r="E845" s="159"/>
      <c r="F845" s="159"/>
      <c r="G845" s="248"/>
      <c r="H845" s="99"/>
    </row>
    <row r="846" spans="5:8">
      <c r="E846" s="159"/>
      <c r="F846" s="159"/>
      <c r="G846" s="248"/>
      <c r="H846" s="99"/>
    </row>
    <row r="847" spans="5:8">
      <c r="E847" s="159"/>
      <c r="F847" s="159"/>
      <c r="G847" s="248"/>
      <c r="H847" s="99"/>
    </row>
    <row r="848" spans="5:8">
      <c r="E848" s="159"/>
      <c r="F848" s="159"/>
      <c r="G848" s="248"/>
      <c r="H848" s="99"/>
    </row>
    <row r="849" spans="5:8">
      <c r="E849" s="159"/>
      <c r="F849" s="159"/>
      <c r="G849" s="248"/>
      <c r="H849" s="99"/>
    </row>
    <row r="850" spans="5:8">
      <c r="E850" s="159"/>
      <c r="F850" s="159"/>
      <c r="G850" s="248"/>
      <c r="H850" s="99"/>
    </row>
    <row r="851" spans="5:8">
      <c r="E851" s="159"/>
      <c r="F851" s="159"/>
      <c r="G851" s="248"/>
      <c r="H851" s="99"/>
    </row>
    <row r="852" spans="5:8">
      <c r="E852" s="159"/>
      <c r="F852" s="159"/>
      <c r="G852" s="248"/>
      <c r="H852" s="99"/>
    </row>
    <row r="853" spans="5:8">
      <c r="E853" s="159"/>
      <c r="F853" s="159"/>
      <c r="G853" s="248"/>
      <c r="H853" s="99"/>
    </row>
    <row r="854" spans="5:8">
      <c r="E854" s="159"/>
      <c r="F854" s="159"/>
      <c r="G854" s="248"/>
      <c r="H854" s="99"/>
    </row>
    <row r="855" spans="5:8">
      <c r="E855" s="159"/>
      <c r="F855" s="159"/>
      <c r="G855" s="248"/>
      <c r="H855" s="99"/>
    </row>
    <row r="856" spans="5:8">
      <c r="E856" s="159"/>
      <c r="F856" s="159"/>
      <c r="G856" s="248"/>
      <c r="H856" s="99"/>
    </row>
  </sheetData>
  <autoFilter ref="B5:I577" xr:uid="{00000000-0009-0000-0000-000007000000}"/>
  <sortState xmlns:xlrd2="http://schemas.microsoft.com/office/spreadsheetml/2017/richdata2" ref="B7:GE574">
    <sortCondition ref="F7:F574"/>
  </sortState>
  <mergeCells count="17">
    <mergeCell ref="F576:I576"/>
    <mergeCell ref="F577:I577"/>
    <mergeCell ref="F581:I581"/>
    <mergeCell ref="B577:D577"/>
    <mergeCell ref="B581:D581"/>
    <mergeCell ref="H579:I579"/>
    <mergeCell ref="H578:I578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72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view="pageLayout" zoomScaleNormal="100" workbookViewId="0">
      <selection activeCell="B4" sqref="B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445" t="s">
        <v>0</v>
      </c>
      <c r="B1" s="445"/>
    </row>
    <row r="2" spans="1:8" ht="16.5">
      <c r="A2" s="444" t="s">
        <v>44</v>
      </c>
      <c r="B2" s="444"/>
    </row>
    <row r="3" spans="1:8" ht="20.25">
      <c r="B3" s="453" t="s">
        <v>786</v>
      </c>
      <c r="C3" s="453"/>
      <c r="D3" s="453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thuat'!I575/8</f>
        <v>3211496.875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3211496.875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4" si="0">D8</f>
        <v>3211496.875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3211496.875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3211496.875</v>
      </c>
      <c r="E11" s="80"/>
      <c r="F11" s="33"/>
    </row>
    <row r="12" spans="1:8" ht="17.25" thickBot="1">
      <c r="A12" s="6">
        <v>6</v>
      </c>
      <c r="B12" s="79" t="s">
        <v>114</v>
      </c>
      <c r="C12" s="87" t="s">
        <v>27</v>
      </c>
      <c r="D12" s="11">
        <f t="shared" si="0"/>
        <v>3211496.875</v>
      </c>
      <c r="E12" s="80"/>
      <c r="F12" s="33"/>
    </row>
    <row r="13" spans="1:8" ht="17.25" thickBot="1">
      <c r="A13" s="329">
        <v>7</v>
      </c>
      <c r="B13" s="79" t="s">
        <v>93</v>
      </c>
      <c r="C13" s="87" t="s">
        <v>27</v>
      </c>
      <c r="D13" s="11">
        <f t="shared" si="0"/>
        <v>3211496.875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 t="shared" si="0"/>
        <v>3211496.875</v>
      </c>
      <c r="E14" s="80"/>
      <c r="F14" s="33"/>
    </row>
    <row r="15" spans="1:8" ht="17.25" thickBot="1">
      <c r="A15" s="7"/>
      <c r="B15" s="44" t="s">
        <v>28</v>
      </c>
      <c r="C15" s="8"/>
      <c r="D15" s="11">
        <f>SUM(D7:D14)</f>
        <v>25691975</v>
      </c>
      <c r="E15" s="12"/>
      <c r="F15" s="45">
        <f>SUM(F7:F8)</f>
        <v>39</v>
      </c>
      <c r="G15" s="43"/>
    </row>
    <row r="16" spans="1:8" ht="27.75" customHeight="1">
      <c r="A16" s="1"/>
      <c r="B16" s="43"/>
    </row>
    <row r="17" spans="1:5">
      <c r="D17" s="448" t="s">
        <v>358</v>
      </c>
      <c r="E17" s="448"/>
    </row>
    <row r="18" spans="1:5">
      <c r="A18" s="449" t="s">
        <v>20</v>
      </c>
      <c r="B18" s="449"/>
      <c r="D18" s="450" t="s">
        <v>21</v>
      </c>
      <c r="E18" s="450"/>
    </row>
    <row r="21" spans="1:5">
      <c r="E21" s="41"/>
    </row>
    <row r="22" spans="1:5">
      <c r="C22" s="46"/>
    </row>
  </sheetData>
  <mergeCells count="6">
    <mergeCell ref="A1:B1"/>
    <mergeCell ref="A2:B2"/>
    <mergeCell ref="B3:D3"/>
    <mergeCell ref="D17:E17"/>
    <mergeCell ref="A18:B18"/>
    <mergeCell ref="D18:E18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71"/>
  <sheetViews>
    <sheetView zoomScaleNormal="100" workbookViewId="0">
      <pane xSplit="6" ySplit="6" topLeftCell="G61" activePane="bottomRight" state="frozen"/>
      <selection pane="topRight" activeCell="G1" sqref="G1"/>
      <selection pane="bottomLeft" activeCell="A7" sqref="A7"/>
      <selection pane="bottomRight" activeCell="K64" sqref="K64"/>
    </sheetView>
  </sheetViews>
  <sheetFormatPr defaultColWidth="4.7109375" defaultRowHeight="15"/>
  <cols>
    <col min="1" max="1" width="4.7109375" style="155" customWidth="1"/>
    <col min="2" max="2" width="10.42578125" style="393" customWidth="1"/>
    <col min="3" max="3" width="26.42578125" style="252" customWidth="1"/>
    <col min="4" max="4" width="8.5703125" style="256" customWidth="1"/>
    <col min="5" max="5" width="24.5703125" style="252" customWidth="1"/>
    <col min="6" max="6" width="13.5703125" style="270" bestFit="1" customWidth="1"/>
    <col min="7" max="7" width="11.42578125" style="248" bestFit="1" customWidth="1"/>
    <col min="8" max="8" width="12.85546875" style="268" bestFit="1" customWidth="1"/>
    <col min="9" max="9" width="9.5703125" style="155" customWidth="1"/>
    <col min="10" max="10" width="8.5703125" style="155" customWidth="1"/>
    <col min="11" max="11" width="10.140625" style="155" customWidth="1"/>
    <col min="12" max="245" width="9.140625" style="105" customWidth="1"/>
    <col min="246" max="246" width="5.140625" style="105" customWidth="1"/>
    <col min="247" max="247" width="4.7109375" style="105" customWidth="1"/>
    <col min="248" max="248" width="7.42578125" style="105" customWidth="1"/>
    <col min="249" max="250" width="23.85546875" style="105" customWidth="1"/>
    <col min="251" max="251" width="10.140625" style="105" customWidth="1"/>
    <col min="252" max="252" width="5.85546875" style="105" customWidth="1"/>
    <col min="253" max="253" width="4.7109375" style="105" customWidth="1"/>
    <col min="254" max="254" width="4.85546875" style="105" customWidth="1"/>
    <col min="255" max="255" width="16.140625" style="105" customWidth="1"/>
    <col min="256" max="256" width="9.7109375" style="105" customWidth="1"/>
    <col min="257" max="257" width="14.5703125" style="105" customWidth="1"/>
    <col min="258" max="258" width="10.7109375" style="105" customWidth="1"/>
    <col min="259" max="259" width="8.85546875" style="105" customWidth="1"/>
    <col min="260" max="260" width="11" style="105" customWidth="1"/>
    <col min="261" max="261" width="5.28515625" style="105" customWidth="1"/>
    <col min="262" max="262" width="10.28515625" style="105" customWidth="1"/>
    <col min="263" max="263" width="10.140625" style="105" customWidth="1"/>
    <col min="264" max="501" width="9.140625" style="105" customWidth="1"/>
    <col min="502" max="502" width="5.140625" style="105" customWidth="1"/>
    <col min="503" max="503" width="4.7109375" style="105" customWidth="1"/>
    <col min="504" max="504" width="7.42578125" style="105" customWidth="1"/>
    <col min="505" max="506" width="23.85546875" style="105" customWidth="1"/>
    <col min="507" max="507" width="10.140625" style="105" customWidth="1"/>
    <col min="508" max="508" width="5.85546875" style="105" customWidth="1"/>
    <col min="509" max="509" width="4.7109375" style="105" customWidth="1"/>
    <col min="510" max="510" width="4.85546875" style="105" customWidth="1"/>
    <col min="511" max="511" width="16.140625" style="105" customWidth="1"/>
    <col min="512" max="512" width="9.7109375" style="105" customWidth="1"/>
    <col min="513" max="513" width="14.5703125" style="105" customWidth="1"/>
    <col min="514" max="514" width="10.7109375" style="105" customWidth="1"/>
    <col min="515" max="515" width="8.85546875" style="105" customWidth="1"/>
    <col min="516" max="516" width="11" style="105" customWidth="1"/>
    <col min="517" max="517" width="5.28515625" style="105" customWidth="1"/>
    <col min="518" max="518" width="10.28515625" style="105" customWidth="1"/>
    <col min="519" max="519" width="10.140625" style="105" customWidth="1"/>
    <col min="520" max="757" width="9.140625" style="105" customWidth="1"/>
    <col min="758" max="758" width="5.140625" style="105" customWidth="1"/>
    <col min="759" max="759" width="4.7109375" style="105" customWidth="1"/>
    <col min="760" max="760" width="7.42578125" style="105" customWidth="1"/>
    <col min="761" max="762" width="23.85546875" style="105" customWidth="1"/>
    <col min="763" max="763" width="10.140625" style="105" customWidth="1"/>
    <col min="764" max="764" width="5.85546875" style="105" customWidth="1"/>
    <col min="765" max="765" width="4.7109375" style="105" customWidth="1"/>
    <col min="766" max="766" width="4.85546875" style="105" customWidth="1"/>
    <col min="767" max="767" width="16.140625" style="105" customWidth="1"/>
    <col min="768" max="768" width="9.7109375" style="105" customWidth="1"/>
    <col min="769" max="769" width="14.5703125" style="105" customWidth="1"/>
    <col min="770" max="770" width="10.7109375" style="105" customWidth="1"/>
    <col min="771" max="771" width="8.85546875" style="105" customWidth="1"/>
    <col min="772" max="772" width="11" style="105" customWidth="1"/>
    <col min="773" max="773" width="5.28515625" style="105" customWidth="1"/>
    <col min="774" max="774" width="10.28515625" style="105" customWidth="1"/>
    <col min="775" max="775" width="10.140625" style="105" customWidth="1"/>
    <col min="776" max="1013" width="9.140625" style="105" customWidth="1"/>
    <col min="1014" max="1014" width="5.140625" style="105" customWidth="1"/>
    <col min="1015" max="1015" width="4.7109375" style="105" customWidth="1"/>
    <col min="1016" max="1016" width="7.42578125" style="105" customWidth="1"/>
    <col min="1017" max="1018" width="23.85546875" style="105" customWidth="1"/>
    <col min="1019" max="1019" width="10.140625" style="105" customWidth="1"/>
    <col min="1020" max="1020" width="5.85546875" style="105" customWidth="1"/>
    <col min="1021" max="1021" width="4.7109375" style="105" customWidth="1"/>
    <col min="1022" max="1022" width="4.85546875" style="105" customWidth="1"/>
    <col min="1023" max="1023" width="16.140625" style="105" customWidth="1"/>
    <col min="1024" max="1024" width="9.7109375" style="105" customWidth="1"/>
    <col min="1025" max="1025" width="14.5703125" style="105" customWidth="1"/>
    <col min="1026" max="1026" width="10.7109375" style="105" customWidth="1"/>
    <col min="1027" max="1027" width="8.85546875" style="105" customWidth="1"/>
    <col min="1028" max="1028" width="11" style="105" customWidth="1"/>
    <col min="1029" max="1029" width="5.28515625" style="105" customWidth="1"/>
    <col min="1030" max="1030" width="10.28515625" style="105" customWidth="1"/>
    <col min="1031" max="1031" width="10.140625" style="105" customWidth="1"/>
    <col min="1032" max="1269" width="9.140625" style="105" customWidth="1"/>
    <col min="1270" max="1270" width="5.140625" style="105" customWidth="1"/>
    <col min="1271" max="1271" width="4.7109375" style="105" customWidth="1"/>
    <col min="1272" max="1272" width="7.42578125" style="105" customWidth="1"/>
    <col min="1273" max="1274" width="23.85546875" style="105" customWidth="1"/>
    <col min="1275" max="1275" width="10.140625" style="105" customWidth="1"/>
    <col min="1276" max="1276" width="5.85546875" style="105" customWidth="1"/>
    <col min="1277" max="1277" width="4.7109375" style="105" customWidth="1"/>
    <col min="1278" max="1278" width="4.85546875" style="105" customWidth="1"/>
    <col min="1279" max="1279" width="16.140625" style="105" customWidth="1"/>
    <col min="1280" max="1280" width="9.7109375" style="105" customWidth="1"/>
    <col min="1281" max="1281" width="14.5703125" style="105" customWidth="1"/>
    <col min="1282" max="1282" width="10.7109375" style="105" customWidth="1"/>
    <col min="1283" max="1283" width="8.85546875" style="105" customWidth="1"/>
    <col min="1284" max="1284" width="11" style="105" customWidth="1"/>
    <col min="1285" max="1285" width="5.28515625" style="105" customWidth="1"/>
    <col min="1286" max="1286" width="10.28515625" style="105" customWidth="1"/>
    <col min="1287" max="1287" width="10.140625" style="105" customWidth="1"/>
    <col min="1288" max="1525" width="9.140625" style="105" customWidth="1"/>
    <col min="1526" max="1526" width="5.140625" style="105" customWidth="1"/>
    <col min="1527" max="1527" width="4.7109375" style="105" customWidth="1"/>
    <col min="1528" max="1528" width="7.42578125" style="105" customWidth="1"/>
    <col min="1529" max="1530" width="23.85546875" style="105" customWidth="1"/>
    <col min="1531" max="1531" width="10.140625" style="105" customWidth="1"/>
    <col min="1532" max="1532" width="5.85546875" style="105" customWidth="1"/>
    <col min="1533" max="1533" width="4.7109375" style="105" customWidth="1"/>
    <col min="1534" max="1534" width="4.85546875" style="105" customWidth="1"/>
    <col min="1535" max="1535" width="16.140625" style="105" customWidth="1"/>
    <col min="1536" max="1536" width="9.7109375" style="105" customWidth="1"/>
    <col min="1537" max="1537" width="14.5703125" style="105" customWidth="1"/>
    <col min="1538" max="1538" width="10.7109375" style="105" customWidth="1"/>
    <col min="1539" max="1539" width="8.85546875" style="105" customWidth="1"/>
    <col min="1540" max="1540" width="11" style="105" customWidth="1"/>
    <col min="1541" max="1541" width="5.28515625" style="105" customWidth="1"/>
    <col min="1542" max="1542" width="10.28515625" style="105" customWidth="1"/>
    <col min="1543" max="1543" width="10.140625" style="105" customWidth="1"/>
    <col min="1544" max="1781" width="9.140625" style="105" customWidth="1"/>
    <col min="1782" max="1782" width="5.140625" style="105" customWidth="1"/>
    <col min="1783" max="1783" width="4.7109375" style="105" customWidth="1"/>
    <col min="1784" max="1784" width="7.42578125" style="105" customWidth="1"/>
    <col min="1785" max="1786" width="23.85546875" style="105" customWidth="1"/>
    <col min="1787" max="1787" width="10.140625" style="105" customWidth="1"/>
    <col min="1788" max="1788" width="5.85546875" style="105" customWidth="1"/>
    <col min="1789" max="1789" width="4.7109375" style="105" customWidth="1"/>
    <col min="1790" max="1790" width="4.85546875" style="105" customWidth="1"/>
    <col min="1791" max="1791" width="16.140625" style="105" customWidth="1"/>
    <col min="1792" max="1792" width="9.7109375" style="105" customWidth="1"/>
    <col min="1793" max="1793" width="14.5703125" style="105" customWidth="1"/>
    <col min="1794" max="1794" width="10.7109375" style="105" customWidth="1"/>
    <col min="1795" max="1795" width="8.85546875" style="105" customWidth="1"/>
    <col min="1796" max="1796" width="11" style="105" customWidth="1"/>
    <col min="1797" max="1797" width="5.28515625" style="105" customWidth="1"/>
    <col min="1798" max="1798" width="10.28515625" style="105" customWidth="1"/>
    <col min="1799" max="1799" width="10.140625" style="105" customWidth="1"/>
    <col min="1800" max="2037" width="9.140625" style="105" customWidth="1"/>
    <col min="2038" max="2038" width="5.140625" style="105" customWidth="1"/>
    <col min="2039" max="2039" width="4.7109375" style="105" customWidth="1"/>
    <col min="2040" max="2040" width="7.42578125" style="105" customWidth="1"/>
    <col min="2041" max="2042" width="23.85546875" style="105" customWidth="1"/>
    <col min="2043" max="2043" width="10.140625" style="105" customWidth="1"/>
    <col min="2044" max="2044" width="5.85546875" style="105" customWidth="1"/>
    <col min="2045" max="2045" width="4.7109375" style="105" customWidth="1"/>
    <col min="2046" max="2046" width="4.85546875" style="105" customWidth="1"/>
    <col min="2047" max="2047" width="16.140625" style="105" customWidth="1"/>
    <col min="2048" max="2048" width="9.7109375" style="105" customWidth="1"/>
    <col min="2049" max="2049" width="14.5703125" style="105" customWidth="1"/>
    <col min="2050" max="2050" width="10.7109375" style="105" customWidth="1"/>
    <col min="2051" max="2051" width="8.85546875" style="105" customWidth="1"/>
    <col min="2052" max="2052" width="11" style="105" customWidth="1"/>
    <col min="2053" max="2053" width="5.28515625" style="105" customWidth="1"/>
    <col min="2054" max="2054" width="10.28515625" style="105" customWidth="1"/>
    <col min="2055" max="2055" width="10.140625" style="105" customWidth="1"/>
    <col min="2056" max="2293" width="9.140625" style="105" customWidth="1"/>
    <col min="2294" max="2294" width="5.140625" style="105" customWidth="1"/>
    <col min="2295" max="2295" width="4.7109375" style="105" customWidth="1"/>
    <col min="2296" max="2296" width="7.42578125" style="105" customWidth="1"/>
    <col min="2297" max="2298" width="23.85546875" style="105" customWidth="1"/>
    <col min="2299" max="2299" width="10.140625" style="105" customWidth="1"/>
    <col min="2300" max="2300" width="5.85546875" style="105" customWidth="1"/>
    <col min="2301" max="2301" width="4.7109375" style="105" customWidth="1"/>
    <col min="2302" max="2302" width="4.85546875" style="105" customWidth="1"/>
    <col min="2303" max="2303" width="16.140625" style="105" customWidth="1"/>
    <col min="2304" max="2304" width="9.7109375" style="105" customWidth="1"/>
    <col min="2305" max="2305" width="14.5703125" style="105" customWidth="1"/>
    <col min="2306" max="2306" width="10.7109375" style="105" customWidth="1"/>
    <col min="2307" max="2307" width="8.85546875" style="105" customWidth="1"/>
    <col min="2308" max="2308" width="11" style="105" customWidth="1"/>
    <col min="2309" max="2309" width="5.28515625" style="105" customWidth="1"/>
    <col min="2310" max="2310" width="10.28515625" style="105" customWidth="1"/>
    <col min="2311" max="2311" width="10.140625" style="105" customWidth="1"/>
    <col min="2312" max="2549" width="9.140625" style="105" customWidth="1"/>
    <col min="2550" max="2550" width="5.140625" style="105" customWidth="1"/>
    <col min="2551" max="2551" width="4.7109375" style="105" customWidth="1"/>
    <col min="2552" max="2552" width="7.42578125" style="105" customWidth="1"/>
    <col min="2553" max="2554" width="23.85546875" style="105" customWidth="1"/>
    <col min="2555" max="2555" width="10.140625" style="105" customWidth="1"/>
    <col min="2556" max="2556" width="5.85546875" style="105" customWidth="1"/>
    <col min="2557" max="2557" width="4.7109375" style="105" customWidth="1"/>
    <col min="2558" max="2558" width="4.85546875" style="105" customWidth="1"/>
    <col min="2559" max="2559" width="16.140625" style="105" customWidth="1"/>
    <col min="2560" max="2560" width="9.7109375" style="105" customWidth="1"/>
    <col min="2561" max="2561" width="14.5703125" style="105" customWidth="1"/>
    <col min="2562" max="2562" width="10.7109375" style="105" customWidth="1"/>
    <col min="2563" max="2563" width="8.85546875" style="105" customWidth="1"/>
    <col min="2564" max="2564" width="11" style="105" customWidth="1"/>
    <col min="2565" max="2565" width="5.28515625" style="105" customWidth="1"/>
    <col min="2566" max="2566" width="10.28515625" style="105" customWidth="1"/>
    <col min="2567" max="2567" width="10.140625" style="105" customWidth="1"/>
    <col min="2568" max="2805" width="9.140625" style="105" customWidth="1"/>
    <col min="2806" max="2806" width="5.140625" style="105" customWidth="1"/>
    <col min="2807" max="2807" width="4.7109375" style="105" customWidth="1"/>
    <col min="2808" max="2808" width="7.42578125" style="105" customWidth="1"/>
    <col min="2809" max="2810" width="23.85546875" style="105" customWidth="1"/>
    <col min="2811" max="2811" width="10.140625" style="105" customWidth="1"/>
    <col min="2812" max="2812" width="5.85546875" style="105" customWidth="1"/>
    <col min="2813" max="2813" width="4.7109375" style="105" customWidth="1"/>
    <col min="2814" max="2814" width="4.85546875" style="105" customWidth="1"/>
    <col min="2815" max="2815" width="16.140625" style="105" customWidth="1"/>
    <col min="2816" max="2816" width="9.7109375" style="105" customWidth="1"/>
    <col min="2817" max="2817" width="14.5703125" style="105" customWidth="1"/>
    <col min="2818" max="2818" width="10.7109375" style="105" customWidth="1"/>
    <col min="2819" max="2819" width="8.85546875" style="105" customWidth="1"/>
    <col min="2820" max="2820" width="11" style="105" customWidth="1"/>
    <col min="2821" max="2821" width="5.28515625" style="105" customWidth="1"/>
    <col min="2822" max="2822" width="10.28515625" style="105" customWidth="1"/>
    <col min="2823" max="2823" width="10.140625" style="105" customWidth="1"/>
    <col min="2824" max="3061" width="9.140625" style="105" customWidth="1"/>
    <col min="3062" max="3062" width="5.140625" style="105" customWidth="1"/>
    <col min="3063" max="3063" width="4.7109375" style="105" customWidth="1"/>
    <col min="3064" max="3064" width="7.42578125" style="105" customWidth="1"/>
    <col min="3065" max="3066" width="23.85546875" style="105" customWidth="1"/>
    <col min="3067" max="3067" width="10.140625" style="105" customWidth="1"/>
    <col min="3068" max="3068" width="5.85546875" style="105" customWidth="1"/>
    <col min="3069" max="3069" width="4.7109375" style="105" customWidth="1"/>
    <col min="3070" max="3070" width="4.85546875" style="105" customWidth="1"/>
    <col min="3071" max="3071" width="16.140625" style="105" customWidth="1"/>
    <col min="3072" max="3072" width="9.7109375" style="105" customWidth="1"/>
    <col min="3073" max="3073" width="14.5703125" style="105" customWidth="1"/>
    <col min="3074" max="3074" width="10.7109375" style="105" customWidth="1"/>
    <col min="3075" max="3075" width="8.85546875" style="105" customWidth="1"/>
    <col min="3076" max="3076" width="11" style="105" customWidth="1"/>
    <col min="3077" max="3077" width="5.28515625" style="105" customWidth="1"/>
    <col min="3078" max="3078" width="10.28515625" style="105" customWidth="1"/>
    <col min="3079" max="3079" width="10.140625" style="105" customWidth="1"/>
    <col min="3080" max="3317" width="9.140625" style="105" customWidth="1"/>
    <col min="3318" max="3318" width="5.140625" style="105" customWidth="1"/>
    <col min="3319" max="3319" width="4.7109375" style="105" customWidth="1"/>
    <col min="3320" max="3320" width="7.42578125" style="105" customWidth="1"/>
    <col min="3321" max="3322" width="23.85546875" style="105" customWidth="1"/>
    <col min="3323" max="3323" width="10.140625" style="105" customWidth="1"/>
    <col min="3324" max="3324" width="5.85546875" style="105" customWidth="1"/>
    <col min="3325" max="3325" width="4.7109375" style="105" customWidth="1"/>
    <col min="3326" max="3326" width="4.85546875" style="105" customWidth="1"/>
    <col min="3327" max="3327" width="16.140625" style="105" customWidth="1"/>
    <col min="3328" max="3328" width="9.7109375" style="105" customWidth="1"/>
    <col min="3329" max="3329" width="14.5703125" style="105" customWidth="1"/>
    <col min="3330" max="3330" width="10.7109375" style="105" customWidth="1"/>
    <col min="3331" max="3331" width="8.85546875" style="105" customWidth="1"/>
    <col min="3332" max="3332" width="11" style="105" customWidth="1"/>
    <col min="3333" max="3333" width="5.28515625" style="105" customWidth="1"/>
    <col min="3334" max="3334" width="10.28515625" style="105" customWidth="1"/>
    <col min="3335" max="3335" width="10.140625" style="105" customWidth="1"/>
    <col min="3336" max="3573" width="9.140625" style="105" customWidth="1"/>
    <col min="3574" max="3574" width="5.140625" style="105" customWidth="1"/>
    <col min="3575" max="3575" width="4.7109375" style="105" customWidth="1"/>
    <col min="3576" max="3576" width="7.42578125" style="105" customWidth="1"/>
    <col min="3577" max="3578" width="23.85546875" style="105" customWidth="1"/>
    <col min="3579" max="3579" width="10.140625" style="105" customWidth="1"/>
    <col min="3580" max="3580" width="5.85546875" style="105" customWidth="1"/>
    <col min="3581" max="3581" width="4.7109375" style="105" customWidth="1"/>
    <col min="3582" max="3582" width="4.85546875" style="105" customWidth="1"/>
    <col min="3583" max="3583" width="16.140625" style="105" customWidth="1"/>
    <col min="3584" max="3584" width="9.7109375" style="105" customWidth="1"/>
    <col min="3585" max="3585" width="14.5703125" style="105" customWidth="1"/>
    <col min="3586" max="3586" width="10.7109375" style="105" customWidth="1"/>
    <col min="3587" max="3587" width="8.85546875" style="105" customWidth="1"/>
    <col min="3588" max="3588" width="11" style="105" customWidth="1"/>
    <col min="3589" max="3589" width="5.28515625" style="105" customWidth="1"/>
    <col min="3590" max="3590" width="10.28515625" style="105" customWidth="1"/>
    <col min="3591" max="3591" width="10.140625" style="105" customWidth="1"/>
    <col min="3592" max="3829" width="9.140625" style="105" customWidth="1"/>
    <col min="3830" max="3830" width="5.140625" style="105" customWidth="1"/>
    <col min="3831" max="3831" width="4.7109375" style="105" customWidth="1"/>
    <col min="3832" max="3832" width="7.42578125" style="105" customWidth="1"/>
    <col min="3833" max="3834" width="23.85546875" style="105" customWidth="1"/>
    <col min="3835" max="3835" width="10.140625" style="105" customWidth="1"/>
    <col min="3836" max="3836" width="5.85546875" style="105" customWidth="1"/>
    <col min="3837" max="3837" width="4.7109375" style="105" customWidth="1"/>
    <col min="3838" max="3838" width="4.85546875" style="105" customWidth="1"/>
    <col min="3839" max="3839" width="16.140625" style="105" customWidth="1"/>
    <col min="3840" max="3840" width="9.7109375" style="105" customWidth="1"/>
    <col min="3841" max="3841" width="14.5703125" style="105" customWidth="1"/>
    <col min="3842" max="3842" width="10.7109375" style="105" customWidth="1"/>
    <col min="3843" max="3843" width="8.85546875" style="105" customWidth="1"/>
    <col min="3844" max="3844" width="11" style="105" customWidth="1"/>
    <col min="3845" max="3845" width="5.28515625" style="105" customWidth="1"/>
    <col min="3846" max="3846" width="10.28515625" style="105" customWidth="1"/>
    <col min="3847" max="3847" width="10.140625" style="105" customWidth="1"/>
    <col min="3848" max="4085" width="9.140625" style="105" customWidth="1"/>
    <col min="4086" max="4086" width="5.140625" style="105" customWidth="1"/>
    <col min="4087" max="4087" width="4.7109375" style="105" customWidth="1"/>
    <col min="4088" max="4088" width="7.42578125" style="105" customWidth="1"/>
    <col min="4089" max="4090" width="23.85546875" style="105" customWidth="1"/>
    <col min="4091" max="4091" width="10.140625" style="105" customWidth="1"/>
    <col min="4092" max="4092" width="5.85546875" style="105" customWidth="1"/>
    <col min="4093" max="4093" width="4.7109375" style="105" customWidth="1"/>
    <col min="4094" max="4094" width="4.85546875" style="105" customWidth="1"/>
    <col min="4095" max="4095" width="16.140625" style="105" customWidth="1"/>
    <col min="4096" max="4096" width="9.7109375" style="105" customWidth="1"/>
    <col min="4097" max="4097" width="14.5703125" style="105" customWidth="1"/>
    <col min="4098" max="4098" width="10.7109375" style="105" customWidth="1"/>
    <col min="4099" max="4099" width="8.85546875" style="105" customWidth="1"/>
    <col min="4100" max="4100" width="11" style="105" customWidth="1"/>
    <col min="4101" max="4101" width="5.28515625" style="105" customWidth="1"/>
    <col min="4102" max="4102" width="10.28515625" style="105" customWidth="1"/>
    <col min="4103" max="4103" width="10.140625" style="105" customWidth="1"/>
    <col min="4104" max="4341" width="9.140625" style="105" customWidth="1"/>
    <col min="4342" max="4342" width="5.140625" style="105" customWidth="1"/>
    <col min="4343" max="4343" width="4.7109375" style="105" customWidth="1"/>
    <col min="4344" max="4344" width="7.42578125" style="105" customWidth="1"/>
    <col min="4345" max="4346" width="23.85546875" style="105" customWidth="1"/>
    <col min="4347" max="4347" width="10.140625" style="105" customWidth="1"/>
    <col min="4348" max="4348" width="5.85546875" style="105" customWidth="1"/>
    <col min="4349" max="4349" width="4.7109375" style="105" customWidth="1"/>
    <col min="4350" max="4350" width="4.85546875" style="105" customWidth="1"/>
    <col min="4351" max="4351" width="16.140625" style="105" customWidth="1"/>
    <col min="4352" max="4352" width="9.7109375" style="105" customWidth="1"/>
    <col min="4353" max="4353" width="14.5703125" style="105" customWidth="1"/>
    <col min="4354" max="4354" width="10.7109375" style="105" customWidth="1"/>
    <col min="4355" max="4355" width="8.85546875" style="105" customWidth="1"/>
    <col min="4356" max="4356" width="11" style="105" customWidth="1"/>
    <col min="4357" max="4357" width="5.28515625" style="105" customWidth="1"/>
    <col min="4358" max="4358" width="10.28515625" style="105" customWidth="1"/>
    <col min="4359" max="4359" width="10.140625" style="105" customWidth="1"/>
    <col min="4360" max="4597" width="9.140625" style="105" customWidth="1"/>
    <col min="4598" max="4598" width="5.140625" style="105" customWidth="1"/>
    <col min="4599" max="4599" width="4.7109375" style="105" customWidth="1"/>
    <col min="4600" max="4600" width="7.42578125" style="105" customWidth="1"/>
    <col min="4601" max="4602" width="23.85546875" style="105" customWidth="1"/>
    <col min="4603" max="4603" width="10.140625" style="105" customWidth="1"/>
    <col min="4604" max="4604" width="5.85546875" style="105" customWidth="1"/>
    <col min="4605" max="4605" width="4.7109375" style="105" customWidth="1"/>
    <col min="4606" max="4606" width="4.85546875" style="105" customWidth="1"/>
    <col min="4607" max="4607" width="16.140625" style="105" customWidth="1"/>
    <col min="4608" max="4608" width="9.7109375" style="105" customWidth="1"/>
    <col min="4609" max="4609" width="14.5703125" style="105" customWidth="1"/>
    <col min="4610" max="4610" width="10.7109375" style="105" customWidth="1"/>
    <col min="4611" max="4611" width="8.85546875" style="105" customWidth="1"/>
    <col min="4612" max="4612" width="11" style="105" customWidth="1"/>
    <col min="4613" max="4613" width="5.28515625" style="105" customWidth="1"/>
    <col min="4614" max="4614" width="10.28515625" style="105" customWidth="1"/>
    <col min="4615" max="4615" width="10.140625" style="105" customWidth="1"/>
    <col min="4616" max="4853" width="9.140625" style="105" customWidth="1"/>
    <col min="4854" max="4854" width="5.140625" style="105" customWidth="1"/>
    <col min="4855" max="4855" width="4.7109375" style="105" customWidth="1"/>
    <col min="4856" max="4856" width="7.42578125" style="105" customWidth="1"/>
    <col min="4857" max="4858" width="23.85546875" style="105" customWidth="1"/>
    <col min="4859" max="4859" width="10.140625" style="105" customWidth="1"/>
    <col min="4860" max="4860" width="5.85546875" style="105" customWidth="1"/>
    <col min="4861" max="4861" width="4.7109375" style="105" customWidth="1"/>
    <col min="4862" max="4862" width="4.85546875" style="105" customWidth="1"/>
    <col min="4863" max="4863" width="16.140625" style="105" customWidth="1"/>
    <col min="4864" max="4864" width="9.7109375" style="105" customWidth="1"/>
    <col min="4865" max="4865" width="14.5703125" style="105" customWidth="1"/>
    <col min="4866" max="4866" width="10.7109375" style="105" customWidth="1"/>
    <col min="4867" max="4867" width="8.85546875" style="105" customWidth="1"/>
    <col min="4868" max="4868" width="11" style="105" customWidth="1"/>
    <col min="4869" max="4869" width="5.28515625" style="105" customWidth="1"/>
    <col min="4870" max="4870" width="10.28515625" style="105" customWidth="1"/>
    <col min="4871" max="4871" width="10.140625" style="105" customWidth="1"/>
    <col min="4872" max="5109" width="9.140625" style="105" customWidth="1"/>
    <col min="5110" max="5110" width="5.140625" style="105" customWidth="1"/>
    <col min="5111" max="5111" width="4.7109375" style="105" customWidth="1"/>
    <col min="5112" max="5112" width="7.42578125" style="105" customWidth="1"/>
    <col min="5113" max="5114" width="23.85546875" style="105" customWidth="1"/>
    <col min="5115" max="5115" width="10.140625" style="105" customWidth="1"/>
    <col min="5116" max="5116" width="5.85546875" style="105" customWidth="1"/>
    <col min="5117" max="5117" width="4.7109375" style="105" customWidth="1"/>
    <col min="5118" max="5118" width="4.85546875" style="105" customWidth="1"/>
    <col min="5119" max="5119" width="16.140625" style="105" customWidth="1"/>
    <col min="5120" max="5120" width="9.7109375" style="105" customWidth="1"/>
    <col min="5121" max="5121" width="14.5703125" style="105" customWidth="1"/>
    <col min="5122" max="5122" width="10.7109375" style="105" customWidth="1"/>
    <col min="5123" max="5123" width="8.85546875" style="105" customWidth="1"/>
    <col min="5124" max="5124" width="11" style="105" customWidth="1"/>
    <col min="5125" max="5125" width="5.28515625" style="105" customWidth="1"/>
    <col min="5126" max="5126" width="10.28515625" style="105" customWidth="1"/>
    <col min="5127" max="5127" width="10.140625" style="105" customWidth="1"/>
    <col min="5128" max="5365" width="9.140625" style="105" customWidth="1"/>
    <col min="5366" max="5366" width="5.140625" style="105" customWidth="1"/>
    <col min="5367" max="5367" width="4.7109375" style="105" customWidth="1"/>
    <col min="5368" max="5368" width="7.42578125" style="105" customWidth="1"/>
    <col min="5369" max="5370" width="23.85546875" style="105" customWidth="1"/>
    <col min="5371" max="5371" width="10.140625" style="105" customWidth="1"/>
    <col min="5372" max="5372" width="5.85546875" style="105" customWidth="1"/>
    <col min="5373" max="5373" width="4.7109375" style="105" customWidth="1"/>
    <col min="5374" max="5374" width="4.85546875" style="105" customWidth="1"/>
    <col min="5375" max="5375" width="16.140625" style="105" customWidth="1"/>
    <col min="5376" max="5376" width="9.7109375" style="105" customWidth="1"/>
    <col min="5377" max="5377" width="14.5703125" style="105" customWidth="1"/>
    <col min="5378" max="5378" width="10.7109375" style="105" customWidth="1"/>
    <col min="5379" max="5379" width="8.85546875" style="105" customWidth="1"/>
    <col min="5380" max="5380" width="11" style="105" customWidth="1"/>
    <col min="5381" max="5381" width="5.28515625" style="105" customWidth="1"/>
    <col min="5382" max="5382" width="10.28515625" style="105" customWidth="1"/>
    <col min="5383" max="5383" width="10.140625" style="105" customWidth="1"/>
    <col min="5384" max="5621" width="9.140625" style="105" customWidth="1"/>
    <col min="5622" max="5622" width="5.140625" style="105" customWidth="1"/>
    <col min="5623" max="5623" width="4.7109375" style="105" customWidth="1"/>
    <col min="5624" max="5624" width="7.42578125" style="105" customWidth="1"/>
    <col min="5625" max="5626" width="23.85546875" style="105" customWidth="1"/>
    <col min="5627" max="5627" width="10.140625" style="105" customWidth="1"/>
    <col min="5628" max="5628" width="5.85546875" style="105" customWidth="1"/>
    <col min="5629" max="5629" width="4.7109375" style="105" customWidth="1"/>
    <col min="5630" max="5630" width="4.85546875" style="105" customWidth="1"/>
    <col min="5631" max="5631" width="16.140625" style="105" customWidth="1"/>
    <col min="5632" max="5632" width="9.7109375" style="105" customWidth="1"/>
    <col min="5633" max="5633" width="14.5703125" style="105" customWidth="1"/>
    <col min="5634" max="5634" width="10.7109375" style="105" customWidth="1"/>
    <col min="5635" max="5635" width="8.85546875" style="105" customWidth="1"/>
    <col min="5636" max="5636" width="11" style="105" customWidth="1"/>
    <col min="5637" max="5637" width="5.28515625" style="105" customWidth="1"/>
    <col min="5638" max="5638" width="10.28515625" style="105" customWidth="1"/>
    <col min="5639" max="5639" width="10.140625" style="105" customWidth="1"/>
    <col min="5640" max="5877" width="9.140625" style="105" customWidth="1"/>
    <col min="5878" max="5878" width="5.140625" style="105" customWidth="1"/>
    <col min="5879" max="5879" width="4.7109375" style="105" customWidth="1"/>
    <col min="5880" max="5880" width="7.42578125" style="105" customWidth="1"/>
    <col min="5881" max="5882" width="23.85546875" style="105" customWidth="1"/>
    <col min="5883" max="5883" width="10.140625" style="105" customWidth="1"/>
    <col min="5884" max="5884" width="5.85546875" style="105" customWidth="1"/>
    <col min="5885" max="5885" width="4.7109375" style="105" customWidth="1"/>
    <col min="5886" max="5886" width="4.85546875" style="105" customWidth="1"/>
    <col min="5887" max="5887" width="16.140625" style="105" customWidth="1"/>
    <col min="5888" max="5888" width="9.7109375" style="105" customWidth="1"/>
    <col min="5889" max="5889" width="14.5703125" style="105" customWidth="1"/>
    <col min="5890" max="5890" width="10.7109375" style="105" customWidth="1"/>
    <col min="5891" max="5891" width="8.85546875" style="105" customWidth="1"/>
    <col min="5892" max="5892" width="11" style="105" customWidth="1"/>
    <col min="5893" max="5893" width="5.28515625" style="105" customWidth="1"/>
    <col min="5894" max="5894" width="10.28515625" style="105" customWidth="1"/>
    <col min="5895" max="5895" width="10.140625" style="105" customWidth="1"/>
    <col min="5896" max="6133" width="9.140625" style="105" customWidth="1"/>
    <col min="6134" max="6134" width="5.140625" style="105" customWidth="1"/>
    <col min="6135" max="6135" width="4.7109375" style="105" customWidth="1"/>
    <col min="6136" max="6136" width="7.42578125" style="105" customWidth="1"/>
    <col min="6137" max="6138" width="23.85546875" style="105" customWidth="1"/>
    <col min="6139" max="6139" width="10.140625" style="105" customWidth="1"/>
    <col min="6140" max="6140" width="5.85546875" style="105" customWidth="1"/>
    <col min="6141" max="6141" width="4.7109375" style="105" customWidth="1"/>
    <col min="6142" max="6142" width="4.85546875" style="105" customWidth="1"/>
    <col min="6143" max="6143" width="16.140625" style="105" customWidth="1"/>
    <col min="6144" max="6144" width="9.7109375" style="105" customWidth="1"/>
    <col min="6145" max="6145" width="14.5703125" style="105" customWidth="1"/>
    <col min="6146" max="6146" width="10.7109375" style="105" customWidth="1"/>
    <col min="6147" max="6147" width="8.85546875" style="105" customWidth="1"/>
    <col min="6148" max="6148" width="11" style="105" customWidth="1"/>
    <col min="6149" max="6149" width="5.28515625" style="105" customWidth="1"/>
    <col min="6150" max="6150" width="10.28515625" style="105" customWidth="1"/>
    <col min="6151" max="6151" width="10.140625" style="105" customWidth="1"/>
    <col min="6152" max="6389" width="9.140625" style="105" customWidth="1"/>
    <col min="6390" max="6390" width="5.140625" style="105" customWidth="1"/>
    <col min="6391" max="6391" width="4.7109375" style="105" customWidth="1"/>
    <col min="6392" max="6392" width="7.42578125" style="105" customWidth="1"/>
    <col min="6393" max="6394" width="23.85546875" style="105" customWidth="1"/>
    <col min="6395" max="6395" width="10.140625" style="105" customWidth="1"/>
    <col min="6396" max="6396" width="5.85546875" style="105" customWidth="1"/>
    <col min="6397" max="6397" width="4.7109375" style="105" customWidth="1"/>
    <col min="6398" max="6398" width="4.85546875" style="105" customWidth="1"/>
    <col min="6399" max="6399" width="16.140625" style="105" customWidth="1"/>
    <col min="6400" max="6400" width="9.7109375" style="105" customWidth="1"/>
    <col min="6401" max="6401" width="14.5703125" style="105" customWidth="1"/>
    <col min="6402" max="6402" width="10.7109375" style="105" customWidth="1"/>
    <col min="6403" max="6403" width="8.85546875" style="105" customWidth="1"/>
    <col min="6404" max="6404" width="11" style="105" customWidth="1"/>
    <col min="6405" max="6405" width="5.28515625" style="105" customWidth="1"/>
    <col min="6406" max="6406" width="10.28515625" style="105" customWidth="1"/>
    <col min="6407" max="6407" width="10.140625" style="105" customWidth="1"/>
    <col min="6408" max="6645" width="9.140625" style="105" customWidth="1"/>
    <col min="6646" max="6646" width="5.140625" style="105" customWidth="1"/>
    <col min="6647" max="6647" width="4.7109375" style="105" customWidth="1"/>
    <col min="6648" max="6648" width="7.42578125" style="105" customWidth="1"/>
    <col min="6649" max="6650" width="23.85546875" style="105" customWidth="1"/>
    <col min="6651" max="6651" width="10.140625" style="105" customWidth="1"/>
    <col min="6652" max="6652" width="5.85546875" style="105" customWidth="1"/>
    <col min="6653" max="6653" width="4.7109375" style="105" customWidth="1"/>
    <col min="6654" max="6654" width="4.85546875" style="105" customWidth="1"/>
    <col min="6655" max="6655" width="16.140625" style="105" customWidth="1"/>
    <col min="6656" max="6656" width="9.7109375" style="105" customWidth="1"/>
    <col min="6657" max="6657" width="14.5703125" style="105" customWidth="1"/>
    <col min="6658" max="6658" width="10.7109375" style="105" customWidth="1"/>
    <col min="6659" max="6659" width="8.85546875" style="105" customWidth="1"/>
    <col min="6660" max="6660" width="11" style="105" customWidth="1"/>
    <col min="6661" max="6661" width="5.28515625" style="105" customWidth="1"/>
    <col min="6662" max="6662" width="10.28515625" style="105" customWidth="1"/>
    <col min="6663" max="6663" width="10.140625" style="105" customWidth="1"/>
    <col min="6664" max="6901" width="9.140625" style="105" customWidth="1"/>
    <col min="6902" max="6902" width="5.140625" style="105" customWidth="1"/>
    <col min="6903" max="6903" width="4.7109375" style="105" customWidth="1"/>
    <col min="6904" max="6904" width="7.42578125" style="105" customWidth="1"/>
    <col min="6905" max="6906" width="23.85546875" style="105" customWidth="1"/>
    <col min="6907" max="6907" width="10.140625" style="105" customWidth="1"/>
    <col min="6908" max="6908" width="5.85546875" style="105" customWidth="1"/>
    <col min="6909" max="6909" width="4.7109375" style="105" customWidth="1"/>
    <col min="6910" max="6910" width="4.85546875" style="105" customWidth="1"/>
    <col min="6911" max="6911" width="16.140625" style="105" customWidth="1"/>
    <col min="6912" max="6912" width="9.7109375" style="105" customWidth="1"/>
    <col min="6913" max="6913" width="14.5703125" style="105" customWidth="1"/>
    <col min="6914" max="6914" width="10.7109375" style="105" customWidth="1"/>
    <col min="6915" max="6915" width="8.85546875" style="105" customWidth="1"/>
    <col min="6916" max="6916" width="11" style="105" customWidth="1"/>
    <col min="6917" max="6917" width="5.28515625" style="105" customWidth="1"/>
    <col min="6918" max="6918" width="10.28515625" style="105" customWidth="1"/>
    <col min="6919" max="6919" width="10.140625" style="105" customWidth="1"/>
    <col min="6920" max="7157" width="9.140625" style="105" customWidth="1"/>
    <col min="7158" max="7158" width="5.140625" style="105" customWidth="1"/>
    <col min="7159" max="7159" width="4.7109375" style="105" customWidth="1"/>
    <col min="7160" max="7160" width="7.42578125" style="105" customWidth="1"/>
    <col min="7161" max="7162" width="23.85546875" style="105" customWidth="1"/>
    <col min="7163" max="7163" width="10.140625" style="105" customWidth="1"/>
    <col min="7164" max="7164" width="5.85546875" style="105" customWidth="1"/>
    <col min="7165" max="7165" width="4.7109375" style="105" customWidth="1"/>
    <col min="7166" max="7166" width="4.85546875" style="105" customWidth="1"/>
    <col min="7167" max="7167" width="16.140625" style="105" customWidth="1"/>
    <col min="7168" max="7168" width="9.7109375" style="105" customWidth="1"/>
    <col min="7169" max="7169" width="14.5703125" style="105" customWidth="1"/>
    <col min="7170" max="7170" width="10.7109375" style="105" customWidth="1"/>
    <col min="7171" max="7171" width="8.85546875" style="105" customWidth="1"/>
    <col min="7172" max="7172" width="11" style="105" customWidth="1"/>
    <col min="7173" max="7173" width="5.28515625" style="105" customWidth="1"/>
    <col min="7174" max="7174" width="10.28515625" style="105" customWidth="1"/>
    <col min="7175" max="7175" width="10.140625" style="105" customWidth="1"/>
    <col min="7176" max="7413" width="9.140625" style="105" customWidth="1"/>
    <col min="7414" max="7414" width="5.140625" style="105" customWidth="1"/>
    <col min="7415" max="7415" width="4.7109375" style="105" customWidth="1"/>
    <col min="7416" max="7416" width="7.42578125" style="105" customWidth="1"/>
    <col min="7417" max="7418" width="23.85546875" style="105" customWidth="1"/>
    <col min="7419" max="7419" width="10.140625" style="105" customWidth="1"/>
    <col min="7420" max="7420" width="5.85546875" style="105" customWidth="1"/>
    <col min="7421" max="7421" width="4.7109375" style="105" customWidth="1"/>
    <col min="7422" max="7422" width="4.85546875" style="105" customWidth="1"/>
    <col min="7423" max="7423" width="16.140625" style="105" customWidth="1"/>
    <col min="7424" max="7424" width="9.7109375" style="105" customWidth="1"/>
    <col min="7425" max="7425" width="14.5703125" style="105" customWidth="1"/>
    <col min="7426" max="7426" width="10.7109375" style="105" customWidth="1"/>
    <col min="7427" max="7427" width="8.85546875" style="105" customWidth="1"/>
    <col min="7428" max="7428" width="11" style="105" customWidth="1"/>
    <col min="7429" max="7429" width="5.28515625" style="105" customWidth="1"/>
    <col min="7430" max="7430" width="10.28515625" style="105" customWidth="1"/>
    <col min="7431" max="7431" width="10.140625" style="105" customWidth="1"/>
    <col min="7432" max="7669" width="9.140625" style="105" customWidth="1"/>
    <col min="7670" max="7670" width="5.140625" style="105" customWidth="1"/>
    <col min="7671" max="7671" width="4.7109375" style="105" customWidth="1"/>
    <col min="7672" max="7672" width="7.42578125" style="105" customWidth="1"/>
    <col min="7673" max="7674" width="23.85546875" style="105" customWidth="1"/>
    <col min="7675" max="7675" width="10.140625" style="105" customWidth="1"/>
    <col min="7676" max="7676" width="5.85546875" style="105" customWidth="1"/>
    <col min="7677" max="7677" width="4.7109375" style="105" customWidth="1"/>
    <col min="7678" max="7678" width="4.85546875" style="105" customWidth="1"/>
    <col min="7679" max="7679" width="16.140625" style="105" customWidth="1"/>
    <col min="7680" max="7680" width="9.7109375" style="105" customWidth="1"/>
    <col min="7681" max="7681" width="14.5703125" style="105" customWidth="1"/>
    <col min="7682" max="7682" width="10.7109375" style="105" customWidth="1"/>
    <col min="7683" max="7683" width="8.85546875" style="105" customWidth="1"/>
    <col min="7684" max="7684" width="11" style="105" customWidth="1"/>
    <col min="7685" max="7685" width="5.28515625" style="105" customWidth="1"/>
    <col min="7686" max="7686" width="10.28515625" style="105" customWidth="1"/>
    <col min="7687" max="7687" width="10.140625" style="105" customWidth="1"/>
    <col min="7688" max="7925" width="9.140625" style="105" customWidth="1"/>
    <col min="7926" max="7926" width="5.140625" style="105" customWidth="1"/>
    <col min="7927" max="7927" width="4.7109375" style="105" customWidth="1"/>
    <col min="7928" max="7928" width="7.42578125" style="105" customWidth="1"/>
    <col min="7929" max="7930" width="23.85546875" style="105" customWidth="1"/>
    <col min="7931" max="7931" width="10.140625" style="105" customWidth="1"/>
    <col min="7932" max="7932" width="5.85546875" style="105" customWidth="1"/>
    <col min="7933" max="7933" width="4.7109375" style="105" customWidth="1"/>
    <col min="7934" max="7934" width="4.85546875" style="105" customWidth="1"/>
    <col min="7935" max="7935" width="16.140625" style="105" customWidth="1"/>
    <col min="7936" max="7936" width="9.7109375" style="105" customWidth="1"/>
    <col min="7937" max="7937" width="14.5703125" style="105" customWidth="1"/>
    <col min="7938" max="7938" width="10.7109375" style="105" customWidth="1"/>
    <col min="7939" max="7939" width="8.85546875" style="105" customWidth="1"/>
    <col min="7940" max="7940" width="11" style="105" customWidth="1"/>
    <col min="7941" max="7941" width="5.28515625" style="105" customWidth="1"/>
    <col min="7942" max="7942" width="10.28515625" style="105" customWidth="1"/>
    <col min="7943" max="7943" width="10.140625" style="105" customWidth="1"/>
    <col min="7944" max="8181" width="9.140625" style="105" customWidth="1"/>
    <col min="8182" max="8182" width="5.140625" style="105" customWidth="1"/>
    <col min="8183" max="8183" width="4.7109375" style="105" customWidth="1"/>
    <col min="8184" max="8184" width="7.42578125" style="105" customWidth="1"/>
    <col min="8185" max="8186" width="23.85546875" style="105" customWidth="1"/>
    <col min="8187" max="8187" width="10.140625" style="105" customWidth="1"/>
    <col min="8188" max="8188" width="5.85546875" style="105" customWidth="1"/>
    <col min="8189" max="8189" width="4.7109375" style="105" customWidth="1"/>
    <col min="8190" max="8190" width="4.85546875" style="105" customWidth="1"/>
    <col min="8191" max="8191" width="16.140625" style="105" customWidth="1"/>
    <col min="8192" max="8192" width="9.7109375" style="105" customWidth="1"/>
    <col min="8193" max="8193" width="14.5703125" style="105" customWidth="1"/>
    <col min="8194" max="8194" width="10.7109375" style="105" customWidth="1"/>
    <col min="8195" max="8195" width="8.85546875" style="105" customWidth="1"/>
    <col min="8196" max="8196" width="11" style="105" customWidth="1"/>
    <col min="8197" max="8197" width="5.28515625" style="105" customWidth="1"/>
    <col min="8198" max="8198" width="10.28515625" style="105" customWidth="1"/>
    <col min="8199" max="8199" width="10.140625" style="105" customWidth="1"/>
    <col min="8200" max="8437" width="9.140625" style="105" customWidth="1"/>
    <col min="8438" max="8438" width="5.140625" style="105" customWidth="1"/>
    <col min="8439" max="8439" width="4.7109375" style="105" customWidth="1"/>
    <col min="8440" max="8440" width="7.42578125" style="105" customWidth="1"/>
    <col min="8441" max="8442" width="23.85546875" style="105" customWidth="1"/>
    <col min="8443" max="8443" width="10.140625" style="105" customWidth="1"/>
    <col min="8444" max="8444" width="5.85546875" style="105" customWidth="1"/>
    <col min="8445" max="8445" width="4.7109375" style="105" customWidth="1"/>
    <col min="8446" max="8446" width="4.85546875" style="105" customWidth="1"/>
    <col min="8447" max="8447" width="16.140625" style="105" customWidth="1"/>
    <col min="8448" max="8448" width="9.7109375" style="105" customWidth="1"/>
    <col min="8449" max="8449" width="14.5703125" style="105" customWidth="1"/>
    <col min="8450" max="8450" width="10.7109375" style="105" customWidth="1"/>
    <col min="8451" max="8451" width="8.85546875" style="105" customWidth="1"/>
    <col min="8452" max="8452" width="11" style="105" customWidth="1"/>
    <col min="8453" max="8453" width="5.28515625" style="105" customWidth="1"/>
    <col min="8454" max="8454" width="10.28515625" style="105" customWidth="1"/>
    <col min="8455" max="8455" width="10.140625" style="105" customWidth="1"/>
    <col min="8456" max="8693" width="9.140625" style="105" customWidth="1"/>
    <col min="8694" max="8694" width="5.140625" style="105" customWidth="1"/>
    <col min="8695" max="8695" width="4.7109375" style="105" customWidth="1"/>
    <col min="8696" max="8696" width="7.42578125" style="105" customWidth="1"/>
    <col min="8697" max="8698" width="23.85546875" style="105" customWidth="1"/>
    <col min="8699" max="8699" width="10.140625" style="105" customWidth="1"/>
    <col min="8700" max="8700" width="5.85546875" style="105" customWidth="1"/>
    <col min="8701" max="8701" width="4.7109375" style="105" customWidth="1"/>
    <col min="8702" max="8702" width="4.85546875" style="105" customWidth="1"/>
    <col min="8703" max="8703" width="16.140625" style="105" customWidth="1"/>
    <col min="8704" max="8704" width="9.7109375" style="105" customWidth="1"/>
    <col min="8705" max="8705" width="14.5703125" style="105" customWidth="1"/>
    <col min="8706" max="8706" width="10.7109375" style="105" customWidth="1"/>
    <col min="8707" max="8707" width="8.85546875" style="105" customWidth="1"/>
    <col min="8708" max="8708" width="11" style="105" customWidth="1"/>
    <col min="8709" max="8709" width="5.28515625" style="105" customWidth="1"/>
    <col min="8710" max="8710" width="10.28515625" style="105" customWidth="1"/>
    <col min="8711" max="8711" width="10.140625" style="105" customWidth="1"/>
    <col min="8712" max="8949" width="9.140625" style="105" customWidth="1"/>
    <col min="8950" max="8950" width="5.140625" style="105" customWidth="1"/>
    <col min="8951" max="8951" width="4.7109375" style="105" customWidth="1"/>
    <col min="8952" max="8952" width="7.42578125" style="105" customWidth="1"/>
    <col min="8953" max="8954" width="23.85546875" style="105" customWidth="1"/>
    <col min="8955" max="8955" width="10.140625" style="105" customWidth="1"/>
    <col min="8956" max="8956" width="5.85546875" style="105" customWidth="1"/>
    <col min="8957" max="8957" width="4.7109375" style="105" customWidth="1"/>
    <col min="8958" max="8958" width="4.85546875" style="105" customWidth="1"/>
    <col min="8959" max="8959" width="16.140625" style="105" customWidth="1"/>
    <col min="8960" max="8960" width="9.7109375" style="105" customWidth="1"/>
    <col min="8961" max="8961" width="14.5703125" style="105" customWidth="1"/>
    <col min="8962" max="8962" width="10.7109375" style="105" customWidth="1"/>
    <col min="8963" max="8963" width="8.85546875" style="105" customWidth="1"/>
    <col min="8964" max="8964" width="11" style="105" customWidth="1"/>
    <col min="8965" max="8965" width="5.28515625" style="105" customWidth="1"/>
    <col min="8966" max="8966" width="10.28515625" style="105" customWidth="1"/>
    <col min="8967" max="8967" width="10.140625" style="105" customWidth="1"/>
    <col min="8968" max="9205" width="9.140625" style="105" customWidth="1"/>
    <col min="9206" max="9206" width="5.140625" style="105" customWidth="1"/>
    <col min="9207" max="9207" width="4.7109375" style="105" customWidth="1"/>
    <col min="9208" max="9208" width="7.42578125" style="105" customWidth="1"/>
    <col min="9209" max="9210" width="23.85546875" style="105" customWidth="1"/>
    <col min="9211" max="9211" width="10.140625" style="105" customWidth="1"/>
    <col min="9212" max="9212" width="5.85546875" style="105" customWidth="1"/>
    <col min="9213" max="9213" width="4.7109375" style="105" customWidth="1"/>
    <col min="9214" max="9214" width="4.85546875" style="105" customWidth="1"/>
    <col min="9215" max="9215" width="16.140625" style="105" customWidth="1"/>
    <col min="9216" max="9216" width="9.7109375" style="105" customWidth="1"/>
    <col min="9217" max="9217" width="14.5703125" style="105" customWidth="1"/>
    <col min="9218" max="9218" width="10.7109375" style="105" customWidth="1"/>
    <col min="9219" max="9219" width="8.85546875" style="105" customWidth="1"/>
    <col min="9220" max="9220" width="11" style="105" customWidth="1"/>
    <col min="9221" max="9221" width="5.28515625" style="105" customWidth="1"/>
    <col min="9222" max="9222" width="10.28515625" style="105" customWidth="1"/>
    <col min="9223" max="9223" width="10.140625" style="105" customWidth="1"/>
    <col min="9224" max="9461" width="9.140625" style="105" customWidth="1"/>
    <col min="9462" max="9462" width="5.140625" style="105" customWidth="1"/>
    <col min="9463" max="9463" width="4.7109375" style="105" customWidth="1"/>
    <col min="9464" max="9464" width="7.42578125" style="105" customWidth="1"/>
    <col min="9465" max="9466" width="23.85546875" style="105" customWidth="1"/>
    <col min="9467" max="9467" width="10.140625" style="105" customWidth="1"/>
    <col min="9468" max="9468" width="5.85546875" style="105" customWidth="1"/>
    <col min="9469" max="9469" width="4.7109375" style="105" customWidth="1"/>
    <col min="9470" max="9470" width="4.85546875" style="105" customWidth="1"/>
    <col min="9471" max="9471" width="16.140625" style="105" customWidth="1"/>
    <col min="9472" max="9472" width="9.7109375" style="105" customWidth="1"/>
    <col min="9473" max="9473" width="14.5703125" style="105" customWidth="1"/>
    <col min="9474" max="9474" width="10.7109375" style="105" customWidth="1"/>
    <col min="9475" max="9475" width="8.85546875" style="105" customWidth="1"/>
    <col min="9476" max="9476" width="11" style="105" customWidth="1"/>
    <col min="9477" max="9477" width="5.28515625" style="105" customWidth="1"/>
    <col min="9478" max="9478" width="10.28515625" style="105" customWidth="1"/>
    <col min="9479" max="9479" width="10.140625" style="105" customWidth="1"/>
    <col min="9480" max="9717" width="9.140625" style="105" customWidth="1"/>
    <col min="9718" max="9718" width="5.140625" style="105" customWidth="1"/>
    <col min="9719" max="9719" width="4.7109375" style="105" customWidth="1"/>
    <col min="9720" max="9720" width="7.42578125" style="105" customWidth="1"/>
    <col min="9721" max="9722" width="23.85546875" style="105" customWidth="1"/>
    <col min="9723" max="9723" width="10.140625" style="105" customWidth="1"/>
    <col min="9724" max="9724" width="5.85546875" style="105" customWidth="1"/>
    <col min="9725" max="9725" width="4.7109375" style="105" customWidth="1"/>
    <col min="9726" max="9726" width="4.85546875" style="105" customWidth="1"/>
    <col min="9727" max="9727" width="16.140625" style="105" customWidth="1"/>
    <col min="9728" max="9728" width="9.7109375" style="105" customWidth="1"/>
    <col min="9729" max="9729" width="14.5703125" style="105" customWidth="1"/>
    <col min="9730" max="9730" width="10.7109375" style="105" customWidth="1"/>
    <col min="9731" max="9731" width="8.85546875" style="105" customWidth="1"/>
    <col min="9732" max="9732" width="11" style="105" customWidth="1"/>
    <col min="9733" max="9733" width="5.28515625" style="105" customWidth="1"/>
    <col min="9734" max="9734" width="10.28515625" style="105" customWidth="1"/>
    <col min="9735" max="9735" width="10.140625" style="105" customWidth="1"/>
    <col min="9736" max="9973" width="9.140625" style="105" customWidth="1"/>
    <col min="9974" max="9974" width="5.140625" style="105" customWidth="1"/>
    <col min="9975" max="9975" width="4.7109375" style="105" customWidth="1"/>
    <col min="9976" max="9976" width="7.42578125" style="105" customWidth="1"/>
    <col min="9977" max="9978" width="23.85546875" style="105" customWidth="1"/>
    <col min="9979" max="9979" width="10.140625" style="105" customWidth="1"/>
    <col min="9980" max="9980" width="5.85546875" style="105" customWidth="1"/>
    <col min="9981" max="9981" width="4.7109375" style="105" customWidth="1"/>
    <col min="9982" max="9982" width="4.85546875" style="105" customWidth="1"/>
    <col min="9983" max="9983" width="16.140625" style="105" customWidth="1"/>
    <col min="9984" max="9984" width="9.7109375" style="105" customWidth="1"/>
    <col min="9985" max="9985" width="14.5703125" style="105" customWidth="1"/>
    <col min="9986" max="9986" width="10.7109375" style="105" customWidth="1"/>
    <col min="9987" max="9987" width="8.85546875" style="105" customWidth="1"/>
    <col min="9988" max="9988" width="11" style="105" customWidth="1"/>
    <col min="9989" max="9989" width="5.28515625" style="105" customWidth="1"/>
    <col min="9990" max="9990" width="10.28515625" style="105" customWidth="1"/>
    <col min="9991" max="9991" width="10.140625" style="105" customWidth="1"/>
    <col min="9992" max="10229" width="9.140625" style="105" customWidth="1"/>
    <col min="10230" max="10230" width="5.140625" style="105" customWidth="1"/>
    <col min="10231" max="10231" width="4.7109375" style="105" customWidth="1"/>
    <col min="10232" max="10232" width="7.42578125" style="105" customWidth="1"/>
    <col min="10233" max="10234" width="23.85546875" style="105" customWidth="1"/>
    <col min="10235" max="10235" width="10.140625" style="105" customWidth="1"/>
    <col min="10236" max="10236" width="5.85546875" style="105" customWidth="1"/>
    <col min="10237" max="10237" width="4.7109375" style="105" customWidth="1"/>
    <col min="10238" max="10238" width="4.85546875" style="105" customWidth="1"/>
    <col min="10239" max="10239" width="16.140625" style="105" customWidth="1"/>
    <col min="10240" max="10240" width="9.7109375" style="105" customWidth="1"/>
    <col min="10241" max="10241" width="14.5703125" style="105" customWidth="1"/>
    <col min="10242" max="10242" width="10.7109375" style="105" customWidth="1"/>
    <col min="10243" max="10243" width="8.85546875" style="105" customWidth="1"/>
    <col min="10244" max="10244" width="11" style="105" customWidth="1"/>
    <col min="10245" max="10245" width="5.28515625" style="105" customWidth="1"/>
    <col min="10246" max="10246" width="10.28515625" style="105" customWidth="1"/>
    <col min="10247" max="10247" width="10.140625" style="105" customWidth="1"/>
    <col min="10248" max="10485" width="9.140625" style="105" customWidth="1"/>
    <col min="10486" max="10486" width="5.140625" style="105" customWidth="1"/>
    <col min="10487" max="10487" width="4.7109375" style="105" customWidth="1"/>
    <col min="10488" max="10488" width="7.42578125" style="105" customWidth="1"/>
    <col min="10489" max="10490" width="23.85546875" style="105" customWidth="1"/>
    <col min="10491" max="10491" width="10.140625" style="105" customWidth="1"/>
    <col min="10492" max="10492" width="5.85546875" style="105" customWidth="1"/>
    <col min="10493" max="10493" width="4.7109375" style="105" customWidth="1"/>
    <col min="10494" max="10494" width="4.85546875" style="105" customWidth="1"/>
    <col min="10495" max="10495" width="16.140625" style="105" customWidth="1"/>
    <col min="10496" max="10496" width="9.7109375" style="105" customWidth="1"/>
    <col min="10497" max="10497" width="14.5703125" style="105" customWidth="1"/>
    <col min="10498" max="10498" width="10.7109375" style="105" customWidth="1"/>
    <col min="10499" max="10499" width="8.85546875" style="105" customWidth="1"/>
    <col min="10500" max="10500" width="11" style="105" customWidth="1"/>
    <col min="10501" max="10501" width="5.28515625" style="105" customWidth="1"/>
    <col min="10502" max="10502" width="10.28515625" style="105" customWidth="1"/>
    <col min="10503" max="10503" width="10.140625" style="105" customWidth="1"/>
    <col min="10504" max="10741" width="9.140625" style="105" customWidth="1"/>
    <col min="10742" max="10742" width="5.140625" style="105" customWidth="1"/>
    <col min="10743" max="10743" width="4.7109375" style="105" customWidth="1"/>
    <col min="10744" max="10744" width="7.42578125" style="105" customWidth="1"/>
    <col min="10745" max="10746" width="23.85546875" style="105" customWidth="1"/>
    <col min="10747" max="10747" width="10.140625" style="105" customWidth="1"/>
    <col min="10748" max="10748" width="5.85546875" style="105" customWidth="1"/>
    <col min="10749" max="10749" width="4.7109375" style="105" customWidth="1"/>
    <col min="10750" max="10750" width="4.85546875" style="105" customWidth="1"/>
    <col min="10751" max="10751" width="16.140625" style="105" customWidth="1"/>
    <col min="10752" max="10752" width="9.7109375" style="105" customWidth="1"/>
    <col min="10753" max="10753" width="14.5703125" style="105" customWidth="1"/>
    <col min="10754" max="10754" width="10.7109375" style="105" customWidth="1"/>
    <col min="10755" max="10755" width="8.85546875" style="105" customWidth="1"/>
    <col min="10756" max="10756" width="11" style="105" customWidth="1"/>
    <col min="10757" max="10757" width="5.28515625" style="105" customWidth="1"/>
    <col min="10758" max="10758" width="10.28515625" style="105" customWidth="1"/>
    <col min="10759" max="10759" width="10.140625" style="105" customWidth="1"/>
    <col min="10760" max="10997" width="9.140625" style="105" customWidth="1"/>
    <col min="10998" max="10998" width="5.140625" style="105" customWidth="1"/>
    <col min="10999" max="10999" width="4.7109375" style="105" customWidth="1"/>
    <col min="11000" max="11000" width="7.42578125" style="105" customWidth="1"/>
    <col min="11001" max="11002" width="23.85546875" style="105" customWidth="1"/>
    <col min="11003" max="11003" width="10.140625" style="105" customWidth="1"/>
    <col min="11004" max="11004" width="5.85546875" style="105" customWidth="1"/>
    <col min="11005" max="11005" width="4.7109375" style="105" customWidth="1"/>
    <col min="11006" max="11006" width="4.85546875" style="105" customWidth="1"/>
    <col min="11007" max="11007" width="16.140625" style="105" customWidth="1"/>
    <col min="11008" max="11008" width="9.7109375" style="105" customWidth="1"/>
    <col min="11009" max="11009" width="14.5703125" style="105" customWidth="1"/>
    <col min="11010" max="11010" width="10.7109375" style="105" customWidth="1"/>
    <col min="11011" max="11011" width="8.85546875" style="105" customWidth="1"/>
    <col min="11012" max="11012" width="11" style="105" customWidth="1"/>
    <col min="11013" max="11013" width="5.28515625" style="105" customWidth="1"/>
    <col min="11014" max="11014" width="10.28515625" style="105" customWidth="1"/>
    <col min="11015" max="11015" width="10.140625" style="105" customWidth="1"/>
    <col min="11016" max="11253" width="9.140625" style="105" customWidth="1"/>
    <col min="11254" max="11254" width="5.140625" style="105" customWidth="1"/>
    <col min="11255" max="11255" width="4.7109375" style="105" customWidth="1"/>
    <col min="11256" max="11256" width="7.42578125" style="105" customWidth="1"/>
    <col min="11257" max="11258" width="23.85546875" style="105" customWidth="1"/>
    <col min="11259" max="11259" width="10.140625" style="105" customWidth="1"/>
    <col min="11260" max="11260" width="5.85546875" style="105" customWidth="1"/>
    <col min="11261" max="11261" width="4.7109375" style="105" customWidth="1"/>
    <col min="11262" max="11262" width="4.85546875" style="105" customWidth="1"/>
    <col min="11263" max="11263" width="16.140625" style="105" customWidth="1"/>
    <col min="11264" max="11264" width="9.7109375" style="105" customWidth="1"/>
    <col min="11265" max="11265" width="14.5703125" style="105" customWidth="1"/>
    <col min="11266" max="11266" width="10.7109375" style="105" customWidth="1"/>
    <col min="11267" max="11267" width="8.85546875" style="105" customWidth="1"/>
    <col min="11268" max="11268" width="11" style="105" customWidth="1"/>
    <col min="11269" max="11269" width="5.28515625" style="105" customWidth="1"/>
    <col min="11270" max="11270" width="10.28515625" style="105" customWidth="1"/>
    <col min="11271" max="11271" width="10.140625" style="105" customWidth="1"/>
    <col min="11272" max="11509" width="9.140625" style="105" customWidth="1"/>
    <col min="11510" max="11510" width="5.140625" style="105" customWidth="1"/>
    <col min="11511" max="11511" width="4.7109375" style="105" customWidth="1"/>
    <col min="11512" max="11512" width="7.42578125" style="105" customWidth="1"/>
    <col min="11513" max="11514" width="23.85546875" style="105" customWidth="1"/>
    <col min="11515" max="11515" width="10.140625" style="105" customWidth="1"/>
    <col min="11516" max="11516" width="5.85546875" style="105" customWidth="1"/>
    <col min="11517" max="11517" width="4.7109375" style="105" customWidth="1"/>
    <col min="11518" max="11518" width="4.85546875" style="105" customWidth="1"/>
    <col min="11519" max="11519" width="16.140625" style="105" customWidth="1"/>
    <col min="11520" max="11520" width="9.7109375" style="105" customWidth="1"/>
    <col min="11521" max="11521" width="14.5703125" style="105" customWidth="1"/>
    <col min="11522" max="11522" width="10.7109375" style="105" customWidth="1"/>
    <col min="11523" max="11523" width="8.85546875" style="105" customWidth="1"/>
    <col min="11524" max="11524" width="11" style="105" customWidth="1"/>
    <col min="11525" max="11525" width="5.28515625" style="105" customWidth="1"/>
    <col min="11526" max="11526" width="10.28515625" style="105" customWidth="1"/>
    <col min="11527" max="11527" width="10.140625" style="105" customWidth="1"/>
    <col min="11528" max="11765" width="9.140625" style="105" customWidth="1"/>
    <col min="11766" max="11766" width="5.140625" style="105" customWidth="1"/>
    <col min="11767" max="11767" width="4.7109375" style="105" customWidth="1"/>
    <col min="11768" max="11768" width="7.42578125" style="105" customWidth="1"/>
    <col min="11769" max="11770" width="23.85546875" style="105" customWidth="1"/>
    <col min="11771" max="11771" width="10.140625" style="105" customWidth="1"/>
    <col min="11772" max="11772" width="5.85546875" style="105" customWidth="1"/>
    <col min="11773" max="11773" width="4.7109375" style="105" customWidth="1"/>
    <col min="11774" max="11774" width="4.85546875" style="105" customWidth="1"/>
    <col min="11775" max="11775" width="16.140625" style="105" customWidth="1"/>
    <col min="11776" max="11776" width="9.7109375" style="105" customWidth="1"/>
    <col min="11777" max="11777" width="14.5703125" style="105" customWidth="1"/>
    <col min="11778" max="11778" width="10.7109375" style="105" customWidth="1"/>
    <col min="11779" max="11779" width="8.85546875" style="105" customWidth="1"/>
    <col min="11780" max="11780" width="11" style="105" customWidth="1"/>
    <col min="11781" max="11781" width="5.28515625" style="105" customWidth="1"/>
    <col min="11782" max="11782" width="10.28515625" style="105" customWidth="1"/>
    <col min="11783" max="11783" width="10.140625" style="105" customWidth="1"/>
    <col min="11784" max="12021" width="9.140625" style="105" customWidth="1"/>
    <col min="12022" max="12022" width="5.140625" style="105" customWidth="1"/>
    <col min="12023" max="12023" width="4.7109375" style="105" customWidth="1"/>
    <col min="12024" max="12024" width="7.42578125" style="105" customWidth="1"/>
    <col min="12025" max="12026" width="23.85546875" style="105" customWidth="1"/>
    <col min="12027" max="12027" width="10.140625" style="105" customWidth="1"/>
    <col min="12028" max="12028" width="5.85546875" style="105" customWidth="1"/>
    <col min="12029" max="12029" width="4.7109375" style="105" customWidth="1"/>
    <col min="12030" max="12030" width="4.85546875" style="105" customWidth="1"/>
    <col min="12031" max="12031" width="16.140625" style="105" customWidth="1"/>
    <col min="12032" max="12032" width="9.7109375" style="105" customWidth="1"/>
    <col min="12033" max="12033" width="14.5703125" style="105" customWidth="1"/>
    <col min="12034" max="12034" width="10.7109375" style="105" customWidth="1"/>
    <col min="12035" max="12035" width="8.85546875" style="105" customWidth="1"/>
    <col min="12036" max="12036" width="11" style="105" customWidth="1"/>
    <col min="12037" max="12037" width="5.28515625" style="105" customWidth="1"/>
    <col min="12038" max="12038" width="10.28515625" style="105" customWidth="1"/>
    <col min="12039" max="12039" width="10.140625" style="105" customWidth="1"/>
    <col min="12040" max="12277" width="9.140625" style="105" customWidth="1"/>
    <col min="12278" max="12278" width="5.140625" style="105" customWidth="1"/>
    <col min="12279" max="12279" width="4.7109375" style="105" customWidth="1"/>
    <col min="12280" max="12280" width="7.42578125" style="105" customWidth="1"/>
    <col min="12281" max="12282" width="23.85546875" style="105" customWidth="1"/>
    <col min="12283" max="12283" width="10.140625" style="105" customWidth="1"/>
    <col min="12284" max="12284" width="5.85546875" style="105" customWidth="1"/>
    <col min="12285" max="12285" width="4.7109375" style="105" customWidth="1"/>
    <col min="12286" max="12286" width="4.85546875" style="105" customWidth="1"/>
    <col min="12287" max="12287" width="16.140625" style="105" customWidth="1"/>
    <col min="12288" max="12288" width="9.7109375" style="105" customWidth="1"/>
    <col min="12289" max="12289" width="14.5703125" style="105" customWidth="1"/>
    <col min="12290" max="12290" width="10.7109375" style="105" customWidth="1"/>
    <col min="12291" max="12291" width="8.85546875" style="105" customWidth="1"/>
    <col min="12292" max="12292" width="11" style="105" customWidth="1"/>
    <col min="12293" max="12293" width="5.28515625" style="105" customWidth="1"/>
    <col min="12294" max="12294" width="10.28515625" style="105" customWidth="1"/>
    <col min="12295" max="12295" width="10.140625" style="105" customWidth="1"/>
    <col min="12296" max="12533" width="9.140625" style="105" customWidth="1"/>
    <col min="12534" max="12534" width="5.140625" style="105" customWidth="1"/>
    <col min="12535" max="12535" width="4.7109375" style="105" customWidth="1"/>
    <col min="12536" max="12536" width="7.42578125" style="105" customWidth="1"/>
    <col min="12537" max="12538" width="23.85546875" style="105" customWidth="1"/>
    <col min="12539" max="12539" width="10.140625" style="105" customWidth="1"/>
    <col min="12540" max="12540" width="5.85546875" style="105" customWidth="1"/>
    <col min="12541" max="12541" width="4.7109375" style="105" customWidth="1"/>
    <col min="12542" max="12542" width="4.85546875" style="105" customWidth="1"/>
    <col min="12543" max="12543" width="16.140625" style="105" customWidth="1"/>
    <col min="12544" max="12544" width="9.7109375" style="105" customWidth="1"/>
    <col min="12545" max="12545" width="14.5703125" style="105" customWidth="1"/>
    <col min="12546" max="12546" width="10.7109375" style="105" customWidth="1"/>
    <col min="12547" max="12547" width="8.85546875" style="105" customWidth="1"/>
    <col min="12548" max="12548" width="11" style="105" customWidth="1"/>
    <col min="12549" max="12549" width="5.28515625" style="105" customWidth="1"/>
    <col min="12550" max="12550" width="10.28515625" style="105" customWidth="1"/>
    <col min="12551" max="12551" width="10.140625" style="105" customWidth="1"/>
    <col min="12552" max="12789" width="9.140625" style="105" customWidth="1"/>
    <col min="12790" max="12790" width="5.140625" style="105" customWidth="1"/>
    <col min="12791" max="12791" width="4.7109375" style="105" customWidth="1"/>
    <col min="12792" max="12792" width="7.42578125" style="105" customWidth="1"/>
    <col min="12793" max="12794" width="23.85546875" style="105" customWidth="1"/>
    <col min="12795" max="12795" width="10.140625" style="105" customWidth="1"/>
    <col min="12796" max="12796" width="5.85546875" style="105" customWidth="1"/>
    <col min="12797" max="12797" width="4.7109375" style="105" customWidth="1"/>
    <col min="12798" max="12798" width="4.85546875" style="105" customWidth="1"/>
    <col min="12799" max="12799" width="16.140625" style="105" customWidth="1"/>
    <col min="12800" max="12800" width="9.7109375" style="105" customWidth="1"/>
    <col min="12801" max="12801" width="14.5703125" style="105" customWidth="1"/>
    <col min="12802" max="12802" width="10.7109375" style="105" customWidth="1"/>
    <col min="12803" max="12803" width="8.85546875" style="105" customWidth="1"/>
    <col min="12804" max="12804" width="11" style="105" customWidth="1"/>
    <col min="12805" max="12805" width="5.28515625" style="105" customWidth="1"/>
    <col min="12806" max="12806" width="10.28515625" style="105" customWidth="1"/>
    <col min="12807" max="12807" width="10.140625" style="105" customWidth="1"/>
    <col min="12808" max="13045" width="9.140625" style="105" customWidth="1"/>
    <col min="13046" max="13046" width="5.140625" style="105" customWidth="1"/>
    <col min="13047" max="13047" width="4.7109375" style="105" customWidth="1"/>
    <col min="13048" max="13048" width="7.42578125" style="105" customWidth="1"/>
    <col min="13049" max="13050" width="23.85546875" style="105" customWidth="1"/>
    <col min="13051" max="13051" width="10.140625" style="105" customWidth="1"/>
    <col min="13052" max="13052" width="5.85546875" style="105" customWidth="1"/>
    <col min="13053" max="13053" width="4.7109375" style="105" customWidth="1"/>
    <col min="13054" max="13054" width="4.85546875" style="105" customWidth="1"/>
    <col min="13055" max="13055" width="16.140625" style="105" customWidth="1"/>
    <col min="13056" max="13056" width="9.7109375" style="105" customWidth="1"/>
    <col min="13057" max="13057" width="14.5703125" style="105" customWidth="1"/>
    <col min="13058" max="13058" width="10.7109375" style="105" customWidth="1"/>
    <col min="13059" max="13059" width="8.85546875" style="105" customWidth="1"/>
    <col min="13060" max="13060" width="11" style="105" customWidth="1"/>
    <col min="13061" max="13061" width="5.28515625" style="105" customWidth="1"/>
    <col min="13062" max="13062" width="10.28515625" style="105" customWidth="1"/>
    <col min="13063" max="13063" width="10.140625" style="105" customWidth="1"/>
    <col min="13064" max="13301" width="9.140625" style="105" customWidth="1"/>
    <col min="13302" max="13302" width="5.140625" style="105" customWidth="1"/>
    <col min="13303" max="13303" width="4.7109375" style="105" customWidth="1"/>
    <col min="13304" max="13304" width="7.42578125" style="105" customWidth="1"/>
    <col min="13305" max="13306" width="23.85546875" style="105" customWidth="1"/>
    <col min="13307" max="13307" width="10.140625" style="105" customWidth="1"/>
    <col min="13308" max="13308" width="5.85546875" style="105" customWidth="1"/>
    <col min="13309" max="13309" width="4.7109375" style="105" customWidth="1"/>
    <col min="13310" max="13310" width="4.85546875" style="105" customWidth="1"/>
    <col min="13311" max="13311" width="16.140625" style="105" customWidth="1"/>
    <col min="13312" max="13312" width="9.7109375" style="105" customWidth="1"/>
    <col min="13313" max="13313" width="14.5703125" style="105" customWidth="1"/>
    <col min="13314" max="13314" width="10.7109375" style="105" customWidth="1"/>
    <col min="13315" max="13315" width="8.85546875" style="105" customWidth="1"/>
    <col min="13316" max="13316" width="11" style="105" customWidth="1"/>
    <col min="13317" max="13317" width="5.28515625" style="105" customWidth="1"/>
    <col min="13318" max="13318" width="10.28515625" style="105" customWidth="1"/>
    <col min="13319" max="13319" width="10.140625" style="105" customWidth="1"/>
    <col min="13320" max="13557" width="9.140625" style="105" customWidth="1"/>
    <col min="13558" max="13558" width="5.140625" style="105" customWidth="1"/>
    <col min="13559" max="13559" width="4.7109375" style="105" customWidth="1"/>
    <col min="13560" max="13560" width="7.42578125" style="105" customWidth="1"/>
    <col min="13561" max="13562" width="23.85546875" style="105" customWidth="1"/>
    <col min="13563" max="13563" width="10.140625" style="105" customWidth="1"/>
    <col min="13564" max="13564" width="5.85546875" style="105" customWidth="1"/>
    <col min="13565" max="13565" width="4.7109375" style="105" customWidth="1"/>
    <col min="13566" max="13566" width="4.85546875" style="105" customWidth="1"/>
    <col min="13567" max="13567" width="16.140625" style="105" customWidth="1"/>
    <col min="13568" max="13568" width="9.7109375" style="105" customWidth="1"/>
    <col min="13569" max="13569" width="14.5703125" style="105" customWidth="1"/>
    <col min="13570" max="13570" width="10.7109375" style="105" customWidth="1"/>
    <col min="13571" max="13571" width="8.85546875" style="105" customWidth="1"/>
    <col min="13572" max="13572" width="11" style="105" customWidth="1"/>
    <col min="13573" max="13573" width="5.28515625" style="105" customWidth="1"/>
    <col min="13574" max="13574" width="10.28515625" style="105" customWidth="1"/>
    <col min="13575" max="13575" width="10.140625" style="105" customWidth="1"/>
    <col min="13576" max="13813" width="9.140625" style="105" customWidth="1"/>
    <col min="13814" max="13814" width="5.140625" style="105" customWidth="1"/>
    <col min="13815" max="13815" width="4.7109375" style="105" customWidth="1"/>
    <col min="13816" max="13816" width="7.42578125" style="105" customWidth="1"/>
    <col min="13817" max="13818" width="23.85546875" style="105" customWidth="1"/>
    <col min="13819" max="13819" width="10.140625" style="105" customWidth="1"/>
    <col min="13820" max="13820" width="5.85546875" style="105" customWidth="1"/>
    <col min="13821" max="13821" width="4.7109375" style="105" customWidth="1"/>
    <col min="13822" max="13822" width="4.85546875" style="105" customWidth="1"/>
    <col min="13823" max="13823" width="16.140625" style="105" customWidth="1"/>
    <col min="13824" max="13824" width="9.7109375" style="105" customWidth="1"/>
    <col min="13825" max="13825" width="14.5703125" style="105" customWidth="1"/>
    <col min="13826" max="13826" width="10.7109375" style="105" customWidth="1"/>
    <col min="13827" max="13827" width="8.85546875" style="105" customWidth="1"/>
    <col min="13828" max="13828" width="11" style="105" customWidth="1"/>
    <col min="13829" max="13829" width="5.28515625" style="105" customWidth="1"/>
    <col min="13830" max="13830" width="10.28515625" style="105" customWidth="1"/>
    <col min="13831" max="13831" width="10.140625" style="105" customWidth="1"/>
    <col min="13832" max="14069" width="9.140625" style="105" customWidth="1"/>
    <col min="14070" max="14070" width="5.140625" style="105" customWidth="1"/>
    <col min="14071" max="14071" width="4.7109375" style="105" customWidth="1"/>
    <col min="14072" max="14072" width="7.42578125" style="105" customWidth="1"/>
    <col min="14073" max="14074" width="23.85546875" style="105" customWidth="1"/>
    <col min="14075" max="14075" width="10.140625" style="105" customWidth="1"/>
    <col min="14076" max="14076" width="5.85546875" style="105" customWidth="1"/>
    <col min="14077" max="14077" width="4.7109375" style="105" customWidth="1"/>
    <col min="14078" max="14078" width="4.85546875" style="105" customWidth="1"/>
    <col min="14079" max="14079" width="16.140625" style="105" customWidth="1"/>
    <col min="14080" max="14080" width="9.7109375" style="105" customWidth="1"/>
    <col min="14081" max="14081" width="14.5703125" style="105" customWidth="1"/>
    <col min="14082" max="14082" width="10.7109375" style="105" customWidth="1"/>
    <col min="14083" max="14083" width="8.85546875" style="105" customWidth="1"/>
    <col min="14084" max="14084" width="11" style="105" customWidth="1"/>
    <col min="14085" max="14085" width="5.28515625" style="105" customWidth="1"/>
    <col min="14086" max="14086" width="10.28515625" style="105" customWidth="1"/>
    <col min="14087" max="14087" width="10.140625" style="105" customWidth="1"/>
    <col min="14088" max="14325" width="9.140625" style="105" customWidth="1"/>
    <col min="14326" max="14326" width="5.140625" style="105" customWidth="1"/>
    <col min="14327" max="14327" width="4.7109375" style="105" customWidth="1"/>
    <col min="14328" max="14328" width="7.42578125" style="105" customWidth="1"/>
    <col min="14329" max="14330" width="23.85546875" style="105" customWidth="1"/>
    <col min="14331" max="14331" width="10.140625" style="105" customWidth="1"/>
    <col min="14332" max="14332" width="5.85546875" style="105" customWidth="1"/>
    <col min="14333" max="14333" width="4.7109375" style="105" customWidth="1"/>
    <col min="14334" max="14334" width="4.85546875" style="105" customWidth="1"/>
    <col min="14335" max="14335" width="16.140625" style="105" customWidth="1"/>
    <col min="14336" max="14336" width="9.7109375" style="105" customWidth="1"/>
    <col min="14337" max="14337" width="14.5703125" style="105" customWidth="1"/>
    <col min="14338" max="14338" width="10.7109375" style="105" customWidth="1"/>
    <col min="14339" max="14339" width="8.85546875" style="105" customWidth="1"/>
    <col min="14340" max="14340" width="11" style="105" customWidth="1"/>
    <col min="14341" max="14341" width="5.28515625" style="105" customWidth="1"/>
    <col min="14342" max="14342" width="10.28515625" style="105" customWidth="1"/>
    <col min="14343" max="14343" width="10.140625" style="105" customWidth="1"/>
    <col min="14344" max="14581" width="9.140625" style="105" customWidth="1"/>
    <col min="14582" max="14582" width="5.140625" style="105" customWidth="1"/>
    <col min="14583" max="14583" width="4.7109375" style="105" customWidth="1"/>
    <col min="14584" max="14584" width="7.42578125" style="105" customWidth="1"/>
    <col min="14585" max="14586" width="23.85546875" style="105" customWidth="1"/>
    <col min="14587" max="14587" width="10.140625" style="105" customWidth="1"/>
    <col min="14588" max="14588" width="5.85546875" style="105" customWidth="1"/>
    <col min="14589" max="14589" width="4.7109375" style="105" customWidth="1"/>
    <col min="14590" max="14590" width="4.85546875" style="105" customWidth="1"/>
    <col min="14591" max="14591" width="16.140625" style="105" customWidth="1"/>
    <col min="14592" max="14592" width="9.7109375" style="105" customWidth="1"/>
    <col min="14593" max="14593" width="14.5703125" style="105" customWidth="1"/>
    <col min="14594" max="14594" width="10.7109375" style="105" customWidth="1"/>
    <col min="14595" max="14595" width="8.85546875" style="105" customWidth="1"/>
    <col min="14596" max="14596" width="11" style="105" customWidth="1"/>
    <col min="14597" max="14597" width="5.28515625" style="105" customWidth="1"/>
    <col min="14598" max="14598" width="10.28515625" style="105" customWidth="1"/>
    <col min="14599" max="14599" width="10.140625" style="105" customWidth="1"/>
    <col min="14600" max="14837" width="9.140625" style="105" customWidth="1"/>
    <col min="14838" max="14838" width="5.140625" style="105" customWidth="1"/>
    <col min="14839" max="14839" width="4.7109375" style="105" customWidth="1"/>
    <col min="14840" max="14840" width="7.42578125" style="105" customWidth="1"/>
    <col min="14841" max="14842" width="23.85546875" style="105" customWidth="1"/>
    <col min="14843" max="14843" width="10.140625" style="105" customWidth="1"/>
    <col min="14844" max="14844" width="5.85546875" style="105" customWidth="1"/>
    <col min="14845" max="14845" width="4.7109375" style="105" customWidth="1"/>
    <col min="14846" max="14846" width="4.85546875" style="105" customWidth="1"/>
    <col min="14847" max="14847" width="16.140625" style="105" customWidth="1"/>
    <col min="14848" max="14848" width="9.7109375" style="105" customWidth="1"/>
    <col min="14849" max="14849" width="14.5703125" style="105" customWidth="1"/>
    <col min="14850" max="14850" width="10.7109375" style="105" customWidth="1"/>
    <col min="14851" max="14851" width="8.85546875" style="105" customWidth="1"/>
    <col min="14852" max="14852" width="11" style="105" customWidth="1"/>
    <col min="14853" max="14853" width="5.28515625" style="105" customWidth="1"/>
    <col min="14854" max="14854" width="10.28515625" style="105" customWidth="1"/>
    <col min="14855" max="14855" width="10.140625" style="105" customWidth="1"/>
    <col min="14856" max="15093" width="9.140625" style="105" customWidth="1"/>
    <col min="15094" max="15094" width="5.140625" style="105" customWidth="1"/>
    <col min="15095" max="15095" width="4.7109375" style="105" customWidth="1"/>
    <col min="15096" max="15096" width="7.42578125" style="105" customWidth="1"/>
    <col min="15097" max="15098" width="23.85546875" style="105" customWidth="1"/>
    <col min="15099" max="15099" width="10.140625" style="105" customWidth="1"/>
    <col min="15100" max="15100" width="5.85546875" style="105" customWidth="1"/>
    <col min="15101" max="15101" width="4.7109375" style="105" customWidth="1"/>
    <col min="15102" max="15102" width="4.85546875" style="105" customWidth="1"/>
    <col min="15103" max="15103" width="16.140625" style="105" customWidth="1"/>
    <col min="15104" max="15104" width="9.7109375" style="105" customWidth="1"/>
    <col min="15105" max="15105" width="14.5703125" style="105" customWidth="1"/>
    <col min="15106" max="15106" width="10.7109375" style="105" customWidth="1"/>
    <col min="15107" max="15107" width="8.85546875" style="105" customWidth="1"/>
    <col min="15108" max="15108" width="11" style="105" customWidth="1"/>
    <col min="15109" max="15109" width="5.28515625" style="105" customWidth="1"/>
    <col min="15110" max="15110" width="10.28515625" style="105" customWidth="1"/>
    <col min="15111" max="15111" width="10.140625" style="105" customWidth="1"/>
    <col min="15112" max="15349" width="9.140625" style="105" customWidth="1"/>
    <col min="15350" max="15350" width="5.140625" style="105" customWidth="1"/>
    <col min="15351" max="15351" width="4.7109375" style="105" customWidth="1"/>
    <col min="15352" max="15352" width="7.42578125" style="105" customWidth="1"/>
    <col min="15353" max="15354" width="23.85546875" style="105" customWidth="1"/>
    <col min="15355" max="15355" width="10.140625" style="105" customWidth="1"/>
    <col min="15356" max="15356" width="5.85546875" style="105" customWidth="1"/>
    <col min="15357" max="15357" width="4.7109375" style="105" customWidth="1"/>
    <col min="15358" max="15358" width="4.85546875" style="105" customWidth="1"/>
    <col min="15359" max="15359" width="16.140625" style="105" customWidth="1"/>
    <col min="15360" max="15360" width="9.7109375" style="105" customWidth="1"/>
    <col min="15361" max="15361" width="14.5703125" style="105" customWidth="1"/>
    <col min="15362" max="15362" width="10.7109375" style="105" customWidth="1"/>
    <col min="15363" max="15363" width="8.85546875" style="105" customWidth="1"/>
    <col min="15364" max="15364" width="11" style="105" customWidth="1"/>
    <col min="15365" max="15365" width="5.28515625" style="105" customWidth="1"/>
    <col min="15366" max="15366" width="10.28515625" style="105" customWidth="1"/>
    <col min="15367" max="15367" width="10.140625" style="105" customWidth="1"/>
    <col min="15368" max="15605" width="9.140625" style="105" customWidth="1"/>
    <col min="15606" max="15606" width="5.140625" style="105" customWidth="1"/>
    <col min="15607" max="15607" width="4.7109375" style="105" customWidth="1"/>
    <col min="15608" max="15608" width="7.42578125" style="105" customWidth="1"/>
    <col min="15609" max="15610" width="23.85546875" style="105" customWidth="1"/>
    <col min="15611" max="15611" width="10.140625" style="105" customWidth="1"/>
    <col min="15612" max="15612" width="5.85546875" style="105" customWidth="1"/>
    <col min="15613" max="15613" width="4.7109375" style="105" customWidth="1"/>
    <col min="15614" max="15614" width="4.85546875" style="105" customWidth="1"/>
    <col min="15615" max="15615" width="16.140625" style="105" customWidth="1"/>
    <col min="15616" max="15616" width="9.7109375" style="105" customWidth="1"/>
    <col min="15617" max="15617" width="14.5703125" style="105" customWidth="1"/>
    <col min="15618" max="15618" width="10.7109375" style="105" customWidth="1"/>
    <col min="15619" max="15619" width="8.85546875" style="105" customWidth="1"/>
    <col min="15620" max="15620" width="11" style="105" customWidth="1"/>
    <col min="15621" max="15621" width="5.28515625" style="105" customWidth="1"/>
    <col min="15622" max="15622" width="10.28515625" style="105" customWidth="1"/>
    <col min="15623" max="15623" width="10.140625" style="105" customWidth="1"/>
    <col min="15624" max="15861" width="9.140625" style="105" customWidth="1"/>
    <col min="15862" max="15862" width="5.140625" style="105" customWidth="1"/>
    <col min="15863" max="15863" width="4.7109375" style="105" customWidth="1"/>
    <col min="15864" max="15864" width="7.42578125" style="105" customWidth="1"/>
    <col min="15865" max="15866" width="23.85546875" style="105" customWidth="1"/>
    <col min="15867" max="15867" width="10.140625" style="105" customWidth="1"/>
    <col min="15868" max="15868" width="5.85546875" style="105" customWidth="1"/>
    <col min="15869" max="15869" width="4.7109375" style="105" customWidth="1"/>
    <col min="15870" max="15870" width="4.85546875" style="105" customWidth="1"/>
    <col min="15871" max="15871" width="16.140625" style="105" customWidth="1"/>
    <col min="15872" max="15872" width="9.7109375" style="105" customWidth="1"/>
    <col min="15873" max="15873" width="14.5703125" style="105" customWidth="1"/>
    <col min="15874" max="15874" width="10.7109375" style="105" customWidth="1"/>
    <col min="15875" max="15875" width="8.85546875" style="105" customWidth="1"/>
    <col min="15876" max="15876" width="11" style="105" customWidth="1"/>
    <col min="15877" max="15877" width="5.28515625" style="105" customWidth="1"/>
    <col min="15878" max="15878" width="10.28515625" style="105" customWidth="1"/>
    <col min="15879" max="15879" width="10.140625" style="105" customWidth="1"/>
    <col min="15880" max="16117" width="9.140625" style="105" customWidth="1"/>
    <col min="16118" max="16118" width="5.140625" style="105" customWidth="1"/>
    <col min="16119" max="16119" width="4.7109375" style="105" customWidth="1"/>
    <col min="16120" max="16120" width="7.42578125" style="105" customWidth="1"/>
    <col min="16121" max="16122" width="23.85546875" style="105" customWidth="1"/>
    <col min="16123" max="16123" width="10.140625" style="105" customWidth="1"/>
    <col min="16124" max="16124" width="5.85546875" style="105" customWidth="1"/>
    <col min="16125" max="16125" width="4.7109375" style="105" customWidth="1"/>
    <col min="16126" max="16126" width="4.85546875" style="105" customWidth="1"/>
    <col min="16127" max="16127" width="16.140625" style="105" customWidth="1"/>
    <col min="16128" max="16128" width="9.7109375" style="105" customWidth="1"/>
    <col min="16129" max="16129" width="14.5703125" style="105" customWidth="1"/>
    <col min="16130" max="16130" width="10.7109375" style="105" customWidth="1"/>
    <col min="16131" max="16131" width="8.85546875" style="105" customWidth="1"/>
    <col min="16132" max="16132" width="11" style="105" customWidth="1"/>
    <col min="16133" max="16133" width="5.28515625" style="105" customWidth="1"/>
    <col min="16134" max="16134" width="10.28515625" style="105" customWidth="1"/>
    <col min="16135" max="16135" width="10.140625" style="105" customWidth="1"/>
    <col min="16136" max="16373" width="9.140625" style="105" customWidth="1"/>
    <col min="16374" max="16384" width="5.140625" style="105" customWidth="1"/>
  </cols>
  <sheetData>
    <row r="1" spans="1:11" ht="15.75">
      <c r="A1" s="475" t="s">
        <v>0</v>
      </c>
      <c r="B1" s="475"/>
      <c r="C1" s="475"/>
      <c r="D1" s="475"/>
      <c r="J1" s="257"/>
    </row>
    <row r="2" spans="1:11" ht="15.75">
      <c r="A2" s="476" t="s">
        <v>102</v>
      </c>
      <c r="B2" s="476"/>
      <c r="C2" s="476"/>
      <c r="D2" s="476"/>
      <c r="F2" s="271"/>
      <c r="J2" s="257"/>
    </row>
    <row r="3" spans="1:11" ht="20.25">
      <c r="A3" s="477" t="s">
        <v>37</v>
      </c>
      <c r="B3" s="477"/>
      <c r="C3" s="477"/>
      <c r="D3" s="477"/>
      <c r="E3" s="477"/>
      <c r="F3" s="477"/>
      <c r="G3" s="477"/>
      <c r="H3" s="477"/>
      <c r="I3" s="477"/>
      <c r="J3" s="477"/>
      <c r="K3" s="477"/>
    </row>
    <row r="4" spans="1:11" ht="15.75">
      <c r="A4" s="447" t="s">
        <v>784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</row>
    <row r="5" spans="1:11">
      <c r="H5" s="269"/>
      <c r="J5" s="257"/>
    </row>
    <row r="6" spans="1:11" ht="27.75" customHeight="1">
      <c r="A6" s="213" t="s">
        <v>2</v>
      </c>
      <c r="B6" s="214" t="s">
        <v>12</v>
      </c>
      <c r="C6" s="215" t="s">
        <v>98</v>
      </c>
      <c r="D6" s="214" t="s">
        <v>4</v>
      </c>
      <c r="E6" s="215" t="s">
        <v>30</v>
      </c>
      <c r="F6" s="214" t="s">
        <v>87</v>
      </c>
      <c r="G6" s="397" t="s">
        <v>99</v>
      </c>
      <c r="H6" s="214" t="s">
        <v>100</v>
      </c>
      <c r="I6" s="214" t="s">
        <v>101</v>
      </c>
      <c r="J6" s="216" t="s">
        <v>100</v>
      </c>
      <c r="K6" s="214" t="s">
        <v>88</v>
      </c>
    </row>
    <row r="7" spans="1:11" s="155" customFormat="1" ht="15.75">
      <c r="A7" s="113">
        <v>1</v>
      </c>
      <c r="B7" s="417" t="s">
        <v>582</v>
      </c>
      <c r="C7" s="417" t="s">
        <v>583</v>
      </c>
      <c r="D7" s="417" t="s">
        <v>235</v>
      </c>
      <c r="E7" s="417" t="s">
        <v>250</v>
      </c>
      <c r="F7" s="423">
        <v>418000</v>
      </c>
      <c r="G7" s="398" t="s">
        <v>151</v>
      </c>
      <c r="H7" s="388">
        <f t="shared" ref="H7:H38" si="0">K7-J7</f>
        <v>57475</v>
      </c>
      <c r="I7" s="341" t="s">
        <v>89</v>
      </c>
      <c r="J7" s="388">
        <f t="shared" ref="J7:J38" si="1">F7*0.05</f>
        <v>20900</v>
      </c>
      <c r="K7" s="388">
        <f t="shared" ref="K7:K38" si="2">IF(G7="NGUYỆN",F7*25%*75%,IF(G7="TOẢN",F7*25%*75%,IF(G7="V.TÂN",F7*25%*75%,F7*0.25)))</f>
        <v>78375</v>
      </c>
    </row>
    <row r="8" spans="1:11" s="155" customFormat="1" ht="25.5">
      <c r="A8" s="113">
        <v>2</v>
      </c>
      <c r="B8" s="417" t="s">
        <v>582</v>
      </c>
      <c r="C8" s="417" t="s">
        <v>594</v>
      </c>
      <c r="D8" s="417" t="s">
        <v>232</v>
      </c>
      <c r="E8" s="417" t="s">
        <v>245</v>
      </c>
      <c r="F8" s="423">
        <v>4000000</v>
      </c>
      <c r="G8" s="398" t="s">
        <v>154</v>
      </c>
      <c r="H8" s="388">
        <f t="shared" si="0"/>
        <v>550000</v>
      </c>
      <c r="I8" s="341" t="s">
        <v>89</v>
      </c>
      <c r="J8" s="388">
        <f t="shared" si="1"/>
        <v>200000</v>
      </c>
      <c r="K8" s="388">
        <f t="shared" si="2"/>
        <v>750000</v>
      </c>
    </row>
    <row r="9" spans="1:11" s="155" customFormat="1" ht="25.5">
      <c r="A9" s="113">
        <v>3</v>
      </c>
      <c r="B9" s="416" t="s">
        <v>582</v>
      </c>
      <c r="C9" s="416" t="s">
        <v>600</v>
      </c>
      <c r="D9" s="416" t="s">
        <v>538</v>
      </c>
      <c r="E9" s="417" t="s">
        <v>246</v>
      </c>
      <c r="F9" s="423">
        <v>1000000</v>
      </c>
      <c r="G9" s="398" t="s">
        <v>154</v>
      </c>
      <c r="H9" s="388">
        <f t="shared" si="0"/>
        <v>137500</v>
      </c>
      <c r="I9" s="341" t="s">
        <v>89</v>
      </c>
      <c r="J9" s="388">
        <f t="shared" si="1"/>
        <v>50000</v>
      </c>
      <c r="K9" s="388">
        <f t="shared" si="2"/>
        <v>187500</v>
      </c>
    </row>
    <row r="10" spans="1:11" s="155" customFormat="1" ht="15.75">
      <c r="A10" s="113">
        <v>4</v>
      </c>
      <c r="B10" s="417" t="s">
        <v>580</v>
      </c>
      <c r="C10" s="417" t="s">
        <v>581</v>
      </c>
      <c r="D10" s="417" t="s">
        <v>232</v>
      </c>
      <c r="E10" s="417" t="s">
        <v>254</v>
      </c>
      <c r="F10" s="423">
        <v>104400</v>
      </c>
      <c r="G10" s="398" t="s">
        <v>154</v>
      </c>
      <c r="H10" s="388">
        <f t="shared" si="0"/>
        <v>14355</v>
      </c>
      <c r="I10" s="341" t="s">
        <v>89</v>
      </c>
      <c r="J10" s="388">
        <f t="shared" si="1"/>
        <v>5220</v>
      </c>
      <c r="K10" s="388">
        <f t="shared" si="2"/>
        <v>19575</v>
      </c>
    </row>
    <row r="11" spans="1:11" s="155" customFormat="1" ht="15.75">
      <c r="A11" s="113">
        <v>5</v>
      </c>
      <c r="B11" s="424" t="s">
        <v>560</v>
      </c>
      <c r="C11" s="424" t="s">
        <v>561</v>
      </c>
      <c r="D11" s="424" t="s">
        <v>204</v>
      </c>
      <c r="E11" s="424" t="s">
        <v>252</v>
      </c>
      <c r="F11" s="425">
        <v>300000</v>
      </c>
      <c r="G11" s="398" t="s">
        <v>152</v>
      </c>
      <c r="H11" s="388">
        <f t="shared" si="0"/>
        <v>41250</v>
      </c>
      <c r="I11" s="341" t="s">
        <v>89</v>
      </c>
      <c r="J11" s="388">
        <f t="shared" si="1"/>
        <v>15000</v>
      </c>
      <c r="K11" s="388">
        <f t="shared" si="2"/>
        <v>56250</v>
      </c>
    </row>
    <row r="12" spans="1:11" s="155" customFormat="1" ht="15.75">
      <c r="A12" s="113">
        <v>6</v>
      </c>
      <c r="B12" s="417" t="s">
        <v>567</v>
      </c>
      <c r="C12" s="417" t="s">
        <v>568</v>
      </c>
      <c r="D12" s="417" t="s">
        <v>227</v>
      </c>
      <c r="E12" s="417" t="s">
        <v>250</v>
      </c>
      <c r="F12" s="423">
        <v>126700</v>
      </c>
      <c r="G12" s="398" t="s">
        <v>152</v>
      </c>
      <c r="H12" s="388">
        <f t="shared" si="0"/>
        <v>17421.25</v>
      </c>
      <c r="I12" s="341" t="s">
        <v>89</v>
      </c>
      <c r="J12" s="388">
        <f t="shared" si="1"/>
        <v>6335</v>
      </c>
      <c r="K12" s="388">
        <f t="shared" si="2"/>
        <v>23756.25</v>
      </c>
    </row>
    <row r="13" spans="1:11" s="155" customFormat="1" ht="15.75">
      <c r="A13" s="113">
        <v>7</v>
      </c>
      <c r="B13" s="417" t="s">
        <v>567</v>
      </c>
      <c r="C13" s="417" t="s">
        <v>575</v>
      </c>
      <c r="D13" s="417" t="s">
        <v>194</v>
      </c>
      <c r="E13" s="417" t="s">
        <v>252</v>
      </c>
      <c r="F13" s="423">
        <v>300000</v>
      </c>
      <c r="G13" s="217" t="s">
        <v>155</v>
      </c>
      <c r="H13" s="388">
        <f t="shared" si="0"/>
        <v>60000</v>
      </c>
      <c r="I13" s="341" t="s">
        <v>89</v>
      </c>
      <c r="J13" s="388">
        <f t="shared" si="1"/>
        <v>15000</v>
      </c>
      <c r="K13" s="388">
        <f t="shared" si="2"/>
        <v>75000</v>
      </c>
    </row>
    <row r="14" spans="1:11" s="155" customFormat="1" ht="15.75">
      <c r="A14" s="113">
        <v>8</v>
      </c>
      <c r="B14" s="417" t="s">
        <v>567</v>
      </c>
      <c r="C14" s="417" t="s">
        <v>576</v>
      </c>
      <c r="D14" s="417" t="s">
        <v>197</v>
      </c>
      <c r="E14" s="417" t="s">
        <v>252</v>
      </c>
      <c r="F14" s="423">
        <v>300000</v>
      </c>
      <c r="G14" s="398" t="s">
        <v>152</v>
      </c>
      <c r="H14" s="388">
        <f t="shared" si="0"/>
        <v>41250</v>
      </c>
      <c r="I14" s="341" t="s">
        <v>89</v>
      </c>
      <c r="J14" s="388">
        <f t="shared" si="1"/>
        <v>15000</v>
      </c>
      <c r="K14" s="388">
        <f t="shared" si="2"/>
        <v>56250</v>
      </c>
    </row>
    <row r="15" spans="1:11" s="155" customFormat="1" ht="15.75">
      <c r="A15" s="113">
        <v>9</v>
      </c>
      <c r="B15" s="417" t="s">
        <v>390</v>
      </c>
      <c r="C15" s="417" t="s">
        <v>570</v>
      </c>
      <c r="D15" s="417" t="s">
        <v>192</v>
      </c>
      <c r="E15" s="417" t="s">
        <v>256</v>
      </c>
      <c r="F15" s="423">
        <v>500000</v>
      </c>
      <c r="G15" s="398" t="s">
        <v>151</v>
      </c>
      <c r="H15" s="388">
        <f t="shared" si="0"/>
        <v>68750</v>
      </c>
      <c r="I15" s="341" t="s">
        <v>89</v>
      </c>
      <c r="J15" s="388">
        <f t="shared" si="1"/>
        <v>25000</v>
      </c>
      <c r="K15" s="388">
        <f t="shared" si="2"/>
        <v>93750</v>
      </c>
    </row>
    <row r="16" spans="1:11" s="155" customFormat="1" ht="15.75">
      <c r="A16" s="113">
        <v>10</v>
      </c>
      <c r="B16" s="417" t="s">
        <v>390</v>
      </c>
      <c r="C16" s="417" t="s">
        <v>573</v>
      </c>
      <c r="D16" s="417" t="s">
        <v>218</v>
      </c>
      <c r="E16" s="417" t="s">
        <v>259</v>
      </c>
      <c r="F16" s="423">
        <v>800000</v>
      </c>
      <c r="G16" s="398" t="s">
        <v>154</v>
      </c>
      <c r="H16" s="388">
        <f t="shared" si="0"/>
        <v>110000</v>
      </c>
      <c r="I16" s="341" t="s">
        <v>89</v>
      </c>
      <c r="J16" s="388">
        <f t="shared" si="1"/>
        <v>40000</v>
      </c>
      <c r="K16" s="388">
        <f t="shared" si="2"/>
        <v>150000</v>
      </c>
    </row>
    <row r="17" spans="1:11" s="155" customFormat="1" ht="15.75">
      <c r="A17" s="113">
        <v>11</v>
      </c>
      <c r="B17" s="417" t="s">
        <v>396</v>
      </c>
      <c r="C17" s="417" t="s">
        <v>564</v>
      </c>
      <c r="D17" s="417" t="s">
        <v>198</v>
      </c>
      <c r="E17" s="417" t="s">
        <v>249</v>
      </c>
      <c r="F17" s="423">
        <v>400000</v>
      </c>
      <c r="G17" s="398" t="s">
        <v>785</v>
      </c>
      <c r="H17" s="388">
        <f t="shared" si="0"/>
        <v>80000</v>
      </c>
      <c r="I17" s="341" t="s">
        <v>89</v>
      </c>
      <c r="J17" s="388">
        <f t="shared" si="1"/>
        <v>20000</v>
      </c>
      <c r="K17" s="388">
        <f t="shared" si="2"/>
        <v>100000</v>
      </c>
    </row>
    <row r="18" spans="1:11" s="155" customFormat="1" ht="15.75">
      <c r="A18" s="113">
        <v>12</v>
      </c>
      <c r="B18" s="417" t="s">
        <v>396</v>
      </c>
      <c r="C18" s="417" t="s">
        <v>587</v>
      </c>
      <c r="D18" s="417" t="s">
        <v>196</v>
      </c>
      <c r="E18" s="417" t="s">
        <v>259</v>
      </c>
      <c r="F18" s="423">
        <v>800000</v>
      </c>
      <c r="G18" s="217" t="s">
        <v>151</v>
      </c>
      <c r="H18" s="388">
        <f t="shared" si="0"/>
        <v>110000</v>
      </c>
      <c r="I18" s="341" t="s">
        <v>89</v>
      </c>
      <c r="J18" s="388">
        <f t="shared" si="1"/>
        <v>40000</v>
      </c>
      <c r="K18" s="388">
        <f t="shared" si="2"/>
        <v>150000</v>
      </c>
    </row>
    <row r="19" spans="1:11" s="155" customFormat="1" ht="25.5">
      <c r="A19" s="113">
        <v>13</v>
      </c>
      <c r="B19" s="417" t="s">
        <v>396</v>
      </c>
      <c r="C19" s="417" t="s">
        <v>597</v>
      </c>
      <c r="D19" s="417" t="s">
        <v>205</v>
      </c>
      <c r="E19" s="417" t="s">
        <v>244</v>
      </c>
      <c r="F19" s="423">
        <v>1000000</v>
      </c>
      <c r="G19" s="398" t="s">
        <v>785</v>
      </c>
      <c r="H19" s="388">
        <f t="shared" si="0"/>
        <v>200000</v>
      </c>
      <c r="I19" s="341" t="s">
        <v>89</v>
      </c>
      <c r="J19" s="388">
        <f t="shared" si="1"/>
        <v>50000</v>
      </c>
      <c r="K19" s="388">
        <f t="shared" si="2"/>
        <v>250000</v>
      </c>
    </row>
    <row r="20" spans="1:11" s="155" customFormat="1" ht="25.5">
      <c r="A20" s="113">
        <v>14</v>
      </c>
      <c r="B20" s="417" t="s">
        <v>396</v>
      </c>
      <c r="C20" s="417" t="s">
        <v>598</v>
      </c>
      <c r="D20" s="417" t="s">
        <v>167</v>
      </c>
      <c r="E20" s="417" t="s">
        <v>293</v>
      </c>
      <c r="F20" s="423">
        <v>3000000</v>
      </c>
      <c r="G20" s="217" t="s">
        <v>151</v>
      </c>
      <c r="H20" s="388">
        <f t="shared" si="0"/>
        <v>412500</v>
      </c>
      <c r="I20" s="341" t="s">
        <v>89</v>
      </c>
      <c r="J20" s="388">
        <f t="shared" si="1"/>
        <v>150000</v>
      </c>
      <c r="K20" s="388">
        <f t="shared" si="2"/>
        <v>562500</v>
      </c>
    </row>
    <row r="21" spans="1:11" s="155" customFormat="1" ht="25.5">
      <c r="A21" s="113">
        <v>15</v>
      </c>
      <c r="B21" s="417" t="s">
        <v>396</v>
      </c>
      <c r="C21" s="417" t="s">
        <v>599</v>
      </c>
      <c r="D21" s="417" t="s">
        <v>201</v>
      </c>
      <c r="E21" s="417" t="s">
        <v>244</v>
      </c>
      <c r="F21" s="423">
        <v>1000000</v>
      </c>
      <c r="G21" s="398" t="s">
        <v>785</v>
      </c>
      <c r="H21" s="388">
        <f t="shared" si="0"/>
        <v>200000</v>
      </c>
      <c r="I21" s="341" t="s">
        <v>89</v>
      </c>
      <c r="J21" s="388">
        <f t="shared" si="1"/>
        <v>50000</v>
      </c>
      <c r="K21" s="388">
        <f t="shared" si="2"/>
        <v>250000</v>
      </c>
    </row>
    <row r="22" spans="1:11" s="155" customFormat="1" ht="25.5">
      <c r="A22" s="113">
        <v>16</v>
      </c>
      <c r="B22" s="417" t="s">
        <v>396</v>
      </c>
      <c r="C22" s="417" t="s">
        <v>603</v>
      </c>
      <c r="D22" s="417" t="s">
        <v>219</v>
      </c>
      <c r="E22" s="417" t="s">
        <v>244</v>
      </c>
      <c r="F22" s="423">
        <v>1000000</v>
      </c>
      <c r="G22" s="398" t="s">
        <v>785</v>
      </c>
      <c r="H22" s="388">
        <f t="shared" si="0"/>
        <v>200000</v>
      </c>
      <c r="I22" s="341" t="s">
        <v>89</v>
      </c>
      <c r="J22" s="388">
        <f t="shared" si="1"/>
        <v>50000</v>
      </c>
      <c r="K22" s="388">
        <f t="shared" si="2"/>
        <v>250000</v>
      </c>
    </row>
    <row r="23" spans="1:11" s="155" customFormat="1" ht="15.75">
      <c r="A23" s="113">
        <v>17</v>
      </c>
      <c r="B23" s="417" t="s">
        <v>407</v>
      </c>
      <c r="C23" s="417" t="s">
        <v>549</v>
      </c>
      <c r="D23" s="417" t="s">
        <v>187</v>
      </c>
      <c r="E23" s="417" t="s">
        <v>253</v>
      </c>
      <c r="F23" s="423">
        <v>384000</v>
      </c>
      <c r="G23" s="398" t="s">
        <v>154</v>
      </c>
      <c r="H23" s="388">
        <f t="shared" si="0"/>
        <v>52800</v>
      </c>
      <c r="I23" s="341" t="s">
        <v>89</v>
      </c>
      <c r="J23" s="388">
        <f t="shared" si="1"/>
        <v>19200</v>
      </c>
      <c r="K23" s="388">
        <f t="shared" si="2"/>
        <v>72000</v>
      </c>
    </row>
    <row r="24" spans="1:11" s="155" customFormat="1" ht="15.75">
      <c r="A24" s="113">
        <v>18</v>
      </c>
      <c r="B24" s="417" t="s">
        <v>407</v>
      </c>
      <c r="C24" s="417" t="s">
        <v>557</v>
      </c>
      <c r="D24" s="417" t="s">
        <v>187</v>
      </c>
      <c r="E24" s="417" t="s">
        <v>253</v>
      </c>
      <c r="F24" s="423">
        <v>384000</v>
      </c>
      <c r="G24" s="217" t="s">
        <v>154</v>
      </c>
      <c r="H24" s="388">
        <f t="shared" si="0"/>
        <v>52800</v>
      </c>
      <c r="I24" s="341" t="s">
        <v>89</v>
      </c>
      <c r="J24" s="388">
        <f t="shared" si="1"/>
        <v>19200</v>
      </c>
      <c r="K24" s="388">
        <f t="shared" si="2"/>
        <v>72000</v>
      </c>
    </row>
    <row r="25" spans="1:11" s="155" customFormat="1" ht="15.75">
      <c r="A25" s="113">
        <v>19</v>
      </c>
      <c r="B25" s="417" t="s">
        <v>571</v>
      </c>
      <c r="C25" s="417" t="s">
        <v>572</v>
      </c>
      <c r="D25" s="417" t="s">
        <v>204</v>
      </c>
      <c r="E25" s="417" t="s">
        <v>250</v>
      </c>
      <c r="F25" s="423">
        <v>418000</v>
      </c>
      <c r="G25" s="217" t="s">
        <v>152</v>
      </c>
      <c r="H25" s="388">
        <f t="shared" si="0"/>
        <v>57475</v>
      </c>
      <c r="I25" s="341" t="s">
        <v>89</v>
      </c>
      <c r="J25" s="388">
        <f t="shared" si="1"/>
        <v>20900</v>
      </c>
      <c r="K25" s="388">
        <f t="shared" si="2"/>
        <v>78375</v>
      </c>
    </row>
    <row r="26" spans="1:11" s="155" customFormat="1" ht="25.5">
      <c r="A26" s="113">
        <v>20</v>
      </c>
      <c r="B26" s="417" t="s">
        <v>571</v>
      </c>
      <c r="C26" s="417" t="s">
        <v>579</v>
      </c>
      <c r="D26" s="417" t="s">
        <v>185</v>
      </c>
      <c r="E26" s="417" t="s">
        <v>258</v>
      </c>
      <c r="F26" s="423">
        <v>104400</v>
      </c>
      <c r="G26" s="217" t="s">
        <v>155</v>
      </c>
      <c r="H26" s="388">
        <f t="shared" si="0"/>
        <v>20880</v>
      </c>
      <c r="I26" s="341" t="s">
        <v>89</v>
      </c>
      <c r="J26" s="388">
        <f t="shared" si="1"/>
        <v>5220</v>
      </c>
      <c r="K26" s="388">
        <f t="shared" si="2"/>
        <v>26100</v>
      </c>
    </row>
    <row r="27" spans="1:11" s="155" customFormat="1" ht="38.25">
      <c r="A27" s="113">
        <v>21</v>
      </c>
      <c r="B27" s="417" t="s">
        <v>571</v>
      </c>
      <c r="C27" s="417" t="s">
        <v>296</v>
      </c>
      <c r="D27" s="417" t="s">
        <v>208</v>
      </c>
      <c r="E27" s="417" t="s">
        <v>257</v>
      </c>
      <c r="F27" s="423">
        <v>500000</v>
      </c>
      <c r="G27" s="398" t="s">
        <v>155</v>
      </c>
      <c r="H27" s="388">
        <f t="shared" si="0"/>
        <v>100000</v>
      </c>
      <c r="I27" s="341" t="s">
        <v>89</v>
      </c>
      <c r="J27" s="388">
        <f t="shared" si="1"/>
        <v>25000</v>
      </c>
      <c r="K27" s="388">
        <f t="shared" si="2"/>
        <v>125000</v>
      </c>
    </row>
    <row r="28" spans="1:11" s="155" customFormat="1" ht="25.5">
      <c r="A28" s="113">
        <v>22</v>
      </c>
      <c r="B28" s="416" t="s">
        <v>571</v>
      </c>
      <c r="C28" s="416" t="s">
        <v>602</v>
      </c>
      <c r="D28" s="416" t="s">
        <v>211</v>
      </c>
      <c r="E28" s="417" t="s">
        <v>244</v>
      </c>
      <c r="F28" s="423">
        <v>1000000</v>
      </c>
      <c r="G28" s="398" t="s">
        <v>152</v>
      </c>
      <c r="H28" s="388">
        <f t="shared" si="0"/>
        <v>137500</v>
      </c>
      <c r="I28" s="341" t="s">
        <v>89</v>
      </c>
      <c r="J28" s="388">
        <f t="shared" si="1"/>
        <v>50000</v>
      </c>
      <c r="K28" s="388">
        <f t="shared" si="2"/>
        <v>187500</v>
      </c>
    </row>
    <row r="29" spans="1:11" s="155" customFormat="1" ht="25.5">
      <c r="A29" s="113">
        <v>23</v>
      </c>
      <c r="B29" s="417" t="s">
        <v>542</v>
      </c>
      <c r="C29" s="417" t="s">
        <v>543</v>
      </c>
      <c r="D29" s="417" t="s">
        <v>204</v>
      </c>
      <c r="E29" s="417" t="s">
        <v>248</v>
      </c>
      <c r="F29" s="423">
        <v>500000</v>
      </c>
      <c r="G29" s="398" t="s">
        <v>150</v>
      </c>
      <c r="H29" s="388">
        <f t="shared" si="0"/>
        <v>100000</v>
      </c>
      <c r="I29" s="341" t="s">
        <v>89</v>
      </c>
      <c r="J29" s="388">
        <f t="shared" si="1"/>
        <v>25000</v>
      </c>
      <c r="K29" s="388">
        <f t="shared" si="2"/>
        <v>125000</v>
      </c>
    </row>
    <row r="30" spans="1:11" s="155" customFormat="1" ht="25.5">
      <c r="A30" s="113">
        <v>24</v>
      </c>
      <c r="B30" s="417" t="s">
        <v>542</v>
      </c>
      <c r="C30" s="417" t="s">
        <v>547</v>
      </c>
      <c r="D30" s="417" t="s">
        <v>255</v>
      </c>
      <c r="E30" s="417" t="s">
        <v>251</v>
      </c>
      <c r="F30" s="423">
        <v>300000</v>
      </c>
      <c r="G30" s="217" t="s">
        <v>150</v>
      </c>
      <c r="H30" s="388">
        <f t="shared" si="0"/>
        <v>60000</v>
      </c>
      <c r="I30" s="341" t="s">
        <v>89</v>
      </c>
      <c r="J30" s="388">
        <f t="shared" si="1"/>
        <v>15000</v>
      </c>
      <c r="K30" s="388">
        <f t="shared" si="2"/>
        <v>75000</v>
      </c>
    </row>
    <row r="31" spans="1:11" s="155" customFormat="1" ht="15.75">
      <c r="A31" s="113">
        <v>25</v>
      </c>
      <c r="B31" s="417" t="s">
        <v>542</v>
      </c>
      <c r="C31" s="417" t="s">
        <v>592</v>
      </c>
      <c r="D31" s="417" t="s">
        <v>204</v>
      </c>
      <c r="E31" s="417" t="s">
        <v>261</v>
      </c>
      <c r="F31" s="423">
        <v>300000</v>
      </c>
      <c r="G31" s="398" t="s">
        <v>150</v>
      </c>
      <c r="H31" s="388">
        <f t="shared" si="0"/>
        <v>60000</v>
      </c>
      <c r="I31" s="341" t="s">
        <v>89</v>
      </c>
      <c r="J31" s="388">
        <f t="shared" si="1"/>
        <v>15000</v>
      </c>
      <c r="K31" s="388">
        <f t="shared" si="2"/>
        <v>75000</v>
      </c>
    </row>
    <row r="32" spans="1:11" s="155" customFormat="1" ht="25.5">
      <c r="A32" s="113">
        <v>26</v>
      </c>
      <c r="B32" s="417" t="s">
        <v>542</v>
      </c>
      <c r="C32" s="417" t="s">
        <v>605</v>
      </c>
      <c r="D32" s="417" t="s">
        <v>190</v>
      </c>
      <c r="E32" s="417" t="s">
        <v>246</v>
      </c>
      <c r="F32" s="423">
        <v>1000000</v>
      </c>
      <c r="G32" s="398" t="s">
        <v>150</v>
      </c>
      <c r="H32" s="388">
        <f t="shared" si="0"/>
        <v>200000</v>
      </c>
      <c r="I32" s="341" t="s">
        <v>89</v>
      </c>
      <c r="J32" s="388">
        <f t="shared" si="1"/>
        <v>50000</v>
      </c>
      <c r="K32" s="388">
        <f t="shared" si="2"/>
        <v>250000</v>
      </c>
    </row>
    <row r="33" spans="1:11" s="155" customFormat="1" ht="25.5">
      <c r="A33" s="113">
        <v>27</v>
      </c>
      <c r="B33" s="417" t="s">
        <v>535</v>
      </c>
      <c r="C33" s="417" t="s">
        <v>536</v>
      </c>
      <c r="D33" s="417" t="s">
        <v>205</v>
      </c>
      <c r="E33" s="417" t="s">
        <v>248</v>
      </c>
      <c r="F33" s="423">
        <v>500000</v>
      </c>
      <c r="G33" s="398" t="s">
        <v>154</v>
      </c>
      <c r="H33" s="388">
        <f t="shared" si="0"/>
        <v>68750</v>
      </c>
      <c r="I33" s="341" t="s">
        <v>89</v>
      </c>
      <c r="J33" s="388">
        <f t="shared" si="1"/>
        <v>25000</v>
      </c>
      <c r="K33" s="388">
        <f t="shared" si="2"/>
        <v>93750</v>
      </c>
    </row>
    <row r="34" spans="1:11" s="155" customFormat="1" ht="15.75">
      <c r="A34" s="113">
        <v>28</v>
      </c>
      <c r="B34" s="417" t="s">
        <v>553</v>
      </c>
      <c r="C34" s="417" t="s">
        <v>554</v>
      </c>
      <c r="D34" s="417" t="s">
        <v>199</v>
      </c>
      <c r="E34" s="417" t="s">
        <v>250</v>
      </c>
      <c r="F34" s="423">
        <v>418000</v>
      </c>
      <c r="G34" s="398" t="s">
        <v>151</v>
      </c>
      <c r="H34" s="388">
        <f t="shared" si="0"/>
        <v>57475</v>
      </c>
      <c r="I34" s="341" t="s">
        <v>89</v>
      </c>
      <c r="J34" s="388">
        <f t="shared" si="1"/>
        <v>20900</v>
      </c>
      <c r="K34" s="388">
        <f t="shared" si="2"/>
        <v>78375</v>
      </c>
    </row>
    <row r="35" spans="1:11" s="155" customFormat="1" ht="25.5">
      <c r="A35" s="113">
        <v>29</v>
      </c>
      <c r="B35" s="417" t="s">
        <v>555</v>
      </c>
      <c r="C35" s="417" t="s">
        <v>556</v>
      </c>
      <c r="D35" s="417" t="s">
        <v>198</v>
      </c>
      <c r="E35" s="417" t="s">
        <v>248</v>
      </c>
      <c r="F35" s="423">
        <v>500000</v>
      </c>
      <c r="G35" s="217" t="s">
        <v>154</v>
      </c>
      <c r="H35" s="388">
        <f t="shared" si="0"/>
        <v>68750</v>
      </c>
      <c r="I35" s="341" t="s">
        <v>89</v>
      </c>
      <c r="J35" s="388">
        <f t="shared" si="1"/>
        <v>25000</v>
      </c>
      <c r="K35" s="388">
        <f t="shared" si="2"/>
        <v>93750</v>
      </c>
    </row>
    <row r="36" spans="1:11" s="155" customFormat="1" ht="15.75">
      <c r="A36" s="113">
        <v>30</v>
      </c>
      <c r="B36" s="417" t="s">
        <v>555</v>
      </c>
      <c r="C36" s="417" t="s">
        <v>584</v>
      </c>
      <c r="D36" s="417" t="s">
        <v>233</v>
      </c>
      <c r="E36" s="417" t="s">
        <v>250</v>
      </c>
      <c r="F36" s="423">
        <v>418000</v>
      </c>
      <c r="G36" s="217" t="s">
        <v>152</v>
      </c>
      <c r="H36" s="388">
        <f t="shared" si="0"/>
        <v>57475</v>
      </c>
      <c r="I36" s="341" t="s">
        <v>89</v>
      </c>
      <c r="J36" s="388">
        <f t="shared" si="1"/>
        <v>20900</v>
      </c>
      <c r="K36" s="388">
        <f t="shared" si="2"/>
        <v>78375</v>
      </c>
    </row>
    <row r="37" spans="1:11" s="155" customFormat="1" ht="25.5">
      <c r="A37" s="113">
        <v>31</v>
      </c>
      <c r="B37" s="416" t="s">
        <v>555</v>
      </c>
      <c r="C37" s="416" t="s">
        <v>596</v>
      </c>
      <c r="D37" s="416" t="s">
        <v>204</v>
      </c>
      <c r="E37" s="417" t="s">
        <v>246</v>
      </c>
      <c r="F37" s="423">
        <v>1000000</v>
      </c>
      <c r="G37" s="398" t="s">
        <v>154</v>
      </c>
      <c r="H37" s="388">
        <f t="shared" si="0"/>
        <v>137500</v>
      </c>
      <c r="I37" s="341" t="s">
        <v>89</v>
      </c>
      <c r="J37" s="388">
        <f t="shared" si="1"/>
        <v>50000</v>
      </c>
      <c r="K37" s="388">
        <f t="shared" si="2"/>
        <v>187500</v>
      </c>
    </row>
    <row r="38" spans="1:11" s="155" customFormat="1" ht="15.75">
      <c r="A38" s="113">
        <v>32</v>
      </c>
      <c r="B38" s="417" t="s">
        <v>430</v>
      </c>
      <c r="C38" s="417" t="s">
        <v>297</v>
      </c>
      <c r="D38" s="417" t="s">
        <v>187</v>
      </c>
      <c r="E38" s="417" t="s">
        <v>250</v>
      </c>
      <c r="F38" s="423">
        <v>418000</v>
      </c>
      <c r="G38" s="398" t="s">
        <v>152</v>
      </c>
      <c r="H38" s="388">
        <f t="shared" si="0"/>
        <v>57475</v>
      </c>
      <c r="I38" s="341" t="s">
        <v>89</v>
      </c>
      <c r="J38" s="388">
        <f t="shared" si="1"/>
        <v>20900</v>
      </c>
      <c r="K38" s="388">
        <f t="shared" si="2"/>
        <v>78375</v>
      </c>
    </row>
    <row r="39" spans="1:11" s="155" customFormat="1" ht="15.75">
      <c r="A39" s="113">
        <v>33</v>
      </c>
      <c r="B39" s="417" t="s">
        <v>430</v>
      </c>
      <c r="C39" s="417" t="s">
        <v>550</v>
      </c>
      <c r="D39" s="417" t="s">
        <v>181</v>
      </c>
      <c r="E39" s="417" t="s">
        <v>250</v>
      </c>
      <c r="F39" s="423">
        <v>418000</v>
      </c>
      <c r="G39" s="217" t="s">
        <v>154</v>
      </c>
      <c r="H39" s="388">
        <f t="shared" ref="H39:H63" si="3">K39-J39</f>
        <v>57475</v>
      </c>
      <c r="I39" s="341" t="s">
        <v>89</v>
      </c>
      <c r="J39" s="388">
        <f t="shared" ref="J39:J63" si="4">F39*0.05</f>
        <v>20900</v>
      </c>
      <c r="K39" s="388">
        <f t="shared" ref="K39:K63" si="5">IF(G39="NGUYỆN",F39*25%*75%,IF(G39="TOẢN",F39*25%*75%,IF(G39="V.TÂN",F39*25%*75%,F39*0.25)))</f>
        <v>78375</v>
      </c>
    </row>
    <row r="40" spans="1:11" s="155" customFormat="1" ht="15.75">
      <c r="A40" s="113">
        <v>34</v>
      </c>
      <c r="B40" s="417" t="s">
        <v>430</v>
      </c>
      <c r="C40" s="417" t="s">
        <v>590</v>
      </c>
      <c r="D40" s="417" t="s">
        <v>168</v>
      </c>
      <c r="E40" s="417" t="s">
        <v>250</v>
      </c>
      <c r="F40" s="423">
        <v>126700</v>
      </c>
      <c r="G40" s="398" t="s">
        <v>152</v>
      </c>
      <c r="H40" s="388">
        <f t="shared" si="3"/>
        <v>17421.25</v>
      </c>
      <c r="I40" s="341" t="s">
        <v>89</v>
      </c>
      <c r="J40" s="388">
        <f t="shared" si="4"/>
        <v>6335</v>
      </c>
      <c r="K40" s="388">
        <f t="shared" si="5"/>
        <v>23756.25</v>
      </c>
    </row>
    <row r="41" spans="1:11" s="155" customFormat="1" ht="15.75">
      <c r="A41" s="113">
        <v>35</v>
      </c>
      <c r="B41" s="417" t="s">
        <v>551</v>
      </c>
      <c r="C41" s="417" t="s">
        <v>552</v>
      </c>
      <c r="D41" s="417" t="s">
        <v>178</v>
      </c>
      <c r="E41" s="417" t="s">
        <v>249</v>
      </c>
      <c r="F41" s="423">
        <v>400000</v>
      </c>
      <c r="G41" s="398" t="s">
        <v>150</v>
      </c>
      <c r="H41" s="388">
        <f t="shared" si="3"/>
        <v>80000</v>
      </c>
      <c r="I41" s="341" t="s">
        <v>89</v>
      </c>
      <c r="J41" s="388">
        <f t="shared" si="4"/>
        <v>20000</v>
      </c>
      <c r="K41" s="388">
        <f t="shared" si="5"/>
        <v>100000</v>
      </c>
    </row>
    <row r="42" spans="1:11" s="155" customFormat="1" ht="15.75">
      <c r="A42" s="113">
        <v>36</v>
      </c>
      <c r="B42" s="417" t="s">
        <v>551</v>
      </c>
      <c r="C42" s="417" t="s">
        <v>569</v>
      </c>
      <c r="D42" s="417" t="s">
        <v>195</v>
      </c>
      <c r="E42" s="417" t="s">
        <v>252</v>
      </c>
      <c r="F42" s="423">
        <v>300000</v>
      </c>
      <c r="G42" s="398" t="s">
        <v>150</v>
      </c>
      <c r="H42" s="388">
        <f t="shared" si="3"/>
        <v>60000</v>
      </c>
      <c r="I42" s="341" t="s">
        <v>89</v>
      </c>
      <c r="J42" s="388">
        <f t="shared" si="4"/>
        <v>15000</v>
      </c>
      <c r="K42" s="388">
        <f t="shared" si="5"/>
        <v>75000</v>
      </c>
    </row>
    <row r="43" spans="1:11" s="155" customFormat="1" ht="15.75">
      <c r="A43" s="113">
        <v>37</v>
      </c>
      <c r="B43" s="417" t="s">
        <v>551</v>
      </c>
      <c r="C43" s="417" t="s">
        <v>588</v>
      </c>
      <c r="D43" s="417" t="s">
        <v>181</v>
      </c>
      <c r="E43" s="417" t="s">
        <v>256</v>
      </c>
      <c r="F43" s="423">
        <v>500000</v>
      </c>
      <c r="G43" s="398" t="s">
        <v>150</v>
      </c>
      <c r="H43" s="388">
        <f t="shared" si="3"/>
        <v>100000</v>
      </c>
      <c r="I43" s="341" t="s">
        <v>89</v>
      </c>
      <c r="J43" s="388">
        <f t="shared" si="4"/>
        <v>25000</v>
      </c>
      <c r="K43" s="388">
        <f t="shared" si="5"/>
        <v>125000</v>
      </c>
    </row>
    <row r="44" spans="1:11" s="155" customFormat="1" ht="15.75">
      <c r="A44" s="113">
        <v>38</v>
      </c>
      <c r="B44" s="417" t="s">
        <v>551</v>
      </c>
      <c r="C44" s="417" t="s">
        <v>589</v>
      </c>
      <c r="D44" s="417" t="s">
        <v>235</v>
      </c>
      <c r="E44" s="417" t="s">
        <v>541</v>
      </c>
      <c r="F44" s="423">
        <v>300000</v>
      </c>
      <c r="G44" s="398" t="s">
        <v>150</v>
      </c>
      <c r="H44" s="388">
        <f t="shared" si="3"/>
        <v>60000</v>
      </c>
      <c r="I44" s="341" t="s">
        <v>89</v>
      </c>
      <c r="J44" s="388">
        <f t="shared" si="4"/>
        <v>15000</v>
      </c>
      <c r="K44" s="388">
        <f t="shared" si="5"/>
        <v>75000</v>
      </c>
    </row>
    <row r="45" spans="1:11" s="155" customFormat="1" ht="25.5">
      <c r="A45" s="113">
        <v>39</v>
      </c>
      <c r="B45" s="417" t="s">
        <v>551</v>
      </c>
      <c r="C45" s="417" t="s">
        <v>593</v>
      </c>
      <c r="D45" s="417" t="s">
        <v>188</v>
      </c>
      <c r="E45" s="417" t="s">
        <v>245</v>
      </c>
      <c r="F45" s="423">
        <v>4000000</v>
      </c>
      <c r="G45" s="398" t="s">
        <v>150</v>
      </c>
      <c r="H45" s="388">
        <f t="shared" si="3"/>
        <v>800000</v>
      </c>
      <c r="I45" s="341" t="s">
        <v>89</v>
      </c>
      <c r="J45" s="388">
        <f t="shared" si="4"/>
        <v>200000</v>
      </c>
      <c r="K45" s="388">
        <f t="shared" si="5"/>
        <v>1000000</v>
      </c>
    </row>
    <row r="46" spans="1:11" s="155" customFormat="1" ht="15.75">
      <c r="A46" s="113">
        <v>40</v>
      </c>
      <c r="B46" s="417" t="s">
        <v>585</v>
      </c>
      <c r="C46" s="417" t="s">
        <v>586</v>
      </c>
      <c r="D46" s="417" t="s">
        <v>188</v>
      </c>
      <c r="E46" s="417" t="s">
        <v>249</v>
      </c>
      <c r="F46" s="423">
        <v>129600</v>
      </c>
      <c r="G46" s="398" t="s">
        <v>152</v>
      </c>
      <c r="H46" s="388">
        <f t="shared" si="3"/>
        <v>17820</v>
      </c>
      <c r="I46" s="341" t="s">
        <v>89</v>
      </c>
      <c r="J46" s="388">
        <f t="shared" si="4"/>
        <v>6480</v>
      </c>
      <c r="K46" s="388">
        <f t="shared" si="5"/>
        <v>24300</v>
      </c>
    </row>
    <row r="47" spans="1:11" s="155" customFormat="1" ht="15.75">
      <c r="A47" s="113">
        <v>41</v>
      </c>
      <c r="B47" s="417" t="s">
        <v>539</v>
      </c>
      <c r="C47" s="417" t="s">
        <v>540</v>
      </c>
      <c r="D47" s="417" t="s">
        <v>306</v>
      </c>
      <c r="E47" s="417" t="s">
        <v>541</v>
      </c>
      <c r="F47" s="423">
        <v>300000</v>
      </c>
      <c r="G47" s="398" t="s">
        <v>154</v>
      </c>
      <c r="H47" s="388">
        <f t="shared" si="3"/>
        <v>41250</v>
      </c>
      <c r="I47" s="341" t="s">
        <v>89</v>
      </c>
      <c r="J47" s="388">
        <f t="shared" si="4"/>
        <v>15000</v>
      </c>
      <c r="K47" s="388">
        <f t="shared" si="5"/>
        <v>56250</v>
      </c>
    </row>
    <row r="48" spans="1:11" s="155" customFormat="1" ht="15.75">
      <c r="A48" s="113">
        <v>42</v>
      </c>
      <c r="B48" s="417" t="s">
        <v>539</v>
      </c>
      <c r="C48" s="417" t="s">
        <v>563</v>
      </c>
      <c r="D48" s="417" t="s">
        <v>238</v>
      </c>
      <c r="E48" s="417" t="s">
        <v>253</v>
      </c>
      <c r="F48" s="423">
        <v>384000</v>
      </c>
      <c r="G48" s="398" t="s">
        <v>154</v>
      </c>
      <c r="H48" s="388">
        <f t="shared" si="3"/>
        <v>52800</v>
      </c>
      <c r="I48" s="341" t="s">
        <v>89</v>
      </c>
      <c r="J48" s="388">
        <f t="shared" si="4"/>
        <v>19200</v>
      </c>
      <c r="K48" s="388">
        <f t="shared" si="5"/>
        <v>72000</v>
      </c>
    </row>
    <row r="49" spans="1:11" s="155" customFormat="1" ht="15.75">
      <c r="A49" s="113">
        <v>43</v>
      </c>
      <c r="B49" s="417" t="s">
        <v>539</v>
      </c>
      <c r="C49" s="417" t="s">
        <v>574</v>
      </c>
      <c r="D49" s="417" t="s">
        <v>222</v>
      </c>
      <c r="E49" s="417" t="s">
        <v>253</v>
      </c>
      <c r="F49" s="423">
        <v>384000</v>
      </c>
      <c r="G49" s="398" t="s">
        <v>154</v>
      </c>
      <c r="H49" s="388">
        <f t="shared" si="3"/>
        <v>52800</v>
      </c>
      <c r="I49" s="341" t="s">
        <v>89</v>
      </c>
      <c r="J49" s="388">
        <f t="shared" si="4"/>
        <v>19200</v>
      </c>
      <c r="K49" s="388">
        <f t="shared" si="5"/>
        <v>72000</v>
      </c>
    </row>
    <row r="50" spans="1:11" s="155" customFormat="1" ht="15.75">
      <c r="A50" s="113">
        <v>44</v>
      </c>
      <c r="B50" s="417" t="s">
        <v>544</v>
      </c>
      <c r="C50" s="417" t="s">
        <v>545</v>
      </c>
      <c r="D50" s="417" t="s">
        <v>228</v>
      </c>
      <c r="E50" s="417" t="s">
        <v>546</v>
      </c>
      <c r="F50" s="423">
        <v>104400</v>
      </c>
      <c r="G50" s="398" t="s">
        <v>152</v>
      </c>
      <c r="H50" s="388">
        <f t="shared" si="3"/>
        <v>14355</v>
      </c>
      <c r="I50" s="341" t="s">
        <v>89</v>
      </c>
      <c r="J50" s="388">
        <f t="shared" si="4"/>
        <v>5220</v>
      </c>
      <c r="K50" s="388">
        <f t="shared" si="5"/>
        <v>19575</v>
      </c>
    </row>
    <row r="51" spans="1:11" s="155" customFormat="1" ht="15.75">
      <c r="A51" s="113">
        <v>45</v>
      </c>
      <c r="B51" s="417" t="s">
        <v>544</v>
      </c>
      <c r="C51" s="417" t="s">
        <v>562</v>
      </c>
      <c r="D51" s="417" t="s">
        <v>260</v>
      </c>
      <c r="E51" s="417" t="s">
        <v>299</v>
      </c>
      <c r="F51" s="423">
        <v>104400</v>
      </c>
      <c r="G51" s="398" t="s">
        <v>155</v>
      </c>
      <c r="H51" s="388">
        <f t="shared" si="3"/>
        <v>20880</v>
      </c>
      <c r="I51" s="341" t="s">
        <v>89</v>
      </c>
      <c r="J51" s="388">
        <f t="shared" si="4"/>
        <v>5220</v>
      </c>
      <c r="K51" s="388">
        <f t="shared" si="5"/>
        <v>26100</v>
      </c>
    </row>
    <row r="52" spans="1:11" s="155" customFormat="1" ht="38.25">
      <c r="A52" s="113">
        <v>46</v>
      </c>
      <c r="B52" s="424" t="s">
        <v>544</v>
      </c>
      <c r="C52" s="424" t="s">
        <v>565</v>
      </c>
      <c r="D52" s="424" t="s">
        <v>228</v>
      </c>
      <c r="E52" s="424" t="s">
        <v>257</v>
      </c>
      <c r="F52" s="425">
        <v>194700</v>
      </c>
      <c r="G52" s="398" t="s">
        <v>152</v>
      </c>
      <c r="H52" s="388">
        <f t="shared" si="3"/>
        <v>26771.25</v>
      </c>
      <c r="I52" s="341" t="s">
        <v>89</v>
      </c>
      <c r="J52" s="388">
        <f t="shared" si="4"/>
        <v>9735</v>
      </c>
      <c r="K52" s="388">
        <f t="shared" si="5"/>
        <v>36506.25</v>
      </c>
    </row>
    <row r="53" spans="1:11" s="155" customFormat="1" ht="25.5">
      <c r="A53" s="113">
        <v>47</v>
      </c>
      <c r="B53" s="416" t="s">
        <v>544</v>
      </c>
      <c r="C53" s="416" t="s">
        <v>595</v>
      </c>
      <c r="D53" s="416" t="s">
        <v>350</v>
      </c>
      <c r="E53" s="417" t="s">
        <v>293</v>
      </c>
      <c r="F53" s="423">
        <v>3000000</v>
      </c>
      <c r="G53" s="398" t="s">
        <v>155</v>
      </c>
      <c r="H53" s="388">
        <f t="shared" si="3"/>
        <v>600000</v>
      </c>
      <c r="I53" s="341" t="s">
        <v>89</v>
      </c>
      <c r="J53" s="388">
        <f t="shared" si="4"/>
        <v>150000</v>
      </c>
      <c r="K53" s="388">
        <f t="shared" si="5"/>
        <v>750000</v>
      </c>
    </row>
    <row r="54" spans="1:11" s="155" customFormat="1" ht="38.25">
      <c r="A54" s="113">
        <v>48</v>
      </c>
      <c r="B54" s="417" t="s">
        <v>577</v>
      </c>
      <c r="C54" s="417" t="s">
        <v>578</v>
      </c>
      <c r="D54" s="417" t="s">
        <v>351</v>
      </c>
      <c r="E54" s="417" t="s">
        <v>257</v>
      </c>
      <c r="F54" s="423">
        <v>500000</v>
      </c>
      <c r="G54" s="217" t="s">
        <v>152</v>
      </c>
      <c r="H54" s="388">
        <f t="shared" si="3"/>
        <v>68750</v>
      </c>
      <c r="I54" s="341" t="s">
        <v>89</v>
      </c>
      <c r="J54" s="388">
        <f t="shared" si="4"/>
        <v>25000</v>
      </c>
      <c r="K54" s="388">
        <f t="shared" si="5"/>
        <v>93750</v>
      </c>
    </row>
    <row r="55" spans="1:11" s="155" customFormat="1" ht="15.75">
      <c r="A55" s="113">
        <v>49</v>
      </c>
      <c r="B55" s="417" t="s">
        <v>508</v>
      </c>
      <c r="C55" s="417" t="s">
        <v>537</v>
      </c>
      <c r="D55" s="417" t="s">
        <v>538</v>
      </c>
      <c r="E55" s="417" t="s">
        <v>249</v>
      </c>
      <c r="F55" s="423">
        <v>400000</v>
      </c>
      <c r="G55" s="398" t="s">
        <v>150</v>
      </c>
      <c r="H55" s="388">
        <f t="shared" si="3"/>
        <v>80000</v>
      </c>
      <c r="I55" s="341" t="s">
        <v>89</v>
      </c>
      <c r="J55" s="388">
        <f t="shared" si="4"/>
        <v>20000</v>
      </c>
      <c r="K55" s="388">
        <f t="shared" si="5"/>
        <v>100000</v>
      </c>
    </row>
    <row r="56" spans="1:11" s="155" customFormat="1" ht="25.5">
      <c r="A56" s="113">
        <v>50</v>
      </c>
      <c r="B56" s="417" t="s">
        <v>508</v>
      </c>
      <c r="C56" s="417" t="s">
        <v>548</v>
      </c>
      <c r="D56" s="417" t="s">
        <v>255</v>
      </c>
      <c r="E56" s="417" t="s">
        <v>248</v>
      </c>
      <c r="F56" s="423">
        <v>500000</v>
      </c>
      <c r="G56" s="398" t="s">
        <v>150</v>
      </c>
      <c r="H56" s="388">
        <f t="shared" si="3"/>
        <v>100000</v>
      </c>
      <c r="I56" s="341" t="s">
        <v>89</v>
      </c>
      <c r="J56" s="388">
        <f t="shared" si="4"/>
        <v>25000</v>
      </c>
      <c r="K56" s="388">
        <f t="shared" si="5"/>
        <v>125000</v>
      </c>
    </row>
    <row r="57" spans="1:11" s="155" customFormat="1" ht="25.5">
      <c r="A57" s="113">
        <v>51</v>
      </c>
      <c r="B57" s="417" t="s">
        <v>508</v>
      </c>
      <c r="C57" s="417" t="s">
        <v>558</v>
      </c>
      <c r="D57" s="417" t="s">
        <v>183</v>
      </c>
      <c r="E57" s="417" t="s">
        <v>248</v>
      </c>
      <c r="F57" s="423">
        <v>500000</v>
      </c>
      <c r="G57" s="398" t="s">
        <v>150</v>
      </c>
      <c r="H57" s="388">
        <f t="shared" si="3"/>
        <v>100000</v>
      </c>
      <c r="I57" s="341" t="s">
        <v>89</v>
      </c>
      <c r="J57" s="388">
        <f t="shared" si="4"/>
        <v>25000</v>
      </c>
      <c r="K57" s="388">
        <f t="shared" si="5"/>
        <v>125000</v>
      </c>
    </row>
    <row r="58" spans="1:11" s="155" customFormat="1" ht="15.75">
      <c r="A58" s="113">
        <v>52</v>
      </c>
      <c r="B58" s="417" t="s">
        <v>508</v>
      </c>
      <c r="C58" s="417" t="s">
        <v>566</v>
      </c>
      <c r="D58" s="417" t="s">
        <v>210</v>
      </c>
      <c r="E58" s="417" t="s">
        <v>261</v>
      </c>
      <c r="F58" s="423">
        <v>300000</v>
      </c>
      <c r="G58" s="398" t="s">
        <v>150</v>
      </c>
      <c r="H58" s="388">
        <f t="shared" si="3"/>
        <v>60000</v>
      </c>
      <c r="I58" s="341" t="s">
        <v>89</v>
      </c>
      <c r="J58" s="388">
        <f t="shared" si="4"/>
        <v>15000</v>
      </c>
      <c r="K58" s="388">
        <f t="shared" si="5"/>
        <v>75000</v>
      </c>
    </row>
    <row r="59" spans="1:11" s="155" customFormat="1" ht="15.75">
      <c r="A59" s="113">
        <v>53</v>
      </c>
      <c r="B59" s="417" t="s">
        <v>508</v>
      </c>
      <c r="C59" s="417" t="s">
        <v>591</v>
      </c>
      <c r="D59" s="417" t="s">
        <v>190</v>
      </c>
      <c r="E59" s="417" t="s">
        <v>250</v>
      </c>
      <c r="F59" s="423">
        <v>126700</v>
      </c>
      <c r="G59" s="398" t="s">
        <v>153</v>
      </c>
      <c r="H59" s="388">
        <f t="shared" si="3"/>
        <v>25340</v>
      </c>
      <c r="I59" s="341" t="s">
        <v>89</v>
      </c>
      <c r="J59" s="388">
        <f t="shared" si="4"/>
        <v>6335</v>
      </c>
      <c r="K59" s="388">
        <f t="shared" si="5"/>
        <v>31675</v>
      </c>
    </row>
    <row r="60" spans="1:11" s="155" customFormat="1" ht="25.5">
      <c r="A60" s="113">
        <v>54</v>
      </c>
      <c r="B60" s="417" t="s">
        <v>508</v>
      </c>
      <c r="C60" s="417" t="s">
        <v>604</v>
      </c>
      <c r="D60" s="417" t="s">
        <v>232</v>
      </c>
      <c r="E60" s="417" t="s">
        <v>245</v>
      </c>
      <c r="F60" s="423">
        <v>4000000</v>
      </c>
      <c r="G60" s="398" t="s">
        <v>150</v>
      </c>
      <c r="H60" s="388">
        <f t="shared" si="3"/>
        <v>800000</v>
      </c>
      <c r="I60" s="341" t="s">
        <v>89</v>
      </c>
      <c r="J60" s="388">
        <f t="shared" si="4"/>
        <v>200000</v>
      </c>
      <c r="K60" s="388">
        <f t="shared" si="5"/>
        <v>1000000</v>
      </c>
    </row>
    <row r="61" spans="1:11" s="155" customFormat="1" ht="15.75">
      <c r="A61" s="113">
        <v>55</v>
      </c>
      <c r="B61" s="424" t="s">
        <v>512</v>
      </c>
      <c r="C61" s="424" t="s">
        <v>559</v>
      </c>
      <c r="D61" s="424" t="s">
        <v>179</v>
      </c>
      <c r="E61" s="424" t="s">
        <v>250</v>
      </c>
      <c r="F61" s="425">
        <v>126700</v>
      </c>
      <c r="G61" s="398" t="s">
        <v>151</v>
      </c>
      <c r="H61" s="388">
        <f t="shared" si="3"/>
        <v>17421.25</v>
      </c>
      <c r="I61" s="341" t="s">
        <v>89</v>
      </c>
      <c r="J61" s="388">
        <f t="shared" si="4"/>
        <v>6335</v>
      </c>
      <c r="K61" s="388">
        <f t="shared" si="5"/>
        <v>23756.25</v>
      </c>
    </row>
    <row r="62" spans="1:11" s="155" customFormat="1" ht="25.5">
      <c r="A62" s="113">
        <v>56</v>
      </c>
      <c r="B62" s="416" t="s">
        <v>512</v>
      </c>
      <c r="C62" s="416" t="s">
        <v>601</v>
      </c>
      <c r="D62" s="416" t="s">
        <v>247</v>
      </c>
      <c r="E62" s="417" t="s">
        <v>293</v>
      </c>
      <c r="F62" s="423">
        <v>3000000</v>
      </c>
      <c r="G62" s="398" t="s">
        <v>151</v>
      </c>
      <c r="H62" s="388">
        <f t="shared" si="3"/>
        <v>412500</v>
      </c>
      <c r="I62" s="341" t="s">
        <v>89</v>
      </c>
      <c r="J62" s="388">
        <f t="shared" si="4"/>
        <v>150000</v>
      </c>
      <c r="K62" s="388">
        <f t="shared" si="5"/>
        <v>562500</v>
      </c>
    </row>
    <row r="63" spans="1:11" s="155" customFormat="1" ht="41.25" customHeight="1">
      <c r="A63" s="113">
        <v>57</v>
      </c>
      <c r="B63" s="417" t="s">
        <v>606</v>
      </c>
      <c r="C63" s="417" t="s">
        <v>607</v>
      </c>
      <c r="D63" s="417" t="s">
        <v>230</v>
      </c>
      <c r="E63" s="417" t="s">
        <v>608</v>
      </c>
      <c r="F63" s="423">
        <v>667000</v>
      </c>
      <c r="G63" s="398" t="s">
        <v>155</v>
      </c>
      <c r="H63" s="388">
        <f t="shared" si="3"/>
        <v>133400</v>
      </c>
      <c r="I63" s="341" t="s">
        <v>89</v>
      </c>
      <c r="J63" s="388">
        <f t="shared" si="4"/>
        <v>33350</v>
      </c>
      <c r="K63" s="388">
        <f t="shared" si="5"/>
        <v>166750</v>
      </c>
    </row>
    <row r="64" spans="1:11" s="155" customFormat="1" ht="15.75">
      <c r="A64" s="113"/>
      <c r="B64" s="394"/>
      <c r="C64" s="389" t="s">
        <v>83</v>
      </c>
      <c r="D64" s="390"/>
      <c r="E64" s="391"/>
      <c r="F64" s="392">
        <f>SUBTOTAL(9,F7:F63)</f>
        <v>43959700</v>
      </c>
      <c r="G64" s="392"/>
      <c r="H64" s="392">
        <f>SUBTOTAL(9,H7:H63)</f>
        <v>7388365</v>
      </c>
      <c r="I64" s="392"/>
      <c r="J64" s="392">
        <f>SUBTOTAL(9,J7:J63)</f>
        <v>2197985</v>
      </c>
      <c r="K64" s="392">
        <f>SUBTOTAL(9,K7:K63)</f>
        <v>9586350</v>
      </c>
    </row>
    <row r="65" spans="1:11" ht="16.5">
      <c r="A65" s="273"/>
      <c r="B65" s="395"/>
      <c r="C65" s="274"/>
      <c r="D65" s="275"/>
      <c r="E65" s="274"/>
      <c r="F65" s="276"/>
      <c r="G65" s="473" t="s">
        <v>791</v>
      </c>
      <c r="H65" s="473"/>
      <c r="I65" s="473"/>
      <c r="J65" s="473"/>
      <c r="K65" s="473"/>
    </row>
    <row r="66" spans="1:11" ht="18.75" customHeight="1">
      <c r="A66" s="478" t="s">
        <v>35</v>
      </c>
      <c r="B66" s="478"/>
      <c r="C66" s="478"/>
      <c r="D66" s="277"/>
      <c r="E66" s="278"/>
      <c r="F66" s="279"/>
      <c r="H66" s="473" t="s">
        <v>112</v>
      </c>
      <c r="I66" s="473"/>
      <c r="J66" s="473"/>
      <c r="K66" s="473"/>
    </row>
    <row r="67" spans="1:11" ht="16.5">
      <c r="A67" s="273"/>
      <c r="B67" s="396"/>
      <c r="C67" s="280"/>
      <c r="D67" s="281"/>
      <c r="E67" s="280"/>
      <c r="F67" s="282"/>
      <c r="G67" s="396"/>
      <c r="H67" s="273"/>
      <c r="I67" s="273"/>
      <c r="J67" s="273"/>
      <c r="K67" s="283"/>
    </row>
    <row r="68" spans="1:11" ht="16.5">
      <c r="A68" s="273"/>
      <c r="B68" s="396"/>
      <c r="C68" s="280"/>
      <c r="D68" s="281"/>
      <c r="E68" s="280"/>
      <c r="F68" s="282"/>
      <c r="G68" s="396"/>
      <c r="H68" s="273"/>
      <c r="I68" s="273"/>
      <c r="J68" s="273"/>
      <c r="K68" s="283"/>
    </row>
    <row r="69" spans="1:11" ht="21" customHeight="1">
      <c r="A69" s="273"/>
      <c r="B69" s="396"/>
      <c r="C69" s="280"/>
      <c r="D69" s="284"/>
      <c r="E69" s="280"/>
      <c r="F69" s="279"/>
      <c r="G69" s="396"/>
      <c r="H69" s="273"/>
      <c r="I69" s="273"/>
      <c r="J69" s="273"/>
      <c r="K69" s="285"/>
    </row>
    <row r="70" spans="1:11" ht="16.5">
      <c r="A70" s="444" t="s">
        <v>96</v>
      </c>
      <c r="B70" s="444"/>
      <c r="C70" s="444"/>
      <c r="D70" s="284"/>
      <c r="E70" s="280"/>
      <c r="F70" s="282"/>
      <c r="H70" s="474" t="s">
        <v>266</v>
      </c>
      <c r="I70" s="474"/>
      <c r="J70" s="474"/>
      <c r="K70" s="474"/>
    </row>
    <row r="71" spans="1:11" ht="16.5">
      <c r="A71" s="273"/>
      <c r="B71" s="396"/>
      <c r="C71" s="280"/>
      <c r="D71" s="284"/>
      <c r="E71" s="280"/>
      <c r="F71" s="282"/>
      <c r="G71" s="396"/>
      <c r="H71" s="273"/>
      <c r="I71" s="273"/>
      <c r="J71" s="273"/>
      <c r="K71" s="273"/>
    </row>
  </sheetData>
  <autoFilter ref="A6:XET66" xr:uid="{00000000-0009-0000-0000-000009000000}"/>
  <sortState xmlns:xlrd2="http://schemas.microsoft.com/office/spreadsheetml/2017/richdata2" ref="A7:K63">
    <sortCondition ref="B7:B63"/>
  </sortState>
  <mergeCells count="9">
    <mergeCell ref="H66:K66"/>
    <mergeCell ref="H70:K70"/>
    <mergeCell ref="A1:D1"/>
    <mergeCell ref="A2:D2"/>
    <mergeCell ref="A3:K3"/>
    <mergeCell ref="A4:K4"/>
    <mergeCell ref="A70:C70"/>
    <mergeCell ref="A66:C66"/>
    <mergeCell ref="G65:K65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view="pageLayout" topLeftCell="A10" zoomScaleNormal="100" workbookViewId="0">
      <selection activeCell="D26" sqref="D26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479" t="s">
        <v>0</v>
      </c>
      <c r="B1" s="479"/>
      <c r="C1" s="132"/>
      <c r="D1" s="132"/>
      <c r="E1" s="132"/>
    </row>
    <row r="2" spans="1:6" ht="18.75">
      <c r="A2" s="447" t="s">
        <v>108</v>
      </c>
      <c r="B2" s="447"/>
      <c r="C2" s="39"/>
      <c r="D2" s="132"/>
      <c r="E2" s="132"/>
    </row>
    <row r="3" spans="1:6" ht="21.75" customHeight="1">
      <c r="A3" s="435" t="s">
        <v>786</v>
      </c>
      <c r="B3" s="435"/>
      <c r="C3" s="435"/>
      <c r="D3" s="435"/>
      <c r="E3" s="435"/>
    </row>
    <row r="4" spans="1:6" ht="17.25" customHeight="1">
      <c r="A4" s="447" t="s">
        <v>32</v>
      </c>
      <c r="B4" s="447"/>
      <c r="C4" s="447"/>
      <c r="D4" s="447"/>
      <c r="E4" s="447"/>
    </row>
    <row r="5" spans="1:6" ht="15.75">
      <c r="A5" s="132"/>
      <c r="B5" s="132"/>
      <c r="C5" s="132"/>
      <c r="D5" s="132"/>
      <c r="E5" s="132"/>
    </row>
    <row r="6" spans="1:6" ht="15.75">
      <c r="A6" s="133" t="s">
        <v>29</v>
      </c>
      <c r="B6" s="133" t="s">
        <v>31</v>
      </c>
      <c r="C6" s="133" t="s">
        <v>33</v>
      </c>
      <c r="D6" s="133" t="s">
        <v>7</v>
      </c>
      <c r="E6" s="133" t="s">
        <v>34</v>
      </c>
    </row>
    <row r="7" spans="1:6" ht="16.5">
      <c r="A7" s="134">
        <v>1</v>
      </c>
      <c r="B7" s="62" t="s">
        <v>23</v>
      </c>
      <c r="C7" s="135" t="s">
        <v>26</v>
      </c>
      <c r="D7" s="136">
        <f>SUM(SUMIF(tieuphau!$G$7:$G$73,"TRIỀU",tieuphau!$H$7:$H$73),SUMIF(tieuphau!$I$7:$I$72,"TRIỀU",tieuphau!$J$7:$J$72))</f>
        <v>2660000</v>
      </c>
      <c r="E7" s="134"/>
      <c r="F7" s="61"/>
    </row>
    <row r="8" spans="1:6" ht="16.5">
      <c r="A8" s="134">
        <v>2</v>
      </c>
      <c r="B8" s="62" t="s">
        <v>18</v>
      </c>
      <c r="C8" s="135" t="s">
        <v>26</v>
      </c>
      <c r="D8" s="136">
        <f>SUM(SUMIF(tieuphau!$G$7:$G$63,"TẤN",tieuphau!$H$7:$H$63),SUMIF(tieuphau!$I$7:$I$63,"TẤN",tieuphau!$J$7:$J$63))</f>
        <v>0</v>
      </c>
      <c r="E8" s="134"/>
      <c r="F8" s="61"/>
    </row>
    <row r="9" spans="1:6" ht="16.5">
      <c r="A9" s="134">
        <v>3</v>
      </c>
      <c r="B9" s="62" t="s">
        <v>17</v>
      </c>
      <c r="C9" s="135" t="s">
        <v>26</v>
      </c>
      <c r="D9" s="136">
        <f>SUM(SUMIF(tieuphau!$G$7:$G$73,"HOAN",tieuphau!$H$7:$H$73),SUMIF(tieuphau!$I$7:$I$72,"HOAN",tieuphau!$J$7:$J$72))</f>
        <v>0</v>
      </c>
      <c r="E9" s="134"/>
      <c r="F9" s="61"/>
    </row>
    <row r="10" spans="1:6" ht="16.5">
      <c r="A10" s="134">
        <v>4</v>
      </c>
      <c r="B10" s="62" t="s">
        <v>19</v>
      </c>
      <c r="C10" s="135" t="s">
        <v>26</v>
      </c>
      <c r="D10" s="136">
        <f>SUM(SUMIF(tieuphau!$G$7:$G$73,"TÚ",tieuphau!$H$7:$H$73),SUMIF(tieuphau!$I$7:$I$72,"TÚ",tieuphau!$J$7:$J$72))</f>
        <v>680000</v>
      </c>
      <c r="E10" s="134"/>
    </row>
    <row r="11" spans="1:6" ht="18" customHeight="1">
      <c r="A11" s="134">
        <v>5</v>
      </c>
      <c r="B11" s="62" t="s">
        <v>74</v>
      </c>
      <c r="C11" s="135" t="s">
        <v>26</v>
      </c>
      <c r="D11" s="136">
        <f>SUM(SUMIF(tieuphau!$G$7:$G$73,"NGUYỆN",tieuphau!$H$7:$H$73),SUMIF(tieuphau!$I$7:$I$72,"NGUYỆN",tieuphau!$J$7:$J$72))</f>
        <v>1136121.25</v>
      </c>
      <c r="E11" s="134"/>
    </row>
    <row r="12" spans="1:6" ht="18" customHeight="1">
      <c r="A12" s="134">
        <v>6</v>
      </c>
      <c r="B12" s="62" t="s">
        <v>84</v>
      </c>
      <c r="C12" s="135" t="s">
        <v>26</v>
      </c>
      <c r="D12" s="136">
        <f>SUM(SUMIF(tieuphau!$G$7:$G$73,"v.tân",tieuphau!$H$7:$H$73),SUMIF(tieuphau!$I$7:$I$72,"v.tân",tieuphau!$J$7:$J$72))</f>
        <v>554963.75</v>
      </c>
      <c r="E12" s="134"/>
    </row>
    <row r="13" spans="1:6" ht="18" customHeight="1">
      <c r="A13" s="134">
        <v>7</v>
      </c>
      <c r="B13" s="62" t="s">
        <v>113</v>
      </c>
      <c r="C13" s="135" t="s">
        <v>26</v>
      </c>
      <c r="D13" s="136">
        <f>SUM(SUMIF(tieuphau!$G$7:$G$73,"TOẢN",tieuphau!$H$7:$H$73),SUMIF(tieuphau!$I$7:$I$72,"TOẢN",tieuphau!$J$7:$J$72))</f>
        <v>1396780</v>
      </c>
      <c r="E13" s="134"/>
    </row>
    <row r="14" spans="1:6" ht="18" customHeight="1">
      <c r="A14" s="134">
        <v>8</v>
      </c>
      <c r="B14" s="62" t="s">
        <v>94</v>
      </c>
      <c r="C14" s="135" t="s">
        <v>26</v>
      </c>
      <c r="D14" s="136">
        <f>SUM(SUMIF(tieuphau!$G$7:$G$73,"GIÀU",tieuphau!$H$7:$H$73),SUMIF(tieuphau!$I$7:$I$72,"GIÀU",tieuphau!$J$7:$J$72))</f>
        <v>935160</v>
      </c>
      <c r="E14" s="134"/>
    </row>
    <row r="15" spans="1:6" ht="18" customHeight="1">
      <c r="A15" s="134">
        <v>9</v>
      </c>
      <c r="B15" s="62" t="s">
        <v>72</v>
      </c>
      <c r="C15" s="135" t="s">
        <v>26</v>
      </c>
      <c r="D15" s="136">
        <f>SUM(SUMIF(tieuphau!$G$7:$G$73,"Điền",tieuphau!$H$7:$H$73),SUMIF(tieuphau!$I$7:$I$72,"điền",tieuphau!$J$7:$J$72))</f>
        <v>25340</v>
      </c>
      <c r="E15" s="134"/>
    </row>
    <row r="16" spans="1:6" ht="18" customHeight="1">
      <c r="A16" s="134">
        <v>10</v>
      </c>
      <c r="B16" s="62" t="s">
        <v>68</v>
      </c>
      <c r="C16" s="135" t="s">
        <v>26</v>
      </c>
      <c r="D16" s="136">
        <f>SUM(SUMIF(tieuphau!$G$7:$G$73,"minh",tieuphau!$H$7:$H$73),SUMIF(tieuphau!$I$7:$I$72,"minh",tieuphau!$J$7:$J$72))</f>
        <v>0</v>
      </c>
      <c r="E16" s="134"/>
    </row>
    <row r="17" spans="1:6" ht="18" customHeight="1">
      <c r="A17" s="134">
        <v>11</v>
      </c>
      <c r="B17" s="62" t="s">
        <v>359</v>
      </c>
      <c r="C17" s="135" t="s">
        <v>26</v>
      </c>
      <c r="D17" s="136">
        <f>SUM(SUMIF(tieuphau!$G$7:$G$63,"Long",tieuphau!$H$7:$H$63),SUMIF(tieuphau!$I$7:$I$63,"Long",tieuphau!$J$7:$J$63))</f>
        <v>0</v>
      </c>
      <c r="E17" s="134"/>
    </row>
    <row r="18" spans="1:6" ht="17.25" customHeight="1">
      <c r="A18" s="134">
        <v>12</v>
      </c>
      <c r="B18" s="62" t="s">
        <v>45</v>
      </c>
      <c r="C18" s="55" t="s">
        <v>27</v>
      </c>
      <c r="D18" s="137">
        <f>tieuphau!J64/8</f>
        <v>274748.125</v>
      </c>
      <c r="E18" s="134"/>
    </row>
    <row r="19" spans="1:6" ht="19.5" customHeight="1">
      <c r="A19" s="134">
        <v>13</v>
      </c>
      <c r="B19" s="62" t="s">
        <v>65</v>
      </c>
      <c r="C19" s="55" t="s">
        <v>27</v>
      </c>
      <c r="D19" s="137">
        <f>D18</f>
        <v>274748.125</v>
      </c>
      <c r="E19" s="138"/>
    </row>
    <row r="20" spans="1:6" ht="16.5" customHeight="1">
      <c r="A20" s="134">
        <v>15</v>
      </c>
      <c r="B20" s="62" t="s">
        <v>82</v>
      </c>
      <c r="C20" s="55" t="s">
        <v>27</v>
      </c>
      <c r="D20" s="137">
        <f t="shared" ref="D20:D25" si="0">D19</f>
        <v>274748.125</v>
      </c>
      <c r="E20" s="134"/>
    </row>
    <row r="21" spans="1:6" ht="16.5">
      <c r="A21" s="134">
        <v>17</v>
      </c>
      <c r="B21" s="62" t="s">
        <v>46</v>
      </c>
      <c r="C21" s="55" t="s">
        <v>27</v>
      </c>
      <c r="D21" s="137">
        <f t="shared" si="0"/>
        <v>274748.125</v>
      </c>
      <c r="E21" s="134"/>
    </row>
    <row r="22" spans="1:6" ht="16.5" customHeight="1">
      <c r="A22" s="134">
        <v>18</v>
      </c>
      <c r="B22" s="62" t="s">
        <v>70</v>
      </c>
      <c r="C22" s="55" t="s">
        <v>27</v>
      </c>
      <c r="D22" s="137">
        <f t="shared" si="0"/>
        <v>274748.125</v>
      </c>
      <c r="E22" s="134"/>
    </row>
    <row r="23" spans="1:6" ht="16.5" customHeight="1">
      <c r="A23" s="134">
        <v>19</v>
      </c>
      <c r="B23" s="62" t="s">
        <v>114</v>
      </c>
      <c r="C23" s="55" t="s">
        <v>27</v>
      </c>
      <c r="D23" s="137">
        <f t="shared" si="0"/>
        <v>274748.125</v>
      </c>
      <c r="E23" s="134"/>
    </row>
    <row r="24" spans="1:6" ht="16.5" customHeight="1">
      <c r="A24" s="134">
        <v>20</v>
      </c>
      <c r="B24" s="62" t="s">
        <v>93</v>
      </c>
      <c r="C24" s="55" t="s">
        <v>27</v>
      </c>
      <c r="D24" s="137">
        <f t="shared" si="0"/>
        <v>274748.125</v>
      </c>
      <c r="E24" s="134"/>
    </row>
    <row r="25" spans="1:6" ht="16.5" customHeight="1">
      <c r="A25" s="134">
        <v>21</v>
      </c>
      <c r="B25" s="62" t="s">
        <v>73</v>
      </c>
      <c r="C25" s="55" t="s">
        <v>27</v>
      </c>
      <c r="D25" s="137">
        <f t="shared" si="0"/>
        <v>274748.125</v>
      </c>
      <c r="E25" s="134"/>
    </row>
    <row r="26" spans="1:6" ht="15.75">
      <c r="A26" s="134"/>
      <c r="B26" s="139" t="s">
        <v>28</v>
      </c>
      <c r="C26" s="139"/>
      <c r="D26" s="140">
        <f>SUM(D7:D25)</f>
        <v>9586350</v>
      </c>
      <c r="E26" s="139"/>
    </row>
    <row r="27" spans="1:6">
      <c r="D27" s="61"/>
      <c r="E27" s="104"/>
      <c r="F27" s="61"/>
    </row>
    <row r="28" spans="1:6" ht="15.75">
      <c r="A28" s="121"/>
      <c r="B28" s="121"/>
      <c r="C28" s="121"/>
      <c r="D28" s="480" t="s">
        <v>787</v>
      </c>
      <c r="E28" s="480"/>
    </row>
    <row r="29" spans="1:6" ht="15.75">
      <c r="A29" s="121" t="s">
        <v>20</v>
      </c>
      <c r="B29" s="121"/>
      <c r="C29" s="141"/>
      <c r="D29" s="447" t="s">
        <v>21</v>
      </c>
      <c r="E29" s="447"/>
    </row>
    <row r="30" spans="1:6">
      <c r="E30" s="61"/>
    </row>
    <row r="31" spans="1:6">
      <c r="D31" s="61"/>
      <c r="E31" s="61"/>
    </row>
    <row r="32" spans="1:6">
      <c r="D32" s="61"/>
    </row>
    <row r="33" spans="1:4">
      <c r="A33" s="481"/>
      <c r="B33" s="481"/>
      <c r="D33" s="61"/>
    </row>
  </sheetData>
  <mergeCells count="7">
    <mergeCell ref="A1:B1"/>
    <mergeCell ref="D28:E28"/>
    <mergeCell ref="A33:B33"/>
    <mergeCell ref="D29:E29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view="pageLayout" zoomScaleNormal="100" workbookViewId="0">
      <selection activeCell="D13" sqref="D13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482" t="s">
        <v>0</v>
      </c>
      <c r="B1" s="482"/>
      <c r="C1" s="482"/>
    </row>
    <row r="2" spans="1:8" ht="16.5">
      <c r="A2" s="483" t="s">
        <v>44</v>
      </c>
      <c r="B2" s="483"/>
      <c r="C2" s="483"/>
    </row>
    <row r="3" spans="1:8" ht="30" customHeight="1">
      <c r="A3" s="484" t="s">
        <v>788</v>
      </c>
      <c r="B3" s="484"/>
      <c r="C3" s="484"/>
      <c r="D3" s="484"/>
      <c r="E3" s="484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209">
        <v>1</v>
      </c>
      <c r="B7" s="9" t="s">
        <v>45</v>
      </c>
      <c r="C7" s="22" t="s">
        <v>27</v>
      </c>
      <c r="D7" s="23">
        <f>600000/8</f>
        <v>75000</v>
      </c>
      <c r="E7" s="32">
        <f>F7/19.5</f>
        <v>1</v>
      </c>
      <c r="F7" s="35">
        <v>19.5</v>
      </c>
      <c r="G7" s="24"/>
    </row>
    <row r="8" spans="1:8" ht="17.25" thickBot="1">
      <c r="A8" s="209">
        <v>2</v>
      </c>
      <c r="B8" s="9" t="s">
        <v>65</v>
      </c>
      <c r="C8" s="22" t="s">
        <v>27</v>
      </c>
      <c r="D8" s="23">
        <f t="shared" ref="D8:D14" si="0">600000/8</f>
        <v>75000</v>
      </c>
      <c r="E8" s="32">
        <f>F8/19.5</f>
        <v>1</v>
      </c>
      <c r="F8" s="35">
        <v>19.5</v>
      </c>
      <c r="H8" s="25"/>
    </row>
    <row r="9" spans="1:8" ht="21.75" customHeight="1" thickBot="1">
      <c r="A9" s="209">
        <v>3</v>
      </c>
      <c r="B9" s="79" t="s">
        <v>70</v>
      </c>
      <c r="C9" s="22" t="s">
        <v>27</v>
      </c>
      <c r="D9" s="23">
        <f t="shared" si="0"/>
        <v>75000</v>
      </c>
      <c r="E9" s="81"/>
      <c r="F9" s="35"/>
    </row>
    <row r="10" spans="1:8" ht="21.75" customHeight="1" thickBot="1">
      <c r="A10" s="209">
        <v>4</v>
      </c>
      <c r="B10" s="79" t="s">
        <v>73</v>
      </c>
      <c r="C10" s="22" t="s">
        <v>27</v>
      </c>
      <c r="D10" s="23">
        <f t="shared" si="0"/>
        <v>75000</v>
      </c>
      <c r="E10" s="81"/>
      <c r="F10" s="35"/>
    </row>
    <row r="11" spans="1:8" ht="21.75" customHeight="1" thickBot="1">
      <c r="A11" s="209">
        <v>5</v>
      </c>
      <c r="B11" s="79" t="s">
        <v>82</v>
      </c>
      <c r="C11" s="103" t="s">
        <v>27</v>
      </c>
      <c r="D11" s="23">
        <f t="shared" si="0"/>
        <v>75000</v>
      </c>
      <c r="E11" s="81"/>
      <c r="F11" s="35"/>
    </row>
    <row r="12" spans="1:8" ht="21.75" customHeight="1" thickBot="1">
      <c r="A12" s="209">
        <v>6</v>
      </c>
      <c r="B12" s="79" t="s">
        <v>93</v>
      </c>
      <c r="C12" s="103" t="s">
        <v>27</v>
      </c>
      <c r="D12" s="23">
        <f t="shared" si="0"/>
        <v>75000</v>
      </c>
      <c r="E12" s="81"/>
      <c r="F12" s="35"/>
    </row>
    <row r="13" spans="1:8" ht="21.75" customHeight="1" thickBot="1">
      <c r="A13" s="209">
        <v>7</v>
      </c>
      <c r="B13" s="79" t="s">
        <v>46</v>
      </c>
      <c r="C13" s="103" t="s">
        <v>27</v>
      </c>
      <c r="D13" s="23">
        <f t="shared" si="0"/>
        <v>75000</v>
      </c>
      <c r="E13" s="81"/>
      <c r="F13" s="35"/>
    </row>
    <row r="14" spans="1:8" ht="21.75" customHeight="1" thickBot="1">
      <c r="A14" s="210">
        <v>8</v>
      </c>
      <c r="B14" s="79" t="s">
        <v>114</v>
      </c>
      <c r="C14" s="103" t="s">
        <v>27</v>
      </c>
      <c r="D14" s="23">
        <f t="shared" si="0"/>
        <v>75000</v>
      </c>
      <c r="E14" s="81"/>
      <c r="F14" s="35"/>
    </row>
    <row r="15" spans="1:8" ht="17.25" thickBot="1">
      <c r="A15" s="26"/>
      <c r="B15" s="27" t="s">
        <v>28</v>
      </c>
      <c r="C15" s="28"/>
      <c r="D15" s="29">
        <f>SUM(D7:D14)</f>
        <v>600000</v>
      </c>
      <c r="E15" s="30"/>
      <c r="F15" s="36"/>
      <c r="G15" s="24"/>
    </row>
    <row r="16" spans="1:8" ht="26.25" customHeight="1">
      <c r="A16" s="58"/>
      <c r="B16" s="24"/>
    </row>
    <row r="17" spans="2:5">
      <c r="B17" s="24"/>
    </row>
    <row r="18" spans="2:5">
      <c r="D18" s="59" t="s">
        <v>129</v>
      </c>
    </row>
    <row r="19" spans="2:5">
      <c r="B19" s="14" t="s">
        <v>20</v>
      </c>
      <c r="D19" s="485" t="s">
        <v>21</v>
      </c>
      <c r="E19" s="485"/>
    </row>
    <row r="20" spans="2:5">
      <c r="E20" s="160"/>
    </row>
    <row r="22" spans="2:5">
      <c r="E22" s="25"/>
    </row>
    <row r="25" spans="2:5">
      <c r="D25" s="31"/>
    </row>
  </sheetData>
  <mergeCells count="4">
    <mergeCell ref="A1:C1"/>
    <mergeCell ref="A2:C2"/>
    <mergeCell ref="A3:E3"/>
    <mergeCell ref="D19:E19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7"/>
  <sheetViews>
    <sheetView zoomScaleNormal="100" workbookViewId="0">
      <selection activeCell="M48" sqref="M48"/>
    </sheetView>
  </sheetViews>
  <sheetFormatPr defaultColWidth="9.140625" defaultRowHeight="12.75"/>
  <cols>
    <col min="1" max="1" width="5" style="72" customWidth="1"/>
    <col min="2" max="2" width="24.7109375" style="72" customWidth="1"/>
    <col min="3" max="3" width="13.140625" style="71" customWidth="1"/>
    <col min="4" max="4" width="18.85546875" style="71" customWidth="1"/>
    <col min="5" max="5" width="12.5703125" style="169" customWidth="1"/>
    <col min="6" max="6" width="12.85546875" style="334" customWidth="1"/>
    <col min="7" max="7" width="12.5703125" style="172" customWidth="1"/>
    <col min="8" max="8" width="12.5703125" style="72" customWidth="1"/>
    <col min="9" max="9" width="11.140625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9" ht="16.5">
      <c r="A1" s="486" t="s">
        <v>0</v>
      </c>
      <c r="B1" s="486"/>
      <c r="C1" s="486"/>
      <c r="D1" s="193"/>
    </row>
    <row r="2" spans="1:9" ht="18" customHeight="1">
      <c r="A2" s="487" t="s">
        <v>75</v>
      </c>
      <c r="B2" s="487"/>
      <c r="C2" s="487"/>
      <c r="D2" s="194"/>
    </row>
    <row r="3" spans="1:9" s="179" customFormat="1" ht="26.25" customHeight="1">
      <c r="A3" s="491" t="s">
        <v>786</v>
      </c>
      <c r="B3" s="491"/>
      <c r="C3" s="491"/>
      <c r="D3" s="491"/>
      <c r="E3" s="491"/>
      <c r="F3" s="491"/>
      <c r="G3" s="491"/>
      <c r="H3" s="491"/>
    </row>
    <row r="4" spans="1:9" ht="20.25" customHeight="1">
      <c r="A4" s="492" t="s">
        <v>67</v>
      </c>
      <c r="B4" s="492"/>
      <c r="C4" s="492"/>
      <c r="D4" s="492"/>
      <c r="E4" s="492"/>
      <c r="F4" s="492"/>
      <c r="G4" s="492"/>
      <c r="H4" s="492"/>
    </row>
    <row r="5" spans="1:9" ht="5.25" customHeight="1">
      <c r="B5" s="74"/>
      <c r="C5" s="75"/>
      <c r="D5" s="75"/>
      <c r="H5" s="73"/>
    </row>
    <row r="6" spans="1:9" s="179" customFormat="1" ht="20.25" customHeight="1">
      <c r="A6" s="102" t="s">
        <v>2</v>
      </c>
      <c r="B6" s="102" t="s">
        <v>13</v>
      </c>
      <c r="C6" s="125" t="s">
        <v>85</v>
      </c>
      <c r="D6" s="125" t="s">
        <v>116</v>
      </c>
      <c r="E6" s="170" t="s">
        <v>14</v>
      </c>
      <c r="F6" s="333" t="s">
        <v>90</v>
      </c>
      <c r="G6" s="170" t="s">
        <v>51</v>
      </c>
      <c r="H6" s="125" t="s">
        <v>15</v>
      </c>
    </row>
    <row r="7" spans="1:9" s="179" customFormat="1" ht="20.25" customHeight="1">
      <c r="A7" s="113">
        <v>1</v>
      </c>
      <c r="B7" s="225" t="s">
        <v>23</v>
      </c>
      <c r="C7" s="226" t="s">
        <v>26</v>
      </c>
      <c r="D7" s="221">
        <v>102006610216</v>
      </c>
      <c r="E7" s="227">
        <f>'lanh tien tphau'!D7+'lanh tien PT'!D7+1</f>
        <v>2883378</v>
      </c>
      <c r="F7" s="228">
        <f>E7-G7</f>
        <v>288337.79999999981</v>
      </c>
      <c r="G7" s="173">
        <f>E7*0.9</f>
        <v>2595040.2000000002</v>
      </c>
      <c r="H7" s="225"/>
    </row>
    <row r="8" spans="1:9" s="179" customFormat="1" ht="20.25" customHeight="1">
      <c r="A8" s="113">
        <v>2</v>
      </c>
      <c r="B8" s="225" t="s">
        <v>18</v>
      </c>
      <c r="C8" s="226" t="s">
        <v>26</v>
      </c>
      <c r="D8" s="221">
        <v>103006610215</v>
      </c>
      <c r="E8" s="227">
        <f>'lanh tien tphau'!D8+'lanh tien PT'!D8</f>
        <v>4152870.75</v>
      </c>
      <c r="F8" s="228">
        <f t="shared" ref="F8:F28" si="0">E8-G8</f>
        <v>415287.07499999972</v>
      </c>
      <c r="G8" s="173">
        <f>E8*0.9</f>
        <v>3737583.6750000003</v>
      </c>
      <c r="H8" s="225"/>
    </row>
    <row r="9" spans="1:9" s="179" customFormat="1" ht="20.25" customHeight="1">
      <c r="A9" s="113">
        <v>3</v>
      </c>
      <c r="B9" s="225" t="s">
        <v>17</v>
      </c>
      <c r="C9" s="226" t="s">
        <v>26</v>
      </c>
      <c r="D9" s="221">
        <v>100006610218</v>
      </c>
      <c r="E9" s="227">
        <f>'lanh tien tphau'!D9+'lanh tien PT'!D9+'Bác sĩ điều trị'!D9</f>
        <v>0</v>
      </c>
      <c r="F9" s="228">
        <f t="shared" si="0"/>
        <v>0</v>
      </c>
      <c r="G9" s="173">
        <f>E9</f>
        <v>0</v>
      </c>
      <c r="H9" s="225"/>
      <c r="I9" s="222"/>
    </row>
    <row r="10" spans="1:9" s="179" customFormat="1" ht="20.25" customHeight="1">
      <c r="A10" s="113">
        <v>4</v>
      </c>
      <c r="B10" s="225" t="s">
        <v>19</v>
      </c>
      <c r="C10" s="226" t="s">
        <v>26</v>
      </c>
      <c r="D10" s="221">
        <v>100006610162</v>
      </c>
      <c r="E10" s="227">
        <f>'lanh tien tphau'!D10</f>
        <v>680000</v>
      </c>
      <c r="F10" s="228">
        <f t="shared" si="0"/>
        <v>0</v>
      </c>
      <c r="G10" s="173">
        <f>E10</f>
        <v>680000</v>
      </c>
      <c r="H10" s="113"/>
    </row>
    <row r="11" spans="1:9" s="179" customFormat="1" ht="20.25" customHeight="1">
      <c r="A11" s="113">
        <v>5</v>
      </c>
      <c r="B11" s="225" t="s">
        <v>74</v>
      </c>
      <c r="C11" s="226" t="s">
        <v>66</v>
      </c>
      <c r="D11" s="221">
        <v>105001159195</v>
      </c>
      <c r="E11" s="227">
        <f>'lanh tien tphau'!D11+'lanh tien PT'!D10+'Bác sĩ điều trị'!D11</f>
        <v>9643638.75</v>
      </c>
      <c r="F11" s="228">
        <f t="shared" si="0"/>
        <v>0</v>
      </c>
      <c r="G11" s="173">
        <f>E11</f>
        <v>9643638.75</v>
      </c>
      <c r="H11" s="225"/>
    </row>
    <row r="12" spans="1:9" s="179" customFormat="1" ht="20.25" customHeight="1">
      <c r="A12" s="113">
        <v>6</v>
      </c>
      <c r="B12" s="225" t="s">
        <v>94</v>
      </c>
      <c r="C12" s="226" t="s">
        <v>66</v>
      </c>
      <c r="D12" s="221">
        <v>105867664283</v>
      </c>
      <c r="E12" s="227">
        <f>'lanh tien PT'!D11+'lanh tien tphau'!D14+'Bác sĩ điều trị'!D15+'Lãnh tiền PTYC'!E17</f>
        <v>13736429.75</v>
      </c>
      <c r="F12" s="228">
        <f t="shared" si="0"/>
        <v>1373642.9749999996</v>
      </c>
      <c r="G12" s="173">
        <f>E12*0.9</f>
        <v>12362786.775</v>
      </c>
      <c r="H12" s="385"/>
    </row>
    <row r="13" spans="1:9" s="179" customFormat="1" ht="20.25" customHeight="1">
      <c r="A13" s="113">
        <v>7</v>
      </c>
      <c r="B13" s="225" t="s">
        <v>72</v>
      </c>
      <c r="C13" s="226" t="s">
        <v>66</v>
      </c>
      <c r="D13" s="221">
        <v>105001225232</v>
      </c>
      <c r="E13" s="227">
        <f>'lanh tien PT'!D12+'Bác sĩ điều trị'!D13+'lanh tien tphau'!D15</f>
        <v>9835529.5</v>
      </c>
      <c r="F13" s="228">
        <f t="shared" si="0"/>
        <v>983552.94999999925</v>
      </c>
      <c r="G13" s="173">
        <f>E13*0.9</f>
        <v>8851976.5500000007</v>
      </c>
      <c r="H13" s="385"/>
    </row>
    <row r="14" spans="1:9" s="179" customFormat="1" ht="20.25" customHeight="1">
      <c r="A14" s="113">
        <v>8</v>
      </c>
      <c r="B14" s="225" t="s">
        <v>113</v>
      </c>
      <c r="C14" s="226" t="s">
        <v>66</v>
      </c>
      <c r="D14" s="221">
        <v>107868829237</v>
      </c>
      <c r="E14" s="227">
        <f>'lanh tien tphau'!D13+'lanh tien PT'!D13+'Bác sĩ điều trị'!D16</f>
        <v>7594953.75</v>
      </c>
      <c r="F14" s="228">
        <f t="shared" si="0"/>
        <v>0</v>
      </c>
      <c r="G14" s="173">
        <f t="shared" ref="G14:G29" si="1">E14</f>
        <v>7594953.75</v>
      </c>
      <c r="H14" s="385"/>
    </row>
    <row r="15" spans="1:9" s="179" customFormat="1" ht="20.25" customHeight="1">
      <c r="A15" s="113">
        <v>9</v>
      </c>
      <c r="B15" s="225" t="s">
        <v>84</v>
      </c>
      <c r="C15" s="226" t="s">
        <v>66</v>
      </c>
      <c r="D15" s="320" t="s">
        <v>128</v>
      </c>
      <c r="E15" s="227">
        <f>'lanh tien tphau'!D12+'lanh tien PT'!D14+'Bác sĩ điều trị'!D14</f>
        <v>6272108.25</v>
      </c>
      <c r="F15" s="228">
        <f t="shared" si="0"/>
        <v>0</v>
      </c>
      <c r="G15" s="173">
        <f t="shared" si="1"/>
        <v>6272108.25</v>
      </c>
      <c r="H15" s="385"/>
    </row>
    <row r="16" spans="1:9" s="179" customFormat="1" ht="20.25" customHeight="1">
      <c r="A16" s="113">
        <v>10</v>
      </c>
      <c r="B16" s="225" t="s">
        <v>68</v>
      </c>
      <c r="C16" s="226" t="s">
        <v>66</v>
      </c>
      <c r="D16" s="320" t="s">
        <v>169</v>
      </c>
      <c r="E16" s="227">
        <f>'lanh tien tphau'!D16+'lanh tien PT'!D15</f>
        <v>0</v>
      </c>
      <c r="F16" s="228">
        <f t="shared" si="0"/>
        <v>0</v>
      </c>
      <c r="G16" s="173">
        <f>E16*0.9</f>
        <v>0</v>
      </c>
      <c r="H16" s="385"/>
    </row>
    <row r="17" spans="1:13" s="179" customFormat="1" ht="20.25" customHeight="1">
      <c r="A17" s="113">
        <v>11</v>
      </c>
      <c r="B17" s="225" t="s">
        <v>131</v>
      </c>
      <c r="C17" s="226" t="s">
        <v>66</v>
      </c>
      <c r="D17" s="320" t="s">
        <v>134</v>
      </c>
      <c r="E17" s="227">
        <f>'lanh tien PT'!D16</f>
        <v>4184653</v>
      </c>
      <c r="F17" s="228">
        <f t="shared" si="0"/>
        <v>0</v>
      </c>
      <c r="G17" s="173">
        <f t="shared" si="1"/>
        <v>4184653</v>
      </c>
      <c r="H17" s="385"/>
    </row>
    <row r="18" spans="1:13" s="179" customFormat="1" ht="20.25" customHeight="1">
      <c r="A18" s="113">
        <v>12</v>
      </c>
      <c r="B18" s="229" t="s">
        <v>132</v>
      </c>
      <c r="C18" s="384" t="s">
        <v>26</v>
      </c>
      <c r="D18" s="320" t="s">
        <v>263</v>
      </c>
      <c r="E18" s="227">
        <f>'lanh tien PT'!D17+'Bác sĩ điều trị'!D17</f>
        <v>3610245</v>
      </c>
      <c r="F18" s="228">
        <f t="shared" si="0"/>
        <v>361024.5</v>
      </c>
      <c r="G18" s="173">
        <f>E18*0.9</f>
        <v>3249220.5</v>
      </c>
      <c r="H18" s="385"/>
    </row>
    <row r="19" spans="1:13" s="179" customFormat="1" ht="20.25" customHeight="1">
      <c r="A19" s="113">
        <v>13</v>
      </c>
      <c r="B19" s="229" t="s">
        <v>135</v>
      </c>
      <c r="C19" s="384" t="s">
        <v>60</v>
      </c>
      <c r="D19" s="221">
        <v>102881115539</v>
      </c>
      <c r="E19" s="227">
        <f>'lanh tien PT'!D18</f>
        <v>1356722</v>
      </c>
      <c r="F19" s="228">
        <f t="shared" si="0"/>
        <v>0</v>
      </c>
      <c r="G19" s="173">
        <f t="shared" si="1"/>
        <v>1356722</v>
      </c>
      <c r="H19" s="385"/>
    </row>
    <row r="20" spans="1:13" s="179" customFormat="1" ht="20.25" customHeight="1">
      <c r="A20" s="113">
        <v>14</v>
      </c>
      <c r="B20" s="229" t="s">
        <v>136</v>
      </c>
      <c r="C20" s="384" t="s">
        <v>60</v>
      </c>
      <c r="D20" s="195">
        <v>101881130087</v>
      </c>
      <c r="E20" s="227">
        <f>'lanh tien PT'!D19</f>
        <v>1558429</v>
      </c>
      <c r="F20" s="228">
        <f t="shared" si="0"/>
        <v>0</v>
      </c>
      <c r="G20" s="173">
        <f t="shared" si="1"/>
        <v>1558429</v>
      </c>
      <c r="H20" s="385"/>
    </row>
    <row r="21" spans="1:13" s="179" customFormat="1" ht="20.25" customHeight="1">
      <c r="A21" s="113">
        <v>15</v>
      </c>
      <c r="B21" s="229" t="s">
        <v>137</v>
      </c>
      <c r="C21" s="384" t="s">
        <v>60</v>
      </c>
      <c r="D21" s="195">
        <v>106881106486</v>
      </c>
      <c r="E21" s="227">
        <f>'lanh tien PT'!D20</f>
        <v>1522623</v>
      </c>
      <c r="F21" s="228">
        <f t="shared" si="0"/>
        <v>0</v>
      </c>
      <c r="G21" s="173">
        <f t="shared" si="1"/>
        <v>1522623</v>
      </c>
      <c r="H21" s="385"/>
    </row>
    <row r="22" spans="1:13" s="179" customFormat="1" ht="20.25" customHeight="1">
      <c r="A22" s="113">
        <v>16</v>
      </c>
      <c r="B22" s="229" t="s">
        <v>138</v>
      </c>
      <c r="C22" s="384" t="s">
        <v>60</v>
      </c>
      <c r="D22" s="195">
        <v>108881113738</v>
      </c>
      <c r="E22" s="227">
        <f>'lanh tien PT'!D21</f>
        <v>1699823</v>
      </c>
      <c r="F22" s="228">
        <f t="shared" si="0"/>
        <v>0</v>
      </c>
      <c r="G22" s="173">
        <f t="shared" si="1"/>
        <v>1699823</v>
      </c>
      <c r="H22" s="385"/>
    </row>
    <row r="23" spans="1:13" s="179" customFormat="1" ht="20.25" customHeight="1">
      <c r="A23" s="113">
        <v>17</v>
      </c>
      <c r="B23" s="229" t="s">
        <v>139</v>
      </c>
      <c r="C23" s="384" t="s">
        <v>60</v>
      </c>
      <c r="D23" s="195">
        <v>105881179249</v>
      </c>
      <c r="E23" s="227">
        <f>'lanh tien PT'!D22</f>
        <v>1531328.5</v>
      </c>
      <c r="F23" s="228">
        <f t="shared" si="0"/>
        <v>0</v>
      </c>
      <c r="G23" s="173">
        <f t="shared" si="1"/>
        <v>1531328.5</v>
      </c>
      <c r="H23" s="385"/>
    </row>
    <row r="24" spans="1:13" s="179" customFormat="1" ht="20.25" customHeight="1">
      <c r="A24" s="113">
        <v>18</v>
      </c>
      <c r="B24" s="229" t="s">
        <v>140</v>
      </c>
      <c r="C24" s="384" t="s">
        <v>60</v>
      </c>
      <c r="D24" s="195">
        <v>101881053043</v>
      </c>
      <c r="E24" s="227">
        <f>'lanh tien PT'!D23</f>
        <v>704481</v>
      </c>
      <c r="F24" s="228">
        <f t="shared" si="0"/>
        <v>0</v>
      </c>
      <c r="G24" s="173">
        <f t="shared" si="1"/>
        <v>704481</v>
      </c>
      <c r="H24" s="385"/>
    </row>
    <row r="25" spans="1:13" s="179" customFormat="1" ht="20.25" customHeight="1">
      <c r="A25" s="113">
        <v>19</v>
      </c>
      <c r="B25" s="229" t="s">
        <v>354</v>
      </c>
      <c r="C25" s="384" t="s">
        <v>60</v>
      </c>
      <c r="D25" s="382">
        <v>109883164818</v>
      </c>
      <c r="E25" s="227">
        <f>'lanh tien PT'!D24</f>
        <v>239961</v>
      </c>
      <c r="F25" s="228">
        <f t="shared" si="0"/>
        <v>0</v>
      </c>
      <c r="G25" s="173">
        <f t="shared" si="1"/>
        <v>239961</v>
      </c>
      <c r="H25" s="385"/>
    </row>
    <row r="26" spans="1:13" s="179" customFormat="1" ht="20.25" customHeight="1">
      <c r="A26" s="113">
        <v>20</v>
      </c>
      <c r="B26" s="229" t="s">
        <v>355</v>
      </c>
      <c r="C26" s="384" t="s">
        <v>60</v>
      </c>
      <c r="D26" s="407"/>
      <c r="E26" s="227">
        <f>'lanh tien PT'!D25</f>
        <v>358409</v>
      </c>
      <c r="F26" s="228">
        <f t="shared" si="0"/>
        <v>0</v>
      </c>
      <c r="G26" s="173">
        <f t="shared" si="1"/>
        <v>358409</v>
      </c>
      <c r="H26" s="493" t="s">
        <v>790</v>
      </c>
    </row>
    <row r="27" spans="1:13" s="179" customFormat="1" ht="20.25" customHeight="1">
      <c r="A27" s="113">
        <v>21</v>
      </c>
      <c r="B27" s="229" t="s">
        <v>356</v>
      </c>
      <c r="C27" s="384" t="s">
        <v>60</v>
      </c>
      <c r="D27" s="407"/>
      <c r="E27" s="227">
        <f>'lanh tien PT'!D26</f>
        <v>337791</v>
      </c>
      <c r="F27" s="228">
        <f t="shared" si="0"/>
        <v>0</v>
      </c>
      <c r="G27" s="173">
        <f t="shared" si="1"/>
        <v>337791</v>
      </c>
      <c r="H27" s="494"/>
    </row>
    <row r="28" spans="1:13" s="179" customFormat="1" ht="20.25" customHeight="1">
      <c r="A28" s="113">
        <v>22</v>
      </c>
      <c r="B28" s="229" t="s">
        <v>357</v>
      </c>
      <c r="C28" s="384" t="s">
        <v>60</v>
      </c>
      <c r="D28" s="407"/>
      <c r="E28" s="227">
        <f>'lanh tien PT'!D27</f>
        <v>388432</v>
      </c>
      <c r="F28" s="228">
        <f t="shared" si="0"/>
        <v>0</v>
      </c>
      <c r="G28" s="173">
        <f t="shared" si="1"/>
        <v>388432</v>
      </c>
      <c r="H28" s="495"/>
    </row>
    <row r="29" spans="1:13" s="179" customFormat="1" ht="20.25" customHeight="1">
      <c r="A29" s="113">
        <v>23</v>
      </c>
      <c r="B29" s="225" t="s">
        <v>45</v>
      </c>
      <c r="C29" s="226" t="s">
        <v>27</v>
      </c>
      <c r="D29" s="221">
        <v>106006773860</v>
      </c>
      <c r="E29" s="227">
        <f>'lanh tien PT1'!D20</f>
        <v>3177216.4210526315</v>
      </c>
      <c r="F29" s="228" t="s">
        <v>56</v>
      </c>
      <c r="G29" s="173">
        <f t="shared" si="1"/>
        <v>3177216.4210526315</v>
      </c>
      <c r="H29" s="225"/>
      <c r="M29" s="223"/>
    </row>
    <row r="30" spans="1:13" s="179" customFormat="1" ht="20.25" customHeight="1">
      <c r="A30" s="113">
        <v>24</v>
      </c>
      <c r="B30" s="225" t="s">
        <v>65</v>
      </c>
      <c r="C30" s="226" t="s">
        <v>27</v>
      </c>
      <c r="D30" s="221">
        <v>105866700129</v>
      </c>
      <c r="E30" s="227">
        <f>'lanh tien PT1'!D21</f>
        <v>3177216.4210526315</v>
      </c>
      <c r="F30" s="228" t="s">
        <v>56</v>
      </c>
      <c r="G30" s="173">
        <f t="shared" ref="G30:G39" si="2">E30</f>
        <v>3177216.4210526315</v>
      </c>
      <c r="H30" s="225"/>
    </row>
    <row r="31" spans="1:13" s="179" customFormat="1" ht="20.25" customHeight="1">
      <c r="A31" s="113">
        <v>25</v>
      </c>
      <c r="B31" s="225" t="s">
        <v>82</v>
      </c>
      <c r="C31" s="226" t="s">
        <v>27</v>
      </c>
      <c r="D31" s="221" t="s">
        <v>117</v>
      </c>
      <c r="E31" s="227">
        <f>'lanh tien PT1'!D23</f>
        <v>3177216.4210526315</v>
      </c>
      <c r="F31" s="228" t="s">
        <v>56</v>
      </c>
      <c r="G31" s="173">
        <f t="shared" ref="G31:G38" si="3">E31</f>
        <v>3177216.4210526315</v>
      </c>
      <c r="H31" s="225"/>
    </row>
    <row r="32" spans="1:13" s="179" customFormat="1" ht="20.25" customHeight="1">
      <c r="A32" s="113">
        <v>26</v>
      </c>
      <c r="B32" s="225" t="s">
        <v>46</v>
      </c>
      <c r="C32" s="226" t="s">
        <v>27</v>
      </c>
      <c r="D32" s="221">
        <v>106002699376</v>
      </c>
      <c r="E32" s="227">
        <f>'lanh tien PT1'!D24+'Bác sĩ điều trị'!D18</f>
        <v>5377216.421052631</v>
      </c>
      <c r="F32" s="228" t="s">
        <v>56</v>
      </c>
      <c r="G32" s="173">
        <f t="shared" si="3"/>
        <v>5377216.421052631</v>
      </c>
      <c r="H32" s="225"/>
    </row>
    <row r="33" spans="1:12" s="179" customFormat="1" ht="20.25" customHeight="1">
      <c r="A33" s="113">
        <v>27</v>
      </c>
      <c r="B33" s="225" t="s">
        <v>70</v>
      </c>
      <c r="C33" s="226" t="s">
        <v>27</v>
      </c>
      <c r="D33" s="221" t="s">
        <v>118</v>
      </c>
      <c r="E33" s="227">
        <f>'lanh tien PT1'!D22</f>
        <v>3177216.4210526315</v>
      </c>
      <c r="F33" s="228" t="s">
        <v>56</v>
      </c>
      <c r="G33" s="173">
        <f t="shared" si="3"/>
        <v>3177216.4210526315</v>
      </c>
      <c r="H33" s="225"/>
    </row>
    <row r="34" spans="1:12" s="179" customFormat="1" ht="20.25" customHeight="1">
      <c r="A34" s="113">
        <v>28</v>
      </c>
      <c r="B34" s="225" t="s">
        <v>114</v>
      </c>
      <c r="C34" s="226" t="s">
        <v>27</v>
      </c>
      <c r="D34" s="221">
        <v>102877256973</v>
      </c>
      <c r="E34" s="227">
        <f>'lanh tien PT1'!D25</f>
        <v>3177216.4210526315</v>
      </c>
      <c r="F34" s="228" t="s">
        <v>56</v>
      </c>
      <c r="G34" s="173">
        <f t="shared" si="3"/>
        <v>3177216.4210526315</v>
      </c>
      <c r="H34" s="225"/>
    </row>
    <row r="35" spans="1:12" s="179" customFormat="1" ht="20.25" customHeight="1">
      <c r="A35" s="113">
        <v>29</v>
      </c>
      <c r="B35" s="225" t="s">
        <v>93</v>
      </c>
      <c r="C35" s="226" t="s">
        <v>27</v>
      </c>
      <c r="D35" s="221">
        <v>108872473096</v>
      </c>
      <c r="E35" s="227">
        <f>'lanh tien PT1'!D26</f>
        <v>3177216.4210526315</v>
      </c>
      <c r="F35" s="228" t="s">
        <v>56</v>
      </c>
      <c r="G35" s="173">
        <f t="shared" si="3"/>
        <v>3177216.4210526315</v>
      </c>
      <c r="H35" s="225"/>
    </row>
    <row r="36" spans="1:12" s="179" customFormat="1" ht="20.25" customHeight="1">
      <c r="A36" s="113">
        <v>30</v>
      </c>
      <c r="B36" s="225" t="s">
        <v>73</v>
      </c>
      <c r="C36" s="226" t="s">
        <v>27</v>
      </c>
      <c r="D36" s="221">
        <v>109869939394</v>
      </c>
      <c r="E36" s="227">
        <f>'lanh tien PT1'!D27</f>
        <v>3177216.4210526315</v>
      </c>
      <c r="F36" s="228" t="s">
        <v>56</v>
      </c>
      <c r="G36" s="173">
        <f t="shared" si="3"/>
        <v>3177216.4210526315</v>
      </c>
      <c r="H36" s="225"/>
    </row>
    <row r="37" spans="1:12" s="179" customFormat="1" ht="20.25" customHeight="1">
      <c r="A37" s="113">
        <v>31</v>
      </c>
      <c r="B37" s="381" t="s">
        <v>264</v>
      </c>
      <c r="C37" s="226" t="s">
        <v>27</v>
      </c>
      <c r="D37" s="383" t="s">
        <v>267</v>
      </c>
      <c r="E37" s="227">
        <f>'lanh tien PT1'!D28</f>
        <v>1592391.2105263157</v>
      </c>
      <c r="F37" s="228" t="s">
        <v>56</v>
      </c>
      <c r="G37" s="173">
        <f t="shared" si="3"/>
        <v>1592391.2105263157</v>
      </c>
      <c r="H37" s="225"/>
    </row>
    <row r="38" spans="1:12" s="179" customFormat="1" ht="20.25" customHeight="1">
      <c r="A38" s="113">
        <v>32</v>
      </c>
      <c r="B38" s="381" t="s">
        <v>265</v>
      </c>
      <c r="C38" s="226" t="s">
        <v>27</v>
      </c>
      <c r="D38" s="383" t="s">
        <v>268</v>
      </c>
      <c r="E38" s="227">
        <f>'lanh tien PT1'!D29</f>
        <v>1592391.2105263157</v>
      </c>
      <c r="F38" s="228" t="s">
        <v>56</v>
      </c>
      <c r="G38" s="173">
        <f t="shared" si="3"/>
        <v>1592391.2105263157</v>
      </c>
      <c r="H38" s="225"/>
    </row>
    <row r="39" spans="1:12" s="179" customFormat="1" ht="20.25" customHeight="1">
      <c r="A39" s="113">
        <v>33</v>
      </c>
      <c r="B39" s="225" t="s">
        <v>55</v>
      </c>
      <c r="C39" s="226" t="s">
        <v>91</v>
      </c>
      <c r="D39" s="221">
        <v>108002699374</v>
      </c>
      <c r="E39" s="227">
        <f>'lanh tien PT1'!D30</f>
        <v>1592391.2105263157</v>
      </c>
      <c r="F39" s="228" t="s">
        <v>56</v>
      </c>
      <c r="G39" s="173">
        <f t="shared" si="2"/>
        <v>1592391.2105263157</v>
      </c>
      <c r="H39" s="225"/>
    </row>
    <row r="40" spans="1:12" s="179" customFormat="1" ht="20.25" customHeight="1">
      <c r="A40" s="225"/>
      <c r="B40" s="230" t="s">
        <v>28</v>
      </c>
      <c r="C40" s="231"/>
      <c r="D40" s="231"/>
      <c r="E40" s="227">
        <f>SUM(E7:E39)</f>
        <v>104686711.25000003</v>
      </c>
      <c r="F40" s="228">
        <f>SUM(F7:F39)</f>
        <v>3421845.2999999984</v>
      </c>
      <c r="G40" s="227">
        <f>SUM(G7:G39)</f>
        <v>101264865.95000003</v>
      </c>
      <c r="H40" s="386"/>
      <c r="J40" s="224"/>
    </row>
    <row r="41" spans="1:12">
      <c r="B41" s="77"/>
      <c r="L41" s="78"/>
    </row>
    <row r="42" spans="1:12" ht="16.5" customHeight="1">
      <c r="B42" s="77"/>
      <c r="F42" s="489" t="s">
        <v>787</v>
      </c>
      <c r="G42" s="489"/>
      <c r="H42" s="489"/>
      <c r="I42" s="489"/>
      <c r="L42" s="78"/>
    </row>
    <row r="43" spans="1:12" ht="18.75">
      <c r="A43" s="488" t="s">
        <v>20</v>
      </c>
      <c r="B43" s="488"/>
      <c r="C43" s="75"/>
      <c r="D43" s="75"/>
      <c r="E43" s="258"/>
      <c r="F43" s="490" t="s">
        <v>21</v>
      </c>
      <c r="G43" s="490"/>
      <c r="H43" s="490"/>
    </row>
    <row r="44" spans="1:12" ht="18.75">
      <c r="A44" s="74"/>
      <c r="B44" s="74"/>
      <c r="C44" s="75"/>
      <c r="D44" s="75"/>
      <c r="E44" s="258"/>
      <c r="F44" s="335"/>
      <c r="G44" s="259"/>
      <c r="H44" s="74"/>
    </row>
    <row r="45" spans="1:12" ht="18.75">
      <c r="A45" s="74"/>
      <c r="B45" s="74"/>
      <c r="C45" s="75"/>
      <c r="D45" s="75"/>
      <c r="E45" s="258"/>
      <c r="F45" s="335"/>
      <c r="G45" s="260"/>
      <c r="H45" s="74"/>
    </row>
    <row r="46" spans="1:12" ht="18.75">
      <c r="A46" s="74"/>
      <c r="B46" s="74"/>
      <c r="C46" s="75"/>
      <c r="D46" s="75"/>
      <c r="E46" s="258"/>
      <c r="F46" s="335"/>
      <c r="G46" s="259"/>
      <c r="H46" s="74"/>
    </row>
    <row r="47" spans="1:12" ht="18.75">
      <c r="A47" s="488" t="s">
        <v>96</v>
      </c>
      <c r="B47" s="488"/>
      <c r="C47" s="75"/>
      <c r="D47" s="75"/>
      <c r="E47" s="258"/>
      <c r="F47" s="488" t="s">
        <v>792</v>
      </c>
      <c r="G47" s="488"/>
      <c r="H47" s="488"/>
    </row>
  </sheetData>
  <mergeCells count="10">
    <mergeCell ref="A1:C1"/>
    <mergeCell ref="A2:C2"/>
    <mergeCell ref="F47:H47"/>
    <mergeCell ref="A43:B43"/>
    <mergeCell ref="F42:I42"/>
    <mergeCell ref="F43:H43"/>
    <mergeCell ref="A3:H3"/>
    <mergeCell ref="A4:H4"/>
    <mergeCell ref="A47:B47"/>
    <mergeCell ref="H26:H28"/>
  </mergeCells>
  <pageMargins left="0.39370078740157483" right="0.27559055118110237" top="0.39370078740157483" bottom="0.19685039370078741" header="0.31496062992125984" footer="0.25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5"/>
  <sheetViews>
    <sheetView topLeftCell="A24" zoomScaleNormal="100" workbookViewId="0">
      <selection activeCell="F40" sqref="F40:H40"/>
    </sheetView>
  </sheetViews>
  <sheetFormatPr defaultColWidth="9.140625" defaultRowHeight="12.75"/>
  <cols>
    <col min="1" max="1" width="5" style="72" customWidth="1"/>
    <col min="2" max="2" width="23.28515625" style="72" customWidth="1"/>
    <col min="3" max="3" width="11.140625" style="71" customWidth="1"/>
    <col min="4" max="4" width="14.5703125" style="211" customWidth="1"/>
    <col min="5" max="5" width="12" style="334" customWidth="1"/>
    <col min="6" max="6" width="11.42578125" style="169" customWidth="1"/>
    <col min="7" max="7" width="12.5703125" style="172" customWidth="1"/>
    <col min="8" max="8" width="12" style="72" customWidth="1"/>
    <col min="9" max="16384" width="9.140625" style="72"/>
  </cols>
  <sheetData>
    <row r="1" spans="1:8" ht="16.5">
      <c r="A1" s="486" t="s">
        <v>0</v>
      </c>
      <c r="B1" s="486"/>
      <c r="C1" s="486"/>
      <c r="D1" s="193"/>
    </row>
    <row r="2" spans="1:8" ht="18" customHeight="1">
      <c r="A2" s="487" t="s">
        <v>75</v>
      </c>
      <c r="B2" s="487"/>
      <c r="C2" s="487"/>
      <c r="D2" s="194"/>
    </row>
    <row r="3" spans="1:8" ht="26.25" customHeight="1">
      <c r="A3" s="488" t="s">
        <v>786</v>
      </c>
      <c r="B3" s="488"/>
      <c r="C3" s="488"/>
      <c r="D3" s="488"/>
      <c r="E3" s="488"/>
      <c r="F3" s="488"/>
      <c r="G3" s="488"/>
      <c r="H3" s="488"/>
    </row>
    <row r="4" spans="1:8" ht="20.25" customHeight="1">
      <c r="A4" s="492" t="s">
        <v>67</v>
      </c>
      <c r="B4" s="492"/>
      <c r="C4" s="492"/>
      <c r="D4" s="492"/>
      <c r="E4" s="492"/>
      <c r="F4" s="492"/>
      <c r="G4" s="492"/>
      <c r="H4" s="492"/>
    </row>
    <row r="5" spans="1:8" ht="20.25">
      <c r="B5" s="74"/>
      <c r="C5" s="75"/>
      <c r="D5" s="343"/>
      <c r="H5" s="73"/>
    </row>
    <row r="6" spans="1:8" s="235" customFormat="1" ht="24.75" customHeight="1">
      <c r="A6" s="232" t="s">
        <v>2</v>
      </c>
      <c r="B6" s="232" t="s">
        <v>13</v>
      </c>
      <c r="C6" s="233" t="s">
        <v>85</v>
      </c>
      <c r="D6" s="233" t="s">
        <v>116</v>
      </c>
      <c r="E6" s="233" t="s">
        <v>14</v>
      </c>
      <c r="F6" s="171" t="s">
        <v>90</v>
      </c>
      <c r="G6" s="234" t="s">
        <v>51</v>
      </c>
      <c r="H6" s="233" t="s">
        <v>15</v>
      </c>
    </row>
    <row r="7" spans="1:8" s="179" customFormat="1" ht="24.75" customHeight="1">
      <c r="A7" s="113">
        <v>1</v>
      </c>
      <c r="B7" s="225" t="s">
        <v>23</v>
      </c>
      <c r="C7" s="226" t="s">
        <v>26</v>
      </c>
      <c r="D7" s="221">
        <v>102006610216</v>
      </c>
      <c r="E7" s="228">
        <f>'lanh tien tphau'!D7+'lanh tien PT'!D7</f>
        <v>2883377</v>
      </c>
      <c r="F7" s="228">
        <f>E7-G7</f>
        <v>288337.69999999972</v>
      </c>
      <c r="G7" s="173">
        <f>E7*0.9</f>
        <v>2595039.3000000003</v>
      </c>
      <c r="H7" s="225"/>
    </row>
    <row r="8" spans="1:8" s="331" customFormat="1" ht="24.75" customHeight="1">
      <c r="A8" s="113">
        <v>2</v>
      </c>
      <c r="B8" s="332" t="s">
        <v>18</v>
      </c>
      <c r="C8" s="226" t="s">
        <v>26</v>
      </c>
      <c r="D8" s="221">
        <v>103006610215</v>
      </c>
      <c r="E8" s="228">
        <f>'lanh tien tphau'!D8+'lanh tien PT'!D8</f>
        <v>4152870.75</v>
      </c>
      <c r="F8" s="228">
        <f t="shared" ref="F8:F18" si="0">E8-G8</f>
        <v>415287.07499999972</v>
      </c>
      <c r="G8" s="330">
        <f>E8*0.9</f>
        <v>3737583.6750000003</v>
      </c>
      <c r="H8" s="113"/>
    </row>
    <row r="9" spans="1:8" s="179" customFormat="1" ht="24.75" customHeight="1">
      <c r="A9" s="113">
        <v>3</v>
      </c>
      <c r="B9" s="225" t="s">
        <v>17</v>
      </c>
      <c r="C9" s="226" t="s">
        <v>26</v>
      </c>
      <c r="D9" s="221">
        <v>100006610218</v>
      </c>
      <c r="E9" s="228">
        <f>'lanh tien tphau'!D9+'lanh tien PT'!D9+'Bác sĩ điều trị'!D9</f>
        <v>0</v>
      </c>
      <c r="F9" s="228">
        <f t="shared" si="0"/>
        <v>0</v>
      </c>
      <c r="G9" s="173">
        <f>E9</f>
        <v>0</v>
      </c>
      <c r="H9" s="225"/>
    </row>
    <row r="10" spans="1:8" s="179" customFormat="1" ht="24.75" customHeight="1">
      <c r="A10" s="113">
        <v>4</v>
      </c>
      <c r="B10" s="225" t="s">
        <v>19</v>
      </c>
      <c r="C10" s="226" t="s">
        <v>26</v>
      </c>
      <c r="D10" s="221">
        <v>100006610162</v>
      </c>
      <c r="E10" s="228">
        <f>'lanh tien tphau'!D10</f>
        <v>680000</v>
      </c>
      <c r="F10" s="228">
        <f t="shared" si="0"/>
        <v>0</v>
      </c>
      <c r="G10" s="173">
        <f>E10</f>
        <v>680000</v>
      </c>
      <c r="H10" s="113"/>
    </row>
    <row r="11" spans="1:8" s="179" customFormat="1" ht="24.75" customHeight="1">
      <c r="A11" s="113">
        <v>5</v>
      </c>
      <c r="B11" s="225" t="s">
        <v>74</v>
      </c>
      <c r="C11" s="226" t="s">
        <v>66</v>
      </c>
      <c r="D11" s="221">
        <v>105001159195</v>
      </c>
      <c r="E11" s="228">
        <f>'lanh tien tphau'!D11+'lanh tien PT'!D10+'Bác sĩ điều trị'!D11</f>
        <v>9643638.75</v>
      </c>
      <c r="F11" s="228">
        <f t="shared" si="0"/>
        <v>0</v>
      </c>
      <c r="G11" s="173">
        <f>E11</f>
        <v>9643638.75</v>
      </c>
      <c r="H11" s="225"/>
    </row>
    <row r="12" spans="1:8" s="179" customFormat="1" ht="24.75" customHeight="1">
      <c r="A12" s="113">
        <v>6</v>
      </c>
      <c r="B12" s="225" t="s">
        <v>94</v>
      </c>
      <c r="C12" s="226" t="s">
        <v>66</v>
      </c>
      <c r="D12" s="221">
        <v>105867664283</v>
      </c>
      <c r="E12" s="228">
        <f>'lanh tien PT'!D11+'lanh tien tphau'!D14+'Bác sĩ điều trị'!D15-'Thực lãnh'!I24+'Lãnh tiền PTYC'!E17</f>
        <v>5471429.75</v>
      </c>
      <c r="F12" s="228">
        <f t="shared" si="0"/>
        <v>547142.97499999963</v>
      </c>
      <c r="G12" s="173">
        <f>E12*0.9</f>
        <v>4924286.7750000004</v>
      </c>
      <c r="H12" s="385"/>
    </row>
    <row r="13" spans="1:8" s="179" customFormat="1" ht="24.75" customHeight="1">
      <c r="A13" s="113">
        <v>7</v>
      </c>
      <c r="B13" s="225" t="s">
        <v>72</v>
      </c>
      <c r="C13" s="226" t="s">
        <v>66</v>
      </c>
      <c r="D13" s="221">
        <v>105001225232</v>
      </c>
      <c r="E13" s="228">
        <f>'lanh tien PT'!D12+'Bác sĩ điều trị'!D13+'lanh tien tphau'!D15-'Thực lãnh'!I18</f>
        <v>775529.5</v>
      </c>
      <c r="F13" s="228">
        <f t="shared" si="0"/>
        <v>0</v>
      </c>
      <c r="G13" s="173">
        <f>E13</f>
        <v>775529.5</v>
      </c>
      <c r="H13" s="385"/>
    </row>
    <row r="14" spans="1:8" s="179" customFormat="1" ht="24.75" customHeight="1">
      <c r="A14" s="113">
        <v>8</v>
      </c>
      <c r="B14" s="225" t="s">
        <v>113</v>
      </c>
      <c r="C14" s="226" t="s">
        <v>66</v>
      </c>
      <c r="D14" s="221">
        <v>107868829237</v>
      </c>
      <c r="E14" s="228">
        <f>'lanh tien tphau'!D13+'lanh tien PT'!D13+'Bác sĩ điều trị'!D16</f>
        <v>7594953.75</v>
      </c>
      <c r="F14" s="228">
        <f t="shared" si="0"/>
        <v>0</v>
      </c>
      <c r="G14" s="173">
        <f t="shared" ref="G14:G17" si="1">E14</f>
        <v>7594953.75</v>
      </c>
      <c r="H14" s="385"/>
    </row>
    <row r="15" spans="1:8" s="179" customFormat="1" ht="24.75" customHeight="1">
      <c r="A15" s="113">
        <v>9</v>
      </c>
      <c r="B15" s="225" t="s">
        <v>84</v>
      </c>
      <c r="C15" s="226" t="s">
        <v>66</v>
      </c>
      <c r="D15" s="320" t="s">
        <v>128</v>
      </c>
      <c r="E15" s="228">
        <f>'lanh tien tphau'!D12+'lanh tien PT'!D14+'Bác sĩ điều trị'!D14</f>
        <v>6272108.25</v>
      </c>
      <c r="F15" s="228">
        <f t="shared" si="0"/>
        <v>0</v>
      </c>
      <c r="G15" s="173">
        <f t="shared" si="1"/>
        <v>6272108.25</v>
      </c>
      <c r="H15" s="385"/>
    </row>
    <row r="16" spans="1:8" s="179" customFormat="1" ht="24.75" customHeight="1">
      <c r="A16" s="113">
        <v>10</v>
      </c>
      <c r="B16" s="225" t="s">
        <v>68</v>
      </c>
      <c r="C16" s="226" t="s">
        <v>66</v>
      </c>
      <c r="D16" s="320" t="s">
        <v>169</v>
      </c>
      <c r="E16" s="228">
        <f>'lanh tien tphau'!D16+'lanh tien PT'!D15</f>
        <v>0</v>
      </c>
      <c r="F16" s="228">
        <f t="shared" si="0"/>
        <v>0</v>
      </c>
      <c r="G16" s="173">
        <f>E16*0.9</f>
        <v>0</v>
      </c>
      <c r="H16" s="385"/>
    </row>
    <row r="17" spans="1:8" s="179" customFormat="1" ht="24.75" customHeight="1">
      <c r="A17" s="113">
        <v>11</v>
      </c>
      <c r="B17" s="225" t="s">
        <v>131</v>
      </c>
      <c r="C17" s="226" t="s">
        <v>66</v>
      </c>
      <c r="D17" s="320" t="s">
        <v>134</v>
      </c>
      <c r="E17" s="228">
        <f>'lanh tien PT'!D16</f>
        <v>4184653</v>
      </c>
      <c r="F17" s="228">
        <f t="shared" si="0"/>
        <v>0</v>
      </c>
      <c r="G17" s="173">
        <f t="shared" si="1"/>
        <v>4184653</v>
      </c>
      <c r="H17" s="385"/>
    </row>
    <row r="18" spans="1:8" s="179" customFormat="1" ht="24.75" customHeight="1">
      <c r="A18" s="113">
        <v>12</v>
      </c>
      <c r="B18" s="229" t="s">
        <v>132</v>
      </c>
      <c r="C18" s="384" t="s">
        <v>26</v>
      </c>
      <c r="D18" s="320" t="s">
        <v>263</v>
      </c>
      <c r="E18" s="228">
        <f>'lanh tien PT'!D17+'Bác sĩ điều trị'!D17</f>
        <v>3610245</v>
      </c>
      <c r="F18" s="228">
        <f t="shared" si="0"/>
        <v>361024.5</v>
      </c>
      <c r="G18" s="173">
        <f t="shared" ref="G18:G20" si="2">E18*0.9</f>
        <v>3249220.5</v>
      </c>
      <c r="H18" s="385"/>
    </row>
    <row r="19" spans="1:8" s="179" customFormat="1" ht="24.75" customHeight="1">
      <c r="A19" s="113">
        <v>13</v>
      </c>
      <c r="B19" s="229" t="s">
        <v>135</v>
      </c>
      <c r="C19" s="384" t="s">
        <v>60</v>
      </c>
      <c r="D19" s="221">
        <v>102881115539</v>
      </c>
      <c r="E19" s="228">
        <f>'lanh tien PT'!D18+'lanh tien PT_BHYT'!E18</f>
        <v>2781722</v>
      </c>
      <c r="F19" s="228">
        <f t="shared" ref="F19:F25" si="3">E19-G19</f>
        <v>0</v>
      </c>
      <c r="G19" s="173">
        <f>E19</f>
        <v>2781722</v>
      </c>
      <c r="H19" s="385"/>
    </row>
    <row r="20" spans="1:8" s="179" customFormat="1" ht="24.75" customHeight="1">
      <c r="A20" s="113">
        <v>14</v>
      </c>
      <c r="B20" s="229" t="s">
        <v>136</v>
      </c>
      <c r="C20" s="384" t="s">
        <v>60</v>
      </c>
      <c r="D20" s="195">
        <v>101881130087</v>
      </c>
      <c r="E20" s="228">
        <f>'lanh tien PT'!D19+'lanh tien PT_BHYT'!E19</f>
        <v>5893429</v>
      </c>
      <c r="F20" s="228">
        <f t="shared" si="3"/>
        <v>589342.89999999944</v>
      </c>
      <c r="G20" s="173">
        <f t="shared" si="2"/>
        <v>5304086.1000000006</v>
      </c>
      <c r="H20" s="385"/>
    </row>
    <row r="21" spans="1:8" s="179" customFormat="1" ht="24.75" customHeight="1">
      <c r="A21" s="113">
        <v>15</v>
      </c>
      <c r="B21" s="229" t="s">
        <v>137</v>
      </c>
      <c r="C21" s="384" t="s">
        <v>60</v>
      </c>
      <c r="D21" s="195">
        <v>106881106486</v>
      </c>
      <c r="E21" s="228">
        <f>'lanh tien PT_BHYT'!E20+'lanh tien PT'!D20</f>
        <v>4822623</v>
      </c>
      <c r="F21" s="228">
        <f t="shared" si="3"/>
        <v>482262.29999999981</v>
      </c>
      <c r="G21" s="173">
        <f>E21*0.9</f>
        <v>4340360.7</v>
      </c>
      <c r="H21" s="385"/>
    </row>
    <row r="22" spans="1:8" s="179" customFormat="1" ht="24.75" customHeight="1">
      <c r="A22" s="113">
        <v>16</v>
      </c>
      <c r="B22" s="229" t="s">
        <v>138</v>
      </c>
      <c r="C22" s="384" t="s">
        <v>60</v>
      </c>
      <c r="D22" s="195">
        <v>108881113738</v>
      </c>
      <c r="E22" s="228">
        <f>'lanh tien PT_BHYT'!E21+'lanh tien PT'!D21</f>
        <v>5764823</v>
      </c>
      <c r="F22" s="228">
        <f t="shared" si="3"/>
        <v>576482.29999999981</v>
      </c>
      <c r="G22" s="173">
        <f>E22*0.9</f>
        <v>5188340.7</v>
      </c>
      <c r="H22" s="385"/>
    </row>
    <row r="23" spans="1:8" s="179" customFormat="1" ht="24.75" customHeight="1">
      <c r="A23" s="113">
        <v>17</v>
      </c>
      <c r="B23" s="229" t="s">
        <v>139</v>
      </c>
      <c r="C23" s="384" t="s">
        <v>60</v>
      </c>
      <c r="D23" s="195">
        <v>105881179249</v>
      </c>
      <c r="E23" s="228">
        <f>'lanh tien PT_BHYT'!E22+'lanh tien PT'!D22</f>
        <v>3376328.5</v>
      </c>
      <c r="F23" s="228">
        <f t="shared" si="3"/>
        <v>0</v>
      </c>
      <c r="G23" s="173">
        <f t="shared" ref="G23:G26" si="4">E23</f>
        <v>3376328.5</v>
      </c>
      <c r="H23" s="385"/>
    </row>
    <row r="24" spans="1:8" s="179" customFormat="1" ht="24.75" customHeight="1">
      <c r="A24" s="113">
        <v>18</v>
      </c>
      <c r="B24" s="229" t="s">
        <v>140</v>
      </c>
      <c r="C24" s="384" t="s">
        <v>60</v>
      </c>
      <c r="D24" s="195">
        <v>101881053043</v>
      </c>
      <c r="E24" s="228">
        <f>'lanh tien PT_BHYT'!E23+'lanh tien PT'!D23</f>
        <v>2414481</v>
      </c>
      <c r="F24" s="228">
        <f t="shared" si="3"/>
        <v>0</v>
      </c>
      <c r="G24" s="173">
        <f t="shared" si="4"/>
        <v>2414481</v>
      </c>
      <c r="H24" s="385"/>
    </row>
    <row r="25" spans="1:8" s="179" customFormat="1" ht="24.75" customHeight="1">
      <c r="A25" s="113">
        <v>19</v>
      </c>
      <c r="B25" s="229" t="s">
        <v>354</v>
      </c>
      <c r="C25" s="384" t="s">
        <v>60</v>
      </c>
      <c r="D25" s="407">
        <v>109883164818</v>
      </c>
      <c r="E25" s="228">
        <f>'lanh tien PT'!D24+'lanh tien PT'!D25+'lanh tien PT'!D26+'lanh tien PT'!D27+'lanh tien PT_BHYT'!E24+'lanh tien PT_BHYT'!E25+'lanh tien PT_BHYT'!E26</f>
        <v>1969593</v>
      </c>
      <c r="F25" s="228">
        <f t="shared" si="3"/>
        <v>0</v>
      </c>
      <c r="G25" s="173">
        <f t="shared" si="4"/>
        <v>1969593</v>
      </c>
      <c r="H25" s="385"/>
    </row>
    <row r="26" spans="1:8" s="179" customFormat="1" ht="24.75" customHeight="1">
      <c r="A26" s="113">
        <v>20</v>
      </c>
      <c r="B26" s="225" t="s">
        <v>45</v>
      </c>
      <c r="C26" s="226" t="s">
        <v>27</v>
      </c>
      <c r="D26" s="221">
        <v>106006773860</v>
      </c>
      <c r="E26" s="228">
        <f>'lanh tien PT1'!D20</f>
        <v>3177216.4210526315</v>
      </c>
      <c r="F26" s="228" t="s">
        <v>56</v>
      </c>
      <c r="G26" s="173">
        <f t="shared" si="4"/>
        <v>3177216.4210526315</v>
      </c>
      <c r="H26" s="225"/>
    </row>
    <row r="27" spans="1:8" s="179" customFormat="1" ht="24.75" customHeight="1">
      <c r="A27" s="113">
        <v>21</v>
      </c>
      <c r="B27" s="225" t="s">
        <v>65</v>
      </c>
      <c r="C27" s="226" t="s">
        <v>27</v>
      </c>
      <c r="D27" s="221">
        <v>105866700129</v>
      </c>
      <c r="E27" s="228">
        <f>'lanh tien PT1'!D21</f>
        <v>3177216.4210526315</v>
      </c>
      <c r="F27" s="228" t="s">
        <v>56</v>
      </c>
      <c r="G27" s="173">
        <f t="shared" ref="G27:G36" si="5">E27</f>
        <v>3177216.4210526315</v>
      </c>
      <c r="H27" s="225"/>
    </row>
    <row r="28" spans="1:8" s="179" customFormat="1" ht="24.75" customHeight="1">
      <c r="A28" s="113">
        <v>22</v>
      </c>
      <c r="B28" s="225" t="s">
        <v>82</v>
      </c>
      <c r="C28" s="226" t="s">
        <v>27</v>
      </c>
      <c r="D28" s="221" t="s">
        <v>117</v>
      </c>
      <c r="E28" s="228">
        <f>'lanh tien PT1'!D23</f>
        <v>3177216.4210526315</v>
      </c>
      <c r="F28" s="228" t="s">
        <v>56</v>
      </c>
      <c r="G28" s="173">
        <f t="shared" si="5"/>
        <v>3177216.4210526315</v>
      </c>
      <c r="H28" s="225"/>
    </row>
    <row r="29" spans="1:8" s="179" customFormat="1" ht="24.75" customHeight="1">
      <c r="A29" s="113">
        <v>23</v>
      </c>
      <c r="B29" s="225" t="s">
        <v>46</v>
      </c>
      <c r="C29" s="226" t="s">
        <v>27</v>
      </c>
      <c r="D29" s="221">
        <v>106002699376</v>
      </c>
      <c r="E29" s="228">
        <f>'lanh tien PT1'!D24+'Bác sĩ điều trị'!D18</f>
        <v>5377216.421052631</v>
      </c>
      <c r="F29" s="228" t="s">
        <v>56</v>
      </c>
      <c r="G29" s="173">
        <f t="shared" si="5"/>
        <v>5377216.421052631</v>
      </c>
      <c r="H29" s="225"/>
    </row>
    <row r="30" spans="1:8" s="179" customFormat="1" ht="24.75" customHeight="1">
      <c r="A30" s="113">
        <v>24</v>
      </c>
      <c r="B30" s="225" t="s">
        <v>70</v>
      </c>
      <c r="C30" s="226" t="s">
        <v>27</v>
      </c>
      <c r="D30" s="221" t="s">
        <v>118</v>
      </c>
      <c r="E30" s="228">
        <f>'lanh tien PT1'!D22</f>
        <v>3177216.4210526315</v>
      </c>
      <c r="F30" s="228" t="s">
        <v>56</v>
      </c>
      <c r="G30" s="173">
        <f t="shared" si="5"/>
        <v>3177216.4210526315</v>
      </c>
      <c r="H30" s="225"/>
    </row>
    <row r="31" spans="1:8" s="179" customFormat="1" ht="24.75" customHeight="1">
      <c r="A31" s="113">
        <v>25</v>
      </c>
      <c r="B31" s="225" t="s">
        <v>114</v>
      </c>
      <c r="C31" s="226" t="s">
        <v>27</v>
      </c>
      <c r="D31" s="221">
        <v>102877256973</v>
      </c>
      <c r="E31" s="228">
        <f>'lanh tien PT1'!D25</f>
        <v>3177216.4210526315</v>
      </c>
      <c r="F31" s="228" t="s">
        <v>56</v>
      </c>
      <c r="G31" s="173">
        <f t="shared" si="5"/>
        <v>3177216.4210526315</v>
      </c>
      <c r="H31" s="225"/>
    </row>
    <row r="32" spans="1:8" s="179" customFormat="1" ht="24.75" customHeight="1">
      <c r="A32" s="113">
        <v>26</v>
      </c>
      <c r="B32" s="225" t="s">
        <v>93</v>
      </c>
      <c r="C32" s="226" t="s">
        <v>27</v>
      </c>
      <c r="D32" s="221">
        <v>108872473096</v>
      </c>
      <c r="E32" s="228">
        <f>'lanh tien PT1'!D26</f>
        <v>3177216.4210526315</v>
      </c>
      <c r="F32" s="228" t="s">
        <v>56</v>
      </c>
      <c r="G32" s="173">
        <f t="shared" si="5"/>
        <v>3177216.4210526315</v>
      </c>
      <c r="H32" s="225"/>
    </row>
    <row r="33" spans="1:10" s="179" customFormat="1" ht="24.75" customHeight="1">
      <c r="A33" s="113">
        <v>27</v>
      </c>
      <c r="B33" s="225" t="s">
        <v>73</v>
      </c>
      <c r="C33" s="226" t="s">
        <v>27</v>
      </c>
      <c r="D33" s="221">
        <v>109869939394</v>
      </c>
      <c r="E33" s="228">
        <f>'lanh tien PT1'!D27</f>
        <v>3177216.4210526315</v>
      </c>
      <c r="F33" s="228" t="s">
        <v>56</v>
      </c>
      <c r="G33" s="173">
        <f t="shared" si="5"/>
        <v>3177216.4210526315</v>
      </c>
      <c r="H33" s="225"/>
    </row>
    <row r="34" spans="1:10" s="179" customFormat="1" ht="24.75" customHeight="1">
      <c r="A34" s="113">
        <v>28</v>
      </c>
      <c r="B34" s="381" t="s">
        <v>264</v>
      </c>
      <c r="C34" s="226" t="s">
        <v>27</v>
      </c>
      <c r="D34" s="383" t="s">
        <v>267</v>
      </c>
      <c r="E34" s="228">
        <f>'lanh tien PT1'!D28</f>
        <v>1592391.2105263157</v>
      </c>
      <c r="F34" s="228" t="s">
        <v>56</v>
      </c>
      <c r="G34" s="173">
        <f t="shared" si="5"/>
        <v>1592391.2105263157</v>
      </c>
      <c r="H34" s="225"/>
    </row>
    <row r="35" spans="1:10" s="179" customFormat="1" ht="24.75" customHeight="1">
      <c r="A35" s="113">
        <v>29</v>
      </c>
      <c r="B35" s="381" t="s">
        <v>265</v>
      </c>
      <c r="C35" s="226" t="s">
        <v>27</v>
      </c>
      <c r="D35" s="387" t="s">
        <v>268</v>
      </c>
      <c r="E35" s="228">
        <f>'lanh tien PT1'!D29</f>
        <v>1592391.2105263157</v>
      </c>
      <c r="F35" s="228" t="s">
        <v>56</v>
      </c>
      <c r="G35" s="173">
        <f t="shared" si="5"/>
        <v>1592391.2105263157</v>
      </c>
      <c r="H35" s="225"/>
    </row>
    <row r="36" spans="1:10" s="179" customFormat="1" ht="24.75" customHeight="1">
      <c r="A36" s="113">
        <v>30</v>
      </c>
      <c r="B36" s="225" t="s">
        <v>55</v>
      </c>
      <c r="C36" s="226" t="s">
        <v>91</v>
      </c>
      <c r="D36" s="221">
        <v>108002699374</v>
      </c>
      <c r="E36" s="228">
        <f>'lanh tien PT1'!D30</f>
        <v>1592391.2105263157</v>
      </c>
      <c r="F36" s="228" t="s">
        <v>56</v>
      </c>
      <c r="G36" s="173">
        <f t="shared" si="5"/>
        <v>1592391.2105263157</v>
      </c>
      <c r="H36" s="225"/>
    </row>
    <row r="37" spans="1:10" s="511" customFormat="1" ht="24.75" customHeight="1">
      <c r="A37" s="504"/>
      <c r="B37" s="505" t="s">
        <v>28</v>
      </c>
      <c r="C37" s="506"/>
      <c r="D37" s="507"/>
      <c r="E37" s="508">
        <f>SUM(E7:E36)</f>
        <v>104686710.25000003</v>
      </c>
      <c r="F37" s="509">
        <f>SUM(F7:F36)</f>
        <v>3259879.7499999981</v>
      </c>
      <c r="G37" s="509">
        <f>SUM(G7:G36)</f>
        <v>101426830.50000003</v>
      </c>
      <c r="H37" s="510"/>
    </row>
    <row r="38" spans="1:10">
      <c r="B38" s="77"/>
      <c r="J38" s="78"/>
    </row>
    <row r="39" spans="1:10" ht="16.5" customHeight="1">
      <c r="B39" s="77"/>
      <c r="F39" s="489" t="s">
        <v>787</v>
      </c>
      <c r="G39" s="489"/>
      <c r="H39" s="489"/>
      <c r="J39" s="78"/>
    </row>
    <row r="40" spans="1:10" ht="18.75">
      <c r="A40" s="488" t="s">
        <v>20</v>
      </c>
      <c r="B40" s="488"/>
      <c r="C40" s="75"/>
      <c r="D40" s="343"/>
      <c r="E40" s="335"/>
      <c r="F40" s="490" t="s">
        <v>21</v>
      </c>
      <c r="G40" s="490"/>
      <c r="H40" s="490"/>
    </row>
    <row r="41" spans="1:10" ht="18.75">
      <c r="A41" s="74"/>
      <c r="B41" s="74"/>
      <c r="C41" s="75"/>
      <c r="D41" s="343"/>
      <c r="E41" s="335"/>
      <c r="F41" s="258"/>
      <c r="G41" s="259"/>
      <c r="H41" s="74"/>
    </row>
    <row r="42" spans="1:10" ht="18.75">
      <c r="A42" s="74"/>
      <c r="B42" s="74"/>
      <c r="C42" s="75"/>
      <c r="D42" s="343"/>
      <c r="E42" s="335"/>
      <c r="F42" s="258"/>
      <c r="G42" s="260"/>
      <c r="H42" s="74"/>
    </row>
    <row r="43" spans="1:10" ht="18.75">
      <c r="A43" s="74"/>
      <c r="B43" s="74"/>
      <c r="C43" s="75"/>
      <c r="D43" s="343"/>
      <c r="F43" s="258"/>
      <c r="G43" s="259"/>
      <c r="H43" s="74"/>
    </row>
    <row r="44" spans="1:10" ht="18.75">
      <c r="A44" s="488" t="s">
        <v>96</v>
      </c>
      <c r="B44" s="488"/>
      <c r="C44" s="75"/>
      <c r="D44" s="343"/>
      <c r="E44" s="335"/>
      <c r="F44" s="488" t="s">
        <v>262</v>
      </c>
      <c r="G44" s="488"/>
      <c r="H44" s="488"/>
    </row>
    <row r="45" spans="1:10" ht="18.75">
      <c r="A45" s="74"/>
      <c r="B45" s="74"/>
      <c r="C45" s="75"/>
      <c r="D45" s="343"/>
      <c r="E45" s="335"/>
      <c r="F45" s="258"/>
      <c r="G45" s="259"/>
      <c r="H45" s="74"/>
    </row>
  </sheetData>
  <mergeCells count="9">
    <mergeCell ref="A44:B44"/>
    <mergeCell ref="F44:H44"/>
    <mergeCell ref="A1:C1"/>
    <mergeCell ref="A2:C2"/>
    <mergeCell ref="A3:H3"/>
    <mergeCell ref="A4:H4"/>
    <mergeCell ref="F39:H39"/>
    <mergeCell ref="A40:B40"/>
    <mergeCell ref="F40:H40"/>
  </mergeCells>
  <pageMargins left="0.19" right="0.17" top="0.46" bottom="0.3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>
      <selection activeCell="I15" sqref="I15"/>
    </sheetView>
  </sheetViews>
  <sheetFormatPr defaultColWidth="9.140625" defaultRowHeight="12.75"/>
  <cols>
    <col min="1" max="1" width="7.140625" style="37" customWidth="1"/>
    <col min="2" max="2" width="21.140625" style="37" customWidth="1"/>
    <col min="3" max="3" width="20.85546875" style="38" customWidth="1"/>
    <col min="4" max="4" width="21.42578125" style="38" customWidth="1"/>
    <col min="5" max="5" width="13.85546875" style="38" customWidth="1"/>
    <col min="6" max="6" width="16" style="37" customWidth="1"/>
    <col min="7" max="7" width="1.140625" style="37" customWidth="1"/>
    <col min="8" max="8" width="16.5703125" style="37" bestFit="1" customWidth="1"/>
    <col min="9" max="16384" width="9.140625" style="37"/>
  </cols>
  <sheetData>
    <row r="1" spans="1:9" ht="16.5">
      <c r="A1" s="445" t="s">
        <v>0</v>
      </c>
      <c r="B1" s="445"/>
      <c r="C1" s="445"/>
    </row>
    <row r="2" spans="1:9" ht="16.5">
      <c r="A2" s="444" t="s">
        <v>44</v>
      </c>
      <c r="B2" s="444"/>
      <c r="C2" s="444"/>
    </row>
    <row r="3" spans="1:9" ht="27.75" customHeight="1">
      <c r="A3" s="435" t="s">
        <v>127</v>
      </c>
      <c r="B3" s="435"/>
      <c r="C3" s="435"/>
      <c r="D3" s="435"/>
      <c r="E3" s="435"/>
      <c r="F3" s="435"/>
      <c r="H3" s="2"/>
    </row>
    <row r="4" spans="1:9" ht="15" customHeight="1">
      <c r="B4" s="39"/>
      <c r="C4" s="40"/>
      <c r="D4" s="40"/>
      <c r="H4" s="2"/>
    </row>
    <row r="5" spans="1:9" ht="10.5" customHeight="1">
      <c r="B5" s="39"/>
      <c r="C5" s="40"/>
      <c r="D5" s="40"/>
      <c r="H5" s="2"/>
    </row>
    <row r="6" spans="1:9" ht="16.5">
      <c r="A6" s="50" t="s">
        <v>2</v>
      </c>
      <c r="B6" s="51" t="s">
        <v>13</v>
      </c>
      <c r="C6" s="52" t="s">
        <v>85</v>
      </c>
      <c r="D6" s="52" t="s">
        <v>116</v>
      </c>
      <c r="E6" s="52" t="s">
        <v>14</v>
      </c>
      <c r="F6" s="52" t="s">
        <v>15</v>
      </c>
      <c r="G6" s="47"/>
    </row>
    <row r="7" spans="1:9" ht="16.5">
      <c r="A7" s="162">
        <v>1</v>
      </c>
      <c r="B7" s="62" t="s">
        <v>122</v>
      </c>
      <c r="C7" s="55" t="s">
        <v>124</v>
      </c>
      <c r="D7" s="212">
        <v>109869879863</v>
      </c>
      <c r="E7" s="69">
        <v>0</v>
      </c>
      <c r="F7" s="54"/>
      <c r="G7" s="48">
        <v>19.5</v>
      </c>
      <c r="I7" s="41"/>
    </row>
    <row r="8" spans="1:9" ht="16.5">
      <c r="A8" s="66"/>
      <c r="B8" s="67" t="s">
        <v>28</v>
      </c>
      <c r="C8" s="68"/>
      <c r="D8" s="68"/>
      <c r="E8" s="69">
        <f>SUM(E7:E7)</f>
        <v>0</v>
      </c>
      <c r="F8" s="161"/>
      <c r="G8" s="49">
        <f>SUM(G7:G7)</f>
        <v>19.5</v>
      </c>
      <c r="H8" s="43"/>
    </row>
    <row r="9" spans="1:9" ht="27.75" customHeight="1">
      <c r="A9" s="1"/>
      <c r="B9" s="43"/>
    </row>
    <row r="10" spans="1:9" ht="15.75">
      <c r="A10" s="132"/>
      <c r="B10" s="132"/>
      <c r="C10" s="109"/>
      <c r="D10" s="496" t="s">
        <v>123</v>
      </c>
      <c r="E10" s="496"/>
      <c r="F10" s="496"/>
    </row>
    <row r="11" spans="1:9" ht="15.75">
      <c r="A11" s="447" t="s">
        <v>20</v>
      </c>
      <c r="B11" s="447"/>
      <c r="C11" s="109"/>
      <c r="D11" s="446" t="s">
        <v>21</v>
      </c>
      <c r="E11" s="446"/>
      <c r="F11" s="446"/>
    </row>
    <row r="12" spans="1:9" ht="15.75">
      <c r="A12" s="132"/>
      <c r="B12" s="132"/>
      <c r="C12" s="109"/>
      <c r="D12" s="109"/>
      <c r="E12" s="109"/>
      <c r="F12" s="132"/>
    </row>
    <row r="13" spans="1:9" ht="15.75">
      <c r="A13" s="132"/>
      <c r="B13" s="132"/>
      <c r="C13" s="109"/>
      <c r="D13" s="109"/>
      <c r="E13" s="109"/>
      <c r="F13" s="132"/>
    </row>
    <row r="14" spans="1:9" ht="15.75">
      <c r="A14" s="132"/>
      <c r="B14" s="132"/>
      <c r="C14" s="109"/>
      <c r="D14" s="109"/>
      <c r="E14" s="109"/>
      <c r="F14" s="163"/>
    </row>
    <row r="15" spans="1:9" ht="15.75">
      <c r="A15" s="132"/>
      <c r="B15" s="132"/>
      <c r="C15" s="164"/>
      <c r="D15" s="164"/>
      <c r="E15" s="109"/>
      <c r="F15" s="132"/>
    </row>
    <row r="16" spans="1:9" ht="15.75">
      <c r="A16" s="132"/>
      <c r="B16" s="121" t="s">
        <v>96</v>
      </c>
      <c r="C16" s="109"/>
      <c r="D16" s="446" t="s">
        <v>111</v>
      </c>
      <c r="E16" s="446"/>
      <c r="F16" s="446"/>
    </row>
    <row r="17" spans="1:6" ht="15.75">
      <c r="A17" s="132"/>
      <c r="B17" s="132"/>
      <c r="C17" s="109"/>
      <c r="D17" s="109"/>
      <c r="E17" s="109"/>
      <c r="F17" s="132"/>
    </row>
    <row r="18" spans="1:6" ht="15.75">
      <c r="A18" s="132"/>
      <c r="B18" s="132"/>
      <c r="C18" s="109"/>
      <c r="D18" s="109"/>
      <c r="E18" s="109"/>
      <c r="F18" s="132"/>
    </row>
  </sheetData>
  <mergeCells count="7">
    <mergeCell ref="D16:F16"/>
    <mergeCell ref="A11:B11"/>
    <mergeCell ref="A3:F3"/>
    <mergeCell ref="A1:C1"/>
    <mergeCell ref="A2:C2"/>
    <mergeCell ref="D10:F10"/>
    <mergeCell ref="D11:F11"/>
  </mergeCells>
  <pageMargins left="0.21" right="0.17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4"/>
  <sheetViews>
    <sheetView workbookViewId="0">
      <selection activeCell="J13" sqref="J13"/>
    </sheetView>
  </sheetViews>
  <sheetFormatPr defaultColWidth="9.140625" defaultRowHeight="12.75"/>
  <cols>
    <col min="1" max="1" width="6.7109375" style="142" customWidth="1"/>
    <col min="2" max="2" width="13.7109375" style="331" customWidth="1"/>
    <col min="3" max="3" width="30.140625" style="328" customWidth="1"/>
    <col min="4" max="4" width="11.7109375" style="331" customWidth="1"/>
    <col min="5" max="5" width="38.7109375" style="72" customWidth="1"/>
    <col min="6" max="6" width="12.5703125" style="342" bestFit="1" customWidth="1"/>
    <col min="7" max="7" width="15.140625" style="211" customWidth="1"/>
    <col min="8" max="8" width="12" style="211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00" t="s">
        <v>0</v>
      </c>
      <c r="B1" s="500"/>
      <c r="C1" s="500"/>
      <c r="D1" s="500"/>
      <c r="E1" s="500"/>
      <c r="F1" s="500"/>
    </row>
    <row r="2" spans="1:12" ht="18" customHeight="1">
      <c r="A2" s="501" t="s">
        <v>75</v>
      </c>
      <c r="B2" s="501"/>
      <c r="C2" s="501"/>
      <c r="D2" s="501"/>
      <c r="E2" s="501"/>
      <c r="F2" s="501"/>
    </row>
    <row r="3" spans="1:12" ht="26.25" customHeight="1">
      <c r="A3" s="488" t="s">
        <v>783</v>
      </c>
      <c r="B3" s="488"/>
      <c r="C3" s="488"/>
      <c r="D3" s="488"/>
      <c r="E3" s="488"/>
      <c r="F3" s="488"/>
      <c r="G3" s="488"/>
      <c r="H3" s="488"/>
    </row>
    <row r="4" spans="1:12" ht="18.75">
      <c r="F4" s="340"/>
    </row>
    <row r="5" spans="1:12" s="324" customFormat="1" ht="33">
      <c r="A5" s="322" t="s">
        <v>2</v>
      </c>
      <c r="B5" s="322" t="s">
        <v>104</v>
      </c>
      <c r="C5" s="322" t="s">
        <v>79</v>
      </c>
      <c r="D5" s="322" t="s">
        <v>80</v>
      </c>
      <c r="E5" s="322" t="s">
        <v>142</v>
      </c>
      <c r="F5" s="322" t="s">
        <v>81</v>
      </c>
      <c r="G5" s="323" t="s">
        <v>14</v>
      </c>
      <c r="H5" s="323" t="s">
        <v>120</v>
      </c>
    </row>
    <row r="6" spans="1:12" s="179" customFormat="1" ht="21.75" customHeight="1">
      <c r="A6" s="296">
        <v>1</v>
      </c>
      <c r="B6" s="422" t="s">
        <v>560</v>
      </c>
      <c r="C6" s="422" t="s">
        <v>628</v>
      </c>
      <c r="D6" s="422" t="s">
        <v>617</v>
      </c>
      <c r="E6" s="422" t="s">
        <v>141</v>
      </c>
      <c r="F6" s="341" t="s">
        <v>126</v>
      </c>
      <c r="G6" s="297">
        <v>1000000</v>
      </c>
      <c r="H6" s="253">
        <f t="shared" ref="H6" si="0">G6*0.9</f>
        <v>900000</v>
      </c>
    </row>
    <row r="7" spans="1:12" ht="15.75">
      <c r="A7" s="497" t="s">
        <v>28</v>
      </c>
      <c r="B7" s="498"/>
      <c r="C7" s="498"/>
      <c r="D7" s="498"/>
      <c r="E7" s="498"/>
      <c r="F7" s="499"/>
      <c r="G7" s="143">
        <f>SUM(G6:G6)</f>
        <v>1000000</v>
      </c>
      <c r="H7" s="143">
        <f>SUM(H6:H6)</f>
        <v>900000</v>
      </c>
    </row>
    <row r="8" spans="1:12" ht="20.25" customHeight="1">
      <c r="F8" s="503" t="s">
        <v>787</v>
      </c>
      <c r="G8" s="503"/>
      <c r="H8" s="503"/>
      <c r="L8" s="78"/>
    </row>
    <row r="9" spans="1:12" ht="21.75" customHeight="1">
      <c r="A9" s="488" t="s">
        <v>20</v>
      </c>
      <c r="B9" s="488"/>
      <c r="C9" s="488"/>
      <c r="F9" s="492" t="s">
        <v>21</v>
      </c>
      <c r="G9" s="492"/>
      <c r="H9" s="492"/>
    </row>
    <row r="10" spans="1:12" ht="15" customHeight="1">
      <c r="C10" s="502"/>
      <c r="D10" s="502"/>
      <c r="E10" s="502"/>
      <c r="F10" s="502"/>
      <c r="G10" s="502"/>
      <c r="H10" s="251"/>
    </row>
    <row r="14" spans="1:12" ht="22.5" customHeight="1">
      <c r="A14" s="488" t="s">
        <v>110</v>
      </c>
      <c r="B14" s="488"/>
      <c r="C14" s="488"/>
      <c r="F14" s="492" t="s">
        <v>266</v>
      </c>
      <c r="G14" s="492"/>
      <c r="H14" s="492"/>
    </row>
  </sheetData>
  <sortState xmlns:xlrd2="http://schemas.microsoft.com/office/spreadsheetml/2017/richdata2" ref="A6:L6">
    <sortCondition ref="B6"/>
  </sortState>
  <mergeCells count="10">
    <mergeCell ref="A14:C14"/>
    <mergeCell ref="A7:F7"/>
    <mergeCell ref="A1:F1"/>
    <mergeCell ref="A2:F2"/>
    <mergeCell ref="C10:G10"/>
    <mergeCell ref="A3:H3"/>
    <mergeCell ref="A9:C9"/>
    <mergeCell ref="F8:H8"/>
    <mergeCell ref="F14:H14"/>
    <mergeCell ref="F9:H9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07A1-E848-4DFF-823E-90D6DA7EE0E8}">
  <dimension ref="A1:F25"/>
  <sheetViews>
    <sheetView workbookViewId="0">
      <selection activeCell="N30" sqref="N30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445" t="s">
        <v>0</v>
      </c>
      <c r="B1" s="445"/>
      <c r="C1" s="445"/>
      <c r="D1" s="38"/>
      <c r="E1" s="38"/>
      <c r="F1" s="37"/>
    </row>
    <row r="2" spans="1:6" ht="16.5">
      <c r="A2" s="444" t="s">
        <v>75</v>
      </c>
      <c r="B2" s="444"/>
      <c r="C2" s="444"/>
      <c r="D2" s="38"/>
      <c r="E2" s="38"/>
      <c r="F2" s="37"/>
    </row>
    <row r="3" spans="1:6" ht="18.75">
      <c r="A3" s="435" t="s">
        <v>786</v>
      </c>
      <c r="B3" s="435"/>
      <c r="C3" s="435"/>
      <c r="D3" s="435"/>
      <c r="E3" s="435"/>
      <c r="F3" s="127"/>
    </row>
    <row r="4" spans="1:6" ht="15.75">
      <c r="A4" s="461" t="s">
        <v>92</v>
      </c>
      <c r="B4" s="461"/>
      <c r="C4" s="461"/>
      <c r="D4" s="461"/>
      <c r="E4" s="461"/>
      <c r="F4" s="461"/>
    </row>
    <row r="5" spans="1:6" ht="18.75">
      <c r="A5" s="37"/>
      <c r="B5" s="39"/>
      <c r="C5" s="40"/>
      <c r="D5" s="40"/>
      <c r="E5" s="38"/>
      <c r="F5" s="37"/>
    </row>
    <row r="6" spans="1:6" ht="16.5">
      <c r="A6" s="114" t="s">
        <v>2</v>
      </c>
      <c r="B6" s="115" t="s">
        <v>13</v>
      </c>
      <c r="C6" s="116" t="s">
        <v>85</v>
      </c>
      <c r="D6" s="116" t="s">
        <v>116</v>
      </c>
      <c r="E6" s="116" t="s">
        <v>14</v>
      </c>
      <c r="F6" s="47"/>
    </row>
    <row r="7" spans="1:6" ht="16.5" hidden="1">
      <c r="A7" s="112">
        <v>1</v>
      </c>
      <c r="B7" s="107" t="s">
        <v>23</v>
      </c>
      <c r="C7" s="108" t="s">
        <v>26</v>
      </c>
      <c r="D7" s="195">
        <v>102006610216</v>
      </c>
      <c r="E7" s="70" t="s">
        <v>56</v>
      </c>
      <c r="F7" s="37"/>
    </row>
    <row r="8" spans="1:6" ht="16.5" hidden="1">
      <c r="A8" s="112">
        <v>2</v>
      </c>
      <c r="B8" s="107" t="s">
        <v>18</v>
      </c>
      <c r="C8" s="108" t="s">
        <v>26</v>
      </c>
      <c r="D8" s="195">
        <v>103006610215</v>
      </c>
      <c r="E8" s="70" t="s">
        <v>56</v>
      </c>
      <c r="F8" s="37"/>
    </row>
    <row r="9" spans="1:6" ht="16.5" hidden="1">
      <c r="A9" s="112">
        <v>3</v>
      </c>
      <c r="B9" s="107" t="s">
        <v>17</v>
      </c>
      <c r="C9" s="108" t="s">
        <v>26</v>
      </c>
      <c r="D9" s="195">
        <v>100006610218</v>
      </c>
      <c r="E9" s="70" t="s">
        <v>56</v>
      </c>
      <c r="F9" s="37"/>
    </row>
    <row r="10" spans="1:6" ht="16.5" hidden="1">
      <c r="A10" s="112">
        <v>4</v>
      </c>
      <c r="B10" s="107" t="s">
        <v>74</v>
      </c>
      <c r="C10" s="108" t="s">
        <v>26</v>
      </c>
      <c r="D10" s="195">
        <v>105001159195</v>
      </c>
      <c r="E10" s="70" t="s">
        <v>56</v>
      </c>
      <c r="F10" s="41"/>
    </row>
    <row r="11" spans="1:6" ht="16.5" hidden="1">
      <c r="A11" s="112">
        <v>5</v>
      </c>
      <c r="B11" s="107" t="s">
        <v>72</v>
      </c>
      <c r="C11" s="108" t="s">
        <v>66</v>
      </c>
      <c r="D11" s="195">
        <v>105001225232</v>
      </c>
      <c r="E11" s="70" t="s">
        <v>56</v>
      </c>
      <c r="F11" s="41"/>
    </row>
    <row r="12" spans="1:6" ht="16.5" hidden="1">
      <c r="A12" s="112">
        <v>6</v>
      </c>
      <c r="B12" s="107" t="s">
        <v>113</v>
      </c>
      <c r="C12" s="108" t="s">
        <v>66</v>
      </c>
      <c r="D12" s="195">
        <v>107868829237</v>
      </c>
      <c r="E12" s="70" t="s">
        <v>56</v>
      </c>
      <c r="F12" s="41"/>
    </row>
    <row r="13" spans="1:6" ht="16.5" hidden="1">
      <c r="A13" s="112">
        <v>1</v>
      </c>
      <c r="B13" s="434" t="s">
        <v>74</v>
      </c>
      <c r="C13" s="108" t="s">
        <v>66</v>
      </c>
      <c r="D13" s="195">
        <v>105867664283</v>
      </c>
      <c r="E13" s="70" t="s">
        <v>56</v>
      </c>
      <c r="F13" s="41"/>
    </row>
    <row r="14" spans="1:6" ht="16.5" hidden="1">
      <c r="A14" s="112">
        <v>8</v>
      </c>
      <c r="B14" s="62" t="s">
        <v>22</v>
      </c>
      <c r="C14" s="108" t="s">
        <v>66</v>
      </c>
      <c r="D14" s="195">
        <v>107003444634</v>
      </c>
      <c r="E14" s="70" t="s">
        <v>56</v>
      </c>
      <c r="F14" s="41"/>
    </row>
    <row r="15" spans="1:6" ht="16.5" hidden="1">
      <c r="A15" s="112">
        <v>9</v>
      </c>
      <c r="B15" s="107" t="s">
        <v>39</v>
      </c>
      <c r="C15" s="249" t="s">
        <v>26</v>
      </c>
      <c r="D15" s="195">
        <v>109875250610</v>
      </c>
      <c r="E15" s="70" t="s">
        <v>56</v>
      </c>
      <c r="F15" s="41"/>
    </row>
    <row r="16" spans="1:6" ht="16.5" hidden="1">
      <c r="A16" s="112">
        <v>10</v>
      </c>
      <c r="B16" s="107" t="s">
        <v>84</v>
      </c>
      <c r="C16" s="249" t="s">
        <v>26</v>
      </c>
      <c r="D16" s="320" t="s">
        <v>128</v>
      </c>
      <c r="E16" s="70" t="s">
        <v>56</v>
      </c>
      <c r="F16" s="41"/>
    </row>
    <row r="17" spans="1:6" ht="16.5">
      <c r="A17" s="112">
        <v>1</v>
      </c>
      <c r="B17" s="380" t="s">
        <v>94</v>
      </c>
      <c r="C17" s="249" t="s">
        <v>26</v>
      </c>
      <c r="D17" s="221">
        <v>103006610215</v>
      </c>
      <c r="E17" s="70">
        <f>'PT YÊU CẦU'!H6</f>
        <v>900000</v>
      </c>
      <c r="F17" s="41"/>
    </row>
    <row r="18" spans="1:6" ht="16.5">
      <c r="A18" s="107"/>
      <c r="B18" s="118" t="s">
        <v>28</v>
      </c>
      <c r="C18" s="119"/>
      <c r="D18" s="119"/>
      <c r="E18" s="86">
        <f>SUM(E7:E17)</f>
        <v>900000</v>
      </c>
      <c r="F18" s="49"/>
    </row>
    <row r="19" spans="1:6" ht="16.5">
      <c r="A19" s="1"/>
      <c r="B19" s="106"/>
      <c r="C19" s="38"/>
      <c r="D19" s="38"/>
      <c r="E19" s="38"/>
      <c r="F19" s="37"/>
    </row>
    <row r="20" spans="1:6" ht="15.75">
      <c r="A20" s="37"/>
      <c r="B20" s="37"/>
      <c r="C20" s="38"/>
      <c r="D20" s="446" t="s">
        <v>352</v>
      </c>
      <c r="E20" s="446"/>
      <c r="F20" s="446"/>
    </row>
    <row r="21" spans="1:6" ht="18.75">
      <c r="A21" s="435" t="s">
        <v>20</v>
      </c>
      <c r="B21" s="435"/>
      <c r="C21" s="40"/>
      <c r="D21" s="462" t="s">
        <v>21</v>
      </c>
      <c r="E21" s="462"/>
      <c r="F21" s="462"/>
    </row>
    <row r="22" spans="1:6" ht="18.75">
      <c r="A22" s="39"/>
      <c r="B22" s="39"/>
      <c r="C22" s="40"/>
      <c r="D22" s="40"/>
      <c r="E22" s="40"/>
      <c r="F22" s="39"/>
    </row>
    <row r="23" spans="1:6" ht="18.75">
      <c r="A23" s="39"/>
      <c r="B23" s="39"/>
      <c r="C23" s="40"/>
      <c r="D23" s="40"/>
      <c r="E23" s="40"/>
      <c r="F23" s="39"/>
    </row>
    <row r="24" spans="1:6" ht="18.75">
      <c r="A24" s="39"/>
      <c r="B24" s="39"/>
      <c r="C24" s="40"/>
      <c r="D24" s="40"/>
      <c r="E24" s="40"/>
      <c r="F24" s="39"/>
    </row>
    <row r="25" spans="1:6" ht="18.75">
      <c r="A25" s="435" t="s">
        <v>96</v>
      </c>
      <c r="B25" s="435"/>
      <c r="C25" s="40"/>
      <c r="D25" s="462" t="s">
        <v>109</v>
      </c>
      <c r="E25" s="462"/>
      <c r="F25" s="462"/>
    </row>
  </sheetData>
  <mergeCells count="9">
    <mergeCell ref="A25:B25"/>
    <mergeCell ref="D25:F25"/>
    <mergeCell ref="A1:C1"/>
    <mergeCell ref="A2:C2"/>
    <mergeCell ref="A3:E3"/>
    <mergeCell ref="A4:F4"/>
    <mergeCell ref="D20:F20"/>
    <mergeCell ref="A21:B21"/>
    <mergeCell ref="D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phauthuat</vt:lpstr>
      <vt:lpstr>lanh tien PT</vt:lpstr>
      <vt:lpstr>Bác sĩ điều trị</vt:lpstr>
      <vt:lpstr>lanh tien PT1</vt:lpstr>
      <vt:lpstr>phauthuat_BHYT</vt:lpstr>
      <vt:lpstr>lanh tien PT_BHYT</vt:lpstr>
      <vt:lpstr>Thực lãnh</vt:lpstr>
      <vt:lpstr>thu thuat</vt:lpstr>
      <vt:lpstr>lanh tien thu thuat</vt:lpstr>
      <vt:lpstr>tieuphau</vt:lpstr>
      <vt:lpstr>lanh tien tphau</vt:lpstr>
      <vt:lpstr>TIỀN GIƯỜNG</vt:lpstr>
      <vt:lpstr>TONG LANH</vt:lpstr>
      <vt:lpstr>Thực lãnh dv</vt:lpstr>
      <vt:lpstr>GIƯỜNG GỬI</vt:lpstr>
      <vt:lpstr>PT YÊU CẦU</vt:lpstr>
      <vt:lpstr>Lãnh tiền PTYC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2025-05-20T14:15:59Z</cp:lastPrinted>
  <dcterms:created xsi:type="dcterms:W3CDTF">2012-03-02T08:10:25Z</dcterms:created>
  <dcterms:modified xsi:type="dcterms:W3CDTF">2025-05-20T14:18:45Z</dcterms:modified>
</cp:coreProperties>
</file>